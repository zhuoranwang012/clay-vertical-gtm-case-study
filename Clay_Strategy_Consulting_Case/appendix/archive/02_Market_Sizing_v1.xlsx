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_Summary" sheetId="2" state="visible" r:id="rId4"/>
    <sheet name="Assumptions" sheetId="3" state="visible" r:id="rId5"/>
    <sheet name="Firm_Counts" sheetId="4" state="visible" r:id="rId6"/>
    <sheet name="Segment_Profile" sheetId="5" state="visible" r:id="rId7"/>
    <sheet name="TAM_SAM_SOM" sheetId="6" state="visible" r:id="rId8"/>
    <sheet name="Sensitivity" sheetId="7" state="visible" r:id="rId9"/>
    <sheet name="Hypothesis_Tests" sheetId="8" state="visible" r:id="rId10"/>
    <sheet name="Segment_Defs" sheetId="9" state="visible" r:id="rId11"/>
    <sheet name="Raw_Census" sheetId="10" state="visible" r:id="rId12"/>
    <sheet name="Raw_OEWS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Imputed [C]: Census suppressed this cell (flag D). Value = 4235 residual × NAICS 423 band mix. See Block 2.</t>
        </r>
      </text>
    </comment>
    <comment ref="F5" authorId="0">
      <text>
        <r>
          <rPr>
            <sz val="10"/>
            <rFont val="Arial"/>
            <family val="2"/>
          </rPr>
          <t xml:space="preserve">Imputed [C]: Census suppressed this cell (flag D). Value = 4235 residual × NAICS 423 band mix. See Block 2.</t>
        </r>
      </text>
    </comment>
    <comment ref="G5" authorId="0">
      <text>
        <r>
          <rPr>
            <sz val="10"/>
            <rFont val="Arial"/>
            <family val="2"/>
          </rPr>
          <t xml:space="preserve">Imputed [C]: Census suppressed this cell (flag D). Value = 4235 residual × NAICS 423 band mix. See Block 2.</t>
        </r>
      </text>
    </comment>
  </commentList>
</comments>
</file>

<file path=xl/sharedStrings.xml><?xml version="1.0" encoding="utf-8"?>
<sst xmlns="http://schemas.openxmlformats.org/spreadsheetml/2006/main" count="2884" uniqueCount="514">
  <si>
    <t xml:space="preserve">02 — Market Sizing: U.S. Vertical Opportunity for Clay</t>
  </si>
  <si>
    <t xml:space="preserve">Independent portfolio case study by Zhuoran (Zora) Wang · Not commissioned by or affiliated with Clay Labs Inc. · Research reference date: 2026-10-18</t>
  </si>
  <si>
    <t xml:space="preserve">Purpose</t>
  </si>
  <si>
    <t xml:space="preserve">Size and compare three candidate U.S. verticals bottom-up (unique firms × annual contract value), with explicit TAM / SAM / SOM definitions and sensitivity ranges.</t>
  </si>
  <si>
    <t xml:space="preserve">TAM</t>
  </si>
  <si>
    <t xml:space="preserve">Annual revenue if every in-scope firm (20+ employees, segment NAICS) bought Clay at the size-band ACV. A theoretical ceiling, not a forecast.</t>
  </si>
  <si>
    <t xml:space="preserve">SAM</t>
  </si>
  <si>
    <t xml:space="preserve">TAM firms filtered to those with (1) an active B2B outbound / territory sales motion and (2) a CRM/data stack Clay can integrate with today (Growth tier and above).</t>
  </si>
  <si>
    <t xml:space="preserve">SOM</t>
  </si>
  <si>
    <t xml:space="preserve">Year-3 ARR potential from SAM firms at a uniform 'fair-share' penetration rate. Phase 1 deliberately applies the SAME penetration to every segment; segment-specific right-to-win is assessed in Phases 2–3.</t>
  </si>
  <si>
    <t xml:space="preserve">Unit of analysis</t>
  </si>
  <si>
    <t xml:space="preserve">Unique FIRMS (enterprises), never establishments. Firm counts are de-duplicated across sub-industries using Census-measured overlap (see Firm_Counts).</t>
  </si>
  <si>
    <t xml:space="preserve">Primary data</t>
  </si>
  <si>
    <t xml:space="preserve">2022 Economic Census — Establishment &amp; Firm Size Statistics, Employment Size of Firms (EC2200SIZEEMPFIRM); BLS OEWS May 2025 industry-specific estimates. See Sources.</t>
  </si>
  <si>
    <t xml:space="preserve">Not a forecast</t>
  </si>
  <si>
    <t xml:space="preserve">Nothing here is a Clay forecast or uses Clay internal data. ACV, readiness and penetration inputs are labeled benchmarks [B] or scenario assumptions [D].</t>
  </si>
  <si>
    <t xml:space="preserve">Color legend</t>
  </si>
  <si>
    <t xml:space="preserve">Blue text = hardcoded input · Black = formula · Green = formula linking another tab · Yellow fill = key judgment-based assumption.</t>
  </si>
  <si>
    <t xml:space="preserve">Evidence classes</t>
  </si>
  <si>
    <t xml:space="preserve">A = verified public fact · B = external benchmark / third-party estimate · C = analyst estimate (derived) · D = scenario assumption · E = recommendation.</t>
  </si>
  <si>
    <t xml:space="preserve">Tabs</t>
  </si>
  <si>
    <t xml:space="preserve">Executive_Summary → Assumptions → Firm_Counts → Segment_Profile → TAM_SAM_SOM → Sensitivity → Hypothesis_Tests → Segment_Defs → Raw_Census → Raw_OEWS → Sources</t>
  </si>
  <si>
    <t xml:space="preserve">Executive summary — Phase 1 market sizing (Base case unless noted)</t>
  </si>
  <si>
    <t xml:space="preserve">All $ are annual. SOM = year-3 ARR potential at uniform fair-share penetration (scenario output, not a forecast). Segments are alternatives; do not add them.</t>
  </si>
  <si>
    <t xml:space="preserve">Metric</t>
  </si>
  <si>
    <t xml:space="preserve">A. Industrial Distribution</t>
  </si>
  <si>
    <t xml:space="preserve">B. Industrial Manufacturing</t>
  </si>
  <si>
    <t xml:space="preserve">C. B2B Professional Services</t>
  </si>
  <si>
    <t xml:space="preserve">Unit / class</t>
  </si>
  <si>
    <t xml:space="preserve">Unique firms, 20+ employees</t>
  </si>
  <si>
    <t xml:space="preserve">firms · [C] from [A]</t>
  </si>
  <si>
    <t xml:space="preserve">   of which SMB (20–99)</t>
  </si>
  <si>
    <t xml:space="preserve">firms</t>
  </si>
  <si>
    <t xml:space="preserve">   of which Mid-Market (100–499)</t>
  </si>
  <si>
    <t xml:space="preserve">   of which Enterprise (500+)</t>
  </si>
  <si>
    <t xml:space="preserve">TAM (Base)</t>
  </si>
  <si>
    <t xml:space="preserve">$/yr · [C]/[D]</t>
  </si>
  <si>
    <t xml:space="preserve">SAM (Base)</t>
  </si>
  <si>
    <t xml:space="preserve">SOM — year-3 ARR potential (Base)</t>
  </si>
  <si>
    <t xml:space="preserve">$/yr · [D]</t>
  </si>
  <si>
    <t xml:space="preserve">SOM range — compounded Low</t>
  </si>
  <si>
    <t xml:space="preserve">$/yr · outer bound</t>
  </si>
  <si>
    <t xml:space="preserve">SOM range — compounded High</t>
  </si>
  <si>
    <t xml:space="preserve">SOM customers, year 3 (Base)</t>
  </si>
  <si>
    <t xml:space="preserve">customers · [D]</t>
  </si>
  <si>
    <t xml:space="preserve">SAM as % of TAM</t>
  </si>
  <si>
    <t xml:space="preserve">% · [D]</t>
  </si>
  <si>
    <t xml:space="preserve">Structural profile</t>
  </si>
  <si>
    <t xml:space="preserve">Sales occupations share of employment (all industries ≈ 8.6%)</t>
  </si>
  <si>
    <t xml:space="preserve">% · [C] from OEWS</t>
  </si>
  <si>
    <t xml:space="preserve">Computer &amp; math occupations share (all industries ≈ 3.4%)</t>
  </si>
  <si>
    <t xml:space="preserve">Implied sales staff per 20+ firm</t>
  </si>
  <si>
    <t xml:space="preserve">people · [C]</t>
  </si>
  <si>
    <t xml:space="preserve">Sanity checks</t>
  </si>
  <si>
    <t xml:space="preserve">Clay customers reported (Sep 2026, S03) — for scale</t>
  </si>
  <si>
    <t xml:space="preserve">customers · [A*]</t>
  </si>
  <si>
    <t xml:space="preserve">Base SOM customers as % of Clay's total customer count</t>
  </si>
  <si>
    <t xml:space="preserve">% · [C]</t>
  </si>
  <si>
    <t xml:space="preserve">Clay ARR, third-party estimate (Sep 2026, S23; was ~$150M in May 2026, S04) — for scale</t>
  </si>
  <si>
    <t xml:space="preserve">$/yr · [B] estimate</t>
  </si>
  <si>
    <t xml:space="preserve">Base SOM ARR as % of Clay's estimated ARR</t>
  </si>
  <si>
    <t xml:space="preserve">% · [C] (H8 context)</t>
  </si>
  <si>
    <t xml:space="preserve">Key takeaways (Phase 1)</t>
  </si>
  <si>
    <t xml:space="preserve">1. Industrial distribution is the smallest segment by firm count (H2 rejected): professional services offers nearly 3× the 20+ firm universe and the largest TAM, SAM and SOM at equal ACV and penetration.</t>
  </si>
  <si>
    <t xml:space="preserve">2. Distribution is the most sales-intensive vertical in scope — sales occupations are ~22% of employment (~2.5× the economy-wide share) and an in-scope firm employs ~28 sales staff on average. Because so many distributors run active sales motions, distribution's SAM is roughly equal to manufacturing's despite having half the firms.</t>
  </si>
  <si>
    <t xml:space="preserve">3. Manufacturing is large in firm count but has the weakest direct-sales motion (~2.7% sales occupations); much of its selling is outsourced to distributors and reps — a reason to reach manufacturers through the distribution channel rather than as a stand-alone vertical.</t>
  </si>
  <si>
    <t xml:space="preserve">4. Builder capacity is the mirror image of need: professional services has near-software levels of technical staff; distribution and manufacturing are below the economy-wide average (preliminary support for H4).</t>
  </si>
  <si>
    <t xml:space="preserve">5. At uniform fair-share penetration, every segment's 3-year SOM is ~1–2% of Clay's estimated ARR — any vertical program is an incremental growth option, not a pivot (context for H8).</t>
  </si>
  <si>
    <t xml:space="preserve">Assumptions — every judgment-based input in one place (Low / Base / High)</t>
  </si>
  <si>
    <t xml:space="preserve">Low and High are compounded in the scenario outer bounds on TAM_SAM_SOM; one-at-a-time swings are on Sensitivity. Edit blue cells only.</t>
  </si>
  <si>
    <t xml:space="preserve">ID</t>
  </si>
  <si>
    <t xml:space="preserve">Parameter</t>
  </si>
  <si>
    <t xml:space="preserve">Applies to</t>
  </si>
  <si>
    <t xml:space="preserve">Low</t>
  </si>
  <si>
    <t xml:space="preserve">Base</t>
  </si>
  <si>
    <t xml:space="preserve">High</t>
  </si>
  <si>
    <t xml:space="preserve">Unit</t>
  </si>
  <si>
    <t xml:space="preserve">Class</t>
  </si>
  <si>
    <t xml:space="preserve">Source / rationale</t>
  </si>
  <si>
    <t xml:space="preserve">A1</t>
  </si>
  <si>
    <t xml:space="preserve">Annual contract value (ACV)</t>
  </si>
  <si>
    <t xml:space="preserve">SMB (20–99)</t>
  </si>
  <si>
    <t xml:space="preserve">$/yr</t>
  </si>
  <si>
    <t xml:space="preserve">B/D</t>
  </si>
  <si>
    <t xml:space="preserve">Low = Growth-tier entry at list, annual billing ($446/mo × 12; S01 [A]). CRM sync, webhooks and HTTP API require Growth or above. Base/High allow for additional Actions / Data-Credit tiers. Vendr reports mid-market buyers at ~$10K–$30K (S16 [B]).</t>
  </si>
  <si>
    <t xml:space="preserve">A2</t>
  </si>
  <si>
    <t xml:space="preserve">Mid-Market (100–499)</t>
  </si>
  <si>
    <t xml:space="preserve">Anchored on Vendr's reported mid-market range of ~$10K–$30K/yr (S16 [B], updated Feb 2026; vendor-reported, small sample).</t>
  </si>
  <si>
    <t xml:space="preserve">A3</t>
  </si>
  <si>
    <t xml:space="preserve">Enterprise (500+)</t>
  </si>
  <si>
    <t xml:space="preserve">Base = Vendr median $59,996/yr across 96 purchases; observed range $16,500–$170,000 (S16 [B]). Negotiated, sales-led deals; skews larger than self-serve.</t>
  </si>
  <si>
    <t xml:space="preserve">A4</t>
  </si>
  <si>
    <t xml:space="preserve">SAM filter 1 — active B2B outbound / territory sales motion</t>
  </si>
  <si>
    <t xml:space="preserve">% firms</t>
  </si>
  <si>
    <t xml:space="preserve">D</t>
  </si>
  <si>
    <t xml:space="preserve">Distribution is the most sales-intensive segment: sales occupations = ~22% of employment vs ~8.6% economy-wide (≈2.5×) (OEWS May 2025, S15 [A]; see Segment_Profile).</t>
  </si>
  <si>
    <t xml:space="preserve">A5</t>
  </si>
  <si>
    <t xml:space="preserve">Sales occupations only ~2.7% of manufacturing employment (S15 [A]) — consistent with many manufacturers selling through distributors and independent reps rather than direct outbound teams.</t>
  </si>
  <si>
    <t xml:space="preserve">A6</t>
  </si>
  <si>
    <t xml:space="preserve">Sales occupations ~6.2% of employment (S15 [A]), but BD is often done by billable 'seller-doers' (partners/principals) not counted as sales staff; A&amp;E skews RFP-driven.</t>
  </si>
  <si>
    <t xml:space="preserve">A7</t>
  </si>
  <si>
    <t xml:space="preserve">SAM filter 2 — CRM / data stack Clay can integrate with</t>
  </si>
  <si>
    <t xml:space="preserve">Distribution Strategy Group 2022 survey of distributors ($10M–$500M revenue; n=96 respondents, 66 distributors): 52% general-purpose CRM, 15% purpose-built, 9% custom, 9% ERP-provided, 15% none (S17 [B]). Low = general-purpose only; High = any non-ERP CRM.</t>
  </si>
  <si>
    <t xml:space="preserve">A8</t>
  </si>
  <si>
    <t xml:space="preserve">No reliable public adoption rate found (a 2023 vendor-sponsored survey reported usage frequency, not adoption — not used). Set slightly below distribution given lower sales-function density. KEY DATA GAP.</t>
  </si>
  <si>
    <t xml:space="preserve">A9</t>
  </si>
  <si>
    <t xml:space="preserve">No reliable public adoption rate found. Set above distribution given far higher technical workforce share (computer occupations ~24% of employment vs ~2% in distribution; S15 [A]). KEY DATA GAP.</t>
  </si>
  <si>
    <t xml:space="preserve">A10</t>
  </si>
  <si>
    <t xml:space="preserve">3-year penetration of SAM firms (uniform across segments)</t>
  </si>
  <si>
    <t xml:space="preserve">% SAM firms</t>
  </si>
  <si>
    <t xml:space="preserve">Fair-share assumption for a focused vertical program over three years. Deliberately identical across segments in Phase 1. Sanity check vs Clay's 17,000+ total customers on Executive_Summary.</t>
  </si>
  <si>
    <t xml:space="preserve">A11</t>
  </si>
  <si>
    <t xml:space="preserve">Higher than SMB: sales-assisted motion concentrates effort on fewer, larger accounts.</t>
  </si>
  <si>
    <t xml:space="preserve">A12</t>
  </si>
  <si>
    <t xml:space="preserve">Highest: named-account coverage; Clay reports &gt;200% enterprise NRR (S02 [A]) indicating strong land-and-expand once in.</t>
  </si>
  <si>
    <t xml:space="preserve">Note: there is no segment-specific ACV multiplier and no segment-specific penetration in Phase 1 by design — Phase 1 isolates market size and reachability. Competitive position and right-to-win enter in Phases 2–3; any segment-specific ACV evidence (e.g., seller headcount driving usage) is tested in Phase 4.</t>
  </si>
  <si>
    <t xml:space="preserve">Firm counts — unique U.S. firms by segment and firm size (2022)</t>
  </si>
  <si>
    <t xml:space="preserve">Firms operated for the entire year. Suppressed cells imputed (block 2). Sub-industry totals de-duplicated with Census-measured overlap (block 3). Establishments shown for contrast only — never used as the counting unit.</t>
  </si>
  <si>
    <t xml:space="preserve">Segment</t>
  </si>
  <si>
    <t xml:space="preserve">NAICS</t>
  </si>
  <si>
    <t xml:space="preserve">Industry</t>
  </si>
  <si>
    <t xml:space="preserve">20-49</t>
  </si>
  <si>
    <t xml:space="preserve">50-99</t>
  </si>
  <si>
    <t xml:space="preserve">100-249</t>
  </si>
  <si>
    <t xml:space="preserve">250-499</t>
  </si>
  <si>
    <t xml:space="preserve">500+</t>
  </si>
  <si>
    <t xml:space="preserve">Firms 20+</t>
  </si>
  <si>
    <t xml:space="preserve">Firms &lt;20</t>
  </si>
  <si>
    <t xml:space="preserve">All FY firms</t>
  </si>
  <si>
    <t xml:space="preserve">FY establishments</t>
  </si>
  <si>
    <t xml:space="preserve">Estab. per firm</t>
  </si>
  <si>
    <t xml:space="preserve">4235</t>
  </si>
  <si>
    <t xml:space="preserve">Metal &amp; Mineral (except Petroleum) Merchant Wholesalers</t>
  </si>
  <si>
    <t xml:space="preserve">4236</t>
  </si>
  <si>
    <t xml:space="preserve">Household Appliances &amp; Electrical/Electronic Goods Merchant Wholesalers</t>
  </si>
  <si>
    <t xml:space="preserve">4237</t>
  </si>
  <si>
    <t xml:space="preserve">Hardware, Plumbing &amp; Heating Equipment Merchant Wholesalers</t>
  </si>
  <si>
    <t xml:space="preserve">4238</t>
  </si>
  <si>
    <t xml:space="preserve">Machinery, Equipment &amp; Supplies Merchant Wholesalers</t>
  </si>
  <si>
    <t xml:space="preserve">A. Industrial Distribution — subtotal (before de-dup)</t>
  </si>
  <si>
    <t xml:space="preserve">326</t>
  </si>
  <si>
    <t xml:space="preserve">Plastics &amp; Rubber Products Manufacturing</t>
  </si>
  <si>
    <t xml:space="preserve">332</t>
  </si>
  <si>
    <t xml:space="preserve">Fabricated Metal Product Manufacturing</t>
  </si>
  <si>
    <t xml:space="preserve">333</t>
  </si>
  <si>
    <t xml:space="preserve">Machinery Manufacturing</t>
  </si>
  <si>
    <t xml:space="preserve">335</t>
  </si>
  <si>
    <t xml:space="preserve">Electrical Equipment, Appliance &amp; Component Manufacturing</t>
  </si>
  <si>
    <t xml:space="preserve">B. Industrial Manufacturing — subtotal (before de-dup)</t>
  </si>
  <si>
    <t xml:space="preserve">5413</t>
  </si>
  <si>
    <t xml:space="preserve">Architectural, Engineering &amp; Related Services</t>
  </si>
  <si>
    <t xml:space="preserve">5415</t>
  </si>
  <si>
    <t xml:space="preserve">Computer Systems Design &amp; Related Services</t>
  </si>
  <si>
    <t xml:space="preserve">5416</t>
  </si>
  <si>
    <t xml:space="preserve">Management, Scientific &amp; Technical Consulting</t>
  </si>
  <si>
    <t xml:space="preserve">5418</t>
  </si>
  <si>
    <t xml:space="preserve">Advertising, PR &amp; Related Services</t>
  </si>
  <si>
    <t xml:space="preserve">C. B2B Professional Services — subtotal (before de-dup)</t>
  </si>
  <si>
    <t xml:space="preserve">Block 2 — Imputation of Census-suppressed cells (NAICS 4235, firms with 50–499 employees)</t>
  </si>
  <si>
    <t xml:space="preserve">4235 firms operated full year (FY)</t>
  </si>
  <si>
    <t xml:space="preserve">less: reported bands (0–4, 5–9, 10–19, 20–49, 500+)</t>
  </si>
  <si>
    <t xml:space="preserve">Suppressed residual (firms with 50–499 employees) [C]</t>
  </si>
  <si>
    <t xml:space="preserve">Allocation key: parent NAICS 423 firm mix across 50–99 / 100–249 / 250–499</t>
  </si>
  <si>
    <t xml:space="preserve">Imputed 4235 firms by band (feeds yellow cells above)</t>
  </si>
  <si>
    <t xml:space="preserve">Block 3 — De-duplication: a firm with establishments in several sub-industries is counted in each. Factor = MIN(1, sector firms ÷ Σ reported sub-industry firms), per band.</t>
  </si>
  <si>
    <t xml:space="preserve">Parent sector</t>
  </si>
  <si>
    <t xml:space="preserve">Measure</t>
  </si>
  <si>
    <t xml:space="preserve">423</t>
  </si>
  <si>
    <t xml:space="preserve">Sector firms (parent)</t>
  </si>
  <si>
    <t xml:space="preserve">Σ reported sub-industry firms</t>
  </si>
  <si>
    <t xml:space="preserve">Implied overlap</t>
  </si>
  <si>
    <t xml:space="preserve">De-dup factor applied [C]</t>
  </si>
  <si>
    <t xml:space="preserve">31-33</t>
  </si>
  <si>
    <t xml:space="preserve">54</t>
  </si>
  <si>
    <t xml:space="preserve">Reading: overlap is small in distribution (~1–3%) and professional services (~1–5%) but material in mid-size/large manufacturing (~7–11%), where multi-plant firms span subsectors. Where some sub-industry cells are suppressed, the reported sum is a lower bound, so the factor is conservative (removes less overlap than exists).</t>
  </si>
  <si>
    <t xml:space="preserve">Block 4 — Unique firms by segment (de-duplicated) [C]</t>
  </si>
  <si>
    <t xml:space="preserve">Block 5 — Unique firms by size group (feeds TAM_SAM_SOM and Sensitivity)</t>
  </si>
  <si>
    <t xml:space="preserve">Size group</t>
  </si>
  <si>
    <t xml:space="preserve">Bands</t>
  </si>
  <si>
    <t xml:space="preserve">SMB</t>
  </si>
  <si>
    <t xml:space="preserve">20–99</t>
  </si>
  <si>
    <t xml:space="preserve">Mid-Market</t>
  </si>
  <si>
    <t xml:space="preserve">100–499</t>
  </si>
  <si>
    <t xml:space="preserve">Enterprise</t>
  </si>
  <si>
    <t xml:space="preserve">Total firms 20+</t>
  </si>
  <si>
    <t xml:space="preserve">Segment profile — structure, sales intensity and 'builder capacity'</t>
  </si>
  <si>
    <t xml:space="preserve">Census metrics use the core NAICS codes; OEWS metrics use the closest BLS industry groupings (distribution proxy 4230A1 also includes 4232/4233/4239). Ratios are [C] derived from [A] data.</t>
  </si>
  <si>
    <t xml:space="preserve">Ref: Software Publishers (Clay core proxy)</t>
  </si>
  <si>
    <t xml:space="preserve">Ref: All industries</t>
  </si>
  <si>
    <t xml:space="preserve">Unit / source</t>
  </si>
  <si>
    <t xml:space="preserve">What it indicates</t>
  </si>
  <si>
    <t xml:space="preserve">Structure (2022 Economic Census, S14)</t>
  </si>
  <si>
    <t xml:space="preserve">firms [C]</t>
  </si>
  <si>
    <t xml:space="preserve">Size of the reachable firm universe (de-duplicated).</t>
  </si>
  <si>
    <t xml:space="preserve">Establishments per firm (all FY firms)</t>
  </si>
  <si>
    <t xml:space="preserve">ratio [C]</t>
  </si>
  <si>
    <t xml:space="preserve">Branch intensity. &gt;1.5 means multi-branch networks → territory planning and branch-level account mapping matter.</t>
  </si>
  <si>
    <t xml:space="preserve">Avg receipts per firm, 20+ firms ($M)</t>
  </si>
  <si>
    <t xml:space="preserve">$M per firm [C]</t>
  </si>
  <si>
    <t xml:space="preserve">Ability to pay. Denominator excludes cells whose receipts are suppressed.</t>
  </si>
  <si>
    <t xml:space="preserve">Avg receipts per firm, 20–99 employees ($M)</t>
  </si>
  <si>
    <t xml:space="preserve">Same metric for the SMB band only — removes the skew from very large firms.</t>
  </si>
  <si>
    <t xml:space="preserve">Avg employees per firm, 20+ firms</t>
  </si>
  <si>
    <t xml:space="preserve">employees [C]</t>
  </si>
  <si>
    <t xml:space="preserve">Average firm scale within the in-scope universe.</t>
  </si>
  <si>
    <t xml:space="preserve">Sales intensity &amp; builder capacity (BLS OEWS May 2025, S15)</t>
  </si>
  <si>
    <t xml:space="preserve">Sales occupations (SOC 41) share of employment</t>
  </si>
  <si>
    <t xml:space="preserve">% of employment [C]</t>
  </si>
  <si>
    <t xml:space="preserve">Need proxy: how much of the workforce sells. Distribution ≈ 2.5× the economy-wide share.</t>
  </si>
  <si>
    <t xml:space="preserve">Wholesale &amp; mfg sales reps per 1,000 employees (41-4011 + 41-4012)</t>
  </si>
  <si>
    <t xml:space="preserve">per 1,000 [C]</t>
  </si>
  <si>
    <t xml:space="preserve">Field/inside B2B reps — the users of prospecting, territory and enrichment workflows.</t>
  </si>
  <si>
    <t xml:space="preserve">Sales managers per 1,000 employees (11-2022)</t>
  </si>
  <si>
    <t xml:space="preserve">Likely economic buyers / champions for sales tooling.</t>
  </si>
  <si>
    <t xml:space="preserve">Marketing managers per 1,000 employees (11-2021)</t>
  </si>
  <si>
    <t xml:space="preserve">Marketing-led demand generation capacity.</t>
  </si>
  <si>
    <t xml:space="preserve">Market research analysts &amp; marketing specialists per 1,000 (13-1161)</t>
  </si>
  <si>
    <t xml:space="preserve">Closest occupational proxy for marketing-ops / data-savvy GTM staff who build Clay workflows.</t>
  </si>
  <si>
    <t xml:space="preserve">Computer &amp; mathematical occupations share of employment (SOC 15)</t>
  </si>
  <si>
    <t xml:space="preserve">'Builder capacity' proxy (tests H4): technical talent available to configure and maintain workflows.</t>
  </si>
  <si>
    <t xml:space="preserve">people [C]</t>
  </si>
  <si>
    <t xml:space="preserve">Avg employees per 20+ firm × sales-occupation share. Clay usage (records, signals, sequences) scales with seller count — relevant to ACV in Phase 4.</t>
  </si>
  <si>
    <t xml:space="preserve">Indices vs all industries (=1.00)</t>
  </si>
  <si>
    <t xml:space="preserve">Sales intensity index</t>
  </si>
  <si>
    <t xml:space="preserve">index [C]</t>
  </si>
  <si>
    <t xml:space="preserve">Builder capacity index (computer occupations)</t>
  </si>
  <si>
    <t xml:space="preserve">Marketing-ops talent index (13-1161)</t>
  </si>
  <si>
    <t xml:space="preserve">Caveat: OEWS counts employees in establishments classified to the industry; manufacturers' sales are partly done by independent reps (NAICS 4251) and distributors, which this metric correctly shows as low direct-sales intensity. Professional-services BD by billable staff is not captured in SOC 41.</t>
  </si>
  <si>
    <t xml:space="preserve">TAM / SAM / SOM by segment — three scenarios shown side by side</t>
  </si>
  <si>
    <t xml:space="preserve">Low and High compound every input at its low/high value (outer bounds, not likely cases). SOM = year-3 ARR potential at uniform fair-share penetration — not a Clay forecast. [C]/[D]</t>
  </si>
  <si>
    <t xml:space="preserve">Scenario: Base</t>
  </si>
  <si>
    <t xml:space="preserve">Unique firms</t>
  </si>
  <si>
    <t xml:space="preserve">ACV ($)</t>
  </si>
  <si>
    <t xml:space="preserve">TAM ($)</t>
  </si>
  <si>
    <t xml:space="preserve">SAM filter 1: outbound motion</t>
  </si>
  <si>
    <t xml:space="preserve">SAM filter 2: CRM-ready</t>
  </si>
  <si>
    <t xml:space="preserve">SAM firms</t>
  </si>
  <si>
    <t xml:space="preserve">SAM ($)</t>
  </si>
  <si>
    <t xml:space="preserve">3-yr penetration</t>
  </si>
  <si>
    <t xml:space="preserve">SOM customers</t>
  </si>
  <si>
    <t xml:space="preserve">SOM ARR ($)</t>
  </si>
  <si>
    <t xml:space="preserve">A. Industrial Distribution — total</t>
  </si>
  <si>
    <t xml:space="preserve">B. Industrial Manufacturing — total</t>
  </si>
  <si>
    <t xml:space="preserve">C. B2B Professional Services — total</t>
  </si>
  <si>
    <t xml:space="preserve">All three segments (comparison only — segments are alternatives, not additive bets)</t>
  </si>
  <si>
    <t xml:space="preserve">Scenario: Low</t>
  </si>
  <si>
    <t xml:space="preserve">Scenario: High</t>
  </si>
  <si>
    <t xml:space="preserve">Sensitivity — what moves SOM, and what would have to be true for the ranking to change</t>
  </si>
  <si>
    <t xml:space="preserve">Block A: one-at-a-time swings on Base SOM ARR. Block B: Distribution SOM grid vs Prof. Services base. Block C: segment-definition sensitivity (tests H1).</t>
  </si>
  <si>
    <t xml:space="preserve">Block A — One-at-a-time sensitivity of Base SOM ARR ($), other inputs held at Base</t>
  </si>
  <si>
    <t xml:space="preserve">Input swung</t>
  </si>
  <si>
    <t xml:space="preserve">SOM @ Low input</t>
  </si>
  <si>
    <t xml:space="preserve">SOM @ Base</t>
  </si>
  <si>
    <t xml:space="preserve">SOM @ High input</t>
  </si>
  <si>
    <t xml:space="preserve">Swing (High − Low)</t>
  </si>
  <si>
    <t xml:space="preserve">ACV (all size bands)</t>
  </si>
  <si>
    <t xml:space="preserve">3-yr penetration (all size bands)</t>
  </si>
  <si>
    <t xml:space="preserve">SAM filter 1 — outbound motion</t>
  </si>
  <si>
    <t xml:space="preserve">SAM filter 2 — CRM readiness</t>
  </si>
  <si>
    <t xml:space="preserve">Check: Block A base equals TAM_SAM_SOM base SOM (should be 0)</t>
  </si>
  <si>
    <t xml:space="preserve">Block B — Distribution Base SOM ARR under multipliers on penetration (rows) × ACV (columns). Shaded = matches or exceeds Prof. Services Base SOM.</t>
  </si>
  <si>
    <t xml:space="preserve">Prof. Services Base SOM ARR (benchmark)</t>
  </si>
  <si>
    <t xml:space="preserve">Distribution Base SOM ARR</t>
  </si>
  <si>
    <t xml:space="preserve">Penetration multiplier ↓ / ACV multiplier →</t>
  </si>
  <si>
    <t xml:space="preserve">Break-even combined multiplier for Distribution to match Prof. Services (penetration × ACV)</t>
  </si>
  <si>
    <t xml:space="preserve">Block C — Segment-definition sensitivity: unique-ish firms with 20+ employees (core definition vs broader alternatives)</t>
  </si>
  <si>
    <t xml:space="preserve">Definition</t>
  </si>
  <si>
    <t xml:space="preserve">vs core</t>
  </si>
  <si>
    <t xml:space="preserve">Note</t>
  </si>
  <si>
    <t xml:space="preserve">Core (model)</t>
  </si>
  <si>
    <t xml:space="preserve">De-duplicated core NAICS 4235–4238.</t>
  </si>
  <si>
    <t xml:space="preserve">Broad: + 4233 lumber/construction materials + 4234 prof. &amp; commercial equipment</t>
  </si>
  <si>
    <t xml:space="preserve">Not de-duplicated (adds ≤3% overlap).</t>
  </si>
  <si>
    <t xml:space="preserve">De-duplicated core NAICS 326/332/333/335.</t>
  </si>
  <si>
    <t xml:space="preserve">Broad: all manufacturing (sector 31-33, original brief)</t>
  </si>
  <si>
    <t xml:space="preserve">Sector total is already unique firms.</t>
  </si>
  <si>
    <t xml:space="preserve">De-duplicated core NAICS 5413/5415/5416/5418.</t>
  </si>
  <si>
    <t xml:space="preserve">Broad: all professional, scientific &amp; technical services (sector 54)</t>
  </si>
  <si>
    <t xml:space="preserve">Adds legal, accounting, R&amp;D, design, other.</t>
  </si>
  <si>
    <t xml:space="preserve">Hypothesis tests addressed in Phase 1</t>
  </si>
  <si>
    <t xml:space="preserve">Hypotheses from 01_Project_Charter.md §8. Verdicts are formula-driven where the test is quantitative.</t>
  </si>
  <si>
    <t xml:space="preserve">Hypothesis (abridged)</t>
  </si>
  <si>
    <t xml:space="preserve">Test metric</t>
  </si>
  <si>
    <t xml:space="preserve">Value</t>
  </si>
  <si>
    <t xml:space="preserve">Threshold</t>
  </si>
  <si>
    <t xml:space="preserve">Verdict</t>
  </si>
  <si>
    <t xml:space="preserve">Comment</t>
  </si>
  <si>
    <t xml:space="preserve">H1</t>
  </si>
  <si>
    <t xml:space="preserve">'B2B manufacturing suppliers' as written (all of 31-33) is too broad; a narrower industrial subset is more appropriate.</t>
  </si>
  <si>
    <t xml:space="preserve">Share of all-manufacturing 20+ firms captured by the core industrial subsectors</t>
  </si>
  <si>
    <t xml:space="preserve">n/a (qualitative)</t>
  </si>
  <si>
    <t xml:space="preserve">Supported (qualitative)</t>
  </si>
  <si>
    <t xml:space="preserve">Core subsectors are only about two-fifths of manufacturing firms with 20+ employees; the remainder includes food, beverage, apparel, printing, furniture and wood — retail/CPG or local-market go-to-market, not engineered B2B selling. Industry heterogeneity is also visible in receipts per firm across core subsectors ($9M fabricated metal vs $38M electrical equipment).</t>
  </si>
  <si>
    <t xml:space="preserve">H2</t>
  </si>
  <si>
    <t xml:space="preserve">Distribution's mid-market pool (20–499) is ≥ manufacturing's and ≥ 50% of professional services'.</t>
  </si>
  <si>
    <t xml:space="preserve">Distribution 20–499 firms ÷ Prof. Services 20–499 firms</t>
  </si>
  <si>
    <t xml:space="preserve">Distribution is the SMALLEST segment by firm count. The case for distribution, if any, must rest on need intensity and per-firm value, not market breadth.</t>
  </si>
  <si>
    <t xml:space="preserve">Distribution 20–499 firms ÷ Manufacturing 20–499 firms</t>
  </si>
  <si>
    <t xml:space="preserve">H4</t>
  </si>
  <si>
    <t xml:space="preserve">Binding constraint in industrial segments is builder capacity, not need.</t>
  </si>
  <si>
    <t xml:space="preserve">Builder-capacity index (computer occupations share vs all industries): Distribution / Manufacturing / Prof. Services</t>
  </si>
  <si>
    <t xml:space="preserve">&lt;1.0 = below avg</t>
  </si>
  <si>
    <t xml:space="preserve">Distribution combines the highest sales intensity with below-average technical talent — the 'high need, low builder capacity' profile. Manufacturing is low on both (weak need AND weak capacity). Professional services is the mirror image of distribution. Occupational proxies only; confirm with job-posting / partner evidence in Phase 2.</t>
  </si>
  <si>
    <t xml:space="preserve">H6</t>
  </si>
  <si>
    <t xml:space="preserve">Industrial mid-market ACV sits in the Growth-tier range (~$5K–$25K).</t>
  </si>
  <si>
    <t xml:space="preserve">Base ACV for SMB / Mid-Market (Assumptions A1–A2)</t>
  </si>
  <si>
    <t xml:space="preserve">$5K–$25K</t>
  </si>
  <si>
    <t xml:space="preserve">Untested (assumption)</t>
  </si>
  <si>
    <t xml:space="preserve">Phase 1 can only bound ACV from list pricing and a vendor benchmark; no segment-specific contract data is public. Note: average distributor revenue per 20+ firm is several times that of professional-services firms (Segment_Profile), so ability to pay is not the constraint for distribution.</t>
  </si>
  <si>
    <t xml:space="preserve">Segment definitions (refined in Phase 1)</t>
  </si>
  <si>
    <t xml:space="preserve">NAICS 2022 codes · 'Core' codes drive the model; 'Broad' codes are used only in the definition sensitivity (Sensitivity tab, block C)</t>
  </si>
  <si>
    <t xml:space="preserve">Scope</t>
  </si>
  <si>
    <t xml:space="preserve">Rationale</t>
  </si>
  <si>
    <t xml:space="preserve">Core</t>
  </si>
  <si>
    <t xml:space="preserve">Industrial MRO / metals service centers; outside-sales-led; serve manufacturers and contractors.</t>
  </si>
  <si>
    <t xml:space="preserve">Electrical distributors (e.g., the Regency Supply case, S07); contractor-facing territory sales.</t>
  </si>
  <si>
    <t xml:space="preserve">PHVAC / hardware distributors; branch-heavy networks serving contractors.</t>
  </si>
  <si>
    <t xml:space="preserve">Industrial machinery, equipment and supplies distributors; largest core sub-segment.</t>
  </si>
  <si>
    <t xml:space="preserve">4233</t>
  </si>
  <si>
    <t xml:space="preserve">Lumber &amp; Other Construction Materials Merchant Wholesalers</t>
  </si>
  <si>
    <t xml:space="preserve">Broad</t>
  </si>
  <si>
    <t xml:space="preserve">Building-materials distribution; adjacent but more residential/contractor commodity-driven.</t>
  </si>
  <si>
    <t xml:space="preserve">4234</t>
  </si>
  <si>
    <t xml:space="preserve">Professional &amp; Commercial Equipment Merchant Wholesalers</t>
  </si>
  <si>
    <t xml:space="preserve">Includes computers, medical and office equipment — mixed, partly tech-channel; excluded from core.</t>
  </si>
  <si>
    <t xml:space="preserve">Component suppliers selling B2B to OEMs; engineered-to-order sales.</t>
  </si>
  <si>
    <t xml:space="preserve">Job shops and fabricators; largest firm count; many small, owner-led firms.</t>
  </si>
  <si>
    <t xml:space="preserve">Capital equipment OEMs; direct + dealer/distributor channels.</t>
  </si>
  <si>
    <t xml:space="preserve">Electrical equipment/components; often sell through electrical distributors (link to Segment A).</t>
  </si>
  <si>
    <t xml:space="preserve">All Manufacturing (sector)</t>
  </si>
  <si>
    <t xml:space="preserve">Original brief scope. Rejected as core: includes food, beverage, apparel, printing etc. with retail/CPG go-to-market (tests H1).</t>
  </si>
  <si>
    <t xml:space="preserve">B2B project firms; relationship + RFP-driven business development.</t>
  </si>
  <si>
    <t xml:space="preserve">IT services / systems integrators; technically sophisticated, outbound-capable.</t>
  </si>
  <si>
    <t xml:space="preserve">Consulting firms; partner-led BD with growing marketing/outbound functions.</t>
  </si>
  <si>
    <t xml:space="preserve">Agencies; heavy outbound/new-business culture; overlaps Clay's agency ecosystem.</t>
  </si>
  <si>
    <t xml:space="preserve">5411</t>
  </si>
  <si>
    <t xml:space="preserve">Legal Services</t>
  </si>
  <si>
    <t xml:space="preserve">Referral/relationship-driven; bar advertising rules; excluded from core.</t>
  </si>
  <si>
    <t xml:space="preserve">5412</t>
  </si>
  <si>
    <t xml:space="preserve">Accounting, Tax Prep, Bookkeeping &amp; Payroll</t>
  </si>
  <si>
    <t xml:space="preserve">Large consumer/very-small-business tax-prep component; excluded from core.</t>
  </si>
  <si>
    <t xml:space="preserve">Reference (not scored)</t>
  </si>
  <si>
    <t xml:space="preserve">5132</t>
  </si>
  <si>
    <t xml:space="preserve">Software Publishers</t>
  </si>
  <si>
    <t xml:space="preserve">Benchmark</t>
  </si>
  <si>
    <t xml:space="preserve">Proxy for Clay's current core customer base; used only for comparison of density metrics.</t>
  </si>
  <si>
    <t xml:space="preserve">Adjacency (not scored)</t>
  </si>
  <si>
    <t xml:space="preserve">5613</t>
  </si>
  <si>
    <t xml:space="preserve">Employment Services (staffing)</t>
  </si>
  <si>
    <t xml:space="preserve">Adjacency</t>
  </si>
  <si>
    <t xml:space="preserve">Outbound-heavy B2B service; noted for future screening, outside the brief's three segments.</t>
  </si>
  <si>
    <t xml:space="preserve">Size bands (firm employment, all U.S. establishments of the firm): SMB = 20–99 · Mid-Market = 100–499 · Enterprise = 500+. Firms with &lt;20 employees are excluded from TAM (rarely staff a dedicated sales/RevOps function; Clay CRM sync requires the Growth tier).</t>
  </si>
  <si>
    <t xml:space="preserve">Raw data — 2022 Economic Census, Employment Size of Firms (EC2200SIZEEMPFIRM), United States</t>
  </si>
  <si>
    <t xml:space="preserve">Source S14 · Reference year 2022 · Firms 'operated for the entire year' (FY) by firm employment size · Receipts in $ thousands · D = suppressed by Census (disclosure) · blank = not published</t>
  </si>
  <si>
    <t xml:space="preserve">Key</t>
  </si>
  <si>
    <t xml:space="preserve">NAICS 2022</t>
  </si>
  <si>
    <t xml:space="preserve">Size band</t>
  </si>
  <si>
    <t xml:space="preserve">Firms</t>
  </si>
  <si>
    <t xml:space="preserve">Firm flag</t>
  </si>
  <si>
    <t xml:space="preserve">Establishments</t>
  </si>
  <si>
    <t xml:space="preserve">Employees</t>
  </si>
  <si>
    <t xml:space="preserve">Receipts ($000)</t>
  </si>
  <si>
    <t xml:space="preserve">Parent sector (for de-dup)</t>
  </si>
  <si>
    <t xml:space="preserve">File</t>
  </si>
  <si>
    <t xml:space="preserve">42</t>
  </si>
  <si>
    <t xml:space="preserve">ALL</t>
  </si>
  <si>
    <t xml:space="preserve">raw_census_ecnsize_2022_firm_size.csv</t>
  </si>
  <si>
    <t xml:space="preserve">FY</t>
  </si>
  <si>
    <t xml:space="preserve">0-4</t>
  </si>
  <si>
    <t xml:space="preserve">5-9</t>
  </si>
  <si>
    <t xml:space="preserve">10-19</t>
  </si>
  <si>
    <t xml:space="preserve">NFY</t>
  </si>
  <si>
    <t xml:space="preserve">334</t>
  </si>
  <si>
    <t xml:space="preserve">4231</t>
  </si>
  <si>
    <t xml:space="preserve">overlap_raw.csv</t>
  </si>
  <si>
    <t xml:space="preserve">4232</t>
  </si>
  <si>
    <t xml:space="preserve">4239</t>
  </si>
  <si>
    <t xml:space="preserve">5414</t>
  </si>
  <si>
    <t xml:space="preserve">5417</t>
  </si>
  <si>
    <t xml:space="preserve">5419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</si>
  <si>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</si>
  <si>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</si>
  <si>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</si>
  <si>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</si>
  <si>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</si>
  <si>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</si>
  <si>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</si>
  <si>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</si>
  <si>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</si>
  <si>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</si>
  <si>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</si>
  <si>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327</t>
  </si>
  <si>
    <t xml:space="preserve">331</t>
  </si>
  <si>
    <t xml:space="preserve">336</t>
  </si>
  <si>
    <t xml:space="preserve">337</t>
  </si>
  <si>
    <t xml:space="preserve">339</t>
  </si>
  <si>
    <t xml:space="preserve">Raw data — BLS Occupational Employment and Wage Statistics (OEWS), May 2025, national industry-specific estimates</t>
  </si>
  <si>
    <t xml:space="preserve">Source S15 · Employment counts by occupation within industry · RSE = relative standard error (%) · suppressed estimates left blank</t>
  </si>
  <si>
    <t xml:space="preserve">BLS industry code</t>
  </si>
  <si>
    <t xml:space="preserve">Segment proxy</t>
  </si>
  <si>
    <t xml:space="preserve">SOC code</t>
  </si>
  <si>
    <t xml:space="preserve">Occupation</t>
  </si>
  <si>
    <t xml:space="preserve">Employment</t>
  </si>
  <si>
    <t xml:space="preserve">Emp. RSE (%)</t>
  </si>
  <si>
    <t xml:space="preserve">000000</t>
  </si>
  <si>
    <t xml:space="preserve">Cross-industry (all)</t>
  </si>
  <si>
    <t xml:space="preserve">AllIndustries</t>
  </si>
  <si>
    <t xml:space="preserve">00-0000</t>
  </si>
  <si>
    <t xml:space="preserve">All occupations</t>
  </si>
  <si>
    <t xml:space="preserve">11-2021</t>
  </si>
  <si>
    <t xml:space="preserve">Marketing managers</t>
  </si>
  <si>
    <t xml:space="preserve">11-2022</t>
  </si>
  <si>
    <t xml:space="preserve">Sales managers</t>
  </si>
  <si>
    <t xml:space="preserve">13-1161</t>
  </si>
  <si>
    <t xml:space="preserve">Market research analysts &amp; marketing specialists</t>
  </si>
  <si>
    <t xml:space="preserve">15-0000</t>
  </si>
  <si>
    <t xml:space="preserve">Computer &amp; mathematical occupations (major group)</t>
  </si>
  <si>
    <t xml:space="preserve">41-0000</t>
  </si>
  <si>
    <t xml:space="preserve">Sales &amp; related occupations (major group)</t>
  </si>
  <si>
    <t xml:space="preserve">41-4011</t>
  </si>
  <si>
    <t xml:space="preserve">Sales reps, wholesale &amp; mfg — technical &amp; scientific products</t>
  </si>
  <si>
    <t xml:space="preserve">41-4012</t>
  </si>
  <si>
    <t xml:space="preserve">Sales reps, wholesale &amp; mfg — except technical &amp; scientific</t>
  </si>
  <si>
    <t xml:space="preserve">43-4051</t>
  </si>
  <si>
    <t xml:space="preserve">Customer service representatives</t>
  </si>
  <si>
    <t xml:space="preserve">4230A1</t>
  </si>
  <si>
    <t xml:space="preserve">Merchant Wholesalers, Durable Goods (4232/3/5/6/7/9 only)</t>
  </si>
  <si>
    <t xml:space="preserve">Distribution</t>
  </si>
  <si>
    <t xml:space="preserve">423800</t>
  </si>
  <si>
    <t xml:space="preserve">326000</t>
  </si>
  <si>
    <t xml:space="preserve">Plastics &amp; Rubber Products Mfg</t>
  </si>
  <si>
    <t xml:space="preserve">Manufacturing</t>
  </si>
  <si>
    <t xml:space="preserve">332000</t>
  </si>
  <si>
    <t xml:space="preserve">Fabricated Metal Product Mfg</t>
  </si>
  <si>
    <t xml:space="preserve">333000</t>
  </si>
  <si>
    <t xml:space="preserve">Machinery Mfg</t>
  </si>
  <si>
    <t xml:space="preserve">335000</t>
  </si>
  <si>
    <t xml:space="preserve">Electrical Equipment, Appliance &amp; Component Mfg</t>
  </si>
  <si>
    <t xml:space="preserve">541000</t>
  </si>
  <si>
    <t xml:space="preserve">Professional, Scientific &amp; Technical Services</t>
  </si>
  <si>
    <t xml:space="preserve">(not used)</t>
  </si>
  <si>
    <t xml:space="preserve">541100</t>
  </si>
  <si>
    <t xml:space="preserve">541200</t>
  </si>
  <si>
    <t xml:space="preserve">541300</t>
  </si>
  <si>
    <t xml:space="preserve">Architectural, Engineering &amp; Related</t>
  </si>
  <si>
    <t xml:space="preserve">ProfServices</t>
  </si>
  <si>
    <t xml:space="preserve">541500</t>
  </si>
  <si>
    <t xml:space="preserve">Computer Systems Design &amp; Related</t>
  </si>
  <si>
    <t xml:space="preserve">541600</t>
  </si>
  <si>
    <t xml:space="preserve">541800</t>
  </si>
  <si>
    <t xml:space="preserve">Advertising, PR &amp; Related</t>
  </si>
  <si>
    <t xml:space="preserve">513200</t>
  </si>
  <si>
    <t xml:space="preserve">Software</t>
  </si>
  <si>
    <t xml:space="preserve">561300</t>
  </si>
  <si>
    <t xml:space="preserve">Employment Services</t>
  </si>
  <si>
    <t xml:space="preserve">Sources used in this workbook</t>
  </si>
  <si>
    <t xml:space="preserve">Full register: Research_Sources.csv. Access date for all: 2026-10-18/19.</t>
  </si>
  <si>
    <t xml:space="preserve">Source</t>
  </si>
  <si>
    <t xml:space="preserve">Publisher</t>
  </si>
  <si>
    <t xml:space="preserve">Reference period</t>
  </si>
  <si>
    <t xml:space="preserve">URL</t>
  </si>
  <si>
    <t xml:space="preserve">Used for</t>
  </si>
  <si>
    <t xml:space="preserve">S01</t>
  </si>
  <si>
    <t xml:space="preserve">Clay pricing page</t>
  </si>
  <si>
    <t xml:space="preserve">Clay Labs Inc.</t>
  </si>
  <si>
    <t xml:space="preserve">Live, Oct 2026</t>
  </si>
  <si>
    <t xml:space="preserve">https://www.clay.com/pricing</t>
  </si>
  <si>
    <t xml:space="preserve">ACV floor (Growth tier list price)</t>
  </si>
  <si>
    <t xml:space="preserve">S02</t>
  </si>
  <si>
    <t xml:space="preserve">Clay second employee tender offer press release</t>
  </si>
  <si>
    <t xml:space="preserve">Business Wire</t>
  </si>
  <si>
    <t xml:space="preserve">Dec 2025–Jan 2026</t>
  </si>
  <si>
    <t xml:space="preserve">https://www.businesswire.com/news/home/20260128514638/en</t>
  </si>
  <si>
    <t xml:space="preserve">Enterprise NRR &gt;200% (penetration rationale)</t>
  </si>
  <si>
    <t xml:space="preserve">S03</t>
  </si>
  <si>
    <t xml:space="preserve">Clay Series D coverage (17,000+ customers)</t>
  </si>
  <si>
    <t xml:space="preserve">Autobound / mrweb (secondary)</t>
  </si>
  <si>
    <t xml:space="preserve">Sep 2026</t>
  </si>
  <si>
    <t xml:space="preserve">https://mrweb.com/drno/news40306.htm</t>
  </si>
  <si>
    <t xml:space="preserve">Sanity check: customer count</t>
  </si>
  <si>
    <t xml:space="preserve">S04</t>
  </si>
  <si>
    <t xml:space="preserve">Clay crosses $150M/year (estimate)</t>
  </si>
  <si>
    <t xml:space="preserve">Sacra</t>
  </si>
  <si>
    <t xml:space="preserve">May 2026</t>
  </si>
  <si>
    <t xml:space="preserve">https://sacra.com/research/clay-crosses-150m-year/</t>
  </si>
  <si>
    <t xml:space="preserve">Superseded ARR estimate [B]</t>
  </si>
  <si>
    <t xml:space="preserve">S23</t>
  </si>
  <si>
    <t xml:space="preserve">Apollo.io at $265M ARR (incl. Clay ~$200M ARR estimate, Sep 2026)</t>
  </si>
  <si>
    <t xml:space="preserve">2026-10-14</t>
  </si>
  <si>
    <t xml:space="preserve">https://sacra.com/research/apollo-at-265m-arr/</t>
  </si>
  <si>
    <t xml:space="preserve">Sanity check: ARR scale [B]</t>
  </si>
  <si>
    <t xml:space="preserve">S14</t>
  </si>
  <si>
    <t xml:space="preserve">2022 Economic Census — Employment Size of Firms (EC2200SIZEEMPFIRM)</t>
  </si>
  <si>
    <t xml:space="preserve">U.S. Census Bureau</t>
  </si>
  <si>
    <t xml:space="preserve">2022</t>
  </si>
  <si>
    <t xml:space="preserve">https://data.census.gov/table/ECNSIZE2022.EC2200SIZEEMPFIRM</t>
  </si>
  <si>
    <t xml:space="preserve">All firm, establishment, employment and receipts counts</t>
  </si>
  <si>
    <t xml:space="preserve">S15</t>
  </si>
  <si>
    <t xml:space="preserve">OEWS May 2025 national industry-specific estimates</t>
  </si>
  <si>
    <t xml:space="preserve">U.S. Bureau of Labor Statistics</t>
  </si>
  <si>
    <t xml:space="preserve">May 2025</t>
  </si>
  <si>
    <t xml:space="preserve">https://data.bls.gov/oes/#/industry/423800/2025</t>
  </si>
  <si>
    <t xml:space="preserve">Sales intensity and builder-capacity proxies</t>
  </si>
  <si>
    <t xml:space="preserve">S16</t>
  </si>
  <si>
    <t xml:space="preserve">Clay pricing benchmarks (Vendr marketplace)</t>
  </si>
  <si>
    <t xml:space="preserve">Vendr</t>
  </si>
  <si>
    <t xml:space="preserve">Updated Feb 2026</t>
  </si>
  <si>
    <t xml:space="preserve">https://www.vendr.com/marketplace/clay</t>
  </si>
  <si>
    <t xml:space="preserve">ACV benchmarks: median $59,996; range $16.5K–$170K; n=96</t>
  </si>
  <si>
    <t xml:space="preserve">S17</t>
  </si>
  <si>
    <t xml:space="preserve">The State of CRM in Distribution (2022)</t>
  </si>
  <si>
    <t xml:space="preserve">Distribution Strategy Group</t>
  </si>
  <si>
    <t xml:space="preserve">https://archive.distributionstrategy.com/wp-content/uploads/2022/10/DSG-The-State-of-CRM-in-Distribution-Making-the-Software-Work-for-You.pdf</t>
  </si>
  <si>
    <t xml:space="preserve">Distributor CRM adoption mix (SAM filter 2)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</si>
</sst>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.0,,\M;&quot;($&quot;#,##0.0,,&quot;M)&quot;;\-"/>
    <numFmt numFmtId="167" formatCode="0.0%;\(0.0%\);\-"/>
    <numFmt numFmtId="168" formatCode="#,##0.0;\(#,##0.0\);\-"/>
    <numFmt numFmtId="169" formatCode="\$#,##0;&quot;($&quot;#,##0\);\-"/>
    <numFmt numFmtId="170" formatCode="0.00\x"/>
    <numFmt numFmtId="171" formatCode="0.000"/>
    <numFmt numFmtId="172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CF3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E8EC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55555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42" hidden="false" customHeight="true" outlineLevel="0" collapsed="false">
      <c r="A12" s="3" t="s">
        <v>18</v>
      </c>
      <c r="B12" s="4" t="s">
        <v>19</v>
      </c>
    </row>
    <row r="13" customFormat="false" ht="42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23.8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</row>
    <row r="5" customFormat="false" ht="15" hidden="false" customHeight="false" outlineLevel="0" collapsed="false">
      <c r="A5" s="6" t="s">
        <v>29</v>
      </c>
      <c r="B5" s="7" t="n">
        <f aca="false">Firm_Counts!D61</f>
        <v>11493.5442871735</v>
      </c>
      <c r="C5" s="7" t="n">
        <f aca="false">Firm_Counts!E61</f>
        <v>23784.5883333251</v>
      </c>
      <c r="D5" s="7" t="n">
        <f aca="false">Firm_Counts!F61</f>
        <v>33035.0140471998</v>
      </c>
      <c r="E5" s="6" t="s">
        <v>30</v>
      </c>
    </row>
    <row r="6" customFormat="false" ht="15" hidden="false" customHeight="false" outlineLevel="0" collapsed="false">
      <c r="A6" s="6" t="s">
        <v>31</v>
      </c>
      <c r="B6" s="7" t="n">
        <f aca="false">Firm_Counts!D58</f>
        <v>9106.20215496278</v>
      </c>
      <c r="C6" s="7" t="n">
        <f aca="false">Firm_Counts!E58</f>
        <v>18442.232067379</v>
      </c>
      <c r="D6" s="7" t="n">
        <f aca="false">Firm_Counts!F58</f>
        <v>26020.5418841412</v>
      </c>
      <c r="E6" s="6" t="s">
        <v>32</v>
      </c>
    </row>
    <row r="7" customFormat="false" ht="15" hidden="false" customHeight="false" outlineLevel="0" collapsed="false">
      <c r="A7" s="6" t="s">
        <v>33</v>
      </c>
      <c r="B7" s="7" t="n">
        <f aca="false">Firm_Counts!D59</f>
        <v>2011.34213221072</v>
      </c>
      <c r="C7" s="7" t="n">
        <f aca="false">Firm_Counts!E59</f>
        <v>4448.98839994123</v>
      </c>
      <c r="D7" s="7" t="n">
        <f aca="false">Firm_Counts!F59</f>
        <v>5775.40452567021</v>
      </c>
      <c r="E7" s="6" t="s">
        <v>32</v>
      </c>
    </row>
    <row r="8" customFormat="false" ht="15" hidden="false" customHeight="false" outlineLevel="0" collapsed="false">
      <c r="A8" s="6" t="s">
        <v>34</v>
      </c>
      <c r="B8" s="7" t="n">
        <f aca="false">Firm_Counts!D60</f>
        <v>376</v>
      </c>
      <c r="C8" s="7" t="n">
        <f aca="false">Firm_Counts!E60</f>
        <v>893.367866004963</v>
      </c>
      <c r="D8" s="7" t="n">
        <f aca="false">Firm_Counts!F60</f>
        <v>1239.06763738845</v>
      </c>
      <c r="E8" s="6" t="s">
        <v>32</v>
      </c>
    </row>
    <row r="9" customFormat="false" ht="15" hidden="false" customHeight="false" outlineLevel="0" collapsed="false">
      <c r="A9" s="8" t="s">
        <v>35</v>
      </c>
      <c r="B9" s="9" t="n">
        <f aca="false">TAM_SAM_SOM!E9</f>
        <v>131083358.806435</v>
      </c>
      <c r="C9" s="9" t="n">
        <f aca="false">TAM_SAM_SOM!E13</f>
        <v>280898580.464465</v>
      </c>
      <c r="D9" s="9" t="n">
        <f aca="false">TAM_SAM_SOM!E17</f>
        <v>385006212.887769</v>
      </c>
      <c r="E9" s="6" t="s">
        <v>36</v>
      </c>
    </row>
    <row r="10" customFormat="false" ht="15" hidden="false" customHeight="false" outlineLevel="0" collapsed="false">
      <c r="A10" s="8" t="s">
        <v>37</v>
      </c>
      <c r="B10" s="9" t="n">
        <f aca="false">TAM_SAM_SOM!I9</f>
        <v>68163346.5793463</v>
      </c>
      <c r="C10" s="9" t="n">
        <f aca="false">TAM_SAM_SOM!I13</f>
        <v>75842616.7254054</v>
      </c>
      <c r="D10" s="9" t="n">
        <f aca="false">TAM_SAM_SOM!I17</f>
        <v>148227391.961791</v>
      </c>
      <c r="E10" s="6" t="s">
        <v>36</v>
      </c>
    </row>
    <row r="11" customFormat="false" ht="15" hidden="false" customHeight="false" outlineLevel="0" collapsed="false">
      <c r="A11" s="8" t="s">
        <v>38</v>
      </c>
      <c r="B11" s="9" t="n">
        <f aca="false">TAM_SAM_SOM!L9</f>
        <v>1864123.57131507</v>
      </c>
      <c r="C11" s="9" t="n">
        <f aca="false">TAM_SAM_SOM!L13</f>
        <v>2149272.48559394</v>
      </c>
      <c r="D11" s="9" t="n">
        <f aca="false">TAM_SAM_SOM!L17</f>
        <v>4178480.91120707</v>
      </c>
      <c r="E11" s="6" t="s">
        <v>39</v>
      </c>
    </row>
    <row r="12" customFormat="false" ht="15" hidden="false" customHeight="false" outlineLevel="0" collapsed="false">
      <c r="A12" s="6" t="s">
        <v>40</v>
      </c>
      <c r="B12" s="10" t="n">
        <f aca="false">TAM_SAM_SOM!L26</f>
        <v>240197.342629846</v>
      </c>
      <c r="C12" s="10" t="n">
        <f aca="false">TAM_SAM_SOM!L30</f>
        <v>211060.816792063</v>
      </c>
      <c r="D12" s="10" t="n">
        <f aca="false">TAM_SAM_SOM!L34</f>
        <v>469215.741793284</v>
      </c>
      <c r="E12" s="6" t="s">
        <v>41</v>
      </c>
    </row>
    <row r="13" customFormat="false" ht="15" hidden="false" customHeight="false" outlineLevel="0" collapsed="false">
      <c r="A13" s="6" t="s">
        <v>42</v>
      </c>
      <c r="B13" s="10" t="n">
        <f aca="false">TAM_SAM_SOM!L43</f>
        <v>8834852.65734551</v>
      </c>
      <c r="C13" s="10" t="n">
        <f aca="false">TAM_SAM_SOM!L47</f>
        <v>12980959.404572</v>
      </c>
      <c r="D13" s="10" t="n">
        <f aca="false">TAM_SAM_SOM!L51</f>
        <v>23406299.5435522</v>
      </c>
      <c r="E13" s="6" t="s">
        <v>41</v>
      </c>
    </row>
    <row r="14" customFormat="false" ht="15" hidden="false" customHeight="false" outlineLevel="0" collapsed="false">
      <c r="A14" s="6" t="s">
        <v>43</v>
      </c>
      <c r="B14" s="7" t="n">
        <f aca="false">TAM_SAM_SOM!K9</f>
        <v>114.136514071197</v>
      </c>
      <c r="C14" s="7" t="n">
        <f aca="false">TAM_SAM_SOM!K13</f>
        <v>125.200405341689</v>
      </c>
      <c r="D14" s="7" t="n">
        <f aca="false">TAM_SAM_SOM!K17</f>
        <v>245.597014076079</v>
      </c>
      <c r="E14" s="6" t="s">
        <v>44</v>
      </c>
    </row>
    <row r="15" customFormat="false" ht="15" hidden="false" customHeight="false" outlineLevel="0" collapsed="false">
      <c r="A15" s="6" t="s">
        <v>45</v>
      </c>
      <c r="B15" s="11" t="n">
        <f aca="false">B10/B9</f>
        <v>0.52</v>
      </c>
      <c r="C15" s="11" t="n">
        <f aca="false">C10/C9</f>
        <v>0.27</v>
      </c>
      <c r="D15" s="11" t="n">
        <f aca="false">D10/D9</f>
        <v>0.385</v>
      </c>
      <c r="E15" s="6" t="s">
        <v>46</v>
      </c>
    </row>
    <row r="17" customFormat="false" ht="15" hidden="false" customHeight="false" outlineLevel="0" collapsed="false">
      <c r="A17" s="3" t="s">
        <v>47</v>
      </c>
    </row>
    <row r="18" customFormat="false" ht="15" hidden="false" customHeight="false" outlineLevel="0" collapsed="false">
      <c r="A18" s="6" t="s">
        <v>48</v>
      </c>
      <c r="B18" s="11" t="n">
        <f aca="false">Segment_Profile!B13</f>
        <v>0.219591302897571</v>
      </c>
      <c r="C18" s="11" t="n">
        <f aca="false">Segment_Profile!C13</f>
        <v>0.0273891372544733</v>
      </c>
      <c r="D18" s="11" t="n">
        <f aca="false">Segment_Profile!D13</f>
        <v>0.0617163123613638</v>
      </c>
      <c r="E18" s="6" t="s">
        <v>49</v>
      </c>
    </row>
    <row r="19" customFormat="false" ht="15" hidden="false" customHeight="false" outlineLevel="0" collapsed="false">
      <c r="A19" s="6" t="s">
        <v>50</v>
      </c>
      <c r="B19" s="11" t="n">
        <f aca="false">Segment_Profile!B18</f>
        <v>0.0232701034909544</v>
      </c>
      <c r="C19" s="11" t="n">
        <f aca="false">Segment_Profile!C18</f>
        <v>0.0153710363221004</v>
      </c>
      <c r="D19" s="11" t="n">
        <f aca="false">Segment_Profile!D18</f>
        <v>0.241907327354783</v>
      </c>
      <c r="E19" s="6" t="s">
        <v>49</v>
      </c>
    </row>
    <row r="20" customFormat="false" ht="15" hidden="false" customHeight="false" outlineLevel="0" collapsed="false">
      <c r="A20" s="6" t="s">
        <v>51</v>
      </c>
      <c r="B20" s="12" t="n">
        <f aca="false">Segment_Profile!B19</f>
        <v>27.7000872013379</v>
      </c>
      <c r="C20" s="12" t="n">
        <f aca="false">Segment_Profile!C19</f>
        <v>3.64949927543031</v>
      </c>
      <c r="D20" s="12" t="n">
        <f aca="false">Segment_Profile!D19</f>
        <v>9.3223335564577</v>
      </c>
      <c r="E20" s="6" t="s">
        <v>52</v>
      </c>
    </row>
    <row r="22" customFormat="false" ht="15" hidden="false" customHeight="false" outlineLevel="0" collapsed="false">
      <c r="A22" s="3" t="s">
        <v>53</v>
      </c>
    </row>
    <row r="23" customFormat="false" ht="15" hidden="false" customHeight="false" outlineLevel="0" collapsed="false">
      <c r="A23" s="6" t="s">
        <v>54</v>
      </c>
      <c r="B23" s="13" t="n">
        <v>17000</v>
      </c>
      <c r="E23" s="6" t="s">
        <v>55</v>
      </c>
    </row>
    <row r="24" customFormat="false" ht="15" hidden="false" customHeight="false" outlineLevel="0" collapsed="false">
      <c r="A24" s="6" t="s">
        <v>56</v>
      </c>
      <c r="B24" s="14" t="n">
        <f aca="false">B14/$B$23</f>
        <v>0.00671391259242335</v>
      </c>
      <c r="C24" s="14" t="n">
        <f aca="false">C14/$B$23</f>
        <v>0.00736472972598171</v>
      </c>
      <c r="D24" s="14" t="n">
        <f aca="false">D14/$B$23</f>
        <v>0.0144468831809458</v>
      </c>
      <c r="E24" s="6" t="s">
        <v>57</v>
      </c>
    </row>
    <row r="25" customFormat="false" ht="15" hidden="false" customHeight="false" outlineLevel="0" collapsed="false">
      <c r="A25" s="6" t="s">
        <v>58</v>
      </c>
      <c r="B25" s="15" t="n">
        <v>200000000</v>
      </c>
      <c r="E25" s="6" t="s">
        <v>59</v>
      </c>
    </row>
    <row r="26" customFormat="false" ht="15" hidden="false" customHeight="false" outlineLevel="0" collapsed="false">
      <c r="A26" s="6" t="s">
        <v>60</v>
      </c>
      <c r="B26" s="14" t="n">
        <f aca="false">B11/$B$25</f>
        <v>0.00932061785657534</v>
      </c>
      <c r="C26" s="14" t="n">
        <f aca="false">C11/$B$25</f>
        <v>0.0107463624279697</v>
      </c>
      <c r="D26" s="14" t="n">
        <f aca="false">D11/$B$25</f>
        <v>0.0208924045560353</v>
      </c>
      <c r="E26" s="6" t="s">
        <v>61</v>
      </c>
    </row>
    <row r="28" customFormat="false" ht="15" hidden="false" customHeight="false" outlineLevel="0" collapsed="false">
      <c r="A28" s="3" t="s">
        <v>62</v>
      </c>
    </row>
    <row r="29" customFormat="false" ht="31.5" hidden="false" customHeight="true" outlineLevel="0" collapsed="false">
      <c r="A29" s="4" t="s">
        <v>63</v>
      </c>
      <c r="B29" s="4"/>
      <c r="C29" s="4"/>
      <c r="D29" s="4"/>
      <c r="E29" s="4"/>
    </row>
    <row r="30" customFormat="false" ht="31.5" hidden="false" customHeight="true" outlineLevel="0" collapsed="false">
      <c r="A30" s="4" t="s">
        <v>64</v>
      </c>
      <c r="B30" s="4"/>
      <c r="C30" s="4"/>
      <c r="D30" s="4"/>
      <c r="E30" s="4"/>
    </row>
    <row r="31" customFormat="false" ht="31.5" hidden="false" customHeight="true" outlineLevel="0" collapsed="false">
      <c r="A31" s="4" t="s">
        <v>65</v>
      </c>
      <c r="B31" s="4"/>
      <c r="C31" s="4"/>
      <c r="D31" s="4"/>
      <c r="E31" s="4"/>
    </row>
    <row r="32" customFormat="false" ht="31.5" hidden="false" customHeight="true" outlineLevel="0" collapsed="false">
      <c r="A32" s="4" t="s">
        <v>66</v>
      </c>
      <c r="B32" s="4"/>
      <c r="C32" s="4"/>
      <c r="D32" s="4"/>
      <c r="E32" s="4"/>
    </row>
    <row r="33" customFormat="false" ht="31.5" hidden="false" customHeight="true" outlineLevel="0" collapsed="false">
      <c r="A33" s="4" t="s">
        <v>67</v>
      </c>
      <c r="B33" s="4"/>
      <c r="C33" s="4"/>
      <c r="D33" s="4"/>
      <c r="E33" s="4"/>
    </row>
  </sheetData>
  <mergeCells count="5"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6" min="4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10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5" t="s">
        <v>70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</row>
    <row r="5" customFormat="false" ht="43.5" hidden="false" customHeight="true" outlineLevel="0" collapsed="false">
      <c r="A5" s="6" t="s">
        <v>79</v>
      </c>
      <c r="B5" s="4" t="s">
        <v>80</v>
      </c>
      <c r="C5" s="4" t="s">
        <v>81</v>
      </c>
      <c r="D5" s="16" t="n">
        <v>5352</v>
      </c>
      <c r="E5" s="16" t="n">
        <v>7500</v>
      </c>
      <c r="F5" s="16" t="n">
        <v>12000</v>
      </c>
      <c r="G5" s="6" t="s">
        <v>82</v>
      </c>
      <c r="H5" s="6" t="s">
        <v>83</v>
      </c>
      <c r="I5" s="4" t="s">
        <v>84</v>
      </c>
    </row>
    <row r="6" customFormat="false" ht="43.5" hidden="false" customHeight="true" outlineLevel="0" collapsed="false">
      <c r="A6" s="6" t="s">
        <v>85</v>
      </c>
      <c r="B6" s="4" t="s">
        <v>80</v>
      </c>
      <c r="C6" s="4" t="s">
        <v>86</v>
      </c>
      <c r="D6" s="16" t="n">
        <v>12000</v>
      </c>
      <c r="E6" s="16" t="n">
        <v>20000</v>
      </c>
      <c r="F6" s="16" t="n">
        <v>35000</v>
      </c>
      <c r="G6" s="6" t="s">
        <v>82</v>
      </c>
      <c r="H6" s="6" t="s">
        <v>83</v>
      </c>
      <c r="I6" s="4" t="s">
        <v>87</v>
      </c>
    </row>
    <row r="7" customFormat="false" ht="43.5" hidden="false" customHeight="true" outlineLevel="0" collapsed="false">
      <c r="A7" s="6" t="s">
        <v>88</v>
      </c>
      <c r="B7" s="4" t="s">
        <v>80</v>
      </c>
      <c r="C7" s="4" t="s">
        <v>89</v>
      </c>
      <c r="D7" s="16" t="n">
        <v>30000</v>
      </c>
      <c r="E7" s="16" t="n">
        <v>60000</v>
      </c>
      <c r="F7" s="16" t="n">
        <v>120000</v>
      </c>
      <c r="G7" s="6" t="s">
        <v>82</v>
      </c>
      <c r="H7" s="6" t="s">
        <v>83</v>
      </c>
      <c r="I7" s="4" t="s">
        <v>90</v>
      </c>
    </row>
    <row r="8" customFormat="false" ht="43.5" hidden="false" customHeight="true" outlineLevel="0" collapsed="false">
      <c r="A8" s="6" t="s">
        <v>91</v>
      </c>
      <c r="B8" s="4" t="s">
        <v>92</v>
      </c>
      <c r="C8" s="4" t="s">
        <v>25</v>
      </c>
      <c r="D8" s="17" t="n">
        <v>0.65</v>
      </c>
      <c r="E8" s="17" t="n">
        <v>0.8</v>
      </c>
      <c r="F8" s="17" t="n">
        <v>0.9</v>
      </c>
      <c r="G8" s="6" t="s">
        <v>93</v>
      </c>
      <c r="H8" s="6" t="s">
        <v>94</v>
      </c>
      <c r="I8" s="4" t="s">
        <v>95</v>
      </c>
    </row>
    <row r="9" customFormat="false" ht="43.5" hidden="false" customHeight="true" outlineLevel="0" collapsed="false">
      <c r="A9" s="6" t="s">
        <v>96</v>
      </c>
      <c r="B9" s="4" t="s">
        <v>92</v>
      </c>
      <c r="C9" s="4" t="s">
        <v>26</v>
      </c>
      <c r="D9" s="17" t="n">
        <v>0.3</v>
      </c>
      <c r="E9" s="17" t="n">
        <v>0.45</v>
      </c>
      <c r="F9" s="17" t="n">
        <v>0.6</v>
      </c>
      <c r="G9" s="6" t="s">
        <v>93</v>
      </c>
      <c r="H9" s="6" t="s">
        <v>94</v>
      </c>
      <c r="I9" s="4" t="s">
        <v>97</v>
      </c>
    </row>
    <row r="10" customFormat="false" ht="43.5" hidden="false" customHeight="true" outlineLevel="0" collapsed="false">
      <c r="A10" s="6" t="s">
        <v>98</v>
      </c>
      <c r="B10" s="4" t="s">
        <v>92</v>
      </c>
      <c r="C10" s="4" t="s">
        <v>27</v>
      </c>
      <c r="D10" s="17" t="n">
        <v>0.4</v>
      </c>
      <c r="E10" s="17" t="n">
        <v>0.55</v>
      </c>
      <c r="F10" s="17" t="n">
        <v>0.7</v>
      </c>
      <c r="G10" s="6" t="s">
        <v>93</v>
      </c>
      <c r="H10" s="6" t="s">
        <v>94</v>
      </c>
      <c r="I10" s="4" t="s">
        <v>99</v>
      </c>
    </row>
    <row r="11" customFormat="false" ht="43.5" hidden="false" customHeight="true" outlineLevel="0" collapsed="false">
      <c r="A11" s="6" t="s">
        <v>100</v>
      </c>
      <c r="B11" s="4" t="s">
        <v>101</v>
      </c>
      <c r="C11" s="4" t="s">
        <v>25</v>
      </c>
      <c r="D11" s="17" t="n">
        <v>0.52</v>
      </c>
      <c r="E11" s="17" t="n">
        <v>0.65</v>
      </c>
      <c r="F11" s="17" t="n">
        <v>0.76</v>
      </c>
      <c r="G11" s="6" t="s">
        <v>93</v>
      </c>
      <c r="H11" s="6" t="s">
        <v>83</v>
      </c>
      <c r="I11" s="4" t="s">
        <v>102</v>
      </c>
    </row>
    <row r="12" customFormat="false" ht="43.5" hidden="false" customHeight="true" outlineLevel="0" collapsed="false">
      <c r="A12" s="6" t="s">
        <v>103</v>
      </c>
      <c r="B12" s="4" t="s">
        <v>101</v>
      </c>
      <c r="C12" s="4" t="s">
        <v>26</v>
      </c>
      <c r="D12" s="17" t="n">
        <v>0.45</v>
      </c>
      <c r="E12" s="17" t="n">
        <v>0.6</v>
      </c>
      <c r="F12" s="17" t="n">
        <v>0.75</v>
      </c>
      <c r="G12" s="6" t="s">
        <v>93</v>
      </c>
      <c r="H12" s="6" t="s">
        <v>94</v>
      </c>
      <c r="I12" s="4" t="s">
        <v>104</v>
      </c>
    </row>
    <row r="13" customFormat="false" ht="43.5" hidden="false" customHeight="true" outlineLevel="0" collapsed="false">
      <c r="A13" s="6" t="s">
        <v>105</v>
      </c>
      <c r="B13" s="4" t="s">
        <v>101</v>
      </c>
      <c r="C13" s="4" t="s">
        <v>27</v>
      </c>
      <c r="D13" s="17" t="n">
        <v>0.55</v>
      </c>
      <c r="E13" s="17" t="n">
        <v>0.7</v>
      </c>
      <c r="F13" s="17" t="n">
        <v>0.85</v>
      </c>
      <c r="G13" s="6" t="s">
        <v>93</v>
      </c>
      <c r="H13" s="6" t="s">
        <v>94</v>
      </c>
      <c r="I13" s="4" t="s">
        <v>106</v>
      </c>
    </row>
    <row r="14" customFormat="false" ht="43.5" hidden="false" customHeight="true" outlineLevel="0" collapsed="false">
      <c r="A14" s="6" t="s">
        <v>107</v>
      </c>
      <c r="B14" s="4" t="s">
        <v>108</v>
      </c>
      <c r="C14" s="4" t="s">
        <v>81</v>
      </c>
      <c r="D14" s="17" t="n">
        <v>0.005</v>
      </c>
      <c r="E14" s="17" t="n">
        <v>0.015</v>
      </c>
      <c r="F14" s="17" t="n">
        <v>0.03</v>
      </c>
      <c r="G14" s="6" t="s">
        <v>109</v>
      </c>
      <c r="H14" s="6" t="s">
        <v>94</v>
      </c>
      <c r="I14" s="4" t="s">
        <v>110</v>
      </c>
    </row>
    <row r="15" customFormat="false" ht="43.5" hidden="false" customHeight="true" outlineLevel="0" collapsed="false">
      <c r="A15" s="6" t="s">
        <v>111</v>
      </c>
      <c r="B15" s="4" t="s">
        <v>108</v>
      </c>
      <c r="C15" s="4" t="s">
        <v>86</v>
      </c>
      <c r="D15" s="17" t="n">
        <v>0.01</v>
      </c>
      <c r="E15" s="17" t="n">
        <v>0.03</v>
      </c>
      <c r="F15" s="17" t="n">
        <v>0.06</v>
      </c>
      <c r="G15" s="6" t="s">
        <v>109</v>
      </c>
      <c r="H15" s="6" t="s">
        <v>94</v>
      </c>
      <c r="I15" s="4" t="s">
        <v>112</v>
      </c>
    </row>
    <row r="16" customFormat="false" ht="43.5" hidden="false" customHeight="true" outlineLevel="0" collapsed="false">
      <c r="A16" s="6" t="s">
        <v>113</v>
      </c>
      <c r="B16" s="4" t="s">
        <v>108</v>
      </c>
      <c r="C16" s="4" t="s">
        <v>89</v>
      </c>
      <c r="D16" s="17" t="n">
        <v>0.02</v>
      </c>
      <c r="E16" s="17" t="n">
        <v>0.06</v>
      </c>
      <c r="F16" s="17" t="n">
        <v>0.12</v>
      </c>
      <c r="G16" s="6" t="s">
        <v>109</v>
      </c>
      <c r="H16" s="6" t="s">
        <v>94</v>
      </c>
      <c r="I16" s="4" t="s">
        <v>114</v>
      </c>
    </row>
    <row r="18" customFormat="false" ht="31.5" hidden="false" customHeight="true" outlineLevel="0" collapsed="false">
      <c r="A18" s="18" t="s">
        <v>115</v>
      </c>
      <c r="B18" s="18"/>
      <c r="C18" s="18"/>
      <c r="D18" s="18"/>
      <c r="E18" s="18"/>
      <c r="F18" s="18"/>
      <c r="G18" s="18"/>
      <c r="H18" s="18"/>
      <c r="I18" s="18"/>
    </row>
  </sheetData>
  <mergeCells count="1"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8" min="4" style="0" width="1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23.85" hidden="false" customHeight="false" outlineLevel="0" collapsed="false">
      <c r="A4" s="5" t="s">
        <v>118</v>
      </c>
      <c r="B4" s="5" t="s">
        <v>119</v>
      </c>
      <c r="C4" s="5" t="s">
        <v>120</v>
      </c>
      <c r="D4" s="5" t="s">
        <v>121</v>
      </c>
      <c r="E4" s="5" t="s">
        <v>122</v>
      </c>
      <c r="F4" s="5" t="s">
        <v>123</v>
      </c>
      <c r="G4" s="5" t="s">
        <v>124</v>
      </c>
      <c r="H4" s="5" t="s">
        <v>125</v>
      </c>
      <c r="I4" s="5" t="s">
        <v>126</v>
      </c>
      <c r="J4" s="5" t="s">
        <v>127</v>
      </c>
      <c r="K4" s="5" t="s">
        <v>128</v>
      </c>
      <c r="L4" s="5" t="s">
        <v>129</v>
      </c>
      <c r="M4" s="5" t="s">
        <v>130</v>
      </c>
    </row>
    <row r="5" customFormat="false" ht="15" hidden="false" customHeight="false" outlineLevel="0" collapsed="false">
      <c r="A5" s="6" t="s">
        <v>25</v>
      </c>
      <c r="B5" s="19" t="s">
        <v>131</v>
      </c>
      <c r="C5" s="6" t="s">
        <v>132</v>
      </c>
      <c r="D5" s="7" t="n">
        <f aca="false">SUMIFS(Raw_Census!$D$5:$D$379,Raw_Census!$A$5:$A$379,$B5&amp;"|"&amp;D$4)</f>
        <v>771</v>
      </c>
      <c r="E5" s="20" t="n">
        <f aca="false">E28</f>
        <v>262.657867789282</v>
      </c>
      <c r="F5" s="20" t="n">
        <f aca="false">F28</f>
        <v>161.323813858232</v>
      </c>
      <c r="G5" s="20" t="n">
        <f aca="false">G28</f>
        <v>51.0183183524861</v>
      </c>
      <c r="H5" s="7" t="n">
        <f aca="false">SUMIFS(Raw_Census!$D$5:$D$379,Raw_Census!$A$5:$A$379,$B5&amp;"|"&amp;H$4)</f>
        <v>22</v>
      </c>
      <c r="I5" s="21" t="n">
        <f aca="false">SUM(D5:H5)</f>
        <v>1268</v>
      </c>
      <c r="J5" s="7" t="n">
        <f aca="false">SUMIFS(Raw_Census!$D$5:$D$379,Raw_Census!$A$5:$A$379,$B5&amp;"|0-4")+SUMIFS(Raw_Census!$D$5:$D$379,Raw_Census!$A$5:$A$379,$B5&amp;"|5-9")+SUMIFS(Raw_Census!$D$5:$D$379,Raw_Census!$A$5:$A$379,$B5&amp;"|10-19")</f>
        <v>4559</v>
      </c>
      <c r="K5" s="7" t="n">
        <f aca="false">SUMIFS(Raw_Census!$D$5:$D$379,Raw_Census!$A$5:$A$379,$B5&amp;"|FY")</f>
        <v>5827</v>
      </c>
      <c r="L5" s="7" t="n">
        <f aca="false">SUMIFS(Raw_Census!$F$5:$F$379,Raw_Census!$A$5:$A$379,$B5&amp;"|FY")</f>
        <v>8293</v>
      </c>
      <c r="M5" s="22" t="n">
        <f aca="false">IFERROR(L5/K5,0)</f>
        <v>1.42320233396259</v>
      </c>
    </row>
    <row r="6" customFormat="false" ht="15" hidden="false" customHeight="false" outlineLevel="0" collapsed="false">
      <c r="A6" s="6" t="s">
        <v>25</v>
      </c>
      <c r="B6" s="19" t="s">
        <v>133</v>
      </c>
      <c r="C6" s="6" t="s">
        <v>134</v>
      </c>
      <c r="D6" s="7" t="n">
        <f aca="false">SUMIFS(Raw_Census!$D$5:$D$379,Raw_Census!$A$5:$A$379,$B6&amp;"|"&amp;D$4)</f>
        <v>1408</v>
      </c>
      <c r="E6" s="7" t="n">
        <f aca="false">SUMIFS(Raw_Census!$D$5:$D$379,Raw_Census!$A$5:$A$379,$B6&amp;"|"&amp;E$4)</f>
        <v>570</v>
      </c>
      <c r="F6" s="7" t="n">
        <f aca="false">SUMIFS(Raw_Census!$D$5:$D$379,Raw_Census!$A$5:$A$379,$B6&amp;"|"&amp;F$4)</f>
        <v>350</v>
      </c>
      <c r="G6" s="7" t="n">
        <f aca="false">SUMIFS(Raw_Census!$D$5:$D$379,Raw_Census!$A$5:$A$379,$B6&amp;"|"&amp;G$4)</f>
        <v>136</v>
      </c>
      <c r="H6" s="7" t="n">
        <f aca="false">SUMIFS(Raw_Census!$D$5:$D$379,Raw_Census!$A$5:$A$379,$B6&amp;"|"&amp;H$4)</f>
        <v>114</v>
      </c>
      <c r="I6" s="21" t="n">
        <f aca="false">SUM(D6:H6)</f>
        <v>2578</v>
      </c>
      <c r="J6" s="7" t="n">
        <f aca="false">SUMIFS(Raw_Census!$D$5:$D$379,Raw_Census!$A$5:$A$379,$B6&amp;"|0-4")+SUMIFS(Raw_Census!$D$5:$D$379,Raw_Census!$A$5:$A$379,$B6&amp;"|5-9")+SUMIFS(Raw_Census!$D$5:$D$379,Raw_Census!$A$5:$A$379,$B6&amp;"|10-19")</f>
        <v>11708</v>
      </c>
      <c r="K6" s="7" t="n">
        <f aca="false">SUMIFS(Raw_Census!$D$5:$D$379,Raw_Census!$A$5:$A$379,$B6&amp;"|FY")</f>
        <v>14286</v>
      </c>
      <c r="L6" s="7" t="n">
        <f aca="false">SUMIFS(Raw_Census!$F$5:$F$379,Raw_Census!$A$5:$A$379,$B6&amp;"|FY")</f>
        <v>23428</v>
      </c>
      <c r="M6" s="22" t="n">
        <f aca="false">IFERROR(L6/K6,0)</f>
        <v>1.63992720145597</v>
      </c>
    </row>
    <row r="7" customFormat="false" ht="15" hidden="false" customHeight="false" outlineLevel="0" collapsed="false">
      <c r="A7" s="6" t="s">
        <v>25</v>
      </c>
      <c r="B7" s="19" t="s">
        <v>135</v>
      </c>
      <c r="C7" s="6" t="s">
        <v>136</v>
      </c>
      <c r="D7" s="7" t="n">
        <f aca="false">SUMIFS(Raw_Census!$D$5:$D$379,Raw_Census!$A$5:$A$379,$B7&amp;"|"&amp;D$4)</f>
        <v>1013</v>
      </c>
      <c r="E7" s="7" t="n">
        <f aca="false">SUMIFS(Raw_Census!$D$5:$D$379,Raw_Census!$A$5:$A$379,$B7&amp;"|"&amp;E$4)</f>
        <v>424</v>
      </c>
      <c r="F7" s="7" t="n">
        <f aca="false">SUMIFS(Raw_Census!$D$5:$D$379,Raw_Census!$A$5:$A$379,$B7&amp;"|"&amp;F$4)</f>
        <v>242</v>
      </c>
      <c r="G7" s="7" t="n">
        <f aca="false">SUMIFS(Raw_Census!$D$5:$D$379,Raw_Census!$A$5:$A$379,$B7&amp;"|"&amp;G$4)</f>
        <v>85</v>
      </c>
      <c r="H7" s="7" t="n">
        <f aca="false">SUMIFS(Raw_Census!$D$5:$D$379,Raw_Census!$A$5:$A$379,$B7&amp;"|"&amp;H$4)</f>
        <v>57</v>
      </c>
      <c r="I7" s="21" t="n">
        <f aca="false">SUM(D7:H7)</f>
        <v>1821</v>
      </c>
      <c r="J7" s="7" t="n">
        <f aca="false">SUMIFS(Raw_Census!$D$5:$D$379,Raw_Census!$A$5:$A$379,$B7&amp;"|0-4")+SUMIFS(Raw_Census!$D$5:$D$379,Raw_Census!$A$5:$A$379,$B7&amp;"|5-9")+SUMIFS(Raw_Census!$D$5:$D$379,Raw_Census!$A$5:$A$379,$B7&amp;"|10-19")</f>
        <v>6792</v>
      </c>
      <c r="K7" s="7" t="n">
        <f aca="false">SUMIFS(Raw_Census!$D$5:$D$379,Raw_Census!$A$5:$A$379,$B7&amp;"|FY")</f>
        <v>8613</v>
      </c>
      <c r="L7" s="7" t="n">
        <f aca="false">SUMIFS(Raw_Census!$F$5:$F$379,Raw_Census!$A$5:$A$379,$B7&amp;"|FY")</f>
        <v>19057</v>
      </c>
      <c r="M7" s="22" t="n">
        <f aca="false">IFERROR(L7/K7,0)</f>
        <v>2.21258562637873</v>
      </c>
    </row>
    <row r="8" customFormat="false" ht="15" hidden="false" customHeight="false" outlineLevel="0" collapsed="false">
      <c r="A8" s="6" t="s">
        <v>25</v>
      </c>
      <c r="B8" s="19" t="s">
        <v>137</v>
      </c>
      <c r="C8" s="6" t="s">
        <v>138</v>
      </c>
      <c r="D8" s="7" t="n">
        <f aca="false">SUMIFS(Raw_Census!$D$5:$D$379,Raw_Census!$A$5:$A$379,$B8&amp;"|"&amp;D$4)</f>
        <v>3622</v>
      </c>
      <c r="E8" s="7" t="n">
        <f aca="false">SUMIFS(Raw_Census!$D$5:$D$379,Raw_Census!$A$5:$A$379,$B8&amp;"|"&amp;E$4)</f>
        <v>1218</v>
      </c>
      <c r="F8" s="7" t="n">
        <f aca="false">SUMIFS(Raw_Census!$D$5:$D$379,Raw_Census!$A$5:$A$379,$B8&amp;"|"&amp;F$4)</f>
        <v>746</v>
      </c>
      <c r="G8" s="7" t="n">
        <f aca="false">SUMIFS(Raw_Census!$D$5:$D$379,Raw_Census!$A$5:$A$379,$B8&amp;"|"&amp;G$4)</f>
        <v>240</v>
      </c>
      <c r="H8" s="7" t="n">
        <f aca="false">SUMIFS(Raw_Census!$D$5:$D$379,Raw_Census!$A$5:$A$379,$B8&amp;"|"&amp;H$4)</f>
        <v>183</v>
      </c>
      <c r="I8" s="21" t="n">
        <f aca="false">SUM(D8:H8)</f>
        <v>6009</v>
      </c>
      <c r="J8" s="7" t="n">
        <f aca="false">SUMIFS(Raw_Census!$D$5:$D$379,Raw_Census!$A$5:$A$379,$B8&amp;"|0-4")+SUMIFS(Raw_Census!$D$5:$D$379,Raw_Census!$A$5:$A$379,$B8&amp;"|5-9")+SUMIFS(Raw_Census!$D$5:$D$379,Raw_Census!$A$5:$A$379,$B8&amp;"|10-19")</f>
        <v>27128</v>
      </c>
      <c r="K8" s="7" t="n">
        <f aca="false">SUMIFS(Raw_Census!$D$5:$D$379,Raw_Census!$A$5:$A$379,$B8&amp;"|FY")</f>
        <v>33137</v>
      </c>
      <c r="L8" s="7" t="n">
        <f aca="false">SUMIFS(Raw_Census!$F$5:$F$379,Raw_Census!$A$5:$A$379,$B8&amp;"|FY")</f>
        <v>52144</v>
      </c>
      <c r="M8" s="22" t="n">
        <f aca="false">IFERROR(L8/K8,0)</f>
        <v>1.57358843588738</v>
      </c>
    </row>
    <row r="9" customFormat="false" ht="15" hidden="false" customHeight="false" outlineLevel="0" collapsed="false">
      <c r="A9" s="3" t="s">
        <v>139</v>
      </c>
      <c r="B9" s="23"/>
      <c r="C9" s="23"/>
      <c r="D9" s="24" t="n">
        <f aca="false">SUM(D5:D8)</f>
        <v>6814</v>
      </c>
      <c r="E9" s="24" t="n">
        <f aca="false">SUM(E5:E8)</f>
        <v>2474.65786778928</v>
      </c>
      <c r="F9" s="24" t="n">
        <f aca="false">SUM(F5:F8)</f>
        <v>1499.32381385823</v>
      </c>
      <c r="G9" s="24" t="n">
        <f aca="false">SUM(G5:G8)</f>
        <v>512.018318352486</v>
      </c>
      <c r="H9" s="24" t="n">
        <f aca="false">SUM(H5:H8)</f>
        <v>376</v>
      </c>
      <c r="I9" s="24" t="n">
        <f aca="false">SUM(I5:I8)</f>
        <v>11676</v>
      </c>
      <c r="J9" s="24" t="n">
        <f aca="false">SUM(J5:J8)</f>
        <v>50187</v>
      </c>
      <c r="K9" s="24" t="n">
        <f aca="false">SUM(K5:K8)</f>
        <v>61863</v>
      </c>
      <c r="L9" s="24" t="n">
        <f aca="false">SUM(L5:L8)</f>
        <v>102922</v>
      </c>
      <c r="M9" s="25" t="n">
        <f aca="false">IFERROR(L9/K9,0)</f>
        <v>1.66370851720738</v>
      </c>
    </row>
    <row r="11" customFormat="false" ht="15" hidden="false" customHeight="false" outlineLevel="0" collapsed="false">
      <c r="A11" s="6" t="s">
        <v>26</v>
      </c>
      <c r="B11" s="19" t="s">
        <v>140</v>
      </c>
      <c r="C11" s="6" t="s">
        <v>141</v>
      </c>
      <c r="D11" s="7" t="n">
        <f aca="false">SUMIFS(Raw_Census!$D$5:$D$379,Raw_Census!$A$5:$A$379,$B11&amp;"|"&amp;D$4)</f>
        <v>1505</v>
      </c>
      <c r="E11" s="7" t="n">
        <f aca="false">SUMIFS(Raw_Census!$D$5:$D$379,Raw_Census!$A$5:$A$379,$B11&amp;"|"&amp;E$4)</f>
        <v>935</v>
      </c>
      <c r="F11" s="7" t="n">
        <f aca="false">SUMIFS(Raw_Census!$D$5:$D$379,Raw_Census!$A$5:$A$379,$B11&amp;"|"&amp;F$4)</f>
        <v>760</v>
      </c>
      <c r="G11" s="7" t="n">
        <f aca="false">SUMIFS(Raw_Census!$D$5:$D$379,Raw_Census!$A$5:$A$379,$B11&amp;"|"&amp;G$4)</f>
        <v>313</v>
      </c>
      <c r="H11" s="7" t="n">
        <f aca="false">SUMIFS(Raw_Census!$D$5:$D$379,Raw_Census!$A$5:$A$379,$B11&amp;"|"&amp;H$4)</f>
        <v>277</v>
      </c>
      <c r="I11" s="21" t="n">
        <f aca="false">SUM(D11:H11)</f>
        <v>3790</v>
      </c>
      <c r="J11" s="7" t="n">
        <f aca="false">SUMIFS(Raw_Census!$D$5:$D$379,Raw_Census!$A$5:$A$379,$B11&amp;"|0-4")+SUMIFS(Raw_Census!$D$5:$D$379,Raw_Census!$A$5:$A$379,$B11&amp;"|5-9")+SUMIFS(Raw_Census!$D$5:$D$379,Raw_Census!$A$5:$A$379,$B11&amp;"|10-19")</f>
        <v>4626</v>
      </c>
      <c r="K11" s="7" t="n">
        <f aca="false">SUMIFS(Raw_Census!$D$5:$D$379,Raw_Census!$A$5:$A$379,$B11&amp;"|FY")</f>
        <v>8416</v>
      </c>
      <c r="L11" s="7" t="n">
        <f aca="false">SUMIFS(Raw_Census!$F$5:$F$379,Raw_Census!$A$5:$A$379,$B11&amp;"|FY")</f>
        <v>11550</v>
      </c>
      <c r="M11" s="22" t="n">
        <f aca="false">IFERROR(L11/K11,0)</f>
        <v>1.37238593155894</v>
      </c>
    </row>
    <row r="12" customFormat="false" ht="15" hidden="false" customHeight="false" outlineLevel="0" collapsed="false">
      <c r="A12" s="6" t="s">
        <v>26</v>
      </c>
      <c r="B12" s="19" t="s">
        <v>142</v>
      </c>
      <c r="C12" s="6" t="s">
        <v>143</v>
      </c>
      <c r="D12" s="7" t="n">
        <f aca="false">SUMIFS(Raw_Census!$D$5:$D$379,Raw_Census!$A$5:$A$379,$B12&amp;"|"&amp;D$4)</f>
        <v>7758</v>
      </c>
      <c r="E12" s="7" t="n">
        <f aca="false">SUMIFS(Raw_Census!$D$5:$D$379,Raw_Census!$A$5:$A$379,$B12&amp;"|"&amp;E$4)</f>
        <v>3050</v>
      </c>
      <c r="F12" s="7" t="n">
        <f aca="false">SUMIFS(Raw_Census!$D$5:$D$379,Raw_Census!$A$5:$A$379,$B12&amp;"|"&amp;F$4)</f>
        <v>1685</v>
      </c>
      <c r="G12" s="7" t="n">
        <f aca="false">SUMIFS(Raw_Census!$D$5:$D$379,Raw_Census!$A$5:$A$379,$B12&amp;"|"&amp;G$4)</f>
        <v>423</v>
      </c>
      <c r="H12" s="7" t="n">
        <f aca="false">SUMIFS(Raw_Census!$D$5:$D$379,Raw_Census!$A$5:$A$379,$B12&amp;"|"&amp;H$4)</f>
        <v>278</v>
      </c>
      <c r="I12" s="21" t="n">
        <f aca="false">SUM(D12:H12)</f>
        <v>13194</v>
      </c>
      <c r="J12" s="7" t="n">
        <f aca="false">SUMIFS(Raw_Census!$D$5:$D$379,Raw_Census!$A$5:$A$379,$B12&amp;"|0-4")+SUMIFS(Raw_Census!$D$5:$D$379,Raw_Census!$A$5:$A$379,$B12&amp;"|5-9")+SUMIFS(Raw_Census!$D$5:$D$379,Raw_Census!$A$5:$A$379,$B12&amp;"|10-19")</f>
        <v>36021</v>
      </c>
      <c r="K12" s="7" t="n">
        <f aca="false">SUMIFS(Raw_Census!$D$5:$D$379,Raw_Census!$A$5:$A$379,$B12&amp;"|FY")</f>
        <v>49215</v>
      </c>
      <c r="L12" s="7" t="n">
        <f aca="false">SUMIFS(Raw_Census!$F$5:$F$379,Raw_Census!$A$5:$A$379,$B12&amp;"|FY")</f>
        <v>53708</v>
      </c>
      <c r="M12" s="22" t="n">
        <f aca="false">IFERROR(L12/K12,0)</f>
        <v>1.09129330488672</v>
      </c>
    </row>
    <row r="13" customFormat="false" ht="15" hidden="false" customHeight="false" outlineLevel="0" collapsed="false">
      <c r="A13" s="6" t="s">
        <v>26</v>
      </c>
      <c r="B13" s="19" t="s">
        <v>144</v>
      </c>
      <c r="C13" s="6" t="s">
        <v>145</v>
      </c>
      <c r="D13" s="7" t="n">
        <f aca="false">SUMIFS(Raw_Census!$D$5:$D$379,Raw_Census!$A$5:$A$379,$B13&amp;"|"&amp;D$4)</f>
        <v>3291</v>
      </c>
      <c r="E13" s="7" t="n">
        <f aca="false">SUMIFS(Raw_Census!$D$5:$D$379,Raw_Census!$A$5:$A$379,$B13&amp;"|"&amp;E$4)</f>
        <v>1484</v>
      </c>
      <c r="F13" s="7" t="n">
        <f aca="false">SUMIFS(Raw_Census!$D$5:$D$379,Raw_Census!$A$5:$A$379,$B13&amp;"|"&amp;F$4)</f>
        <v>997</v>
      </c>
      <c r="G13" s="7" t="n">
        <f aca="false">SUMIFS(Raw_Census!$D$5:$D$379,Raw_Census!$A$5:$A$379,$B13&amp;"|"&amp;G$4)</f>
        <v>358</v>
      </c>
      <c r="H13" s="7" t="n">
        <f aca="false">SUMIFS(Raw_Census!$D$5:$D$379,Raw_Census!$A$5:$A$379,$B13&amp;"|"&amp;H$4)</f>
        <v>295</v>
      </c>
      <c r="I13" s="21" t="n">
        <f aca="false">SUM(D13:H13)</f>
        <v>6425</v>
      </c>
      <c r="J13" s="7" t="n">
        <f aca="false">SUMIFS(Raw_Census!$D$5:$D$379,Raw_Census!$A$5:$A$379,$B13&amp;"|0-4")+SUMIFS(Raw_Census!$D$5:$D$379,Raw_Census!$A$5:$A$379,$B13&amp;"|5-9")+SUMIFS(Raw_Census!$D$5:$D$379,Raw_Census!$A$5:$A$379,$B13&amp;"|10-19")</f>
        <v>12231</v>
      </c>
      <c r="K13" s="7" t="n">
        <f aca="false">SUMIFS(Raw_Census!$D$5:$D$379,Raw_Census!$A$5:$A$379,$B13&amp;"|FY")</f>
        <v>18656</v>
      </c>
      <c r="L13" s="7" t="n">
        <f aca="false">SUMIFS(Raw_Census!$F$5:$F$379,Raw_Census!$A$5:$A$379,$B13&amp;"|FY")</f>
        <v>21352</v>
      </c>
      <c r="M13" s="22" t="n">
        <f aca="false">IFERROR(L13/K13,0)</f>
        <v>1.14451114922813</v>
      </c>
    </row>
    <row r="14" customFormat="false" ht="15" hidden="false" customHeight="false" outlineLevel="0" collapsed="false">
      <c r="A14" s="6" t="s">
        <v>26</v>
      </c>
      <c r="B14" s="19" t="s">
        <v>146</v>
      </c>
      <c r="C14" s="6" t="s">
        <v>147</v>
      </c>
      <c r="D14" s="7" t="n">
        <f aca="false">SUMIFS(Raw_Census!$D$5:$D$379,Raw_Census!$A$5:$A$379,$B14&amp;"|"&amp;D$4)</f>
        <v>775</v>
      </c>
      <c r="E14" s="7" t="n">
        <f aca="false">SUMIFS(Raw_Census!$D$5:$D$379,Raw_Census!$A$5:$A$379,$B14&amp;"|"&amp;E$4)</f>
        <v>422</v>
      </c>
      <c r="F14" s="7" t="n">
        <f aca="false">SUMIFS(Raw_Census!$D$5:$D$379,Raw_Census!$A$5:$A$379,$B14&amp;"|"&amp;F$4)</f>
        <v>288</v>
      </c>
      <c r="G14" s="7" t="n">
        <f aca="false">SUMIFS(Raw_Census!$D$5:$D$379,Raw_Census!$A$5:$A$379,$B14&amp;"|"&amp;G$4)</f>
        <v>108</v>
      </c>
      <c r="H14" s="7" t="n">
        <f aca="false">SUMIFS(Raw_Census!$D$5:$D$379,Raw_Census!$A$5:$A$379,$B14&amp;"|"&amp;H$4)</f>
        <v>129</v>
      </c>
      <c r="I14" s="21" t="n">
        <f aca="false">SUM(D14:H14)</f>
        <v>1722</v>
      </c>
      <c r="J14" s="7" t="n">
        <f aca="false">SUMIFS(Raw_Census!$D$5:$D$379,Raw_Census!$A$5:$A$379,$B14&amp;"|0-4")+SUMIFS(Raw_Census!$D$5:$D$379,Raw_Census!$A$5:$A$379,$B14&amp;"|5-9")+SUMIFS(Raw_Census!$D$5:$D$379,Raw_Census!$A$5:$A$379,$B14&amp;"|10-19")</f>
        <v>2792</v>
      </c>
      <c r="K14" s="7" t="n">
        <f aca="false">SUMIFS(Raw_Census!$D$5:$D$379,Raw_Census!$A$5:$A$379,$B14&amp;"|FY")</f>
        <v>4514</v>
      </c>
      <c r="L14" s="7" t="n">
        <f aca="false">SUMIFS(Raw_Census!$F$5:$F$379,Raw_Census!$A$5:$A$379,$B14&amp;"|FY")</f>
        <v>5270</v>
      </c>
      <c r="M14" s="22" t="n">
        <f aca="false">IFERROR(L14/K14,0)</f>
        <v>1.1674789543642</v>
      </c>
    </row>
    <row r="15" customFormat="false" ht="15" hidden="false" customHeight="false" outlineLevel="0" collapsed="false">
      <c r="A15" s="3" t="s">
        <v>148</v>
      </c>
      <c r="B15" s="23"/>
      <c r="C15" s="23"/>
      <c r="D15" s="24" t="n">
        <f aca="false">SUM(D11:D14)</f>
        <v>13329</v>
      </c>
      <c r="E15" s="24" t="n">
        <f aca="false">SUM(E11:E14)</f>
        <v>5891</v>
      </c>
      <c r="F15" s="24" t="n">
        <f aca="false">SUM(F11:F14)</f>
        <v>3730</v>
      </c>
      <c r="G15" s="24" t="n">
        <f aca="false">SUM(G11:G14)</f>
        <v>1202</v>
      </c>
      <c r="H15" s="24" t="n">
        <f aca="false">SUM(H11:H14)</f>
        <v>979</v>
      </c>
      <c r="I15" s="24" t="n">
        <f aca="false">SUM(I11:I14)</f>
        <v>25131</v>
      </c>
      <c r="J15" s="24" t="n">
        <f aca="false">SUM(J11:J14)</f>
        <v>55670</v>
      </c>
      <c r="K15" s="24" t="n">
        <f aca="false">SUM(K11:K14)</f>
        <v>80801</v>
      </c>
      <c r="L15" s="24" t="n">
        <f aca="false">SUM(L11:L14)</f>
        <v>91880</v>
      </c>
      <c r="M15" s="25" t="n">
        <f aca="false">IFERROR(L15/K15,0)</f>
        <v>1.1371146396703</v>
      </c>
    </row>
    <row r="17" customFormat="false" ht="15" hidden="false" customHeight="false" outlineLevel="0" collapsed="false">
      <c r="A17" s="6" t="s">
        <v>27</v>
      </c>
      <c r="B17" s="19" t="s">
        <v>149</v>
      </c>
      <c r="C17" s="6" t="s">
        <v>150</v>
      </c>
      <c r="D17" s="7" t="n">
        <f aca="false">SUMIFS(Raw_Census!$D$5:$D$379,Raw_Census!$A$5:$A$379,$B17&amp;"|"&amp;D$4)</f>
        <v>5930</v>
      </c>
      <c r="E17" s="7" t="n">
        <f aca="false">SUMIFS(Raw_Census!$D$5:$D$379,Raw_Census!$A$5:$A$379,$B17&amp;"|"&amp;E$4)</f>
        <v>2104</v>
      </c>
      <c r="F17" s="7" t="n">
        <f aca="false">SUMIFS(Raw_Census!$D$5:$D$379,Raw_Census!$A$5:$A$379,$B17&amp;"|"&amp;F$4)</f>
        <v>1251</v>
      </c>
      <c r="G17" s="7" t="n">
        <f aca="false">SUMIFS(Raw_Census!$D$5:$D$379,Raw_Census!$A$5:$A$379,$B17&amp;"|"&amp;G$4)</f>
        <v>429</v>
      </c>
      <c r="H17" s="7" t="n">
        <f aca="false">SUMIFS(Raw_Census!$D$5:$D$379,Raw_Census!$A$5:$A$379,$B17&amp;"|"&amp;H$4)</f>
        <v>387</v>
      </c>
      <c r="I17" s="21" t="n">
        <f aca="false">SUM(D17:H17)</f>
        <v>10101</v>
      </c>
      <c r="J17" s="7" t="n">
        <f aca="false">SUMIFS(Raw_Census!$D$5:$D$379,Raw_Census!$A$5:$A$379,$B17&amp;"|0-4")+SUMIFS(Raw_Census!$D$5:$D$379,Raw_Census!$A$5:$A$379,$B17&amp;"|5-9")+SUMIFS(Raw_Census!$D$5:$D$379,Raw_Census!$A$5:$A$379,$B17&amp;"|10-19")</f>
        <v>70489</v>
      </c>
      <c r="K17" s="7" t="n">
        <f aca="false">SUMIFS(Raw_Census!$D$5:$D$379,Raw_Census!$A$5:$A$379,$B17&amp;"|FY")</f>
        <v>80590</v>
      </c>
      <c r="L17" s="7" t="n">
        <f aca="false">SUMIFS(Raw_Census!$F$5:$F$379,Raw_Census!$A$5:$A$379,$B17&amp;"|FY")</f>
        <v>102514</v>
      </c>
      <c r="M17" s="22" t="n">
        <f aca="false">IFERROR(L17/K17,0)</f>
        <v>1.27204367787567</v>
      </c>
    </row>
    <row r="18" customFormat="false" ht="15" hidden="false" customHeight="false" outlineLevel="0" collapsed="false">
      <c r="A18" s="6" t="s">
        <v>27</v>
      </c>
      <c r="B18" s="19" t="s">
        <v>151</v>
      </c>
      <c r="C18" s="6" t="s">
        <v>152</v>
      </c>
      <c r="D18" s="7" t="n">
        <f aca="false">SUMIFS(Raw_Census!$D$5:$D$379,Raw_Census!$A$5:$A$379,$B18&amp;"|"&amp;D$4)</f>
        <v>5831</v>
      </c>
      <c r="E18" s="7" t="n">
        <f aca="false">SUMIFS(Raw_Census!$D$5:$D$379,Raw_Census!$A$5:$A$379,$B18&amp;"|"&amp;E$4)</f>
        <v>2359</v>
      </c>
      <c r="F18" s="7" t="n">
        <f aca="false">SUMIFS(Raw_Census!$D$5:$D$379,Raw_Census!$A$5:$A$379,$B18&amp;"|"&amp;F$4)</f>
        <v>1581</v>
      </c>
      <c r="G18" s="7" t="n">
        <f aca="false">SUMIFS(Raw_Census!$D$5:$D$379,Raw_Census!$A$5:$A$379,$B18&amp;"|"&amp;G$4)</f>
        <v>561</v>
      </c>
      <c r="H18" s="7" t="n">
        <f aca="false">SUMIFS(Raw_Census!$D$5:$D$379,Raw_Census!$A$5:$A$379,$B18&amp;"|"&amp;H$4)</f>
        <v>447</v>
      </c>
      <c r="I18" s="21" t="n">
        <f aca="false">SUM(D18:H18)</f>
        <v>10779</v>
      </c>
      <c r="J18" s="7" t="n">
        <f aca="false">SUMIFS(Raw_Census!$D$5:$D$379,Raw_Census!$A$5:$A$379,$B18&amp;"|0-4")+SUMIFS(Raw_Census!$D$5:$D$379,Raw_Census!$A$5:$A$379,$B18&amp;"|5-9")+SUMIFS(Raw_Census!$D$5:$D$379,Raw_Census!$A$5:$A$379,$B18&amp;"|10-19")</f>
        <v>83509</v>
      </c>
      <c r="K18" s="7" t="n">
        <f aca="false">SUMIFS(Raw_Census!$D$5:$D$379,Raw_Census!$A$5:$A$379,$B18&amp;"|FY")</f>
        <v>94288</v>
      </c>
      <c r="L18" s="7" t="n">
        <f aca="false">SUMIFS(Raw_Census!$F$5:$F$379,Raw_Census!$A$5:$A$379,$B18&amp;"|FY")</f>
        <v>110473</v>
      </c>
      <c r="M18" s="22" t="n">
        <f aca="false">IFERROR(L18/K18,0)</f>
        <v>1.17165492957746</v>
      </c>
    </row>
    <row r="19" customFormat="false" ht="15" hidden="false" customHeight="false" outlineLevel="0" collapsed="false">
      <c r="A19" s="6" t="s">
        <v>27</v>
      </c>
      <c r="B19" s="19" t="s">
        <v>153</v>
      </c>
      <c r="C19" s="6" t="s">
        <v>154</v>
      </c>
      <c r="D19" s="7" t="n">
        <f aca="false">SUMIFS(Raw_Census!$D$5:$D$379,Raw_Census!$A$5:$A$379,$B19&amp;"|"&amp;D$4)</f>
        <v>5789</v>
      </c>
      <c r="E19" s="7" t="n">
        <f aca="false">SUMIFS(Raw_Census!$D$5:$D$379,Raw_Census!$A$5:$A$379,$B19&amp;"|"&amp;E$4)</f>
        <v>2151</v>
      </c>
      <c r="F19" s="7" t="n">
        <f aca="false">SUMIFS(Raw_Census!$D$5:$D$379,Raw_Census!$A$5:$A$379,$B19&amp;"|"&amp;F$4)</f>
        <v>1244</v>
      </c>
      <c r="G19" s="7" t="n">
        <f aca="false">SUMIFS(Raw_Census!$D$5:$D$379,Raw_Census!$A$5:$A$379,$B19&amp;"|"&amp;G$4)</f>
        <v>430</v>
      </c>
      <c r="H19" s="7" t="n">
        <f aca="false">SUMIFS(Raw_Census!$D$5:$D$379,Raw_Census!$A$5:$A$379,$B19&amp;"|"&amp;H$4)</f>
        <v>339</v>
      </c>
      <c r="I19" s="21" t="n">
        <f aca="false">SUM(D19:H19)</f>
        <v>9953</v>
      </c>
      <c r="J19" s="7" t="n">
        <f aca="false">SUMIFS(Raw_Census!$D$5:$D$379,Raw_Census!$A$5:$A$379,$B19&amp;"|0-4")+SUMIFS(Raw_Census!$D$5:$D$379,Raw_Census!$A$5:$A$379,$B19&amp;"|5-9")+SUMIFS(Raw_Census!$D$5:$D$379,Raw_Census!$A$5:$A$379,$B19&amp;"|10-19")</f>
        <v>139134</v>
      </c>
      <c r="K19" s="7" t="n">
        <f aca="false">SUMIFS(Raw_Census!$D$5:$D$379,Raw_Census!$A$5:$A$379,$B19&amp;"|FY")</f>
        <v>149087</v>
      </c>
      <c r="L19" s="7" t="n">
        <f aca="false">SUMIFS(Raw_Census!$F$5:$F$379,Raw_Census!$A$5:$A$379,$B19&amp;"|FY")</f>
        <v>160268</v>
      </c>
      <c r="M19" s="22" t="n">
        <f aca="false">IFERROR(L19/K19,0)</f>
        <v>1.07499647856621</v>
      </c>
    </row>
    <row r="20" customFormat="false" ht="15" hidden="false" customHeight="false" outlineLevel="0" collapsed="false">
      <c r="A20" s="6" t="s">
        <v>27</v>
      </c>
      <c r="B20" s="19" t="s">
        <v>155</v>
      </c>
      <c r="C20" s="6" t="s">
        <v>156</v>
      </c>
      <c r="D20" s="7" t="n">
        <f aca="false">SUMIFS(Raw_Census!$D$5:$D$379,Raw_Census!$A$5:$A$379,$B20&amp;"|"&amp;D$4)</f>
        <v>1655</v>
      </c>
      <c r="E20" s="7" t="n">
        <f aca="false">SUMIFS(Raw_Census!$D$5:$D$379,Raw_Census!$A$5:$A$379,$B20&amp;"|"&amp;E$4)</f>
        <v>584</v>
      </c>
      <c r="F20" s="7" t="n">
        <f aca="false">SUMIFS(Raw_Census!$D$5:$D$379,Raw_Census!$A$5:$A$379,$B20&amp;"|"&amp;F$4)</f>
        <v>371</v>
      </c>
      <c r="G20" s="7" t="n">
        <f aca="false">SUMIFS(Raw_Census!$D$5:$D$379,Raw_Census!$A$5:$A$379,$B20&amp;"|"&amp;G$4)</f>
        <v>132</v>
      </c>
      <c r="H20" s="7" t="n">
        <f aca="false">SUMIFS(Raw_Census!$D$5:$D$379,Raw_Census!$A$5:$A$379,$B20&amp;"|"&amp;H$4)</f>
        <v>102</v>
      </c>
      <c r="I20" s="21" t="n">
        <f aca="false">SUM(D20:H20)</f>
        <v>2844</v>
      </c>
      <c r="J20" s="7" t="n">
        <f aca="false">SUMIFS(Raw_Census!$D$5:$D$379,Raw_Census!$A$5:$A$379,$B20&amp;"|0-4")+SUMIFS(Raw_Census!$D$5:$D$379,Raw_Census!$A$5:$A$379,$B20&amp;"|5-9")+SUMIFS(Raw_Census!$D$5:$D$379,Raw_Census!$A$5:$A$379,$B20&amp;"|10-19")</f>
        <v>24892</v>
      </c>
      <c r="K20" s="7" t="n">
        <f aca="false">SUMIFS(Raw_Census!$D$5:$D$379,Raw_Census!$A$5:$A$379,$B20&amp;"|FY")</f>
        <v>27736</v>
      </c>
      <c r="L20" s="7" t="n">
        <f aca="false">SUMIFS(Raw_Census!$F$5:$F$379,Raw_Census!$A$5:$A$379,$B20&amp;"|FY")</f>
        <v>31557</v>
      </c>
      <c r="M20" s="22" t="n">
        <f aca="false">IFERROR(L20/K20,0)</f>
        <v>1.13776319584655</v>
      </c>
    </row>
    <row r="21" customFormat="false" ht="15" hidden="false" customHeight="false" outlineLevel="0" collapsed="false">
      <c r="A21" s="3" t="s">
        <v>157</v>
      </c>
      <c r="B21" s="23"/>
      <c r="C21" s="23"/>
      <c r="D21" s="24" t="n">
        <f aca="false">SUM(D17:D20)</f>
        <v>19205</v>
      </c>
      <c r="E21" s="24" t="n">
        <f aca="false">SUM(E17:E20)</f>
        <v>7198</v>
      </c>
      <c r="F21" s="24" t="n">
        <f aca="false">SUM(F17:F20)</f>
        <v>4447</v>
      </c>
      <c r="G21" s="24" t="n">
        <f aca="false">SUM(G17:G20)</f>
        <v>1552</v>
      </c>
      <c r="H21" s="24" t="n">
        <f aca="false">SUM(H17:H20)</f>
        <v>1275</v>
      </c>
      <c r="I21" s="24" t="n">
        <f aca="false">SUM(I17:I20)</f>
        <v>33677</v>
      </c>
      <c r="J21" s="24" t="n">
        <f aca="false">SUM(J17:J20)</f>
        <v>318024</v>
      </c>
      <c r="K21" s="24" t="n">
        <f aca="false">SUM(K17:K20)</f>
        <v>351701</v>
      </c>
      <c r="L21" s="24" t="n">
        <f aca="false">SUM(L17:L20)</f>
        <v>404812</v>
      </c>
      <c r="M21" s="25" t="n">
        <f aca="false">IFERROR(L21/K21,0)</f>
        <v>1.15101179695253</v>
      </c>
    </row>
    <row r="23" customFormat="false" ht="15" hidden="false" customHeight="false" outlineLevel="0" collapsed="false">
      <c r="A23" s="26" t="s">
        <v>158</v>
      </c>
    </row>
    <row r="24" customFormat="false" ht="15" hidden="false" customHeight="false" outlineLevel="0" collapsed="false">
      <c r="A24" s="6" t="s">
        <v>159</v>
      </c>
      <c r="D24" s="7" t="n">
        <f aca="false">SUMIFS(Raw_Census!$D$5:$D$379,Raw_Census!$A$5:$A$379,"4235|FY")</f>
        <v>5827</v>
      </c>
    </row>
    <row r="25" customFormat="false" ht="15" hidden="false" customHeight="false" outlineLevel="0" collapsed="false">
      <c r="A25" s="6" t="s">
        <v>160</v>
      </c>
      <c r="D25" s="7" t="n">
        <f aca="false">SUMIFS(Raw_Census!$D$5:$D$379,Raw_Census!$A$5:$A$379,"4235|0-4")+SUMIFS(Raw_Census!$D$5:$D$379,Raw_Census!$A$5:$A$379,"4235|5-9")+SUMIFS(Raw_Census!$D$5:$D$379,Raw_Census!$A$5:$A$379,"4235|10-19")+SUMIFS(Raw_Census!$D$5:$D$379,Raw_Census!$A$5:$A$379,"4235|20-49")+SUMIFS(Raw_Census!$D$5:$D$379,Raw_Census!$A$5:$A$379,"4235|500+")</f>
        <v>5352</v>
      </c>
    </row>
    <row r="26" customFormat="false" ht="15" hidden="false" customHeight="false" outlineLevel="0" collapsed="false">
      <c r="A26" s="8" t="s">
        <v>161</v>
      </c>
      <c r="D26" s="27" t="n">
        <f aca="false">D24-D25</f>
        <v>475</v>
      </c>
      <c r="E26" s="3" t="s">
        <v>122</v>
      </c>
      <c r="F26" s="3" t="s">
        <v>123</v>
      </c>
      <c r="G26" s="3" t="s">
        <v>124</v>
      </c>
    </row>
    <row r="27" customFormat="false" ht="15" hidden="false" customHeight="false" outlineLevel="0" collapsed="false">
      <c r="A27" s="6" t="s">
        <v>162</v>
      </c>
      <c r="E27" s="11" t="n">
        <f aca="false">SUMIFS(Raw_Census!$D$5:$D$379,Raw_Census!$A$5:$A$379,"423|50-99")/(SUMIFS(Raw_Census!$D$5:$D$379,Raw_Census!$A$5:$A$379,"423|50-99")+SUMIFS(Raw_Census!$D$5:$D$379,Raw_Census!$A$5:$A$379,"423|100-249")+SUMIFS(Raw_Census!$D$5:$D$379,Raw_Census!$A$5:$A$379,"423|250-499"))</f>
        <v>0.552963932187962</v>
      </c>
      <c r="F27" s="11" t="n">
        <f aca="false">SUMIFS(Raw_Census!$D$5:$D$379,Raw_Census!$A$5:$A$379,"423|100-249")/(SUMIFS(Raw_Census!$D$5:$D$379,Raw_Census!$A$5:$A$379,"423|50-99")+SUMIFS(Raw_Census!$D$5:$D$379,Raw_Census!$A$5:$A$379,"423|100-249")+SUMIFS(Raw_Census!$D$5:$D$379,Raw_Census!$A$5:$A$379,"423|250-499"))</f>
        <v>0.339629081806804</v>
      </c>
      <c r="G27" s="11" t="n">
        <f aca="false">SUMIFS(Raw_Census!$D$5:$D$379,Raw_Census!$A$5:$A$379,"423|250-499")/(SUMIFS(Raw_Census!$D$5:$D$379,Raw_Census!$A$5:$A$379,"423|50-99")+SUMIFS(Raw_Census!$D$5:$D$379,Raw_Census!$A$5:$A$379,"423|100-249")+SUMIFS(Raw_Census!$D$5:$D$379,Raw_Census!$A$5:$A$379,"423|250-499"))</f>
        <v>0.107406986005234</v>
      </c>
    </row>
    <row r="28" customFormat="false" ht="15" hidden="false" customHeight="false" outlineLevel="0" collapsed="false">
      <c r="A28" s="6" t="s">
        <v>163</v>
      </c>
      <c r="E28" s="28" t="n">
        <f aca="false">$D$26*E27</f>
        <v>262.657867789282</v>
      </c>
      <c r="F28" s="28" t="n">
        <f aca="false">$D$26*F27</f>
        <v>161.323813858232</v>
      </c>
      <c r="G28" s="28" t="n">
        <f aca="false">$D$26*G27</f>
        <v>51.0183183524861</v>
      </c>
    </row>
    <row r="31" customFormat="false" ht="15" hidden="false" customHeight="false" outlineLevel="0" collapsed="false">
      <c r="A31" s="26" t="s">
        <v>164</v>
      </c>
    </row>
    <row r="32" customFormat="false" ht="15" hidden="false" customHeight="false" outlineLevel="0" collapsed="false">
      <c r="A32" s="5" t="s">
        <v>165</v>
      </c>
      <c r="B32" s="5"/>
      <c r="C32" s="5" t="s">
        <v>166</v>
      </c>
      <c r="D32" s="5" t="s">
        <v>121</v>
      </c>
      <c r="E32" s="5" t="s">
        <v>122</v>
      </c>
      <c r="F32" s="5" t="s">
        <v>123</v>
      </c>
      <c r="G32" s="5" t="s">
        <v>124</v>
      </c>
      <c r="H32" s="5" t="s">
        <v>125</v>
      </c>
    </row>
    <row r="33" customFormat="false" ht="15" hidden="false" customHeight="false" outlineLevel="0" collapsed="false">
      <c r="A33" s="19" t="s">
        <v>167</v>
      </c>
      <c r="C33" s="6" t="s">
        <v>168</v>
      </c>
      <c r="D33" s="7" t="n">
        <f aca="false">SUMIFS(Raw_Census!$D$5:$D$379,Raw_Census!$A$5:$A$379,$A33&amp;"|"&amp;D$32)</f>
        <v>13339</v>
      </c>
      <c r="E33" s="7" t="n">
        <f aca="false">SUMIFS(Raw_Census!$D$5:$D$379,Raw_Census!$A$5:$A$379,$A33&amp;"|"&amp;E$32)</f>
        <v>4860</v>
      </c>
      <c r="F33" s="7" t="n">
        <f aca="false">SUMIFS(Raw_Census!$D$5:$D$379,Raw_Census!$A$5:$A$379,$A33&amp;"|"&amp;F$32)</f>
        <v>2985</v>
      </c>
      <c r="G33" s="7" t="n">
        <f aca="false">SUMIFS(Raw_Census!$D$5:$D$379,Raw_Census!$A$5:$A$379,$A33&amp;"|"&amp;G$32)</f>
        <v>944</v>
      </c>
      <c r="H33" s="7" t="n">
        <f aca="false">SUMIFS(Raw_Census!$D$5:$D$379,Raw_Census!$A$5:$A$379,$A33&amp;"|"&amp;H$32)</f>
        <v>802</v>
      </c>
    </row>
    <row r="34" customFormat="false" ht="15" hidden="false" customHeight="false" outlineLevel="0" collapsed="false">
      <c r="A34" s="19" t="s">
        <v>167</v>
      </c>
      <c r="C34" s="6" t="s">
        <v>169</v>
      </c>
      <c r="D34" s="7" t="n">
        <f aca="false">SUMIFS(Raw_Census!$D$5:$D$379,Raw_Census!$I$5:$I$379,$A34,Raw_Census!$C$5:$C$379,D$32)</f>
        <v>13706</v>
      </c>
      <c r="E34" s="7" t="n">
        <f aca="false">SUMIFS(Raw_Census!$D$5:$D$379,Raw_Census!$I$5:$I$379,$A34,Raw_Census!$C$5:$C$379,E$32)</f>
        <v>4212</v>
      </c>
      <c r="F34" s="7" t="n">
        <f aca="false">SUMIFS(Raw_Census!$D$5:$D$379,Raw_Census!$I$5:$I$379,$A34,Raw_Census!$C$5:$C$379,F$32)</f>
        <v>2574</v>
      </c>
      <c r="G34" s="7" t="n">
        <f aca="false">SUMIFS(Raw_Census!$D$5:$D$379,Raw_Census!$I$5:$I$379,$A34,Raw_Census!$C$5:$C$379,G$32)</f>
        <v>858</v>
      </c>
      <c r="H34" s="7" t="n">
        <f aca="false">SUMIFS(Raw_Census!$D$5:$D$379,Raw_Census!$I$5:$I$379,$A34,Raw_Census!$C$5:$C$379,H$32)</f>
        <v>798</v>
      </c>
    </row>
    <row r="35" customFormat="false" ht="15" hidden="false" customHeight="false" outlineLevel="0" collapsed="false">
      <c r="A35" s="19" t="s">
        <v>167</v>
      </c>
      <c r="C35" s="6" t="s">
        <v>170</v>
      </c>
      <c r="D35" s="14" t="n">
        <f aca="false">IFERROR(D34/D33-1,0)</f>
        <v>0.027513306844591</v>
      </c>
      <c r="E35" s="14" t="n">
        <f aca="false">IFERROR(E34/E33-1,0)</f>
        <v>-0.133333333333333</v>
      </c>
      <c r="F35" s="14" t="n">
        <f aca="false">IFERROR(F34/F33-1,0)</f>
        <v>-0.137688442211055</v>
      </c>
      <c r="G35" s="14" t="n">
        <f aca="false">IFERROR(G34/G33-1,0)</f>
        <v>-0.0911016949152542</v>
      </c>
      <c r="H35" s="14" t="n">
        <f aca="false">IFERROR(H34/H33-1,0)</f>
        <v>-0.00498753117206985</v>
      </c>
    </row>
    <row r="36" customFormat="false" ht="15" hidden="false" customHeight="false" outlineLevel="0" collapsed="false">
      <c r="A36" s="29" t="s">
        <v>167</v>
      </c>
      <c r="C36" s="8" t="s">
        <v>171</v>
      </c>
      <c r="D36" s="30" t="n">
        <f aca="false">IFERROR(MIN(1,D33/D34),1)</f>
        <v>0.973223405807676</v>
      </c>
      <c r="E36" s="30" t="n">
        <f aca="false">IFERROR(MIN(1,E33/E34),1)</f>
        <v>1</v>
      </c>
      <c r="F36" s="30" t="n">
        <f aca="false">IFERROR(MIN(1,F33/F34),1)</f>
        <v>1</v>
      </c>
      <c r="G36" s="30" t="n">
        <f aca="false">IFERROR(MIN(1,G33/G34),1)</f>
        <v>1</v>
      </c>
      <c r="H36" s="30" t="n">
        <f aca="false">IFERROR(MIN(1,H33/H34),1)</f>
        <v>1</v>
      </c>
    </row>
    <row r="38" customFormat="false" ht="15" hidden="false" customHeight="false" outlineLevel="0" collapsed="false">
      <c r="A38" s="19" t="s">
        <v>172</v>
      </c>
      <c r="C38" s="6" t="s">
        <v>168</v>
      </c>
      <c r="D38" s="7" t="n">
        <f aca="false">SUMIFS(Raw_Census!$D$5:$D$379,Raw_Census!$A$5:$A$379,$A38&amp;"|"&amp;D$32)</f>
        <v>32323</v>
      </c>
      <c r="E38" s="7" t="n">
        <f aca="false">SUMIFS(Raw_Census!$D$5:$D$379,Raw_Census!$A$5:$A$379,$A38&amp;"|"&amp;E$32)</f>
        <v>13573</v>
      </c>
      <c r="F38" s="7" t="n">
        <f aca="false">SUMIFS(Raw_Census!$D$5:$D$379,Raw_Census!$A$5:$A$379,$A38&amp;"|"&amp;F$32)</f>
        <v>8859</v>
      </c>
      <c r="G38" s="7" t="n">
        <f aca="false">SUMIFS(Raw_Census!$D$5:$D$379,Raw_Census!$A$5:$A$379,$A38&amp;"|"&amp;G$32)</f>
        <v>3013</v>
      </c>
      <c r="H38" s="7" t="n">
        <f aca="false">SUMIFS(Raw_Census!$D$5:$D$379,Raw_Census!$A$5:$A$379,$A38&amp;"|"&amp;H$32)</f>
        <v>2942</v>
      </c>
    </row>
    <row r="39" customFormat="false" ht="15" hidden="false" customHeight="false" outlineLevel="0" collapsed="false">
      <c r="A39" s="19" t="s">
        <v>172</v>
      </c>
      <c r="C39" s="6" t="s">
        <v>169</v>
      </c>
      <c r="D39" s="7" t="n">
        <f aca="false">SUMIFS(Raw_Census!$D$5:$D$379,Raw_Census!$I$5:$I$379,$A39,Raw_Census!$C$5:$C$379,D$32)</f>
        <v>33325</v>
      </c>
      <c r="E39" s="7" t="n">
        <f aca="false">SUMIFS(Raw_Census!$D$5:$D$379,Raw_Census!$I$5:$I$379,$A39,Raw_Census!$C$5:$C$379,E$32)</f>
        <v>14501</v>
      </c>
      <c r="F39" s="7" t="n">
        <f aca="false">SUMIFS(Raw_Census!$D$5:$D$379,Raw_Census!$I$5:$I$379,$A39,Raw_Census!$C$5:$C$379,F$32)</f>
        <v>9840</v>
      </c>
      <c r="G39" s="7" t="n">
        <f aca="false">SUMIFS(Raw_Census!$D$5:$D$379,Raw_Census!$I$5:$I$379,$A39,Raw_Census!$C$5:$C$379,G$32)</f>
        <v>3320</v>
      </c>
      <c r="H39" s="7" t="n">
        <f aca="false">SUMIFS(Raw_Census!$D$5:$D$379,Raw_Census!$I$5:$I$379,$A39,Raw_Census!$C$5:$C$379,H$32)</f>
        <v>3224</v>
      </c>
    </row>
    <row r="40" customFormat="false" ht="15" hidden="false" customHeight="false" outlineLevel="0" collapsed="false">
      <c r="A40" s="19" t="s">
        <v>172</v>
      </c>
      <c r="C40" s="6" t="s">
        <v>170</v>
      </c>
      <c r="D40" s="14" t="n">
        <f aca="false">IFERROR(D39/D38-1,0)</f>
        <v>0.0309995978096091</v>
      </c>
      <c r="E40" s="14" t="n">
        <f aca="false">IFERROR(E39/E38-1,0)</f>
        <v>0.0683710307227585</v>
      </c>
      <c r="F40" s="14" t="n">
        <f aca="false">IFERROR(F39/F38-1,0)</f>
        <v>0.110734845919404</v>
      </c>
      <c r="G40" s="14" t="n">
        <f aca="false">IFERROR(G39/G38-1,0)</f>
        <v>0.101891802190508</v>
      </c>
      <c r="H40" s="14" t="n">
        <f aca="false">IFERROR(H39/H38-1,0)</f>
        <v>0.0958531611148878</v>
      </c>
    </row>
    <row r="41" customFormat="false" ht="15" hidden="false" customHeight="false" outlineLevel="0" collapsed="false">
      <c r="A41" s="29" t="s">
        <v>172</v>
      </c>
      <c r="C41" s="8" t="s">
        <v>171</v>
      </c>
      <c r="D41" s="30" t="n">
        <f aca="false">IFERROR(MIN(1,D38/D39),1)</f>
        <v>0.96993248312078</v>
      </c>
      <c r="E41" s="30" t="n">
        <f aca="false">IFERROR(MIN(1,E38/E39),1)</f>
        <v>0.936004413488725</v>
      </c>
      <c r="F41" s="30" t="n">
        <f aca="false">IFERROR(MIN(1,F38/F39),1)</f>
        <v>0.900304878048781</v>
      </c>
      <c r="G41" s="30" t="n">
        <f aca="false">IFERROR(MIN(1,G38/G39),1)</f>
        <v>0.907530120481928</v>
      </c>
      <c r="H41" s="30" t="n">
        <f aca="false">IFERROR(MIN(1,H38/H39),1)</f>
        <v>0.912531017369727</v>
      </c>
    </row>
    <row r="43" customFormat="false" ht="15" hidden="false" customHeight="false" outlineLevel="0" collapsed="false">
      <c r="A43" s="19" t="s">
        <v>173</v>
      </c>
      <c r="C43" s="6" t="s">
        <v>168</v>
      </c>
      <c r="D43" s="7" t="n">
        <f aca="false">SUMIFS(Raw_Census!$D$5:$D$379,Raw_Census!$A$5:$A$379,$A43&amp;"|"&amp;D$32)</f>
        <v>35049</v>
      </c>
      <c r="E43" s="7" t="n">
        <f aca="false">SUMIFS(Raw_Census!$D$5:$D$379,Raw_Census!$A$5:$A$379,$A43&amp;"|"&amp;E$32)</f>
        <v>11416</v>
      </c>
      <c r="F43" s="7" t="n">
        <f aca="false">SUMIFS(Raw_Census!$D$5:$D$379,Raw_Census!$A$5:$A$379,$A43&amp;"|"&amp;F$32)</f>
        <v>6827</v>
      </c>
      <c r="G43" s="7" t="n">
        <f aca="false">SUMIFS(Raw_Census!$D$5:$D$379,Raw_Census!$A$5:$A$379,$A43&amp;"|"&amp;G$32)</f>
        <v>2304</v>
      </c>
      <c r="H43" s="7" t="n">
        <f aca="false">SUMIFS(Raw_Census!$D$5:$D$379,Raw_Census!$A$5:$A$379,$A43&amp;"|"&amp;H$32)</f>
        <v>2069</v>
      </c>
    </row>
    <row r="44" customFormat="false" ht="15" hidden="false" customHeight="false" outlineLevel="0" collapsed="false">
      <c r="A44" s="19" t="s">
        <v>173</v>
      </c>
      <c r="C44" s="6" t="s">
        <v>169</v>
      </c>
      <c r="D44" s="7" t="n">
        <f aca="false">SUMIFS(Raw_Census!$D$5:$D$379,Raw_Census!$I$5:$I$379,$A44,Raw_Census!$C$5:$C$379,D$32)</f>
        <v>35475</v>
      </c>
      <c r="E44" s="7" t="n">
        <f aca="false">SUMIFS(Raw_Census!$D$5:$D$379,Raw_Census!$I$5:$I$379,$A44,Raw_Census!$C$5:$C$379,E$32)</f>
        <v>11662</v>
      </c>
      <c r="F44" s="7" t="n">
        <f aca="false">SUMIFS(Raw_Census!$D$5:$D$379,Raw_Census!$I$5:$I$379,$A44,Raw_Census!$C$5:$C$379,F$32)</f>
        <v>7061</v>
      </c>
      <c r="G44" s="7" t="n">
        <f aca="false">SUMIFS(Raw_Census!$D$5:$D$379,Raw_Census!$I$5:$I$379,$A44,Raw_Census!$C$5:$C$379,G$32)</f>
        <v>2423</v>
      </c>
      <c r="H44" s="7" t="n">
        <f aca="false">SUMIFS(Raw_Census!$D$5:$D$379,Raw_Census!$I$5:$I$379,$A44,Raw_Census!$C$5:$C$379,H$32)</f>
        <v>2129</v>
      </c>
    </row>
    <row r="45" customFormat="false" ht="15" hidden="false" customHeight="false" outlineLevel="0" collapsed="false">
      <c r="A45" s="19" t="s">
        <v>173</v>
      </c>
      <c r="C45" s="6" t="s">
        <v>170</v>
      </c>
      <c r="D45" s="14" t="n">
        <f aca="false">IFERROR(D44/D43-1,0)</f>
        <v>0.0121544123940769</v>
      </c>
      <c r="E45" s="14" t="n">
        <f aca="false">IFERROR(E44/E43-1,0)</f>
        <v>0.0215487035739312</v>
      </c>
      <c r="F45" s="14" t="n">
        <f aca="false">IFERROR(F44/F43-1,0)</f>
        <v>0.0342756701332942</v>
      </c>
      <c r="G45" s="14" t="n">
        <f aca="false">IFERROR(G44/G43-1,0)</f>
        <v>0.0516493055555556</v>
      </c>
      <c r="H45" s="14" t="n">
        <f aca="false">IFERROR(H44/H43-1,0)</f>
        <v>0.0289995166747221</v>
      </c>
    </row>
    <row r="46" customFormat="false" ht="15" hidden="false" customHeight="false" outlineLevel="0" collapsed="false">
      <c r="A46" s="29" t="s">
        <v>173</v>
      </c>
      <c r="C46" s="8" t="s">
        <v>171</v>
      </c>
      <c r="D46" s="30" t="n">
        <f aca="false">IFERROR(MIN(1,D43/D44),1)</f>
        <v>0.987991543340381</v>
      </c>
      <c r="E46" s="30" t="n">
        <f aca="false">IFERROR(MIN(1,E43/E44),1)</f>
        <v>0.978905848053507</v>
      </c>
      <c r="F46" s="30" t="n">
        <f aca="false">IFERROR(MIN(1,F43/F44),1)</f>
        <v>0.966860218099419</v>
      </c>
      <c r="G46" s="30" t="n">
        <f aca="false">IFERROR(MIN(1,G43/G44),1)</f>
        <v>0.9508873297565</v>
      </c>
      <c r="H46" s="30" t="n">
        <f aca="false">IFERROR(MIN(1,H43/H44),1)</f>
        <v>0.971817754814467</v>
      </c>
    </row>
    <row r="48" customFormat="false" ht="30" hidden="false" customHeight="true" outlineLevel="0" collapsed="false">
      <c r="A48" s="18" t="s">
        <v>174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50" customFormat="false" ht="15" hidden="false" customHeight="false" outlineLevel="0" collapsed="false">
      <c r="A50" s="26" t="s">
        <v>175</v>
      </c>
    </row>
    <row r="51" customFormat="false" ht="15" hidden="false" customHeight="false" outlineLevel="0" collapsed="false">
      <c r="A51" s="5" t="s">
        <v>118</v>
      </c>
      <c r="B51" s="5"/>
      <c r="C51" s="5"/>
      <c r="D51" s="5" t="s">
        <v>121</v>
      </c>
      <c r="E51" s="5" t="s">
        <v>122</v>
      </c>
      <c r="F51" s="5" t="s">
        <v>123</v>
      </c>
      <c r="G51" s="5" t="s">
        <v>124</v>
      </c>
      <c r="H51" s="5" t="s">
        <v>125</v>
      </c>
      <c r="I51" s="5" t="s">
        <v>126</v>
      </c>
    </row>
    <row r="52" customFormat="false" ht="15" hidden="false" customHeight="false" outlineLevel="0" collapsed="false">
      <c r="A52" s="8" t="s">
        <v>25</v>
      </c>
      <c r="D52" s="21" t="n">
        <f aca="false">D9*D$36</f>
        <v>6631.5442871735</v>
      </c>
      <c r="E52" s="21" t="n">
        <f aca="false">E9*E$36</f>
        <v>2474.65786778928</v>
      </c>
      <c r="F52" s="21" t="n">
        <f aca="false">F9*F$36</f>
        <v>1499.32381385823</v>
      </c>
      <c r="G52" s="21" t="n">
        <f aca="false">G9*G$36</f>
        <v>512.018318352486</v>
      </c>
      <c r="H52" s="21" t="n">
        <f aca="false">H9*H$36</f>
        <v>376</v>
      </c>
      <c r="I52" s="27" t="n">
        <f aca="false">SUM(D52:H52)</f>
        <v>11493.5442871735</v>
      </c>
    </row>
    <row r="53" customFormat="false" ht="15" hidden="false" customHeight="false" outlineLevel="0" collapsed="false">
      <c r="A53" s="8" t="s">
        <v>26</v>
      </c>
      <c r="D53" s="21" t="n">
        <f aca="false">D15*D$41</f>
        <v>12928.2300675169</v>
      </c>
      <c r="E53" s="21" t="n">
        <f aca="false">E15*E$41</f>
        <v>5514.00199986208</v>
      </c>
      <c r="F53" s="21" t="n">
        <f aca="false">F15*F$41</f>
        <v>3358.13719512195</v>
      </c>
      <c r="G53" s="21" t="n">
        <f aca="false">G15*G$41</f>
        <v>1090.85120481928</v>
      </c>
      <c r="H53" s="21" t="n">
        <f aca="false">H15*H$41</f>
        <v>893.367866004963</v>
      </c>
      <c r="I53" s="27" t="n">
        <f aca="false">SUM(D53:H53)</f>
        <v>23784.5883333251</v>
      </c>
    </row>
    <row r="54" customFormat="false" ht="15" hidden="false" customHeight="false" outlineLevel="0" collapsed="false">
      <c r="A54" s="8" t="s">
        <v>27</v>
      </c>
      <c r="D54" s="21" t="n">
        <f aca="false">D21*D$46</f>
        <v>18974.377589852</v>
      </c>
      <c r="E54" s="21" t="n">
        <f aca="false">E21*E$46</f>
        <v>7046.16429428914</v>
      </c>
      <c r="F54" s="21" t="n">
        <f aca="false">F21*F$46</f>
        <v>4299.62738988812</v>
      </c>
      <c r="G54" s="21" t="n">
        <f aca="false">G21*G$46</f>
        <v>1475.77713578209</v>
      </c>
      <c r="H54" s="21" t="n">
        <f aca="false">H21*H$46</f>
        <v>1239.06763738845</v>
      </c>
      <c r="I54" s="27" t="n">
        <f aca="false">SUM(D54:H54)</f>
        <v>33035.0140471998</v>
      </c>
    </row>
    <row r="56" customFormat="false" ht="15" hidden="false" customHeight="false" outlineLevel="0" collapsed="false">
      <c r="A56" s="26" t="s">
        <v>176</v>
      </c>
    </row>
    <row r="57" customFormat="false" ht="46.25" hidden="false" customHeight="false" outlineLevel="0" collapsed="false">
      <c r="A57" s="5" t="s">
        <v>177</v>
      </c>
      <c r="B57" s="5"/>
      <c r="C57" s="5" t="s">
        <v>178</v>
      </c>
      <c r="D57" s="5" t="s">
        <v>25</v>
      </c>
      <c r="E57" s="5" t="s">
        <v>26</v>
      </c>
      <c r="F57" s="5" t="s">
        <v>27</v>
      </c>
    </row>
    <row r="58" customFormat="false" ht="15" hidden="false" customHeight="false" outlineLevel="0" collapsed="false">
      <c r="A58" s="8" t="s">
        <v>179</v>
      </c>
      <c r="C58" s="6" t="s">
        <v>180</v>
      </c>
      <c r="D58" s="21" t="n">
        <f aca="false">D52+E52</f>
        <v>9106.20215496278</v>
      </c>
      <c r="E58" s="21" t="n">
        <f aca="false">D53+E53</f>
        <v>18442.232067379</v>
      </c>
      <c r="F58" s="21" t="n">
        <f aca="false">D54+E54</f>
        <v>26020.5418841412</v>
      </c>
    </row>
    <row r="59" customFormat="false" ht="15" hidden="false" customHeight="false" outlineLevel="0" collapsed="false">
      <c r="A59" s="8" t="s">
        <v>181</v>
      </c>
      <c r="C59" s="6" t="s">
        <v>182</v>
      </c>
      <c r="D59" s="21" t="n">
        <f aca="false">F52+G52</f>
        <v>2011.34213221072</v>
      </c>
      <c r="E59" s="21" t="n">
        <f aca="false">F53+G53</f>
        <v>4448.98839994123</v>
      </c>
      <c r="F59" s="21" t="n">
        <f aca="false">F54+G54</f>
        <v>5775.40452567021</v>
      </c>
    </row>
    <row r="60" customFormat="false" ht="15" hidden="false" customHeight="false" outlineLevel="0" collapsed="false">
      <c r="A60" s="8" t="s">
        <v>183</v>
      </c>
      <c r="C60" s="6" t="s">
        <v>125</v>
      </c>
      <c r="D60" s="21" t="n">
        <f aca="false">H52</f>
        <v>376</v>
      </c>
      <c r="E60" s="21" t="n">
        <f aca="false">H53</f>
        <v>893.367866004963</v>
      </c>
      <c r="F60" s="21" t="n">
        <f aca="false">H54</f>
        <v>1239.06763738845</v>
      </c>
    </row>
    <row r="61" customFormat="false" ht="15" hidden="false" customHeight="false" outlineLevel="0" collapsed="false">
      <c r="A61" s="3" t="s">
        <v>184</v>
      </c>
      <c r="B61" s="23"/>
      <c r="C61" s="23"/>
      <c r="D61" s="24" t="n">
        <f aca="false">SUM(D58:D60)</f>
        <v>11493.5442871735</v>
      </c>
      <c r="E61" s="24" t="n">
        <f aca="false">SUM(E58:E60)</f>
        <v>23784.5883333251</v>
      </c>
      <c r="F61" s="24" t="n">
        <f aca="false">SUM(F58:F60)</f>
        <v>33035.0140471998</v>
      </c>
    </row>
  </sheetData>
  <mergeCells count="1">
    <mergeCell ref="A48:M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35.0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187</v>
      </c>
      <c r="F4" s="5" t="s">
        <v>188</v>
      </c>
      <c r="G4" s="5" t="s">
        <v>189</v>
      </c>
      <c r="H4" s="5" t="s">
        <v>190</v>
      </c>
    </row>
    <row r="5" customFormat="false" ht="15" hidden="false" customHeight="false" outlineLevel="0" collapsed="false">
      <c r="A5" s="3" t="s">
        <v>191</v>
      </c>
    </row>
    <row r="6" customFormat="false" ht="30" hidden="false" customHeight="true" outlineLevel="0" collapsed="false">
      <c r="A6" s="6" t="s">
        <v>29</v>
      </c>
      <c r="B6" s="7" t="n">
        <f aca="false">Firm_Counts!D61</f>
        <v>11493.5442871735</v>
      </c>
      <c r="C6" s="7" t="n">
        <f aca="false">Firm_Counts!E61</f>
        <v>23784.5883333251</v>
      </c>
      <c r="D6" s="7" t="n">
        <f aca="false">Firm_Counts!F61</f>
        <v>33035.0140471998</v>
      </c>
      <c r="E6" s="7" t="n">
        <f aca="false">SUMIFS(Raw_Census!$D$5:$D$379,Raw_Census!$A$5:$A$379,"5132|20-49")+SUMIFS(Raw_Census!$D$5:$D$379,Raw_Census!$A$5:$A$379,"5132|50-99")+SUMIFS(Raw_Census!$D$5:$D$379,Raw_Census!$A$5:$A$379,"5132|100-249")+SUMIFS(Raw_Census!$D$5:$D$379,Raw_Census!$A$5:$A$379,"5132|250-499")+SUMIFS(Raw_Census!$D$5:$D$379,Raw_Census!$A$5:$A$379,"5132|500+")</f>
        <v>3274</v>
      </c>
      <c r="F6" s="21"/>
      <c r="G6" s="4" t="s">
        <v>192</v>
      </c>
      <c r="H6" s="4" t="s">
        <v>193</v>
      </c>
    </row>
    <row r="7" customFormat="false" ht="30" hidden="false" customHeight="true" outlineLevel="0" collapsed="false">
      <c r="A7" s="6" t="s">
        <v>194</v>
      </c>
      <c r="B7" s="31" t="n">
        <f aca="false">(SUMIFS(Raw_Census!$F$5:$F$379,Raw_Census!$A$5:$A$379,"4235|FY")+SUMIFS(Raw_Census!$F$5:$F$379,Raw_Census!$A$5:$A$379,"4236|FY")+SUMIFS(Raw_Census!$F$5:$F$379,Raw_Census!$A$5:$A$379,"4237|FY")+SUMIFS(Raw_Census!$F$5:$F$379,Raw_Census!$A$5:$A$379,"4238|FY"))/(SUMIFS(Raw_Census!$D$5:$D$379,Raw_Census!$A$5:$A$379,"4235|FY")+SUMIFS(Raw_Census!$D$5:$D$379,Raw_Census!$A$5:$A$379,"4236|FY")+SUMIFS(Raw_Census!$D$5:$D$379,Raw_Census!$A$5:$A$379,"4237|FY")+SUMIFS(Raw_Census!$D$5:$D$379,Raw_Census!$A$5:$A$379,"4238|FY"))</f>
        <v>1.66370851720738</v>
      </c>
      <c r="C7" s="31" t="n">
        <f aca="false">(SUMIFS(Raw_Census!$F$5:$F$379,Raw_Census!$A$5:$A$379,"326|FY")+SUMIFS(Raw_Census!$F$5:$F$379,Raw_Census!$A$5:$A$379,"332|FY")+SUMIFS(Raw_Census!$F$5:$F$379,Raw_Census!$A$5:$A$379,"333|FY")+SUMIFS(Raw_Census!$F$5:$F$379,Raw_Census!$A$5:$A$379,"335|FY"))/(SUMIFS(Raw_Census!$D$5:$D$379,Raw_Census!$A$5:$A$379,"326|FY")+SUMIFS(Raw_Census!$D$5:$D$379,Raw_Census!$A$5:$A$379,"332|FY")+SUMIFS(Raw_Census!$D$5:$D$379,Raw_Census!$A$5:$A$379,"333|FY")+SUMIFS(Raw_Census!$D$5:$D$379,Raw_Census!$A$5:$A$379,"335|FY"))</f>
        <v>1.1371146396703</v>
      </c>
      <c r="D7" s="31" t="n">
        <f aca="false">(SUMIFS(Raw_Census!$F$5:$F$379,Raw_Census!$A$5:$A$379,"5413|FY")+SUMIFS(Raw_Census!$F$5:$F$379,Raw_Census!$A$5:$A$379,"5415|FY")+SUMIFS(Raw_Census!$F$5:$F$379,Raw_Census!$A$5:$A$379,"5416|FY")+SUMIFS(Raw_Census!$F$5:$F$379,Raw_Census!$A$5:$A$379,"5418|FY"))/(SUMIFS(Raw_Census!$D$5:$D$379,Raw_Census!$A$5:$A$379,"5413|FY")+SUMIFS(Raw_Census!$D$5:$D$379,Raw_Census!$A$5:$A$379,"5415|FY")+SUMIFS(Raw_Census!$D$5:$D$379,Raw_Census!$A$5:$A$379,"5416|FY")+SUMIFS(Raw_Census!$D$5:$D$379,Raw_Census!$A$5:$A$379,"5418|FY"))</f>
        <v>1.15101179695253</v>
      </c>
      <c r="E7" s="31" t="n">
        <f aca="false">(SUMIFS(Raw_Census!$F$5:$F$379,Raw_Census!$A$5:$A$379,"5132|FY"))/(SUMIFS(Raw_Census!$D$5:$D$379,Raw_Census!$A$5:$A$379,"5132|FY"))</f>
        <v>1.3082947933761</v>
      </c>
      <c r="F7" s="22"/>
      <c r="G7" s="4" t="s">
        <v>195</v>
      </c>
      <c r="H7" s="4" t="s">
        <v>196</v>
      </c>
    </row>
    <row r="8" customFormat="false" ht="30" hidden="false" customHeight="true" outlineLevel="0" collapsed="false">
      <c r="A8" s="6" t="s">
        <v>197</v>
      </c>
      <c r="B8" s="12" t="n">
        <f aca="false">(SUMIFS(Raw_Census!$H$5:$H$379,Raw_Census!$A$5:$A$379,"4235|20-49")+SUMIFS(Raw_Census!$H$5:$H$379,Raw_Census!$A$5:$A$379,"4235|50-99")+SUMIFS(Raw_Census!$H$5:$H$379,Raw_Census!$A$5:$A$379,"4235|100-249")+SUMIFS(Raw_Census!$H$5:$H$379,Raw_Census!$A$5:$A$379,"4235|250-499")+SUMIFS(Raw_Census!$H$5:$H$379,Raw_Census!$A$5:$A$379,"4235|500+")+SUMIFS(Raw_Census!$H$5:$H$379,Raw_Census!$A$5:$A$379,"4236|20-49")+SUMIFS(Raw_Census!$H$5:$H$379,Raw_Census!$A$5:$A$379,"4236|50-99")+SUMIFS(Raw_Census!$H$5:$H$379,Raw_Census!$A$5:$A$379,"4236|100-249")+SUMIFS(Raw_Census!$H$5:$H$379,Raw_Census!$A$5:$A$379,"4236|250-499")+SUMIFS(Raw_Census!$H$5:$H$379,Raw_Census!$A$5:$A$379,"4236|500+")+SUMIFS(Raw_Census!$H$5:$H$379,Raw_Census!$A$5:$A$379,"4237|20-49")+SUMIFS(Raw_Census!$H$5:$H$379,Raw_Census!$A$5:$A$379,"4237|50-99")+SUMIFS(Raw_Census!$H$5:$H$379,Raw_Census!$A$5:$A$379,"4237|100-249")+SUMIFS(Raw_Census!$H$5:$H$379,Raw_Census!$A$5:$A$379,"4237|250-499")+SUMIFS(Raw_Census!$H$5:$H$379,Raw_Census!$A$5:$A$379,"4237|500+")+SUMIFS(Raw_Census!$H$5:$H$379,Raw_Census!$A$5:$A$379,"4238|20-49")+SUMIFS(Raw_Census!$H$5:$H$379,Raw_Census!$A$5:$A$379,"4238|50-99")+SUMIFS(Raw_Census!$H$5:$H$379,Raw_Census!$A$5:$A$379,"4238|100-249")+SUMIFS(Raw_Census!$H$5:$H$379,Raw_Census!$A$5:$A$379,"4238|250-499")+SUMIFS(Raw_Census!$H$5:$H$379,Raw_Census!$A$5:$A$379,"4238|500+"))/(IF(SUMIFS(Raw_Census!$H$5:$H$379,Raw_Census!$A$5:$A$379,"4235|20-49")&gt;0,SUMIFS(Raw_Census!$D$5:$D$379,Raw_Census!$A$5:$A$379,"4235|20-49"),0)+IF(SUMIFS(Raw_Census!$H$5:$H$379,Raw_Census!$A$5:$A$379,"4235|50-99")&gt;0,SUMIFS(Raw_Census!$D$5:$D$379,Raw_Census!$A$5:$A$379,"4235|50-99"),0)+IF(SUMIFS(Raw_Census!$H$5:$H$379,Raw_Census!$A$5:$A$379,"4235|100-249")&gt;0,SUMIFS(Raw_Census!$D$5:$D$379,Raw_Census!$A$5:$A$379,"4235|100-249"),0)+IF(SUMIFS(Raw_Census!$H$5:$H$379,Raw_Census!$A$5:$A$379,"4235|250-499")&gt;0,SUMIFS(Raw_Census!$D$5:$D$379,Raw_Census!$A$5:$A$379,"4235|250-499"),0)+IF(SUMIFS(Raw_Census!$H$5:$H$379,Raw_Census!$A$5:$A$379,"4235|500+")&gt;0,SUMIFS(Raw_Census!$D$5:$D$379,Raw_Census!$A$5:$A$379,"4235|500+"),0)+IF(SUMIFS(Raw_Census!$H$5:$H$379,Raw_Census!$A$5:$A$379,"4236|20-49")&gt;0,SUMIFS(Raw_Census!$D$5:$D$379,Raw_Census!$A$5:$A$379,"4236|20-49"),0)+IF(SUMIFS(Raw_Census!$H$5:$H$379,Raw_Census!$A$5:$A$379,"4236|50-99")&gt;0,SUMIFS(Raw_Census!$D$5:$D$379,Raw_Census!$A$5:$A$379,"4236|50-99"),0)+IF(SUMIFS(Raw_Census!$H$5:$H$379,Raw_Census!$A$5:$A$379,"4236|100-249")&gt;0,SUMIFS(Raw_Census!$D$5:$D$379,Raw_Census!$A$5:$A$379,"4236|100-249"),0)+IF(SUMIFS(Raw_Census!$H$5:$H$379,Raw_Census!$A$5:$A$379,"4236|250-499")&gt;0,SUMIFS(Raw_Census!$D$5:$D$379,Raw_Census!$A$5:$A$379,"4236|250-499"),0)+IF(SUMIFS(Raw_Census!$H$5:$H$379,Raw_Census!$A$5:$A$379,"4236|500+")&gt;0,SUMIFS(Raw_Census!$D$5:$D$379,Raw_Census!$A$5:$A$379,"4236|500+"),0)+IF(SUMIFS(Raw_Census!$H$5:$H$379,Raw_Census!$A$5:$A$379,"4237|20-49")&gt;0,SUMIFS(Raw_Census!$D$5:$D$379,Raw_Census!$A$5:$A$379,"4237|20-49"),0)+IF(SUMIFS(Raw_Census!$H$5:$H$379,Raw_Census!$A$5:$A$379,"4237|50-99")&gt;0,SUMIFS(Raw_Census!$D$5:$D$379,Raw_Census!$A$5:$A$379,"4237|50-99"),0)+IF(SUMIFS(Raw_Census!$H$5:$H$379,Raw_Census!$A$5:$A$379,"4237|100-249")&gt;0,SUMIFS(Raw_Census!$D$5:$D$379,Raw_Census!$A$5:$A$379,"4237|100-249"),0)+IF(SUMIFS(Raw_Census!$H$5:$H$379,Raw_Census!$A$5:$A$379,"4237|250-499")&gt;0,SUMIFS(Raw_Census!$D$5:$D$379,Raw_Census!$A$5:$A$379,"4237|250-499"),0)+IF(SUMIFS(Raw_Census!$H$5:$H$379,Raw_Census!$A$5:$A$379,"4237|500+")&gt;0,SUMIFS(Raw_Census!$D$5:$D$379,Raw_Census!$A$5:$A$379,"4237|500+"),0)+IF(SUMIFS(Raw_Census!$H$5:$H$379,Raw_Census!$A$5:$A$379,"4238|20-49")&gt;0,SUMIFS(Raw_Census!$D$5:$D$379,Raw_Census!$A$5:$A$379,"4238|20-49"),0)+IF(SUMIFS(Raw_Census!$H$5:$H$379,Raw_Census!$A$5:$A$379,"4238|50-99")&gt;0,SUMIFS(Raw_Census!$D$5:$D$379,Raw_Census!$A$5:$A$379,"4238|50-99"),0)+IF(SUMIFS(Raw_Census!$H$5:$H$379,Raw_Census!$A$5:$A$379,"4238|100-249")&gt;0,SUMIFS(Raw_Census!$D$5:$D$379,Raw_Census!$A$5:$A$379,"4238|100-249"),0)+IF(SUMIFS(Raw_Census!$H$5:$H$379,Raw_Census!$A$5:$A$379,"4238|250-499")&gt;0,SUMIFS(Raw_Census!$D$5:$D$379,Raw_Census!$A$5:$A$379,"4238|250-499"),0)+IF(SUMIFS(Raw_Census!$H$5:$H$379,Raw_Census!$A$5:$A$379,"4238|500+")&gt;0,SUMIFS(Raw_Census!$D$5:$D$379,Raw_Census!$A$5:$A$379,"4238|500+"),0))/1000</f>
        <v>166.04619185787</v>
      </c>
      <c r="C8" s="12" t="n">
        <f aca="false">(SUMIFS(Raw_Census!$H$5:$H$379,Raw_Census!$A$5:$A$379,"326|20-49")+SUMIFS(Raw_Census!$H$5:$H$379,Raw_Census!$A$5:$A$379,"326|50-99")+SUMIFS(Raw_Census!$H$5:$H$379,Raw_Census!$A$5:$A$379,"326|100-249")+SUMIFS(Raw_Census!$H$5:$H$379,Raw_Census!$A$5:$A$379,"326|250-499")+SUMIFS(Raw_Census!$H$5:$H$379,Raw_Census!$A$5:$A$379,"326|500+")+SUMIFS(Raw_Census!$H$5:$H$379,Raw_Census!$A$5:$A$379,"332|20-49")+SUMIFS(Raw_Census!$H$5:$H$379,Raw_Census!$A$5:$A$379,"332|50-99")+SUMIFS(Raw_Census!$H$5:$H$379,Raw_Census!$A$5:$A$379,"332|100-249")+SUMIFS(Raw_Census!$H$5:$H$379,Raw_Census!$A$5:$A$379,"332|250-499")+SUMIFS(Raw_Census!$H$5:$H$379,Raw_Census!$A$5:$A$379,"332|500+")+SUMIFS(Raw_Census!$H$5:$H$379,Raw_Census!$A$5:$A$379,"333|20-49")+SUMIFS(Raw_Census!$H$5:$H$379,Raw_Census!$A$5:$A$379,"333|50-99")+SUMIFS(Raw_Census!$H$5:$H$379,Raw_Census!$A$5:$A$379,"333|100-249")+SUMIFS(Raw_Census!$H$5:$H$379,Raw_Census!$A$5:$A$379,"333|250-499")+SUMIFS(Raw_Census!$H$5:$H$379,Raw_Census!$A$5:$A$379,"333|500+")+SUMIFS(Raw_Census!$H$5:$H$379,Raw_Census!$A$5:$A$379,"335|20-49")+SUMIFS(Raw_Census!$H$5:$H$379,Raw_Census!$A$5:$A$379,"335|50-99")+SUMIFS(Raw_Census!$H$5:$H$379,Raw_Census!$A$5:$A$379,"335|100-249")+SUMIFS(Raw_Census!$H$5:$H$379,Raw_Census!$A$5:$A$379,"335|250-499")+SUMIFS(Raw_Census!$H$5:$H$379,Raw_Census!$A$5:$A$379,"335|500+"))/(IF(SUMIFS(Raw_Census!$H$5:$H$379,Raw_Census!$A$5:$A$379,"326|20-49")&gt;0,SUMIFS(Raw_Census!$D$5:$D$379,Raw_Census!$A$5:$A$379,"326|20-49"),0)+IF(SUMIFS(Raw_Census!$H$5:$H$379,Raw_Census!$A$5:$A$379,"326|50-99")&gt;0,SUMIFS(Raw_Census!$D$5:$D$379,Raw_Census!$A$5:$A$379,"326|50-99"),0)+IF(SUMIFS(Raw_Census!$H$5:$H$379,Raw_Census!$A$5:$A$379,"326|100-249")&gt;0,SUMIFS(Raw_Census!$D$5:$D$379,Raw_Census!$A$5:$A$379,"326|100-249"),0)+IF(SUMIFS(Raw_Census!$H$5:$H$379,Raw_Census!$A$5:$A$379,"326|250-499")&gt;0,SUMIFS(Raw_Census!$D$5:$D$379,Raw_Census!$A$5:$A$379,"326|250-499"),0)+IF(SUMIFS(Raw_Census!$H$5:$H$379,Raw_Census!$A$5:$A$379,"326|500+")&gt;0,SUMIFS(Raw_Census!$D$5:$D$379,Raw_Census!$A$5:$A$379,"326|500+"),0)+IF(SUMIFS(Raw_Census!$H$5:$H$379,Raw_Census!$A$5:$A$379,"332|20-49")&gt;0,SUMIFS(Raw_Census!$D$5:$D$379,Raw_Census!$A$5:$A$379,"332|20-49"),0)+IF(SUMIFS(Raw_Census!$H$5:$H$379,Raw_Census!$A$5:$A$379,"332|50-99")&gt;0,SUMIFS(Raw_Census!$D$5:$D$379,Raw_Census!$A$5:$A$379,"332|50-99"),0)+IF(SUMIFS(Raw_Census!$H$5:$H$379,Raw_Census!$A$5:$A$379,"332|100-249")&gt;0,SUMIFS(Raw_Census!$D$5:$D$379,Raw_Census!$A$5:$A$379,"332|100-249"),0)+IF(SUMIFS(Raw_Census!$H$5:$H$379,Raw_Census!$A$5:$A$379,"332|250-499")&gt;0,SUMIFS(Raw_Census!$D$5:$D$379,Raw_Census!$A$5:$A$379,"332|250-499"),0)+IF(SUMIFS(Raw_Census!$H$5:$H$379,Raw_Census!$A$5:$A$379,"332|500+")&gt;0,SUMIFS(Raw_Census!$D$5:$D$379,Raw_Census!$A$5:$A$379,"332|500+"),0)+IF(SUMIFS(Raw_Census!$H$5:$H$379,Raw_Census!$A$5:$A$379,"333|20-49")&gt;0,SUMIFS(Raw_Census!$D$5:$D$379,Raw_Census!$A$5:$A$379,"333|20-49"),0)+IF(SUMIFS(Raw_Census!$H$5:$H$379,Raw_Census!$A$5:$A$379,"333|50-99")&gt;0,SUMIFS(Raw_Census!$D$5:$D$379,Raw_Census!$A$5:$A$379,"333|50-99"),0)+IF(SUMIFS(Raw_Census!$H$5:$H$379,Raw_Census!$A$5:$A$379,"333|100-249")&gt;0,SUMIFS(Raw_Census!$D$5:$D$379,Raw_Census!$A$5:$A$379,"333|100-249"),0)+IF(SUMIFS(Raw_Census!$H$5:$H$379,Raw_Census!$A$5:$A$379,"333|250-499")&gt;0,SUMIFS(Raw_Census!$D$5:$D$379,Raw_Census!$A$5:$A$379,"333|250-499"),0)+IF(SUMIFS(Raw_Census!$H$5:$H$379,Raw_Census!$A$5:$A$379,"333|500+")&gt;0,SUMIFS(Raw_Census!$D$5:$D$379,Raw_Census!$A$5:$A$379,"333|500+"),0)+IF(SUMIFS(Raw_Census!$H$5:$H$379,Raw_Census!$A$5:$A$379,"335|20-49")&gt;0,SUMIFS(Raw_Census!$D$5:$D$379,Raw_Census!$A$5:$A$379,"335|20-49"),0)+IF(SUMIFS(Raw_Census!$H$5:$H$379,Raw_Census!$A$5:$A$379,"335|50-99")&gt;0,SUMIFS(Raw_Census!$D$5:$D$379,Raw_Census!$A$5:$A$379,"335|50-99"),0)+IF(SUMIFS(Raw_Census!$H$5:$H$379,Raw_Census!$A$5:$A$379,"335|100-249")&gt;0,SUMIFS(Raw_Census!$D$5:$D$379,Raw_Census!$A$5:$A$379,"335|100-249"),0)+IF(SUMIFS(Raw_Census!$H$5:$H$379,Raw_Census!$A$5:$A$379,"335|250-499")&gt;0,SUMIFS(Raw_Census!$D$5:$D$379,Raw_Census!$A$5:$A$379,"335|250-499"),0)+IF(SUMIFS(Raw_Census!$H$5:$H$379,Raw_Census!$A$5:$A$379,"335|500+")&gt;0,SUMIFS(Raw_Census!$D$5:$D$379,Raw_Census!$A$5:$A$379,"335|500+"),0))/1000</f>
        <v>51.9373911503721</v>
      </c>
      <c r="D8" s="12" t="n">
        <f aca="false">(SUMIFS(Raw_Census!$H$5:$H$379,Raw_Census!$A$5:$A$379,"5413|20-49")+SUMIFS(Raw_Census!$H$5:$H$379,Raw_Census!$A$5:$A$379,"5413|50-99")+SUMIFS(Raw_Census!$H$5:$H$379,Raw_Census!$A$5:$A$379,"5413|100-249")+SUMIFS(Raw_Census!$H$5:$H$379,Raw_Census!$A$5:$A$379,"5413|250-499")+SUMIFS(Raw_Census!$H$5:$H$379,Raw_Census!$A$5:$A$379,"5413|500+")+SUMIFS(Raw_Census!$H$5:$H$379,Raw_Census!$A$5:$A$379,"5415|20-49")+SUMIFS(Raw_Census!$H$5:$H$379,Raw_Census!$A$5:$A$379,"5415|50-99")+SUMIFS(Raw_Census!$H$5:$H$379,Raw_Census!$A$5:$A$379,"5415|100-249")+SUMIFS(Raw_Census!$H$5:$H$379,Raw_Census!$A$5:$A$379,"5415|250-499")+SUMIFS(Raw_Census!$H$5:$H$379,Raw_Census!$A$5:$A$379,"5415|500+")+SUMIFS(Raw_Census!$H$5:$H$379,Raw_Census!$A$5:$A$379,"5416|20-49")+SUMIFS(Raw_Census!$H$5:$H$379,Raw_Census!$A$5:$A$379,"5416|50-99")+SUMIFS(Raw_Census!$H$5:$H$379,Raw_Census!$A$5:$A$379,"5416|100-249")+SUMIFS(Raw_Census!$H$5:$H$379,Raw_Census!$A$5:$A$379,"5416|250-499")+SUMIFS(Raw_Census!$H$5:$H$379,Raw_Census!$A$5:$A$379,"5416|500+")+SUMIFS(Raw_Census!$H$5:$H$379,Raw_Census!$A$5:$A$379,"5418|20-49")+SUMIFS(Raw_Census!$H$5:$H$379,Raw_Census!$A$5:$A$379,"5418|50-99")+SUMIFS(Raw_Census!$H$5:$H$379,Raw_Census!$A$5:$A$379,"5418|100-249")+SUMIFS(Raw_Census!$H$5:$H$379,Raw_Census!$A$5:$A$379,"5418|250-499")+SUMIFS(Raw_Census!$H$5:$H$379,Raw_Census!$A$5:$A$379,"5418|500+"))/(IF(SUMIFS(Raw_Census!$H$5:$H$379,Raw_Census!$A$5:$A$379,"5413|20-49")&gt;0,SUMIFS(Raw_Census!$D$5:$D$379,Raw_Census!$A$5:$A$379,"5413|20-49"),0)+IF(SUMIFS(Raw_Census!$H$5:$H$379,Raw_Census!$A$5:$A$379,"5413|50-99")&gt;0,SUMIFS(Raw_Census!$D$5:$D$379,Raw_Census!$A$5:$A$379,"5413|50-99"),0)+IF(SUMIFS(Raw_Census!$H$5:$H$379,Raw_Census!$A$5:$A$379,"5413|100-249")&gt;0,SUMIFS(Raw_Census!$D$5:$D$379,Raw_Census!$A$5:$A$379,"5413|100-249"),0)+IF(SUMIFS(Raw_Census!$H$5:$H$379,Raw_Census!$A$5:$A$379,"5413|250-499")&gt;0,SUMIFS(Raw_Census!$D$5:$D$379,Raw_Census!$A$5:$A$379,"5413|250-499"),0)+IF(SUMIFS(Raw_Census!$H$5:$H$379,Raw_Census!$A$5:$A$379,"5413|500+")&gt;0,SUMIFS(Raw_Census!$D$5:$D$379,Raw_Census!$A$5:$A$379,"5413|500+"),0)+IF(SUMIFS(Raw_Census!$H$5:$H$379,Raw_Census!$A$5:$A$379,"5415|20-49")&gt;0,SUMIFS(Raw_Census!$D$5:$D$379,Raw_Census!$A$5:$A$379,"5415|20-49"),0)+IF(SUMIFS(Raw_Census!$H$5:$H$379,Raw_Census!$A$5:$A$379,"5415|50-99")&gt;0,SUMIFS(Raw_Census!$D$5:$D$379,Raw_Census!$A$5:$A$379,"5415|50-99"),0)+IF(SUMIFS(Raw_Census!$H$5:$H$379,Raw_Census!$A$5:$A$379,"5415|100-249")&gt;0,SUMIFS(Raw_Census!$D$5:$D$379,Raw_Census!$A$5:$A$379,"5415|100-249"),0)+IF(SUMIFS(Raw_Census!$H$5:$H$379,Raw_Census!$A$5:$A$379,"5415|250-499")&gt;0,SUMIFS(Raw_Census!$D$5:$D$379,Raw_Census!$A$5:$A$379,"5415|250-499"),0)+IF(SUMIFS(Raw_Census!$H$5:$H$379,Raw_Census!$A$5:$A$379,"5415|500+")&gt;0,SUMIFS(Raw_Census!$D$5:$D$379,Raw_Census!$A$5:$A$379,"5415|500+"),0)+IF(SUMIFS(Raw_Census!$H$5:$H$379,Raw_Census!$A$5:$A$379,"5416|20-49")&gt;0,SUMIFS(Raw_Census!$D$5:$D$379,Raw_Census!$A$5:$A$379,"5416|20-49"),0)+IF(SUMIFS(Raw_Census!$H$5:$H$379,Raw_Census!$A$5:$A$379,"5416|50-99")&gt;0,SUMIFS(Raw_Census!$D$5:$D$379,Raw_Census!$A$5:$A$379,"5416|50-99"),0)+IF(SUMIFS(Raw_Census!$H$5:$H$379,Raw_Census!$A$5:$A$379,"5416|100-249")&gt;0,SUMIFS(Raw_Census!$D$5:$D$379,Raw_Census!$A$5:$A$379,"5416|100-249"),0)+IF(SUMIFS(Raw_Census!$H$5:$H$379,Raw_Census!$A$5:$A$379,"5416|250-499")&gt;0,SUMIFS(Raw_Census!$D$5:$D$379,Raw_Census!$A$5:$A$379,"5416|250-499"),0)+IF(SUMIFS(Raw_Census!$H$5:$H$379,Raw_Census!$A$5:$A$379,"5416|500+")&gt;0,SUMIFS(Raw_Census!$D$5:$D$379,Raw_Census!$A$5:$A$379,"5416|500+"),0)+IF(SUMIFS(Raw_Census!$H$5:$H$379,Raw_Census!$A$5:$A$379,"5418|20-49")&gt;0,SUMIFS(Raw_Census!$D$5:$D$379,Raw_Census!$A$5:$A$379,"5418|20-49"),0)+IF(SUMIFS(Raw_Census!$H$5:$H$379,Raw_Census!$A$5:$A$379,"5418|50-99")&gt;0,SUMIFS(Raw_Census!$D$5:$D$379,Raw_Census!$A$5:$A$379,"5418|50-99"),0)+IF(SUMIFS(Raw_Census!$H$5:$H$379,Raw_Census!$A$5:$A$379,"5418|100-249")&gt;0,SUMIFS(Raw_Census!$D$5:$D$379,Raw_Census!$A$5:$A$379,"5418|100-249"),0)+IF(SUMIFS(Raw_Census!$H$5:$H$379,Raw_Census!$A$5:$A$379,"5418|250-499")&gt;0,SUMIFS(Raw_Census!$D$5:$D$379,Raw_Census!$A$5:$A$379,"5418|250-499"),0)+IF(SUMIFS(Raw_Census!$H$5:$H$379,Raw_Census!$A$5:$A$379,"5418|500+")&gt;0,SUMIFS(Raw_Census!$D$5:$D$379,Raw_Census!$A$5:$A$379,"5418|500+"),0))/1000</f>
        <v>38.089747839772</v>
      </c>
      <c r="E8" s="12" t="n">
        <f aca="false">(SUMIFS(Raw_Census!$H$5:$H$379,Raw_Census!$A$5:$A$379,"5132|20-49")+SUMIFS(Raw_Census!$H$5:$H$379,Raw_Census!$A$5:$A$379,"5132|50-99")+SUMIFS(Raw_Census!$H$5:$H$379,Raw_Census!$A$5:$A$379,"5132|100-249")+SUMIFS(Raw_Census!$H$5:$H$379,Raw_Census!$A$5:$A$379,"5132|250-499")+SUMIFS(Raw_Census!$H$5:$H$379,Raw_Census!$A$5:$A$379,"5132|500+"))/(IF(SUMIFS(Raw_Census!$H$5:$H$379,Raw_Census!$A$5:$A$379,"5132|20-49")&gt;0,SUMIFS(Raw_Census!$D$5:$D$379,Raw_Census!$A$5:$A$379,"5132|20-49"),0)+IF(SUMIFS(Raw_Census!$H$5:$H$379,Raw_Census!$A$5:$A$379,"5132|50-99")&gt;0,SUMIFS(Raw_Census!$D$5:$D$379,Raw_Census!$A$5:$A$379,"5132|50-99"),0)+IF(SUMIFS(Raw_Census!$H$5:$H$379,Raw_Census!$A$5:$A$379,"5132|100-249")&gt;0,SUMIFS(Raw_Census!$D$5:$D$379,Raw_Census!$A$5:$A$379,"5132|100-249"),0)+IF(SUMIFS(Raw_Census!$H$5:$H$379,Raw_Census!$A$5:$A$379,"5132|250-499")&gt;0,SUMIFS(Raw_Census!$D$5:$D$379,Raw_Census!$A$5:$A$379,"5132|250-499"),0)+IF(SUMIFS(Raw_Census!$H$5:$H$379,Raw_Census!$A$5:$A$379,"5132|500+")&gt;0,SUMIFS(Raw_Census!$D$5:$D$379,Raw_Census!$A$5:$A$379,"5132|500+"),0))/1000</f>
        <v>144.173642333537</v>
      </c>
      <c r="F8" s="28"/>
      <c r="G8" s="4" t="s">
        <v>198</v>
      </c>
      <c r="H8" s="4" t="s">
        <v>199</v>
      </c>
    </row>
    <row r="9" customFormat="false" ht="30" hidden="false" customHeight="true" outlineLevel="0" collapsed="false">
      <c r="A9" s="6" t="s">
        <v>200</v>
      </c>
      <c r="B9" s="12" t="n">
        <f aca="false">(SUMIFS(Raw_Census!$H$5:$H$379,Raw_Census!$A$5:$A$379,"4235|20-49")+SUMIFS(Raw_Census!$H$5:$H$379,Raw_Census!$A$5:$A$379,"4235|50-99")+SUMIFS(Raw_Census!$H$5:$H$379,Raw_Census!$A$5:$A$379,"4236|20-49")+SUMIFS(Raw_Census!$H$5:$H$379,Raw_Census!$A$5:$A$379,"4236|50-99")+SUMIFS(Raw_Census!$H$5:$H$379,Raw_Census!$A$5:$A$379,"4237|20-49")+SUMIFS(Raw_Census!$H$5:$H$379,Raw_Census!$A$5:$A$379,"4237|50-99")+SUMIFS(Raw_Census!$H$5:$H$379,Raw_Census!$A$5:$A$379,"4238|20-49")+SUMIFS(Raw_Census!$H$5:$H$379,Raw_Census!$A$5:$A$379,"4238|50-99"))/(IF(SUMIFS(Raw_Census!$H$5:$H$379,Raw_Census!$A$5:$A$379,"4235|20-49")&gt;0,SUMIFS(Raw_Census!$D$5:$D$379,Raw_Census!$A$5:$A$379,"4235|20-49"),0)+IF(SUMIFS(Raw_Census!$H$5:$H$379,Raw_Census!$A$5:$A$379,"4235|50-99")&gt;0,SUMIFS(Raw_Census!$D$5:$D$379,Raw_Census!$A$5:$A$379,"4235|50-99"),0)+IF(SUMIFS(Raw_Census!$H$5:$H$379,Raw_Census!$A$5:$A$379,"4236|20-49")&gt;0,SUMIFS(Raw_Census!$D$5:$D$379,Raw_Census!$A$5:$A$379,"4236|20-49"),0)+IF(SUMIFS(Raw_Census!$H$5:$H$379,Raw_Census!$A$5:$A$379,"4236|50-99")&gt;0,SUMIFS(Raw_Census!$D$5:$D$379,Raw_Census!$A$5:$A$379,"4236|50-99"),0)+IF(SUMIFS(Raw_Census!$H$5:$H$379,Raw_Census!$A$5:$A$379,"4237|20-49")&gt;0,SUMIFS(Raw_Census!$D$5:$D$379,Raw_Census!$A$5:$A$379,"4237|20-49"),0)+IF(SUMIFS(Raw_Census!$H$5:$H$379,Raw_Census!$A$5:$A$379,"4237|50-99")&gt;0,SUMIFS(Raw_Census!$D$5:$D$379,Raw_Census!$A$5:$A$379,"4237|50-99"),0)+IF(SUMIFS(Raw_Census!$H$5:$H$379,Raw_Census!$A$5:$A$379,"4238|20-49")&gt;0,SUMIFS(Raw_Census!$D$5:$D$379,Raw_Census!$A$5:$A$379,"4238|20-49"),0)+IF(SUMIFS(Raw_Census!$H$5:$H$379,Raw_Census!$A$5:$A$379,"4238|50-99")&gt;0,SUMIFS(Raw_Census!$D$5:$D$379,Raw_Census!$A$5:$A$379,"4238|50-99"),0))/1000</f>
        <v>40.5726686239752</v>
      </c>
      <c r="C9" s="12" t="n">
        <f aca="false">(SUMIFS(Raw_Census!$H$5:$H$379,Raw_Census!$A$5:$A$379,"326|20-49")+SUMIFS(Raw_Census!$H$5:$H$379,Raw_Census!$A$5:$A$379,"326|50-99")+SUMIFS(Raw_Census!$H$5:$H$379,Raw_Census!$A$5:$A$379,"332|20-49")+SUMIFS(Raw_Census!$H$5:$H$379,Raw_Census!$A$5:$A$379,"332|50-99")+SUMIFS(Raw_Census!$H$5:$H$379,Raw_Census!$A$5:$A$379,"333|20-49")+SUMIFS(Raw_Census!$H$5:$H$379,Raw_Census!$A$5:$A$379,"333|50-99")+SUMIFS(Raw_Census!$H$5:$H$379,Raw_Census!$A$5:$A$379,"335|20-49")+SUMIFS(Raw_Census!$H$5:$H$379,Raw_Census!$A$5:$A$379,"335|50-99"))/(IF(SUMIFS(Raw_Census!$H$5:$H$379,Raw_Census!$A$5:$A$379,"326|20-49")&gt;0,SUMIFS(Raw_Census!$D$5:$D$379,Raw_Census!$A$5:$A$379,"326|20-49"),0)+IF(SUMIFS(Raw_Census!$H$5:$H$379,Raw_Census!$A$5:$A$379,"326|50-99")&gt;0,SUMIFS(Raw_Census!$D$5:$D$379,Raw_Census!$A$5:$A$379,"326|50-99"),0)+IF(SUMIFS(Raw_Census!$H$5:$H$379,Raw_Census!$A$5:$A$379,"332|20-49")&gt;0,SUMIFS(Raw_Census!$D$5:$D$379,Raw_Census!$A$5:$A$379,"332|20-49"),0)+IF(SUMIFS(Raw_Census!$H$5:$H$379,Raw_Census!$A$5:$A$379,"332|50-99")&gt;0,SUMIFS(Raw_Census!$D$5:$D$379,Raw_Census!$A$5:$A$379,"332|50-99"),0)+IF(SUMIFS(Raw_Census!$H$5:$H$379,Raw_Census!$A$5:$A$379,"333|20-49")&gt;0,SUMIFS(Raw_Census!$D$5:$D$379,Raw_Census!$A$5:$A$379,"333|20-49"),0)+IF(SUMIFS(Raw_Census!$H$5:$H$379,Raw_Census!$A$5:$A$379,"333|50-99")&gt;0,SUMIFS(Raw_Census!$D$5:$D$379,Raw_Census!$A$5:$A$379,"333|50-99"),0)+IF(SUMIFS(Raw_Census!$H$5:$H$379,Raw_Census!$A$5:$A$379,"335|20-49")&gt;0,SUMIFS(Raw_Census!$D$5:$D$379,Raw_Census!$A$5:$A$379,"335|20-49"),0)+IF(SUMIFS(Raw_Census!$H$5:$H$379,Raw_Census!$A$5:$A$379,"335|50-99")&gt;0,SUMIFS(Raw_Census!$D$5:$D$379,Raw_Census!$A$5:$A$379,"335|50-99"),0))/1000</f>
        <v>11.7481740894901</v>
      </c>
      <c r="D9" s="12" t="n">
        <f aca="false">(SUMIFS(Raw_Census!$H$5:$H$379,Raw_Census!$A$5:$A$379,"5413|20-49")+SUMIFS(Raw_Census!$H$5:$H$379,Raw_Census!$A$5:$A$379,"5413|50-99")+SUMIFS(Raw_Census!$H$5:$H$379,Raw_Census!$A$5:$A$379,"5415|20-49")+SUMIFS(Raw_Census!$H$5:$H$379,Raw_Census!$A$5:$A$379,"5415|50-99")+SUMIFS(Raw_Census!$H$5:$H$379,Raw_Census!$A$5:$A$379,"5416|20-49")+SUMIFS(Raw_Census!$H$5:$H$379,Raw_Census!$A$5:$A$379,"5416|50-99")+SUMIFS(Raw_Census!$H$5:$H$379,Raw_Census!$A$5:$A$379,"5418|20-49")+SUMIFS(Raw_Census!$H$5:$H$379,Raw_Census!$A$5:$A$379,"5418|50-99"))/(IF(SUMIFS(Raw_Census!$H$5:$H$379,Raw_Census!$A$5:$A$379,"5413|20-49")&gt;0,SUMIFS(Raw_Census!$D$5:$D$379,Raw_Census!$A$5:$A$379,"5413|20-49"),0)+IF(SUMIFS(Raw_Census!$H$5:$H$379,Raw_Census!$A$5:$A$379,"5413|50-99")&gt;0,SUMIFS(Raw_Census!$D$5:$D$379,Raw_Census!$A$5:$A$379,"5413|50-99"),0)+IF(SUMIFS(Raw_Census!$H$5:$H$379,Raw_Census!$A$5:$A$379,"5415|20-49")&gt;0,SUMIFS(Raw_Census!$D$5:$D$379,Raw_Census!$A$5:$A$379,"5415|20-49"),0)+IF(SUMIFS(Raw_Census!$H$5:$H$379,Raw_Census!$A$5:$A$379,"5415|50-99")&gt;0,SUMIFS(Raw_Census!$D$5:$D$379,Raw_Census!$A$5:$A$379,"5415|50-99"),0)+IF(SUMIFS(Raw_Census!$H$5:$H$379,Raw_Census!$A$5:$A$379,"5416|20-49")&gt;0,SUMIFS(Raw_Census!$D$5:$D$379,Raw_Census!$A$5:$A$379,"5416|20-49"),0)+IF(SUMIFS(Raw_Census!$H$5:$H$379,Raw_Census!$A$5:$A$379,"5416|50-99")&gt;0,SUMIFS(Raw_Census!$D$5:$D$379,Raw_Census!$A$5:$A$379,"5416|50-99"),0)+IF(SUMIFS(Raw_Census!$H$5:$H$379,Raw_Census!$A$5:$A$379,"5418|20-49")&gt;0,SUMIFS(Raw_Census!$D$5:$D$379,Raw_Census!$A$5:$A$379,"5418|20-49"),0)+IF(SUMIFS(Raw_Census!$H$5:$H$379,Raw_Census!$A$5:$A$379,"5418|50-99")&gt;0,SUMIFS(Raw_Census!$D$5:$D$379,Raw_Census!$A$5:$A$379,"5418|50-99"),0))/1000</f>
        <v>10.0918367609741</v>
      </c>
      <c r="E9" s="12" t="n">
        <f aca="false">(SUMIFS(Raw_Census!$H$5:$H$379,Raw_Census!$A$5:$A$379,"5132|20-49")+SUMIFS(Raw_Census!$H$5:$H$379,Raw_Census!$A$5:$A$379,"5132|50-99"))/(IF(SUMIFS(Raw_Census!$H$5:$H$379,Raw_Census!$A$5:$A$379,"5132|20-49")&gt;0,SUMIFS(Raw_Census!$D$5:$D$379,Raw_Census!$A$5:$A$379,"5132|20-49"),0)+IF(SUMIFS(Raw_Census!$H$5:$H$379,Raw_Census!$A$5:$A$379,"5132|50-99")&gt;0,SUMIFS(Raw_Census!$D$5:$D$379,Raw_Census!$A$5:$A$379,"5132|50-99"),0))/1000</f>
        <v>13.6386123006834</v>
      </c>
      <c r="F9" s="28"/>
      <c r="G9" s="4" t="s">
        <v>198</v>
      </c>
      <c r="H9" s="4" t="s">
        <v>201</v>
      </c>
    </row>
    <row r="10" customFormat="false" ht="30" hidden="false" customHeight="true" outlineLevel="0" collapsed="false">
      <c r="A10" s="6" t="s">
        <v>202</v>
      </c>
      <c r="B10" s="7" t="n">
        <f aca="false">(SUMIFS(Raw_Census!$G$5:$G$379,Raw_Census!$A$5:$A$379,"4235|20-49")+SUMIFS(Raw_Census!$G$5:$G$379,Raw_Census!$A$5:$A$379,"4235|50-99")+SUMIFS(Raw_Census!$G$5:$G$379,Raw_Census!$A$5:$A$379,"4235|100-249")+SUMIFS(Raw_Census!$G$5:$G$379,Raw_Census!$A$5:$A$379,"4235|250-499")+SUMIFS(Raw_Census!$G$5:$G$379,Raw_Census!$A$5:$A$379,"4235|500+")+SUMIFS(Raw_Census!$G$5:$G$379,Raw_Census!$A$5:$A$379,"4236|20-49")+SUMIFS(Raw_Census!$G$5:$G$379,Raw_Census!$A$5:$A$379,"4236|50-99")+SUMIFS(Raw_Census!$G$5:$G$379,Raw_Census!$A$5:$A$379,"4236|100-249")+SUMIFS(Raw_Census!$G$5:$G$379,Raw_Census!$A$5:$A$379,"4236|250-499")+SUMIFS(Raw_Census!$G$5:$G$379,Raw_Census!$A$5:$A$379,"4236|500+")+SUMIFS(Raw_Census!$G$5:$G$379,Raw_Census!$A$5:$A$379,"4237|20-49")+SUMIFS(Raw_Census!$G$5:$G$379,Raw_Census!$A$5:$A$379,"4237|50-99")+SUMIFS(Raw_Census!$G$5:$G$379,Raw_Census!$A$5:$A$379,"4237|100-249")+SUMIFS(Raw_Census!$G$5:$G$379,Raw_Census!$A$5:$A$379,"4237|250-499")+SUMIFS(Raw_Census!$G$5:$G$379,Raw_Census!$A$5:$A$379,"4237|500+")+SUMIFS(Raw_Census!$G$5:$G$379,Raw_Census!$A$5:$A$379,"4238|20-49")+SUMIFS(Raw_Census!$G$5:$G$379,Raw_Census!$A$5:$A$379,"4238|50-99")+SUMIFS(Raw_Census!$G$5:$G$379,Raw_Census!$A$5:$A$379,"4238|100-249")+SUMIFS(Raw_Census!$G$5:$G$379,Raw_Census!$A$5:$A$379,"4238|250-499")+SUMIFS(Raw_Census!$G$5:$G$379,Raw_Census!$A$5:$A$379,"4238|500+"))/(IF(SUMIFS(Raw_Census!$G$5:$G$379,Raw_Census!$A$5:$A$379,"4235|20-49")&gt;0,SUMIFS(Raw_Census!$D$5:$D$379,Raw_Census!$A$5:$A$379,"4235|20-49"),0)+IF(SUMIFS(Raw_Census!$G$5:$G$379,Raw_Census!$A$5:$A$379,"4235|50-99")&gt;0,SUMIFS(Raw_Census!$D$5:$D$379,Raw_Census!$A$5:$A$379,"4235|50-99"),0)+IF(SUMIFS(Raw_Census!$G$5:$G$379,Raw_Census!$A$5:$A$379,"4235|100-249")&gt;0,SUMIFS(Raw_Census!$D$5:$D$379,Raw_Census!$A$5:$A$379,"4235|100-249"),0)+IF(SUMIFS(Raw_Census!$G$5:$G$379,Raw_Census!$A$5:$A$379,"4235|250-499")&gt;0,SUMIFS(Raw_Census!$D$5:$D$379,Raw_Census!$A$5:$A$379,"4235|250-499"),0)+IF(SUMIFS(Raw_Census!$G$5:$G$379,Raw_Census!$A$5:$A$379,"4235|500+")&gt;0,SUMIFS(Raw_Census!$D$5:$D$379,Raw_Census!$A$5:$A$379,"4235|500+"),0)+IF(SUMIFS(Raw_Census!$G$5:$G$379,Raw_Census!$A$5:$A$379,"4236|20-49")&gt;0,SUMIFS(Raw_Census!$D$5:$D$379,Raw_Census!$A$5:$A$379,"4236|20-49"),0)+IF(SUMIFS(Raw_Census!$G$5:$G$379,Raw_Census!$A$5:$A$379,"4236|50-99")&gt;0,SUMIFS(Raw_Census!$D$5:$D$379,Raw_Census!$A$5:$A$379,"4236|50-99"),0)+IF(SUMIFS(Raw_Census!$G$5:$G$379,Raw_Census!$A$5:$A$379,"4236|100-249")&gt;0,SUMIFS(Raw_Census!$D$5:$D$379,Raw_Census!$A$5:$A$379,"4236|100-249"),0)+IF(SUMIFS(Raw_Census!$G$5:$G$379,Raw_Census!$A$5:$A$379,"4236|250-499")&gt;0,SUMIFS(Raw_Census!$D$5:$D$379,Raw_Census!$A$5:$A$379,"4236|250-499"),0)+IF(SUMIFS(Raw_Census!$G$5:$G$379,Raw_Census!$A$5:$A$379,"4236|500+")&gt;0,SUMIFS(Raw_Census!$D$5:$D$379,Raw_Census!$A$5:$A$379,"4236|500+"),0)+IF(SUMIFS(Raw_Census!$G$5:$G$379,Raw_Census!$A$5:$A$379,"4237|20-49")&gt;0,SUMIFS(Raw_Census!$D$5:$D$379,Raw_Census!$A$5:$A$379,"4237|20-49"),0)+IF(SUMIFS(Raw_Census!$G$5:$G$379,Raw_Census!$A$5:$A$379,"4237|50-99")&gt;0,SUMIFS(Raw_Census!$D$5:$D$379,Raw_Census!$A$5:$A$379,"4237|50-99"),0)+IF(SUMIFS(Raw_Census!$G$5:$G$379,Raw_Census!$A$5:$A$379,"4237|100-249")&gt;0,SUMIFS(Raw_Census!$D$5:$D$379,Raw_Census!$A$5:$A$379,"4237|100-249"),0)+IF(SUMIFS(Raw_Census!$G$5:$G$379,Raw_Census!$A$5:$A$379,"4237|250-499")&gt;0,SUMIFS(Raw_Census!$D$5:$D$379,Raw_Census!$A$5:$A$379,"4237|250-499"),0)+IF(SUMIFS(Raw_Census!$G$5:$G$379,Raw_Census!$A$5:$A$379,"4237|500+")&gt;0,SUMIFS(Raw_Census!$D$5:$D$379,Raw_Census!$A$5:$A$379,"4237|500+"),0)+IF(SUMIFS(Raw_Census!$G$5:$G$379,Raw_Census!$A$5:$A$379,"4238|20-49")&gt;0,SUMIFS(Raw_Census!$D$5:$D$379,Raw_Census!$A$5:$A$379,"4238|20-49"),0)+IF(SUMIFS(Raw_Census!$G$5:$G$379,Raw_Census!$A$5:$A$379,"4238|50-99")&gt;0,SUMIFS(Raw_Census!$D$5:$D$379,Raw_Census!$A$5:$A$379,"4238|50-99"),0)+IF(SUMIFS(Raw_Census!$G$5:$G$379,Raw_Census!$A$5:$A$379,"4238|100-249")&gt;0,SUMIFS(Raw_Census!$D$5:$D$379,Raw_Census!$A$5:$A$379,"4238|100-249"),0)+IF(SUMIFS(Raw_Census!$G$5:$G$379,Raw_Census!$A$5:$A$379,"4238|250-499")&gt;0,SUMIFS(Raw_Census!$D$5:$D$379,Raw_Census!$A$5:$A$379,"4238|250-499"),0)+IF(SUMIFS(Raw_Census!$G$5:$G$379,Raw_Census!$A$5:$A$379,"4238|500+")&gt;0,SUMIFS(Raw_Census!$D$5:$D$379,Raw_Census!$A$5:$A$379,"4238|500+"),0))</f>
        <v>126.143826444068</v>
      </c>
      <c r="C10" s="7" t="n">
        <f aca="false">(SUMIFS(Raw_Census!$G$5:$G$379,Raw_Census!$A$5:$A$379,"326|20-49")+SUMIFS(Raw_Census!$G$5:$G$379,Raw_Census!$A$5:$A$379,"326|50-99")+SUMIFS(Raw_Census!$G$5:$G$379,Raw_Census!$A$5:$A$379,"326|100-249")+SUMIFS(Raw_Census!$G$5:$G$379,Raw_Census!$A$5:$A$379,"326|250-499")+SUMIFS(Raw_Census!$G$5:$G$379,Raw_Census!$A$5:$A$379,"326|500+")+SUMIFS(Raw_Census!$G$5:$G$379,Raw_Census!$A$5:$A$379,"332|20-49")+SUMIFS(Raw_Census!$G$5:$G$379,Raw_Census!$A$5:$A$379,"332|50-99")+SUMIFS(Raw_Census!$G$5:$G$379,Raw_Census!$A$5:$A$379,"332|100-249")+SUMIFS(Raw_Census!$G$5:$G$379,Raw_Census!$A$5:$A$379,"332|250-499")+SUMIFS(Raw_Census!$G$5:$G$379,Raw_Census!$A$5:$A$379,"332|500+")+SUMIFS(Raw_Census!$G$5:$G$379,Raw_Census!$A$5:$A$379,"333|20-49")+SUMIFS(Raw_Census!$G$5:$G$379,Raw_Census!$A$5:$A$379,"333|50-99")+SUMIFS(Raw_Census!$G$5:$G$379,Raw_Census!$A$5:$A$379,"333|100-249")+SUMIFS(Raw_Census!$G$5:$G$379,Raw_Census!$A$5:$A$379,"333|250-499")+SUMIFS(Raw_Census!$G$5:$G$379,Raw_Census!$A$5:$A$379,"333|500+")+SUMIFS(Raw_Census!$G$5:$G$379,Raw_Census!$A$5:$A$379,"335|20-49")+SUMIFS(Raw_Census!$G$5:$G$379,Raw_Census!$A$5:$A$379,"335|50-99")+SUMIFS(Raw_Census!$G$5:$G$379,Raw_Census!$A$5:$A$379,"335|100-249")+SUMIFS(Raw_Census!$G$5:$G$379,Raw_Census!$A$5:$A$379,"335|250-499")+SUMIFS(Raw_Census!$G$5:$G$379,Raw_Census!$A$5:$A$379,"335|500+"))/(IF(SUMIFS(Raw_Census!$G$5:$G$379,Raw_Census!$A$5:$A$379,"326|20-49")&gt;0,SUMIFS(Raw_Census!$D$5:$D$379,Raw_Census!$A$5:$A$379,"326|20-49"),0)+IF(SUMIFS(Raw_Census!$G$5:$G$379,Raw_Census!$A$5:$A$379,"326|50-99")&gt;0,SUMIFS(Raw_Census!$D$5:$D$379,Raw_Census!$A$5:$A$379,"326|50-99"),0)+IF(SUMIFS(Raw_Census!$G$5:$G$379,Raw_Census!$A$5:$A$379,"326|100-249")&gt;0,SUMIFS(Raw_Census!$D$5:$D$379,Raw_Census!$A$5:$A$379,"326|100-249"),0)+IF(SUMIFS(Raw_Census!$G$5:$G$379,Raw_Census!$A$5:$A$379,"326|250-499")&gt;0,SUMIFS(Raw_Census!$D$5:$D$379,Raw_Census!$A$5:$A$379,"326|250-499"),0)+IF(SUMIFS(Raw_Census!$G$5:$G$379,Raw_Census!$A$5:$A$379,"326|500+")&gt;0,SUMIFS(Raw_Census!$D$5:$D$379,Raw_Census!$A$5:$A$379,"326|500+"),0)+IF(SUMIFS(Raw_Census!$G$5:$G$379,Raw_Census!$A$5:$A$379,"332|20-49")&gt;0,SUMIFS(Raw_Census!$D$5:$D$379,Raw_Census!$A$5:$A$379,"332|20-49"),0)+IF(SUMIFS(Raw_Census!$G$5:$G$379,Raw_Census!$A$5:$A$379,"332|50-99")&gt;0,SUMIFS(Raw_Census!$D$5:$D$379,Raw_Census!$A$5:$A$379,"332|50-99"),0)+IF(SUMIFS(Raw_Census!$G$5:$G$379,Raw_Census!$A$5:$A$379,"332|100-249")&gt;0,SUMIFS(Raw_Census!$D$5:$D$379,Raw_Census!$A$5:$A$379,"332|100-249"),0)+IF(SUMIFS(Raw_Census!$G$5:$G$379,Raw_Census!$A$5:$A$379,"332|250-499")&gt;0,SUMIFS(Raw_Census!$D$5:$D$379,Raw_Census!$A$5:$A$379,"332|250-499"),0)+IF(SUMIFS(Raw_Census!$G$5:$G$379,Raw_Census!$A$5:$A$379,"332|500+")&gt;0,SUMIFS(Raw_Census!$D$5:$D$379,Raw_Census!$A$5:$A$379,"332|500+"),0)+IF(SUMIFS(Raw_Census!$G$5:$G$379,Raw_Census!$A$5:$A$379,"333|20-49")&gt;0,SUMIFS(Raw_Census!$D$5:$D$379,Raw_Census!$A$5:$A$379,"333|20-49"),0)+IF(SUMIFS(Raw_Census!$G$5:$G$379,Raw_Census!$A$5:$A$379,"333|50-99")&gt;0,SUMIFS(Raw_Census!$D$5:$D$379,Raw_Census!$A$5:$A$379,"333|50-99"),0)+IF(SUMIFS(Raw_Census!$G$5:$G$379,Raw_Census!$A$5:$A$379,"333|100-249")&gt;0,SUMIFS(Raw_Census!$D$5:$D$379,Raw_Census!$A$5:$A$379,"333|100-249"),0)+IF(SUMIFS(Raw_Census!$G$5:$G$379,Raw_Census!$A$5:$A$379,"333|250-499")&gt;0,SUMIFS(Raw_Census!$D$5:$D$379,Raw_Census!$A$5:$A$379,"333|250-499"),0)+IF(SUMIFS(Raw_Census!$G$5:$G$379,Raw_Census!$A$5:$A$379,"333|500+")&gt;0,SUMIFS(Raw_Census!$D$5:$D$379,Raw_Census!$A$5:$A$379,"333|500+"),0)+IF(SUMIFS(Raw_Census!$G$5:$G$379,Raw_Census!$A$5:$A$379,"335|20-49")&gt;0,SUMIFS(Raw_Census!$D$5:$D$379,Raw_Census!$A$5:$A$379,"335|20-49"),0)+IF(SUMIFS(Raw_Census!$G$5:$G$379,Raw_Census!$A$5:$A$379,"335|50-99")&gt;0,SUMIFS(Raw_Census!$D$5:$D$379,Raw_Census!$A$5:$A$379,"335|50-99"),0)+IF(SUMIFS(Raw_Census!$G$5:$G$379,Raw_Census!$A$5:$A$379,"335|100-249")&gt;0,SUMIFS(Raw_Census!$D$5:$D$379,Raw_Census!$A$5:$A$379,"335|100-249"),0)+IF(SUMIFS(Raw_Census!$G$5:$G$379,Raw_Census!$A$5:$A$379,"335|250-499")&gt;0,SUMIFS(Raw_Census!$D$5:$D$379,Raw_Census!$A$5:$A$379,"335|250-499"),0)+IF(SUMIFS(Raw_Census!$G$5:$G$379,Raw_Census!$A$5:$A$379,"335|500+")&gt;0,SUMIFS(Raw_Census!$D$5:$D$379,Raw_Census!$A$5:$A$379,"335|500+"),0))</f>
        <v>133.246229756078</v>
      </c>
      <c r="D10" s="7" t="n">
        <f aca="false">(SUMIFS(Raw_Census!$G$5:$G$379,Raw_Census!$A$5:$A$379,"5413|20-49")+SUMIFS(Raw_Census!$G$5:$G$379,Raw_Census!$A$5:$A$379,"5413|50-99")+SUMIFS(Raw_Census!$G$5:$G$379,Raw_Census!$A$5:$A$379,"5413|100-249")+SUMIFS(Raw_Census!$G$5:$G$379,Raw_Census!$A$5:$A$379,"5413|250-499")+SUMIFS(Raw_Census!$G$5:$G$379,Raw_Census!$A$5:$A$379,"5413|500+")+SUMIFS(Raw_Census!$G$5:$G$379,Raw_Census!$A$5:$A$379,"5415|20-49")+SUMIFS(Raw_Census!$G$5:$G$379,Raw_Census!$A$5:$A$379,"5415|50-99")+SUMIFS(Raw_Census!$G$5:$G$379,Raw_Census!$A$5:$A$379,"5415|100-249")+SUMIFS(Raw_Census!$G$5:$G$379,Raw_Census!$A$5:$A$379,"5415|250-499")+SUMIFS(Raw_Census!$G$5:$G$379,Raw_Census!$A$5:$A$379,"5415|500+")+SUMIFS(Raw_Census!$G$5:$G$379,Raw_Census!$A$5:$A$379,"5416|20-49")+SUMIFS(Raw_Census!$G$5:$G$379,Raw_Census!$A$5:$A$379,"5416|50-99")+SUMIFS(Raw_Census!$G$5:$G$379,Raw_Census!$A$5:$A$379,"5416|100-249")+SUMIFS(Raw_Census!$G$5:$G$379,Raw_Census!$A$5:$A$379,"5416|250-499")+SUMIFS(Raw_Census!$G$5:$G$379,Raw_Census!$A$5:$A$379,"5416|500+")+SUMIFS(Raw_Census!$G$5:$G$379,Raw_Census!$A$5:$A$379,"5418|20-49")+SUMIFS(Raw_Census!$G$5:$G$379,Raw_Census!$A$5:$A$379,"5418|50-99")+SUMIFS(Raw_Census!$G$5:$G$379,Raw_Census!$A$5:$A$379,"5418|100-249")+SUMIFS(Raw_Census!$G$5:$G$379,Raw_Census!$A$5:$A$379,"5418|250-499")+SUMIFS(Raw_Census!$G$5:$G$379,Raw_Census!$A$5:$A$379,"5418|500+"))/(IF(SUMIFS(Raw_Census!$G$5:$G$379,Raw_Census!$A$5:$A$379,"5413|20-49")&gt;0,SUMIFS(Raw_Census!$D$5:$D$379,Raw_Census!$A$5:$A$379,"5413|20-49"),0)+IF(SUMIFS(Raw_Census!$G$5:$G$379,Raw_Census!$A$5:$A$379,"5413|50-99")&gt;0,SUMIFS(Raw_Census!$D$5:$D$379,Raw_Census!$A$5:$A$379,"5413|50-99"),0)+IF(SUMIFS(Raw_Census!$G$5:$G$379,Raw_Census!$A$5:$A$379,"5413|100-249")&gt;0,SUMIFS(Raw_Census!$D$5:$D$379,Raw_Census!$A$5:$A$379,"5413|100-249"),0)+IF(SUMIFS(Raw_Census!$G$5:$G$379,Raw_Census!$A$5:$A$379,"5413|250-499")&gt;0,SUMIFS(Raw_Census!$D$5:$D$379,Raw_Census!$A$5:$A$379,"5413|250-499"),0)+IF(SUMIFS(Raw_Census!$G$5:$G$379,Raw_Census!$A$5:$A$379,"5413|500+")&gt;0,SUMIFS(Raw_Census!$D$5:$D$379,Raw_Census!$A$5:$A$379,"5413|500+"),0)+IF(SUMIFS(Raw_Census!$G$5:$G$379,Raw_Census!$A$5:$A$379,"5415|20-49")&gt;0,SUMIFS(Raw_Census!$D$5:$D$379,Raw_Census!$A$5:$A$379,"5415|20-49"),0)+IF(SUMIFS(Raw_Census!$G$5:$G$379,Raw_Census!$A$5:$A$379,"5415|50-99")&gt;0,SUMIFS(Raw_Census!$D$5:$D$379,Raw_Census!$A$5:$A$379,"5415|50-99"),0)+IF(SUMIFS(Raw_Census!$G$5:$G$379,Raw_Census!$A$5:$A$379,"5415|100-249")&gt;0,SUMIFS(Raw_Census!$D$5:$D$379,Raw_Census!$A$5:$A$379,"5415|100-249"),0)+IF(SUMIFS(Raw_Census!$G$5:$G$379,Raw_Census!$A$5:$A$379,"5415|250-499")&gt;0,SUMIFS(Raw_Census!$D$5:$D$379,Raw_Census!$A$5:$A$379,"5415|250-499"),0)+IF(SUMIFS(Raw_Census!$G$5:$G$379,Raw_Census!$A$5:$A$379,"5415|500+")&gt;0,SUMIFS(Raw_Census!$D$5:$D$379,Raw_Census!$A$5:$A$379,"5415|500+"),0)+IF(SUMIFS(Raw_Census!$G$5:$G$379,Raw_Census!$A$5:$A$379,"5416|20-49")&gt;0,SUMIFS(Raw_Census!$D$5:$D$379,Raw_Census!$A$5:$A$379,"5416|20-49"),0)+IF(SUMIFS(Raw_Census!$G$5:$G$379,Raw_Census!$A$5:$A$379,"5416|50-99")&gt;0,SUMIFS(Raw_Census!$D$5:$D$379,Raw_Census!$A$5:$A$379,"5416|50-99"),0)+IF(SUMIFS(Raw_Census!$G$5:$G$379,Raw_Census!$A$5:$A$379,"5416|100-249")&gt;0,SUMIFS(Raw_Census!$D$5:$D$379,Raw_Census!$A$5:$A$379,"5416|100-249"),0)+IF(SUMIFS(Raw_Census!$G$5:$G$379,Raw_Census!$A$5:$A$379,"5416|250-499")&gt;0,SUMIFS(Raw_Census!$D$5:$D$379,Raw_Census!$A$5:$A$379,"5416|250-499"),0)+IF(SUMIFS(Raw_Census!$G$5:$G$379,Raw_Census!$A$5:$A$379,"5416|500+")&gt;0,SUMIFS(Raw_Census!$D$5:$D$379,Raw_Census!$A$5:$A$379,"5416|500+"),0)+IF(SUMIFS(Raw_Census!$G$5:$G$379,Raw_Census!$A$5:$A$379,"5418|20-49")&gt;0,SUMIFS(Raw_Census!$D$5:$D$379,Raw_Census!$A$5:$A$379,"5418|20-49"),0)+IF(SUMIFS(Raw_Census!$G$5:$G$379,Raw_Census!$A$5:$A$379,"5418|50-99")&gt;0,SUMIFS(Raw_Census!$D$5:$D$379,Raw_Census!$A$5:$A$379,"5418|50-99"),0)+IF(SUMIFS(Raw_Census!$G$5:$G$379,Raw_Census!$A$5:$A$379,"5418|100-249")&gt;0,SUMIFS(Raw_Census!$D$5:$D$379,Raw_Census!$A$5:$A$379,"5418|100-249"),0)+IF(SUMIFS(Raw_Census!$G$5:$G$379,Raw_Census!$A$5:$A$379,"5418|250-499")&gt;0,SUMIFS(Raw_Census!$D$5:$D$379,Raw_Census!$A$5:$A$379,"5418|250-499"),0)+IF(SUMIFS(Raw_Census!$G$5:$G$379,Raw_Census!$A$5:$A$379,"5418|500+")&gt;0,SUMIFS(Raw_Census!$D$5:$D$379,Raw_Census!$A$5:$A$379,"5418|500+"),0))</f>
        <v>151.05137037147</v>
      </c>
      <c r="E10" s="7" t="n">
        <f aca="false">(SUMIFS(Raw_Census!$G$5:$G$379,Raw_Census!$A$5:$A$379,"5132|20-49")+SUMIFS(Raw_Census!$G$5:$G$379,Raw_Census!$A$5:$A$379,"5132|50-99")+SUMIFS(Raw_Census!$G$5:$G$379,Raw_Census!$A$5:$A$379,"5132|100-249")+SUMIFS(Raw_Census!$G$5:$G$379,Raw_Census!$A$5:$A$379,"5132|250-499")+SUMIFS(Raw_Census!$G$5:$G$379,Raw_Census!$A$5:$A$379,"5132|500+"))/(IF(SUMIFS(Raw_Census!$G$5:$G$379,Raw_Census!$A$5:$A$379,"5132|20-49")&gt;0,SUMIFS(Raw_Census!$D$5:$D$379,Raw_Census!$A$5:$A$379,"5132|20-49"),0)+IF(SUMIFS(Raw_Census!$G$5:$G$379,Raw_Census!$A$5:$A$379,"5132|50-99")&gt;0,SUMIFS(Raw_Census!$D$5:$D$379,Raw_Census!$A$5:$A$379,"5132|50-99"),0)+IF(SUMIFS(Raw_Census!$G$5:$G$379,Raw_Census!$A$5:$A$379,"5132|100-249")&gt;0,SUMIFS(Raw_Census!$D$5:$D$379,Raw_Census!$A$5:$A$379,"5132|100-249"),0)+IF(SUMIFS(Raw_Census!$G$5:$G$379,Raw_Census!$A$5:$A$379,"5132|250-499")&gt;0,SUMIFS(Raw_Census!$D$5:$D$379,Raw_Census!$A$5:$A$379,"5132|250-499"),0)+IF(SUMIFS(Raw_Census!$G$5:$G$379,Raw_Census!$A$5:$A$379,"5132|500+")&gt;0,SUMIFS(Raw_Census!$D$5:$D$379,Raw_Census!$A$5:$A$379,"5132|500+"),0))</f>
        <v>296.095601710446</v>
      </c>
      <c r="F10" s="21"/>
      <c r="G10" s="4" t="s">
        <v>203</v>
      </c>
      <c r="H10" s="4" t="s">
        <v>204</v>
      </c>
    </row>
    <row r="12" customFormat="false" ht="15" hidden="false" customHeight="false" outlineLevel="0" collapsed="false">
      <c r="A12" s="3" t="s">
        <v>205</v>
      </c>
    </row>
    <row r="13" customFormat="false" ht="30" hidden="false" customHeight="true" outlineLevel="0" collapsed="false">
      <c r="A13" s="6" t="s">
        <v>206</v>
      </c>
      <c r="B13" s="11" t="n">
        <f aca="false">(SUMIFS(Raw_OEWS!$G$5:$G$147,Raw_OEWS!$D$5:$D$147,"Distribution",Raw_OEWS!$E$5:$E$147,"41-0000"))/(SUMIFS(Raw_OEWS!$G$5:$G$147,Raw_OEWS!$D$5:$D$147,"Distribution",Raw_OEWS!$E$5:$E$147,"00-0000"))</f>
        <v>0.219591302897571</v>
      </c>
      <c r="C13" s="11" t="n">
        <f aca="false">(SUMIFS(Raw_OEWS!$G$5:$G$147,Raw_OEWS!$D$5:$D$147,"Manufacturing",Raw_OEWS!$E$5:$E$147,"41-0000"))/(SUMIFS(Raw_OEWS!$G$5:$G$147,Raw_OEWS!$D$5:$D$147,"Manufacturing",Raw_OEWS!$E$5:$E$147,"00-0000"))</f>
        <v>0.0273891372544733</v>
      </c>
      <c r="D13" s="11" t="n">
        <f aca="false">(SUMIFS(Raw_OEWS!$G$5:$G$147,Raw_OEWS!$D$5:$D$147,"ProfServices",Raw_OEWS!$E$5:$E$147,"41-0000"))/(SUMIFS(Raw_OEWS!$G$5:$G$147,Raw_OEWS!$D$5:$D$147,"ProfServices",Raw_OEWS!$E$5:$E$147,"00-0000"))</f>
        <v>0.0617163123613638</v>
      </c>
      <c r="E13" s="11" t="n">
        <f aca="false">(SUMIFS(Raw_OEWS!$G$5:$G$147,Raw_OEWS!$D$5:$D$147,"Software",Raw_OEWS!$E$5:$E$147,"41-0000"))/(SUMIFS(Raw_OEWS!$G$5:$G$147,Raw_OEWS!$D$5:$D$147,"Software",Raw_OEWS!$E$5:$E$147,"00-0000"))</f>
        <v>0.108179819573952</v>
      </c>
      <c r="F13" s="11" t="n">
        <f aca="false">(SUMIFS(Raw_OEWS!$G$5:$G$147,Raw_OEWS!$D$5:$D$147,"AllIndustries",Raw_OEWS!$E$5:$E$147,"41-0000"))/(SUMIFS(Raw_OEWS!$G$5:$G$147,Raw_OEWS!$D$5:$D$147,"AllIndustries",Raw_OEWS!$E$5:$E$147,"00-0000"))</f>
        <v>0.0863322742045714</v>
      </c>
      <c r="G13" s="4" t="s">
        <v>207</v>
      </c>
      <c r="H13" s="4" t="s">
        <v>208</v>
      </c>
    </row>
    <row r="14" customFormat="false" ht="30" hidden="false" customHeight="true" outlineLevel="0" collapsed="false">
      <c r="A14" s="6" t="s">
        <v>209</v>
      </c>
      <c r="B14" s="12" t="n">
        <f aca="false">(SUMIFS(Raw_OEWS!$G$5:$G$147,Raw_OEWS!$D$5:$D$147,"Distribution",Raw_OEWS!$E$5:$E$147,"41-4011")+SUMIFS(Raw_OEWS!$G$5:$G$147,Raw_OEWS!$D$5:$D$147,"Distribution",Raw_OEWS!$E$5:$E$147,"41-4012"))/(SUMIFS(Raw_OEWS!$G$5:$G$147,Raw_OEWS!$D$5:$D$147,"Distribution",Raw_OEWS!$E$5:$E$147,"00-0000"))*1000</f>
        <v>156.417053623939</v>
      </c>
      <c r="C14" s="12" t="n">
        <f aca="false">(SUMIFS(Raw_OEWS!$G$5:$G$147,Raw_OEWS!$D$5:$D$147,"Manufacturing",Raw_OEWS!$E$5:$E$147,"41-4011")+SUMIFS(Raw_OEWS!$G$5:$G$147,Raw_OEWS!$D$5:$D$147,"Manufacturing",Raw_OEWS!$E$5:$E$147,"41-4012"))/(SUMIFS(Raw_OEWS!$G$5:$G$147,Raw_OEWS!$D$5:$D$147,"Manufacturing",Raw_OEWS!$E$5:$E$147,"00-0000"))*1000</f>
        <v>22.937685135593</v>
      </c>
      <c r="D14" s="12" t="n">
        <f aca="false">(SUMIFS(Raw_OEWS!$G$5:$G$147,Raw_OEWS!$D$5:$D$147,"ProfServices",Raw_OEWS!$E$5:$E$147,"41-4011")+SUMIFS(Raw_OEWS!$G$5:$G$147,Raw_OEWS!$D$5:$D$147,"ProfServices",Raw_OEWS!$E$5:$E$147,"41-4012"))/(SUMIFS(Raw_OEWS!$G$5:$G$147,Raw_OEWS!$D$5:$D$147,"ProfServices",Raw_OEWS!$E$5:$E$147,"00-0000"))*1000</f>
        <v>6.30324934114247</v>
      </c>
      <c r="E14" s="12" t="n">
        <f aca="false">(SUMIFS(Raw_OEWS!$G$5:$G$147,Raw_OEWS!$D$5:$D$147,"Software",Raw_OEWS!$E$5:$E$147,"41-4011")+SUMIFS(Raw_OEWS!$G$5:$G$147,Raw_OEWS!$D$5:$D$147,"Software",Raw_OEWS!$E$5:$E$147,"41-4012"))/(SUMIFS(Raw_OEWS!$G$5:$G$147,Raw_OEWS!$D$5:$D$147,"Software",Raw_OEWS!$E$5:$E$147,"00-0000"))*1000</f>
        <v>27.7461905844894</v>
      </c>
      <c r="F14" s="12" t="n">
        <f aca="false">(SUMIFS(Raw_OEWS!$G$5:$G$147,Raw_OEWS!$D$5:$D$147,"AllIndustries",Raw_OEWS!$E$5:$E$147,"41-4011")+SUMIFS(Raw_OEWS!$G$5:$G$147,Raw_OEWS!$D$5:$D$147,"AllIndustries",Raw_OEWS!$E$5:$E$147,"41-4012"))/(SUMIFS(Raw_OEWS!$G$5:$G$147,Raw_OEWS!$D$5:$D$147,"AllIndustries",Raw_OEWS!$E$5:$E$147,"00-0000"))*1000</f>
        <v>9.7944168627653</v>
      </c>
      <c r="G14" s="4" t="s">
        <v>210</v>
      </c>
      <c r="H14" s="4" t="s">
        <v>211</v>
      </c>
    </row>
    <row r="15" customFormat="false" ht="30" hidden="false" customHeight="true" outlineLevel="0" collapsed="false">
      <c r="A15" s="6" t="s">
        <v>212</v>
      </c>
      <c r="B15" s="12" t="n">
        <f aca="false">(SUMIFS(Raw_OEWS!$G$5:$G$147,Raw_OEWS!$D$5:$D$147,"Distribution",Raw_OEWS!$E$5:$E$147,"11-2022"))/(SUMIFS(Raw_OEWS!$G$5:$G$147,Raw_OEWS!$D$5:$D$147,"Distribution",Raw_OEWS!$E$5:$E$147,"00-0000"))*1000</f>
        <v>18.8592294795608</v>
      </c>
      <c r="C15" s="12" t="n">
        <f aca="false">(SUMIFS(Raw_OEWS!$G$5:$G$147,Raw_OEWS!$D$5:$D$147,"Manufacturing",Raw_OEWS!$E$5:$E$147,"11-2022"))/(SUMIFS(Raw_OEWS!$G$5:$G$147,Raw_OEWS!$D$5:$D$147,"Manufacturing",Raw_OEWS!$E$5:$E$147,"00-0000"))*1000</f>
        <v>6.03910938166078</v>
      </c>
      <c r="D15" s="12" t="n">
        <f aca="false">(SUMIFS(Raw_OEWS!$G$5:$G$147,Raw_OEWS!$D$5:$D$147,"ProfServices",Raw_OEWS!$E$5:$E$147,"11-2022"))/(SUMIFS(Raw_OEWS!$G$5:$G$147,Raw_OEWS!$D$5:$D$147,"ProfServices",Raw_OEWS!$E$5:$E$147,"00-0000"))*1000</f>
        <v>10.5417204848701</v>
      </c>
      <c r="E15" s="12" t="n">
        <f aca="false">(SUMIFS(Raw_OEWS!$G$5:$G$147,Raw_OEWS!$D$5:$D$147,"Software",Raw_OEWS!$E$5:$E$147,"11-2022"))/(SUMIFS(Raw_OEWS!$G$5:$G$147,Raw_OEWS!$D$5:$D$147,"Software",Raw_OEWS!$E$5:$E$147,"00-0000"))*1000</f>
        <v>24.7593055871428</v>
      </c>
      <c r="F15" s="12" t="n">
        <f aca="false">(SUMIFS(Raw_OEWS!$G$5:$G$147,Raw_OEWS!$D$5:$D$147,"AllIndustries",Raw_OEWS!$E$5:$E$147,"11-2022"))/(SUMIFS(Raw_OEWS!$G$5:$G$147,Raw_OEWS!$D$5:$D$147,"AllIndustries",Raw_OEWS!$E$5:$E$147,"00-0000"))*1000</f>
        <v>4.0970899972623</v>
      </c>
      <c r="G15" s="4" t="s">
        <v>210</v>
      </c>
      <c r="H15" s="4" t="s">
        <v>213</v>
      </c>
    </row>
    <row r="16" customFormat="false" ht="30" hidden="false" customHeight="true" outlineLevel="0" collapsed="false">
      <c r="A16" s="6" t="s">
        <v>214</v>
      </c>
      <c r="B16" s="12" t="n">
        <f aca="false">(SUMIFS(Raw_OEWS!$G$5:$G$147,Raw_OEWS!$D$5:$D$147,"Distribution",Raw_OEWS!$E$5:$E$147,"11-2021"))/(SUMIFS(Raw_OEWS!$G$5:$G$147,Raw_OEWS!$D$5:$D$147,"Distribution",Raw_OEWS!$E$5:$E$147,"00-0000"))*1000</f>
        <v>4.36698471774795</v>
      </c>
      <c r="C16" s="12" t="n">
        <f aca="false">(SUMIFS(Raw_OEWS!$G$5:$G$147,Raw_OEWS!$D$5:$D$147,"Manufacturing",Raw_OEWS!$E$5:$E$147,"11-2021"))/(SUMIFS(Raw_OEWS!$G$5:$G$147,Raw_OEWS!$D$5:$D$147,"Manufacturing",Raw_OEWS!$E$5:$E$147,"00-0000"))*1000</f>
        <v>1.82266332921617</v>
      </c>
      <c r="D16" s="12" t="n">
        <f aca="false">(SUMIFS(Raw_OEWS!$G$5:$G$147,Raw_OEWS!$D$5:$D$147,"ProfServices",Raw_OEWS!$E$5:$E$147,"11-2021"))/(SUMIFS(Raw_OEWS!$G$5:$G$147,Raw_OEWS!$D$5:$D$147,"ProfServices",Raw_OEWS!$E$5:$E$147,"00-0000"))*1000</f>
        <v>11.5679735413861</v>
      </c>
      <c r="E16" s="12" t="n">
        <f aca="false">(SUMIFS(Raw_OEWS!$G$5:$G$147,Raw_OEWS!$D$5:$D$147,"Software",Raw_OEWS!$E$5:$E$147,"11-2021"))/(SUMIFS(Raw_OEWS!$G$5:$G$147,Raw_OEWS!$D$5:$D$147,"Software",Raw_OEWS!$E$5:$E$147,"00-0000"))*1000</f>
        <v>19.695246759154</v>
      </c>
      <c r="F16" s="12" t="n">
        <f aca="false">(SUMIFS(Raw_OEWS!$G$5:$G$147,Raw_OEWS!$D$5:$D$147,"AllIndustries",Raw_OEWS!$E$5:$E$147,"11-2021"))/(SUMIFS(Raw_OEWS!$G$5:$G$147,Raw_OEWS!$D$5:$D$147,"AllIndustries",Raw_OEWS!$E$5:$E$147,"00-0000"))*1000</f>
        <v>2.54180613191115</v>
      </c>
      <c r="G16" s="4" t="s">
        <v>210</v>
      </c>
      <c r="H16" s="4" t="s">
        <v>215</v>
      </c>
    </row>
    <row r="17" customFormat="false" ht="30" hidden="false" customHeight="true" outlineLevel="0" collapsed="false">
      <c r="A17" s="6" t="s">
        <v>216</v>
      </c>
      <c r="B17" s="12" t="n">
        <f aca="false">(SUMIFS(Raw_OEWS!$G$5:$G$147,Raw_OEWS!$D$5:$D$147,"Distribution",Raw_OEWS!$E$5:$E$147,"13-1161"))/(SUMIFS(Raw_OEWS!$G$5:$G$147,Raw_OEWS!$D$5:$D$147,"Distribution",Raw_OEWS!$E$5:$E$147,"00-0000"))*1000</f>
        <v>8.42674437997595</v>
      </c>
      <c r="C17" s="12" t="n">
        <f aca="false">(SUMIFS(Raw_OEWS!$G$5:$G$147,Raw_OEWS!$D$5:$D$147,"Manufacturing",Raw_OEWS!$E$5:$E$147,"13-1161"))/(SUMIFS(Raw_OEWS!$G$5:$G$147,Raw_OEWS!$D$5:$D$147,"Manufacturing",Raw_OEWS!$E$5:$E$147,"00-0000"))*1000</f>
        <v>3.60706985691956</v>
      </c>
      <c r="D17" s="12" t="n">
        <f aca="false">(SUMIFS(Raw_OEWS!$G$5:$G$147,Raw_OEWS!$D$5:$D$147,"ProfServices",Raw_OEWS!$E$5:$E$147,"13-1161"))/(SUMIFS(Raw_OEWS!$G$5:$G$147,Raw_OEWS!$D$5:$D$147,"ProfServices",Raw_OEWS!$E$5:$E$147,"00-0000"))*1000</f>
        <v>31.680385834333</v>
      </c>
      <c r="E17" s="12" t="n">
        <f aca="false">(SUMIFS(Raw_OEWS!$G$5:$G$147,Raw_OEWS!$D$5:$D$147,"Software",Raw_OEWS!$E$5:$E$147,"13-1161"))/(SUMIFS(Raw_OEWS!$G$5:$G$147,Raw_OEWS!$D$5:$D$147,"Software",Raw_OEWS!$E$5:$E$147,"00-0000"))*1000</f>
        <v>35.615192176484</v>
      </c>
      <c r="F17" s="12" t="n">
        <f aca="false">(SUMIFS(Raw_OEWS!$G$5:$G$147,Raw_OEWS!$D$5:$D$147,"AllIndustries",Raw_OEWS!$E$5:$E$147,"13-1161"))/(SUMIFS(Raw_OEWS!$G$5:$G$147,Raw_OEWS!$D$5:$D$147,"AllIndustries",Raw_OEWS!$E$5:$E$147,"00-0000"))*1000</f>
        <v>5.7852392474057</v>
      </c>
      <c r="G17" s="4" t="s">
        <v>210</v>
      </c>
      <c r="H17" s="4" t="s">
        <v>217</v>
      </c>
    </row>
    <row r="18" customFormat="false" ht="30" hidden="false" customHeight="true" outlineLevel="0" collapsed="false">
      <c r="A18" s="6" t="s">
        <v>218</v>
      </c>
      <c r="B18" s="11" t="n">
        <f aca="false">(SUMIFS(Raw_OEWS!$G$5:$G$147,Raw_OEWS!$D$5:$D$147,"Distribution",Raw_OEWS!$E$5:$E$147,"15-0000"))/(SUMIFS(Raw_OEWS!$G$5:$G$147,Raw_OEWS!$D$5:$D$147,"Distribution",Raw_OEWS!$E$5:$E$147,"00-0000"))</f>
        <v>0.0232701034909544</v>
      </c>
      <c r="C18" s="11" t="n">
        <f aca="false">(SUMIFS(Raw_OEWS!$G$5:$G$147,Raw_OEWS!$D$5:$D$147,"Manufacturing",Raw_OEWS!$E$5:$E$147,"15-0000"))/(SUMIFS(Raw_OEWS!$G$5:$G$147,Raw_OEWS!$D$5:$D$147,"Manufacturing",Raw_OEWS!$E$5:$E$147,"00-0000"))</f>
        <v>0.0153710363221004</v>
      </c>
      <c r="D18" s="11" t="n">
        <f aca="false">(SUMIFS(Raw_OEWS!$G$5:$G$147,Raw_OEWS!$D$5:$D$147,"ProfServices",Raw_OEWS!$E$5:$E$147,"15-0000"))/(SUMIFS(Raw_OEWS!$G$5:$G$147,Raw_OEWS!$D$5:$D$147,"ProfServices",Raw_OEWS!$E$5:$E$147,"00-0000"))</f>
        <v>0.241907327354783</v>
      </c>
      <c r="E18" s="11" t="n">
        <f aca="false">(SUMIFS(Raw_OEWS!$G$5:$G$147,Raw_OEWS!$D$5:$D$147,"Software",Raw_OEWS!$E$5:$E$147,"15-0000"))/(SUMIFS(Raw_OEWS!$G$5:$G$147,Raw_OEWS!$D$5:$D$147,"Software",Raw_OEWS!$E$5:$E$147,"00-0000"))</f>
        <v>0.467409597452809</v>
      </c>
      <c r="F18" s="11" t="n">
        <f aca="false">(SUMIFS(Raw_OEWS!$G$5:$G$147,Raw_OEWS!$D$5:$D$147,"AllIndustries",Raw_OEWS!$E$5:$E$147,"15-0000"))/(SUMIFS(Raw_OEWS!$G$5:$G$147,Raw_OEWS!$D$5:$D$147,"AllIndustries",Raw_OEWS!$E$5:$E$147,"00-0000"))</f>
        <v>0.0338280028654163</v>
      </c>
      <c r="G18" s="4" t="s">
        <v>207</v>
      </c>
      <c r="H18" s="4" t="s">
        <v>219</v>
      </c>
    </row>
    <row r="19" customFormat="false" ht="30" hidden="false" customHeight="true" outlineLevel="0" collapsed="false">
      <c r="A19" s="6" t="s">
        <v>51</v>
      </c>
      <c r="B19" s="28" t="n">
        <f aca="false">B10*B13</f>
        <v>27.7000872013379</v>
      </c>
      <c r="C19" s="28" t="n">
        <f aca="false">C10*C13</f>
        <v>3.64949927543031</v>
      </c>
      <c r="D19" s="28" t="n">
        <f aca="false">D10*D13</f>
        <v>9.3223335564577</v>
      </c>
      <c r="E19" s="28" t="n">
        <f aca="false">E10*E13</f>
        <v>32.0315687696768</v>
      </c>
      <c r="F19" s="28"/>
      <c r="G19" s="4" t="s">
        <v>220</v>
      </c>
      <c r="H19" s="4" t="s">
        <v>221</v>
      </c>
    </row>
    <row r="21" customFormat="false" ht="15" hidden="false" customHeight="false" outlineLevel="0" collapsed="false">
      <c r="A21" s="3" t="s">
        <v>222</v>
      </c>
    </row>
    <row r="22" customFormat="false" ht="30" hidden="false" customHeight="true" outlineLevel="0" collapsed="false">
      <c r="A22" s="6" t="s">
        <v>223</v>
      </c>
      <c r="B22" s="22" t="n">
        <f aca="false">B13/$F13</f>
        <v>2.54355980913038</v>
      </c>
      <c r="C22" s="22" t="n">
        <f aca="false">C13/$F13</f>
        <v>0.317252586090487</v>
      </c>
      <c r="D22" s="22" t="n">
        <f aca="false">D13/$F13</f>
        <v>0.714869530890869</v>
      </c>
      <c r="E22" s="22" t="n">
        <f aca="false">E13/$F13</f>
        <v>1.2530634756315</v>
      </c>
      <c r="F22" s="22" t="n">
        <v>1</v>
      </c>
      <c r="G22" s="4" t="s">
        <v>224</v>
      </c>
      <c r="H22" s="4"/>
    </row>
    <row r="23" customFormat="false" ht="30" hidden="false" customHeight="true" outlineLevel="0" collapsed="false">
      <c r="A23" s="6" t="s">
        <v>225</v>
      </c>
      <c r="B23" s="22" t="n">
        <f aca="false">B18/$F18</f>
        <v>0.68789468841935</v>
      </c>
      <c r="C23" s="22" t="n">
        <f aca="false">C18/$F18</f>
        <v>0.454387933667075</v>
      </c>
      <c r="D23" s="22" t="n">
        <f aca="false">D18/$F18</f>
        <v>7.1510969275131</v>
      </c>
      <c r="E23" s="22" t="n">
        <f aca="false">E18/$F18</f>
        <v>13.8172389103898</v>
      </c>
      <c r="F23" s="22" t="n">
        <v>1</v>
      </c>
      <c r="G23" s="4" t="s">
        <v>224</v>
      </c>
      <c r="H23" s="4"/>
    </row>
    <row r="24" customFormat="false" ht="30" hidden="false" customHeight="true" outlineLevel="0" collapsed="false">
      <c r="A24" s="6" t="s">
        <v>226</v>
      </c>
      <c r="B24" s="22" t="n">
        <f aca="false">B17/$F17</f>
        <v>1.45659393148776</v>
      </c>
      <c r="C24" s="22" t="n">
        <f aca="false">C17/$F17</f>
        <v>0.623495365128952</v>
      </c>
      <c r="D24" s="22" t="n">
        <f aca="false">D17/$F17</f>
        <v>5.47607185796846</v>
      </c>
      <c r="E24" s="22" t="n">
        <f aca="false">E17/$F17</f>
        <v>6.15621768666785</v>
      </c>
      <c r="F24" s="22" t="n">
        <v>1</v>
      </c>
      <c r="G24" s="4" t="s">
        <v>224</v>
      </c>
      <c r="H24" s="4"/>
    </row>
    <row r="26" customFormat="false" ht="30" hidden="false" customHeight="true" outlineLevel="0" collapsed="false">
      <c r="A26" s="18" t="s">
        <v>227</v>
      </c>
      <c r="B26" s="18"/>
      <c r="C26" s="18"/>
      <c r="D26" s="18"/>
      <c r="E26" s="18"/>
      <c r="F26" s="18"/>
      <c r="G26" s="18"/>
      <c r="H26" s="18"/>
    </row>
  </sheetData>
  <mergeCells count="1"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4" customFormat="false" ht="15" hidden="false" customHeight="false" outlineLevel="0" collapsed="false">
      <c r="A4" s="26" t="s">
        <v>230</v>
      </c>
    </row>
    <row r="5" customFormat="false" ht="30" hidden="false" customHeight="true" outlineLevel="0" collapsed="false">
      <c r="A5" s="5" t="s">
        <v>118</v>
      </c>
      <c r="B5" s="5" t="s">
        <v>177</v>
      </c>
      <c r="C5" s="5" t="s">
        <v>231</v>
      </c>
      <c r="D5" s="5" t="s">
        <v>232</v>
      </c>
      <c r="E5" s="5" t="s">
        <v>233</v>
      </c>
      <c r="F5" s="5" t="s">
        <v>234</v>
      </c>
      <c r="G5" s="5" t="s">
        <v>235</v>
      </c>
      <c r="H5" s="5" t="s">
        <v>236</v>
      </c>
      <c r="I5" s="5" t="s">
        <v>237</v>
      </c>
      <c r="J5" s="5" t="s">
        <v>238</v>
      </c>
      <c r="K5" s="5" t="s">
        <v>239</v>
      </c>
      <c r="L5" s="5" t="s">
        <v>240</v>
      </c>
    </row>
    <row r="6" customFormat="false" ht="15" hidden="false" customHeight="false" outlineLevel="0" collapsed="false">
      <c r="A6" s="6" t="s">
        <v>25</v>
      </c>
      <c r="B6" s="6" t="s">
        <v>179</v>
      </c>
      <c r="C6" s="7" t="n">
        <f aca="false">Firm_Counts!D58</f>
        <v>9106.20215496278</v>
      </c>
      <c r="D6" s="32" t="n">
        <f aca="false">Assumptions!$E$5</f>
        <v>7500</v>
      </c>
      <c r="E6" s="33" t="n">
        <f aca="false">C6*D6</f>
        <v>68296516.1622209</v>
      </c>
      <c r="F6" s="11" t="n">
        <f aca="false">Assumptions!$E$8</f>
        <v>0.8</v>
      </c>
      <c r="G6" s="11" t="n">
        <f aca="false">Assumptions!$E$11</f>
        <v>0.65</v>
      </c>
      <c r="H6" s="21" t="n">
        <f aca="false">C6*F6*G6</f>
        <v>4735.22512058065</v>
      </c>
      <c r="I6" s="33" t="n">
        <f aca="false">H6*D6</f>
        <v>35514188.4043549</v>
      </c>
      <c r="J6" s="11" t="n">
        <f aca="false">Assumptions!$E$14</f>
        <v>0.015</v>
      </c>
      <c r="K6" s="28" t="n">
        <f aca="false">H6*J6</f>
        <v>71.0283768087097</v>
      </c>
      <c r="L6" s="33" t="n">
        <f aca="false">K6*D6</f>
        <v>532712.826065323</v>
      </c>
    </row>
    <row r="7" customFormat="false" ht="15" hidden="false" customHeight="false" outlineLevel="0" collapsed="false">
      <c r="A7" s="6" t="s">
        <v>25</v>
      </c>
      <c r="B7" s="6" t="s">
        <v>181</v>
      </c>
      <c r="C7" s="7" t="n">
        <f aca="false">Firm_Counts!D59</f>
        <v>2011.34213221072</v>
      </c>
      <c r="D7" s="32" t="n">
        <f aca="false">Assumptions!$E$6</f>
        <v>20000</v>
      </c>
      <c r="E7" s="33" t="n">
        <f aca="false">C7*D7</f>
        <v>40226842.6442144</v>
      </c>
      <c r="F7" s="11" t="n">
        <f aca="false">Assumptions!$E$8</f>
        <v>0.8</v>
      </c>
      <c r="G7" s="11" t="n">
        <f aca="false">Assumptions!$E$11</f>
        <v>0.65</v>
      </c>
      <c r="H7" s="21" t="n">
        <f aca="false">C7*F7*G7</f>
        <v>1045.89790874957</v>
      </c>
      <c r="I7" s="33" t="n">
        <f aca="false">H7*D7</f>
        <v>20917958.1749915</v>
      </c>
      <c r="J7" s="11" t="n">
        <f aca="false">Assumptions!$E$15</f>
        <v>0.03</v>
      </c>
      <c r="K7" s="28" t="n">
        <f aca="false">H7*J7</f>
        <v>31.3769372624872</v>
      </c>
      <c r="L7" s="33" t="n">
        <f aca="false">K7*D7</f>
        <v>627538.745249744</v>
      </c>
    </row>
    <row r="8" customFormat="false" ht="15" hidden="false" customHeight="false" outlineLevel="0" collapsed="false">
      <c r="A8" s="6" t="s">
        <v>25</v>
      </c>
      <c r="B8" s="6" t="s">
        <v>183</v>
      </c>
      <c r="C8" s="7" t="n">
        <f aca="false">Firm_Counts!D60</f>
        <v>376</v>
      </c>
      <c r="D8" s="32" t="n">
        <f aca="false">Assumptions!$E$7</f>
        <v>60000</v>
      </c>
      <c r="E8" s="33" t="n">
        <f aca="false">C8*D8</f>
        <v>22560000</v>
      </c>
      <c r="F8" s="11" t="n">
        <f aca="false">Assumptions!$E$8</f>
        <v>0.8</v>
      </c>
      <c r="G8" s="11" t="n">
        <f aca="false">Assumptions!$E$11</f>
        <v>0.65</v>
      </c>
      <c r="H8" s="21" t="n">
        <f aca="false">C8*F8*G8</f>
        <v>195.52</v>
      </c>
      <c r="I8" s="33" t="n">
        <f aca="false">H8*D8</f>
        <v>11731200</v>
      </c>
      <c r="J8" s="11" t="n">
        <f aca="false">Assumptions!$E$16</f>
        <v>0.06</v>
      </c>
      <c r="K8" s="28" t="n">
        <f aca="false">H8*J8</f>
        <v>11.7312</v>
      </c>
      <c r="L8" s="33" t="n">
        <f aca="false">K8*D8</f>
        <v>703872</v>
      </c>
    </row>
    <row r="9" customFormat="false" ht="15" hidden="false" customHeight="false" outlineLevel="0" collapsed="false">
      <c r="A9" s="3" t="s">
        <v>241</v>
      </c>
      <c r="B9" s="23"/>
      <c r="C9" s="24" t="n">
        <f aca="false">SUM(C6:C8)</f>
        <v>11493.5442871735</v>
      </c>
      <c r="D9" s="23"/>
      <c r="E9" s="34" t="n">
        <f aca="false">SUM(E6:E8)</f>
        <v>131083358.806435</v>
      </c>
      <c r="F9" s="23"/>
      <c r="G9" s="23"/>
      <c r="H9" s="24" t="n">
        <f aca="false">SUM(H6:H8)</f>
        <v>5976.64302933022</v>
      </c>
      <c r="I9" s="34" t="n">
        <f aca="false">SUM(I6:I8)</f>
        <v>68163346.5793463</v>
      </c>
      <c r="J9" s="23"/>
      <c r="K9" s="35" t="n">
        <f aca="false">SUM(K6:K8)</f>
        <v>114.136514071197</v>
      </c>
      <c r="L9" s="34" t="n">
        <f aca="false">SUM(L6:L8)</f>
        <v>1864123.57131507</v>
      </c>
    </row>
    <row r="10" customFormat="false" ht="15" hidden="false" customHeight="false" outlineLevel="0" collapsed="false">
      <c r="A10" s="6" t="s">
        <v>26</v>
      </c>
      <c r="B10" s="6" t="s">
        <v>179</v>
      </c>
      <c r="C10" s="7" t="n">
        <f aca="false">Firm_Counts!E58</f>
        <v>18442.232067379</v>
      </c>
      <c r="D10" s="32" t="n">
        <f aca="false">Assumptions!$E$5</f>
        <v>7500</v>
      </c>
      <c r="E10" s="33" t="n">
        <f aca="false">C10*D10</f>
        <v>138316740.505342</v>
      </c>
      <c r="F10" s="11" t="n">
        <f aca="false">Assumptions!$E$9</f>
        <v>0.45</v>
      </c>
      <c r="G10" s="11" t="n">
        <f aca="false">Assumptions!$E$12</f>
        <v>0.6</v>
      </c>
      <c r="H10" s="21" t="n">
        <f aca="false">C10*F10*G10</f>
        <v>4979.40265819232</v>
      </c>
      <c r="I10" s="33" t="n">
        <f aca="false">H10*D10</f>
        <v>37345519.9364424</v>
      </c>
      <c r="J10" s="11" t="n">
        <f aca="false">Assumptions!$E$14</f>
        <v>0.015</v>
      </c>
      <c r="K10" s="28" t="n">
        <f aca="false">H10*J10</f>
        <v>74.6910398728848</v>
      </c>
      <c r="L10" s="33" t="n">
        <f aca="false">K10*D10</f>
        <v>560182.799046636</v>
      </c>
    </row>
    <row r="11" customFormat="false" ht="15" hidden="false" customHeight="false" outlineLevel="0" collapsed="false">
      <c r="A11" s="6" t="s">
        <v>26</v>
      </c>
      <c r="B11" s="6" t="s">
        <v>181</v>
      </c>
      <c r="C11" s="7" t="n">
        <f aca="false">Firm_Counts!E59</f>
        <v>4448.98839994123</v>
      </c>
      <c r="D11" s="32" t="n">
        <f aca="false">Assumptions!$E$6</f>
        <v>20000</v>
      </c>
      <c r="E11" s="33" t="n">
        <f aca="false">C11*D11</f>
        <v>88979767.9988246</v>
      </c>
      <c r="F11" s="11" t="n">
        <f aca="false">Assumptions!$E$9</f>
        <v>0.45</v>
      </c>
      <c r="G11" s="11" t="n">
        <f aca="false">Assumptions!$E$12</f>
        <v>0.6</v>
      </c>
      <c r="H11" s="21" t="n">
        <f aca="false">C11*F11*G11</f>
        <v>1201.22686798413</v>
      </c>
      <c r="I11" s="33" t="n">
        <f aca="false">H11*D11</f>
        <v>24024537.3596826</v>
      </c>
      <c r="J11" s="11" t="n">
        <f aca="false">Assumptions!$E$15</f>
        <v>0.03</v>
      </c>
      <c r="K11" s="28" t="n">
        <f aca="false">H11*J11</f>
        <v>36.036806039524</v>
      </c>
      <c r="L11" s="33" t="n">
        <f aca="false">K11*D11</f>
        <v>720736.120790479</v>
      </c>
    </row>
    <row r="12" customFormat="false" ht="15" hidden="false" customHeight="false" outlineLevel="0" collapsed="false">
      <c r="A12" s="6" t="s">
        <v>26</v>
      </c>
      <c r="B12" s="6" t="s">
        <v>183</v>
      </c>
      <c r="C12" s="7" t="n">
        <f aca="false">Firm_Counts!E60</f>
        <v>893.367866004963</v>
      </c>
      <c r="D12" s="32" t="n">
        <f aca="false">Assumptions!$E$7</f>
        <v>60000</v>
      </c>
      <c r="E12" s="33" t="n">
        <f aca="false">C12*D12</f>
        <v>53602071.9602978</v>
      </c>
      <c r="F12" s="11" t="n">
        <f aca="false">Assumptions!$E$9</f>
        <v>0.45</v>
      </c>
      <c r="G12" s="11" t="n">
        <f aca="false">Assumptions!$E$12</f>
        <v>0.6</v>
      </c>
      <c r="H12" s="21" t="n">
        <f aca="false">C12*F12*G12</f>
        <v>241.20932382134</v>
      </c>
      <c r="I12" s="33" t="n">
        <f aca="false">H12*D12</f>
        <v>14472559.4292804</v>
      </c>
      <c r="J12" s="11" t="n">
        <f aca="false">Assumptions!$E$16</f>
        <v>0.06</v>
      </c>
      <c r="K12" s="28" t="n">
        <f aca="false">H12*J12</f>
        <v>14.4725594292804</v>
      </c>
      <c r="L12" s="33" t="n">
        <f aca="false">K12*D12</f>
        <v>868353.565756824</v>
      </c>
    </row>
    <row r="13" customFormat="false" ht="15" hidden="false" customHeight="false" outlineLevel="0" collapsed="false">
      <c r="A13" s="3" t="s">
        <v>242</v>
      </c>
      <c r="B13" s="23"/>
      <c r="C13" s="24" t="n">
        <f aca="false">SUM(C10:C12)</f>
        <v>23784.5883333251</v>
      </c>
      <c r="D13" s="23"/>
      <c r="E13" s="34" t="n">
        <f aca="false">SUM(E10:E12)</f>
        <v>280898580.464465</v>
      </c>
      <c r="F13" s="23"/>
      <c r="G13" s="23"/>
      <c r="H13" s="24" t="n">
        <f aca="false">SUM(H10:H12)</f>
        <v>6421.83884999779</v>
      </c>
      <c r="I13" s="34" t="n">
        <f aca="false">SUM(I10:I12)</f>
        <v>75842616.7254054</v>
      </c>
      <c r="J13" s="23"/>
      <c r="K13" s="35" t="n">
        <f aca="false">SUM(K10:K12)</f>
        <v>125.200405341689</v>
      </c>
      <c r="L13" s="34" t="n">
        <f aca="false">SUM(L10:L12)</f>
        <v>2149272.48559394</v>
      </c>
    </row>
    <row r="14" customFormat="false" ht="15" hidden="false" customHeight="false" outlineLevel="0" collapsed="false">
      <c r="A14" s="6" t="s">
        <v>27</v>
      </c>
      <c r="B14" s="6" t="s">
        <v>179</v>
      </c>
      <c r="C14" s="7" t="n">
        <f aca="false">Firm_Counts!F58</f>
        <v>26020.5418841412</v>
      </c>
      <c r="D14" s="32" t="n">
        <f aca="false">Assumptions!$E$5</f>
        <v>7500</v>
      </c>
      <c r="E14" s="33" t="n">
        <f aca="false">C14*D14</f>
        <v>195154064.131059</v>
      </c>
      <c r="F14" s="11" t="n">
        <f aca="false">Assumptions!$E$10</f>
        <v>0.55</v>
      </c>
      <c r="G14" s="11" t="n">
        <f aca="false">Assumptions!$E$13</f>
        <v>0.7</v>
      </c>
      <c r="H14" s="21" t="n">
        <f aca="false">C14*F14*G14</f>
        <v>10017.9086253943</v>
      </c>
      <c r="I14" s="33" t="n">
        <f aca="false">H14*D14</f>
        <v>75134314.6904576</v>
      </c>
      <c r="J14" s="11" t="n">
        <f aca="false">Assumptions!$E$14</f>
        <v>0.015</v>
      </c>
      <c r="K14" s="28" t="n">
        <f aca="false">H14*J14</f>
        <v>150.268629380915</v>
      </c>
      <c r="L14" s="33" t="n">
        <f aca="false">K14*D14</f>
        <v>1127014.72035686</v>
      </c>
    </row>
    <row r="15" customFormat="false" ht="15" hidden="false" customHeight="false" outlineLevel="0" collapsed="false">
      <c r="A15" s="6" t="s">
        <v>27</v>
      </c>
      <c r="B15" s="6" t="s">
        <v>181</v>
      </c>
      <c r="C15" s="7" t="n">
        <f aca="false">Firm_Counts!F59</f>
        <v>5775.40452567021</v>
      </c>
      <c r="D15" s="32" t="n">
        <f aca="false">Assumptions!$E$6</f>
        <v>20000</v>
      </c>
      <c r="E15" s="33" t="n">
        <f aca="false">C15*D15</f>
        <v>115508090.513404</v>
      </c>
      <c r="F15" s="11" t="n">
        <f aca="false">Assumptions!$E$10</f>
        <v>0.55</v>
      </c>
      <c r="G15" s="11" t="n">
        <f aca="false">Assumptions!$E$13</f>
        <v>0.7</v>
      </c>
      <c r="H15" s="21" t="n">
        <f aca="false">C15*F15*G15</f>
        <v>2223.53074238303</v>
      </c>
      <c r="I15" s="33" t="n">
        <f aca="false">H15*D15</f>
        <v>44470614.8476606</v>
      </c>
      <c r="J15" s="11" t="n">
        <f aca="false">Assumptions!$E$15</f>
        <v>0.03</v>
      </c>
      <c r="K15" s="28" t="n">
        <f aca="false">H15*J15</f>
        <v>66.7059222714909</v>
      </c>
      <c r="L15" s="33" t="n">
        <f aca="false">K15*D15</f>
        <v>1334118.44542982</v>
      </c>
    </row>
    <row r="16" customFormat="false" ht="15" hidden="false" customHeight="false" outlineLevel="0" collapsed="false">
      <c r="A16" s="6" t="s">
        <v>27</v>
      </c>
      <c r="B16" s="6" t="s">
        <v>183</v>
      </c>
      <c r="C16" s="7" t="n">
        <f aca="false">Firm_Counts!F60</f>
        <v>1239.06763738845</v>
      </c>
      <c r="D16" s="32" t="n">
        <f aca="false">Assumptions!$E$7</f>
        <v>60000</v>
      </c>
      <c r="E16" s="33" t="n">
        <f aca="false">C16*D16</f>
        <v>74344058.2433067</v>
      </c>
      <c r="F16" s="11" t="n">
        <f aca="false">Assumptions!$E$10</f>
        <v>0.55</v>
      </c>
      <c r="G16" s="11" t="n">
        <f aca="false">Assumptions!$E$13</f>
        <v>0.7</v>
      </c>
      <c r="H16" s="21" t="n">
        <f aca="false">C16*F16*G16</f>
        <v>477.041040394551</v>
      </c>
      <c r="I16" s="33" t="n">
        <f aca="false">H16*D16</f>
        <v>28622462.4236731</v>
      </c>
      <c r="J16" s="11" t="n">
        <f aca="false">Assumptions!$E$16</f>
        <v>0.06</v>
      </c>
      <c r="K16" s="28" t="n">
        <f aca="false">H16*J16</f>
        <v>28.6224624236731</v>
      </c>
      <c r="L16" s="33" t="n">
        <f aca="false">K16*D16</f>
        <v>1717347.74542039</v>
      </c>
    </row>
    <row r="17" customFormat="false" ht="15" hidden="false" customHeight="false" outlineLevel="0" collapsed="false">
      <c r="A17" s="3" t="s">
        <v>243</v>
      </c>
      <c r="B17" s="23"/>
      <c r="C17" s="24" t="n">
        <f aca="false">SUM(C14:C16)</f>
        <v>33035.0140471998</v>
      </c>
      <c r="D17" s="23"/>
      <c r="E17" s="34" t="n">
        <f aca="false">SUM(E14:E16)</f>
        <v>385006212.887769</v>
      </c>
      <c r="F17" s="23"/>
      <c r="G17" s="23"/>
      <c r="H17" s="24" t="n">
        <f aca="false">SUM(H14:H16)</f>
        <v>12718.4804081719</v>
      </c>
      <c r="I17" s="34" t="n">
        <f aca="false">SUM(I14:I16)</f>
        <v>148227391.961791</v>
      </c>
      <c r="J17" s="23"/>
      <c r="K17" s="35" t="n">
        <f aca="false">SUM(K14:K16)</f>
        <v>245.597014076079</v>
      </c>
      <c r="L17" s="34" t="n">
        <f aca="false">SUM(L14:L16)</f>
        <v>4178480.91120707</v>
      </c>
    </row>
    <row r="18" customFormat="false" ht="15" hidden="false" customHeight="false" outlineLevel="0" collapsed="false">
      <c r="A18" s="8" t="s">
        <v>244</v>
      </c>
      <c r="C18" s="27" t="n">
        <f aca="false">C9+C13+C17</f>
        <v>68313.1466676985</v>
      </c>
      <c r="E18" s="36" t="n">
        <f aca="false">E9+E13+E17</f>
        <v>796988152.158669</v>
      </c>
      <c r="H18" s="27" t="n">
        <f aca="false">H9+H13+H17</f>
        <v>25116.9622874999</v>
      </c>
      <c r="I18" s="36" t="n">
        <f aca="false">I9+I13+I17</f>
        <v>292233355.266543</v>
      </c>
      <c r="K18" s="37" t="n">
        <f aca="false">K9+K13+K17</f>
        <v>484.933933488965</v>
      </c>
      <c r="L18" s="36" t="n">
        <f aca="false">L9+L13+L17</f>
        <v>8191876.96811607</v>
      </c>
    </row>
    <row r="21" customFormat="false" ht="15" hidden="false" customHeight="false" outlineLevel="0" collapsed="false">
      <c r="A21" s="26" t="s">
        <v>245</v>
      </c>
    </row>
    <row r="22" customFormat="false" ht="30" hidden="false" customHeight="true" outlineLevel="0" collapsed="false">
      <c r="A22" s="5" t="s">
        <v>118</v>
      </c>
      <c r="B22" s="5" t="s">
        <v>177</v>
      </c>
      <c r="C22" s="5" t="s">
        <v>231</v>
      </c>
      <c r="D22" s="5" t="s">
        <v>232</v>
      </c>
      <c r="E22" s="5" t="s">
        <v>233</v>
      </c>
      <c r="F22" s="5" t="s">
        <v>234</v>
      </c>
      <c r="G22" s="5" t="s">
        <v>235</v>
      </c>
      <c r="H22" s="5" t="s">
        <v>236</v>
      </c>
      <c r="I22" s="5" t="s">
        <v>237</v>
      </c>
      <c r="J22" s="5" t="s">
        <v>238</v>
      </c>
      <c r="K22" s="5" t="s">
        <v>239</v>
      </c>
      <c r="L22" s="5" t="s">
        <v>240</v>
      </c>
    </row>
    <row r="23" customFormat="false" ht="15" hidden="false" customHeight="false" outlineLevel="0" collapsed="false">
      <c r="A23" s="6" t="s">
        <v>25</v>
      </c>
      <c r="B23" s="6" t="s">
        <v>179</v>
      </c>
      <c r="C23" s="7" t="n">
        <f aca="false">Firm_Counts!D58</f>
        <v>9106.20215496278</v>
      </c>
      <c r="D23" s="32" t="n">
        <f aca="false">Assumptions!$D$5</f>
        <v>5352</v>
      </c>
      <c r="E23" s="33" t="n">
        <f aca="false">C23*D23</f>
        <v>48736393.9333608</v>
      </c>
      <c r="F23" s="11" t="n">
        <f aca="false">Assumptions!$D$8</f>
        <v>0.65</v>
      </c>
      <c r="G23" s="11" t="n">
        <f aca="false">Assumptions!$D$11</f>
        <v>0.52</v>
      </c>
      <c r="H23" s="21" t="n">
        <f aca="false">C23*F23*G23</f>
        <v>3077.89632837742</v>
      </c>
      <c r="I23" s="33" t="n">
        <f aca="false">H23*D23</f>
        <v>16472901.149476</v>
      </c>
      <c r="J23" s="11" t="n">
        <f aca="false">Assumptions!$D$14</f>
        <v>0.005</v>
      </c>
      <c r="K23" s="28" t="n">
        <f aca="false">H23*J23</f>
        <v>15.3894816418871</v>
      </c>
      <c r="L23" s="33" t="n">
        <f aca="false">K23*D23</f>
        <v>82364.5057473798</v>
      </c>
    </row>
    <row r="24" customFormat="false" ht="15" hidden="false" customHeight="false" outlineLevel="0" collapsed="false">
      <c r="A24" s="6" t="s">
        <v>25</v>
      </c>
      <c r="B24" s="6" t="s">
        <v>181</v>
      </c>
      <c r="C24" s="7" t="n">
        <f aca="false">Firm_Counts!D59</f>
        <v>2011.34213221072</v>
      </c>
      <c r="D24" s="32" t="n">
        <f aca="false">Assumptions!$D$6</f>
        <v>12000</v>
      </c>
      <c r="E24" s="33" t="n">
        <f aca="false">C24*D24</f>
        <v>24136105.5865286</v>
      </c>
      <c r="F24" s="11" t="n">
        <f aca="false">Assumptions!$D$8</f>
        <v>0.65</v>
      </c>
      <c r="G24" s="11" t="n">
        <f aca="false">Assumptions!$D$11</f>
        <v>0.52</v>
      </c>
      <c r="H24" s="21" t="n">
        <f aca="false">C24*F24*G24</f>
        <v>679.833640687223</v>
      </c>
      <c r="I24" s="33" t="n">
        <f aca="false">H24*D24</f>
        <v>8158003.68824667</v>
      </c>
      <c r="J24" s="11" t="n">
        <f aca="false">Assumptions!$D$15</f>
        <v>0.01</v>
      </c>
      <c r="K24" s="28" t="n">
        <f aca="false">H24*J24</f>
        <v>6.79833640687223</v>
      </c>
      <c r="L24" s="33" t="n">
        <f aca="false">K24*D24</f>
        <v>81580.0368824667</v>
      </c>
    </row>
    <row r="25" customFormat="false" ht="15" hidden="false" customHeight="false" outlineLevel="0" collapsed="false">
      <c r="A25" s="6" t="s">
        <v>25</v>
      </c>
      <c r="B25" s="6" t="s">
        <v>183</v>
      </c>
      <c r="C25" s="7" t="n">
        <f aca="false">Firm_Counts!D60</f>
        <v>376</v>
      </c>
      <c r="D25" s="32" t="n">
        <f aca="false">Assumptions!$D$7</f>
        <v>30000</v>
      </c>
      <c r="E25" s="33" t="n">
        <f aca="false">C25*D25</f>
        <v>11280000</v>
      </c>
      <c r="F25" s="11" t="n">
        <f aca="false">Assumptions!$D$8</f>
        <v>0.65</v>
      </c>
      <c r="G25" s="11" t="n">
        <f aca="false">Assumptions!$D$11</f>
        <v>0.52</v>
      </c>
      <c r="H25" s="21" t="n">
        <f aca="false">C25*F25*G25</f>
        <v>127.088</v>
      </c>
      <c r="I25" s="33" t="n">
        <f aca="false">H25*D25</f>
        <v>3812640</v>
      </c>
      <c r="J25" s="11" t="n">
        <f aca="false">Assumptions!$D$16</f>
        <v>0.02</v>
      </c>
      <c r="K25" s="28" t="n">
        <f aca="false">H25*J25</f>
        <v>2.54176</v>
      </c>
      <c r="L25" s="33" t="n">
        <f aca="false">K25*D25</f>
        <v>76252.8</v>
      </c>
    </row>
    <row r="26" customFormat="false" ht="15" hidden="false" customHeight="false" outlineLevel="0" collapsed="false">
      <c r="A26" s="3" t="s">
        <v>241</v>
      </c>
      <c r="B26" s="23"/>
      <c r="C26" s="24" t="n">
        <f aca="false">SUM(C23:C25)</f>
        <v>11493.5442871735</v>
      </c>
      <c r="D26" s="23"/>
      <c r="E26" s="34" t="n">
        <f aca="false">SUM(E23:E25)</f>
        <v>84152499.5198894</v>
      </c>
      <c r="F26" s="23"/>
      <c r="G26" s="23"/>
      <c r="H26" s="24" t="n">
        <f aca="false">SUM(H23:H25)</f>
        <v>3884.81796906464</v>
      </c>
      <c r="I26" s="34" t="n">
        <f aca="false">SUM(I23:I25)</f>
        <v>28443544.8377226</v>
      </c>
      <c r="J26" s="23"/>
      <c r="K26" s="35" t="n">
        <f aca="false">SUM(K23:K25)</f>
        <v>24.7295780487593</v>
      </c>
      <c r="L26" s="34" t="n">
        <f aca="false">SUM(L23:L25)</f>
        <v>240197.342629846</v>
      </c>
    </row>
    <row r="27" customFormat="false" ht="15" hidden="false" customHeight="false" outlineLevel="0" collapsed="false">
      <c r="A27" s="6" t="s">
        <v>26</v>
      </c>
      <c r="B27" s="6" t="s">
        <v>179</v>
      </c>
      <c r="C27" s="7" t="n">
        <f aca="false">Firm_Counts!E58</f>
        <v>18442.232067379</v>
      </c>
      <c r="D27" s="32" t="n">
        <f aca="false">Assumptions!$D$5</f>
        <v>5352</v>
      </c>
      <c r="E27" s="33" t="n">
        <f aca="false">C27*D27</f>
        <v>98702826.0246122</v>
      </c>
      <c r="F27" s="11" t="n">
        <f aca="false">Assumptions!$D$9</f>
        <v>0.3</v>
      </c>
      <c r="G27" s="11" t="n">
        <f aca="false">Assumptions!$D$12</f>
        <v>0.45</v>
      </c>
      <c r="H27" s="21" t="n">
        <f aca="false">C27*F27*G27</f>
        <v>2489.70132909616</v>
      </c>
      <c r="I27" s="33" t="n">
        <f aca="false">H27*D27</f>
        <v>13324881.5133226</v>
      </c>
      <c r="J27" s="11" t="n">
        <f aca="false">Assumptions!$D$14</f>
        <v>0.005</v>
      </c>
      <c r="K27" s="28" t="n">
        <f aca="false">H27*J27</f>
        <v>12.4485066454808</v>
      </c>
      <c r="L27" s="33" t="n">
        <f aca="false">K27*D27</f>
        <v>66624.4075666132</v>
      </c>
    </row>
    <row r="28" customFormat="false" ht="15" hidden="false" customHeight="false" outlineLevel="0" collapsed="false">
      <c r="A28" s="6" t="s">
        <v>26</v>
      </c>
      <c r="B28" s="6" t="s">
        <v>181</v>
      </c>
      <c r="C28" s="7" t="n">
        <f aca="false">Firm_Counts!E59</f>
        <v>4448.98839994123</v>
      </c>
      <c r="D28" s="32" t="n">
        <f aca="false">Assumptions!$D$6</f>
        <v>12000</v>
      </c>
      <c r="E28" s="33" t="n">
        <f aca="false">C28*D28</f>
        <v>53387860.7992947</v>
      </c>
      <c r="F28" s="11" t="n">
        <f aca="false">Assumptions!$D$9</f>
        <v>0.3</v>
      </c>
      <c r="G28" s="11" t="n">
        <f aca="false">Assumptions!$D$12</f>
        <v>0.45</v>
      </c>
      <c r="H28" s="21" t="n">
        <f aca="false">C28*F28*G28</f>
        <v>600.613433992066</v>
      </c>
      <c r="I28" s="33" t="n">
        <f aca="false">H28*D28</f>
        <v>7207361.20790479</v>
      </c>
      <c r="J28" s="11" t="n">
        <f aca="false">Assumptions!$D$15</f>
        <v>0.01</v>
      </c>
      <c r="K28" s="28" t="n">
        <f aca="false">H28*J28</f>
        <v>6.00613433992066</v>
      </c>
      <c r="L28" s="33" t="n">
        <f aca="false">K28*D28</f>
        <v>72073.6120790479</v>
      </c>
    </row>
    <row r="29" customFormat="false" ht="15" hidden="false" customHeight="false" outlineLevel="0" collapsed="false">
      <c r="A29" s="6" t="s">
        <v>26</v>
      </c>
      <c r="B29" s="6" t="s">
        <v>183</v>
      </c>
      <c r="C29" s="7" t="n">
        <f aca="false">Firm_Counts!E60</f>
        <v>893.367866004963</v>
      </c>
      <c r="D29" s="32" t="n">
        <f aca="false">Assumptions!$D$7</f>
        <v>30000</v>
      </c>
      <c r="E29" s="33" t="n">
        <f aca="false">C29*D29</f>
        <v>26801035.9801489</v>
      </c>
      <c r="F29" s="11" t="n">
        <f aca="false">Assumptions!$D$9</f>
        <v>0.3</v>
      </c>
      <c r="G29" s="11" t="n">
        <f aca="false">Assumptions!$D$12</f>
        <v>0.45</v>
      </c>
      <c r="H29" s="21" t="n">
        <f aca="false">C29*F29*G29</f>
        <v>120.60466191067</v>
      </c>
      <c r="I29" s="33" t="n">
        <f aca="false">H29*D29</f>
        <v>3618139.8573201</v>
      </c>
      <c r="J29" s="11" t="n">
        <f aca="false">Assumptions!$D$16</f>
        <v>0.02</v>
      </c>
      <c r="K29" s="28" t="n">
        <f aca="false">H29*J29</f>
        <v>2.4120932382134</v>
      </c>
      <c r="L29" s="33" t="n">
        <f aca="false">K29*D29</f>
        <v>72362.797146402</v>
      </c>
    </row>
    <row r="30" customFormat="false" ht="15" hidden="false" customHeight="false" outlineLevel="0" collapsed="false">
      <c r="A30" s="3" t="s">
        <v>242</v>
      </c>
      <c r="B30" s="23"/>
      <c r="C30" s="24" t="n">
        <f aca="false">SUM(C27:C29)</f>
        <v>23784.5883333251</v>
      </c>
      <c r="D30" s="23"/>
      <c r="E30" s="34" t="n">
        <f aca="false">SUM(E27:E29)</f>
        <v>178891722.804056</v>
      </c>
      <c r="F30" s="23"/>
      <c r="G30" s="23"/>
      <c r="H30" s="24" t="n">
        <f aca="false">SUM(H27:H29)</f>
        <v>3210.9194249989</v>
      </c>
      <c r="I30" s="34" t="n">
        <f aca="false">SUM(I27:I29)</f>
        <v>24150382.5785475</v>
      </c>
      <c r="J30" s="23"/>
      <c r="K30" s="35" t="n">
        <f aca="false">SUM(K27:K29)</f>
        <v>20.8667342236149</v>
      </c>
      <c r="L30" s="34" t="n">
        <f aca="false">SUM(L27:L29)</f>
        <v>211060.816792063</v>
      </c>
    </row>
    <row r="31" customFormat="false" ht="15" hidden="false" customHeight="false" outlineLevel="0" collapsed="false">
      <c r="A31" s="6" t="s">
        <v>27</v>
      </c>
      <c r="B31" s="6" t="s">
        <v>179</v>
      </c>
      <c r="C31" s="7" t="n">
        <f aca="false">Firm_Counts!F58</f>
        <v>26020.5418841412</v>
      </c>
      <c r="D31" s="32" t="n">
        <f aca="false">Assumptions!$D$5</f>
        <v>5352</v>
      </c>
      <c r="E31" s="33" t="n">
        <f aca="false">C31*D31</f>
        <v>139261940.163923</v>
      </c>
      <c r="F31" s="11" t="n">
        <f aca="false">Assumptions!$D$10</f>
        <v>0.4</v>
      </c>
      <c r="G31" s="11" t="n">
        <f aca="false">Assumptions!$D$13</f>
        <v>0.55</v>
      </c>
      <c r="H31" s="21" t="n">
        <f aca="false">C31*F31*G31</f>
        <v>5724.51921451105</v>
      </c>
      <c r="I31" s="33" t="n">
        <f aca="false">H31*D31</f>
        <v>30637626.8360632</v>
      </c>
      <c r="J31" s="11" t="n">
        <f aca="false">Assumptions!$D$14</f>
        <v>0.005</v>
      </c>
      <c r="K31" s="28" t="n">
        <f aca="false">H31*J31</f>
        <v>28.6225960725553</v>
      </c>
      <c r="L31" s="33" t="n">
        <f aca="false">K31*D31</f>
        <v>153188.134180316</v>
      </c>
    </row>
    <row r="32" customFormat="false" ht="15" hidden="false" customHeight="false" outlineLevel="0" collapsed="false">
      <c r="A32" s="6" t="s">
        <v>27</v>
      </c>
      <c r="B32" s="6" t="s">
        <v>181</v>
      </c>
      <c r="C32" s="7" t="n">
        <f aca="false">Firm_Counts!F59</f>
        <v>5775.40452567021</v>
      </c>
      <c r="D32" s="32" t="n">
        <f aca="false">Assumptions!$D$6</f>
        <v>12000</v>
      </c>
      <c r="E32" s="33" t="n">
        <f aca="false">C32*D32</f>
        <v>69304854.3080425</v>
      </c>
      <c r="F32" s="11" t="n">
        <f aca="false">Assumptions!$D$10</f>
        <v>0.4</v>
      </c>
      <c r="G32" s="11" t="n">
        <f aca="false">Assumptions!$D$13</f>
        <v>0.55</v>
      </c>
      <c r="H32" s="21" t="n">
        <f aca="false">C32*F32*G32</f>
        <v>1270.58899564745</v>
      </c>
      <c r="I32" s="33" t="n">
        <f aca="false">H32*D32</f>
        <v>15247067.9477693</v>
      </c>
      <c r="J32" s="11" t="n">
        <f aca="false">Assumptions!$D$15</f>
        <v>0.01</v>
      </c>
      <c r="K32" s="28" t="n">
        <f aca="false">H32*J32</f>
        <v>12.7058899564745</v>
      </c>
      <c r="L32" s="33" t="n">
        <f aca="false">K32*D32</f>
        <v>152470.679477693</v>
      </c>
    </row>
    <row r="33" customFormat="false" ht="15" hidden="false" customHeight="false" outlineLevel="0" collapsed="false">
      <c r="A33" s="6" t="s">
        <v>27</v>
      </c>
      <c r="B33" s="6" t="s">
        <v>183</v>
      </c>
      <c r="C33" s="7" t="n">
        <f aca="false">Firm_Counts!F60</f>
        <v>1239.06763738845</v>
      </c>
      <c r="D33" s="32" t="n">
        <f aca="false">Assumptions!$D$7</f>
        <v>30000</v>
      </c>
      <c r="E33" s="33" t="n">
        <f aca="false">C33*D33</f>
        <v>37172029.1216534</v>
      </c>
      <c r="F33" s="11" t="n">
        <f aca="false">Assumptions!$D$10</f>
        <v>0.4</v>
      </c>
      <c r="G33" s="11" t="n">
        <f aca="false">Assumptions!$D$13</f>
        <v>0.55</v>
      </c>
      <c r="H33" s="21" t="n">
        <f aca="false">C33*F33*G33</f>
        <v>272.594880225458</v>
      </c>
      <c r="I33" s="33" t="n">
        <f aca="false">H33*D33</f>
        <v>8177846.40676374</v>
      </c>
      <c r="J33" s="11" t="n">
        <f aca="false">Assumptions!$D$16</f>
        <v>0.02</v>
      </c>
      <c r="K33" s="28" t="n">
        <f aca="false">H33*J33</f>
        <v>5.45189760450916</v>
      </c>
      <c r="L33" s="33" t="n">
        <f aca="false">K33*D33</f>
        <v>163556.928135275</v>
      </c>
    </row>
    <row r="34" customFormat="false" ht="15" hidden="false" customHeight="false" outlineLevel="0" collapsed="false">
      <c r="A34" s="3" t="s">
        <v>243</v>
      </c>
      <c r="B34" s="23"/>
      <c r="C34" s="24" t="n">
        <f aca="false">SUM(C31:C33)</f>
        <v>33035.0140471998</v>
      </c>
      <c r="D34" s="23"/>
      <c r="E34" s="34" t="n">
        <f aca="false">SUM(E31:E33)</f>
        <v>245738823.593619</v>
      </c>
      <c r="F34" s="23"/>
      <c r="G34" s="23"/>
      <c r="H34" s="24" t="n">
        <f aca="false">SUM(H31:H33)</f>
        <v>7267.70309038396</v>
      </c>
      <c r="I34" s="34" t="n">
        <f aca="false">SUM(I31:I33)</f>
        <v>54062541.1905962</v>
      </c>
      <c r="J34" s="23"/>
      <c r="K34" s="35" t="n">
        <f aca="false">SUM(K31:K33)</f>
        <v>46.7803836335389</v>
      </c>
      <c r="L34" s="34" t="n">
        <f aca="false">SUM(L31:L33)</f>
        <v>469215.741793284</v>
      </c>
    </row>
    <row r="35" customFormat="false" ht="15" hidden="false" customHeight="false" outlineLevel="0" collapsed="false">
      <c r="A35" s="8" t="s">
        <v>244</v>
      </c>
      <c r="C35" s="27" t="n">
        <f aca="false">C26+C30+C34</f>
        <v>68313.1466676985</v>
      </c>
      <c r="E35" s="36" t="n">
        <f aca="false">E26+E30+E34</f>
        <v>508783045.917565</v>
      </c>
      <c r="H35" s="27" t="n">
        <f aca="false">H26+H30+H34</f>
        <v>14363.4404844475</v>
      </c>
      <c r="I35" s="36" t="n">
        <f aca="false">I26+I30+I34</f>
        <v>106656468.606866</v>
      </c>
      <c r="K35" s="37" t="n">
        <f aca="false">K26+K30+K34</f>
        <v>92.3766959059131</v>
      </c>
      <c r="L35" s="36" t="n">
        <f aca="false">L26+L30+L34</f>
        <v>920473.901215194</v>
      </c>
    </row>
    <row r="38" customFormat="false" ht="15" hidden="false" customHeight="false" outlineLevel="0" collapsed="false">
      <c r="A38" s="26" t="s">
        <v>246</v>
      </c>
    </row>
    <row r="39" customFormat="false" ht="30" hidden="false" customHeight="true" outlineLevel="0" collapsed="false">
      <c r="A39" s="5" t="s">
        <v>118</v>
      </c>
      <c r="B39" s="5" t="s">
        <v>177</v>
      </c>
      <c r="C39" s="5" t="s">
        <v>231</v>
      </c>
      <c r="D39" s="5" t="s">
        <v>232</v>
      </c>
      <c r="E39" s="5" t="s">
        <v>233</v>
      </c>
      <c r="F39" s="5" t="s">
        <v>234</v>
      </c>
      <c r="G39" s="5" t="s">
        <v>235</v>
      </c>
      <c r="H39" s="5" t="s">
        <v>236</v>
      </c>
      <c r="I39" s="5" t="s">
        <v>237</v>
      </c>
      <c r="J39" s="5" t="s">
        <v>238</v>
      </c>
      <c r="K39" s="5" t="s">
        <v>239</v>
      </c>
      <c r="L39" s="5" t="s">
        <v>240</v>
      </c>
    </row>
    <row r="40" customFormat="false" ht="15" hidden="false" customHeight="false" outlineLevel="0" collapsed="false">
      <c r="A40" s="6" t="s">
        <v>25</v>
      </c>
      <c r="B40" s="6" t="s">
        <v>179</v>
      </c>
      <c r="C40" s="7" t="n">
        <f aca="false">Firm_Counts!D58</f>
        <v>9106.20215496278</v>
      </c>
      <c r="D40" s="32" t="n">
        <f aca="false">Assumptions!$F$5</f>
        <v>12000</v>
      </c>
      <c r="E40" s="33" t="n">
        <f aca="false">C40*D40</f>
        <v>109274425.859553</v>
      </c>
      <c r="F40" s="11" t="n">
        <f aca="false">Assumptions!$F$8</f>
        <v>0.9</v>
      </c>
      <c r="G40" s="11" t="n">
        <f aca="false">Assumptions!$F$11</f>
        <v>0.76</v>
      </c>
      <c r="H40" s="21" t="n">
        <f aca="false">C40*F40*G40</f>
        <v>6228.64227399454</v>
      </c>
      <c r="I40" s="33" t="n">
        <f aca="false">H40*D40</f>
        <v>74743707.2879345</v>
      </c>
      <c r="J40" s="11" t="n">
        <f aca="false">Assumptions!$F$14</f>
        <v>0.03</v>
      </c>
      <c r="K40" s="28" t="n">
        <f aca="false">H40*J40</f>
        <v>186.859268219836</v>
      </c>
      <c r="L40" s="33" t="n">
        <f aca="false">K40*D40</f>
        <v>2242311.21863804</v>
      </c>
    </row>
    <row r="41" customFormat="false" ht="15" hidden="false" customHeight="false" outlineLevel="0" collapsed="false">
      <c r="A41" s="6" t="s">
        <v>25</v>
      </c>
      <c r="B41" s="6" t="s">
        <v>181</v>
      </c>
      <c r="C41" s="7" t="n">
        <f aca="false">Firm_Counts!D59</f>
        <v>2011.34213221072</v>
      </c>
      <c r="D41" s="32" t="n">
        <f aca="false">Assumptions!$F$6</f>
        <v>35000</v>
      </c>
      <c r="E41" s="33" t="n">
        <f aca="false">C41*D41</f>
        <v>70396974.6273751</v>
      </c>
      <c r="F41" s="11" t="n">
        <f aca="false">Assumptions!$F$8</f>
        <v>0.9</v>
      </c>
      <c r="G41" s="11" t="n">
        <f aca="false">Assumptions!$F$11</f>
        <v>0.76</v>
      </c>
      <c r="H41" s="21" t="n">
        <f aca="false">C41*F41*G41</f>
        <v>1375.75801843213</v>
      </c>
      <c r="I41" s="33" t="n">
        <f aca="false">H41*D41</f>
        <v>48151530.6451246</v>
      </c>
      <c r="J41" s="11" t="n">
        <f aca="false">Assumptions!$F$15</f>
        <v>0.06</v>
      </c>
      <c r="K41" s="28" t="n">
        <f aca="false">H41*J41</f>
        <v>82.5454811059279</v>
      </c>
      <c r="L41" s="33" t="n">
        <f aca="false">K41*D41</f>
        <v>2889091.83870747</v>
      </c>
    </row>
    <row r="42" customFormat="false" ht="15" hidden="false" customHeight="false" outlineLevel="0" collapsed="false">
      <c r="A42" s="6" t="s">
        <v>25</v>
      </c>
      <c r="B42" s="6" t="s">
        <v>183</v>
      </c>
      <c r="C42" s="7" t="n">
        <f aca="false">Firm_Counts!D60</f>
        <v>376</v>
      </c>
      <c r="D42" s="32" t="n">
        <f aca="false">Assumptions!$F$7</f>
        <v>120000</v>
      </c>
      <c r="E42" s="33" t="n">
        <f aca="false">C42*D42</f>
        <v>45120000</v>
      </c>
      <c r="F42" s="11" t="n">
        <f aca="false">Assumptions!$F$8</f>
        <v>0.9</v>
      </c>
      <c r="G42" s="11" t="n">
        <f aca="false">Assumptions!$F$11</f>
        <v>0.76</v>
      </c>
      <c r="H42" s="21" t="n">
        <f aca="false">C42*F42*G42</f>
        <v>257.184</v>
      </c>
      <c r="I42" s="33" t="n">
        <f aca="false">H42*D42</f>
        <v>30862080</v>
      </c>
      <c r="J42" s="11" t="n">
        <f aca="false">Assumptions!$F$16</f>
        <v>0.12</v>
      </c>
      <c r="K42" s="28" t="n">
        <f aca="false">H42*J42</f>
        <v>30.86208</v>
      </c>
      <c r="L42" s="33" t="n">
        <f aca="false">K42*D42</f>
        <v>3703449.6</v>
      </c>
    </row>
    <row r="43" customFormat="false" ht="15" hidden="false" customHeight="false" outlineLevel="0" collapsed="false">
      <c r="A43" s="3" t="s">
        <v>241</v>
      </c>
      <c r="B43" s="23"/>
      <c r="C43" s="24" t="n">
        <f aca="false">SUM(C40:C42)</f>
        <v>11493.5442871735</v>
      </c>
      <c r="D43" s="23"/>
      <c r="E43" s="34" t="n">
        <f aca="false">SUM(E40:E42)</f>
        <v>224791400.486929</v>
      </c>
      <c r="F43" s="23"/>
      <c r="G43" s="23"/>
      <c r="H43" s="24" t="n">
        <f aca="false">SUM(H40:H42)</f>
        <v>7861.58429242668</v>
      </c>
      <c r="I43" s="34" t="n">
        <f aca="false">SUM(I40:I42)</f>
        <v>153757317.933059</v>
      </c>
      <c r="J43" s="23"/>
      <c r="K43" s="35" t="n">
        <f aca="false">SUM(K40:K42)</f>
        <v>300.266829325764</v>
      </c>
      <c r="L43" s="34" t="n">
        <f aca="false">SUM(L40:L42)</f>
        <v>8834852.65734551</v>
      </c>
    </row>
    <row r="44" customFormat="false" ht="15" hidden="false" customHeight="false" outlineLevel="0" collapsed="false">
      <c r="A44" s="6" t="s">
        <v>26</v>
      </c>
      <c r="B44" s="6" t="s">
        <v>179</v>
      </c>
      <c r="C44" s="7" t="n">
        <f aca="false">Firm_Counts!E58</f>
        <v>18442.232067379</v>
      </c>
      <c r="D44" s="32" t="n">
        <f aca="false">Assumptions!$F$5</f>
        <v>12000</v>
      </c>
      <c r="E44" s="33" t="n">
        <f aca="false">C44*D44</f>
        <v>221306784.808548</v>
      </c>
      <c r="F44" s="11" t="n">
        <f aca="false">Assumptions!$F$9</f>
        <v>0.6</v>
      </c>
      <c r="G44" s="11" t="n">
        <f aca="false">Assumptions!$F$12</f>
        <v>0.75</v>
      </c>
      <c r="H44" s="21" t="n">
        <f aca="false">C44*F44*G44</f>
        <v>8299.00443032053</v>
      </c>
      <c r="I44" s="33" t="n">
        <f aca="false">H44*D44</f>
        <v>99588053.1638464</v>
      </c>
      <c r="J44" s="11" t="n">
        <f aca="false">Assumptions!$F$14</f>
        <v>0.03</v>
      </c>
      <c r="K44" s="28" t="n">
        <f aca="false">H44*J44</f>
        <v>248.970132909616</v>
      </c>
      <c r="L44" s="33" t="n">
        <f aca="false">K44*D44</f>
        <v>2987641.59491539</v>
      </c>
    </row>
    <row r="45" customFormat="false" ht="15" hidden="false" customHeight="false" outlineLevel="0" collapsed="false">
      <c r="A45" s="6" t="s">
        <v>26</v>
      </c>
      <c r="B45" s="6" t="s">
        <v>181</v>
      </c>
      <c r="C45" s="7" t="n">
        <f aca="false">Firm_Counts!E59</f>
        <v>4448.98839994123</v>
      </c>
      <c r="D45" s="32" t="n">
        <f aca="false">Assumptions!$F$6</f>
        <v>35000</v>
      </c>
      <c r="E45" s="33" t="n">
        <f aca="false">C45*D45</f>
        <v>155714593.997943</v>
      </c>
      <c r="F45" s="11" t="n">
        <f aca="false">Assumptions!$F$9</f>
        <v>0.6</v>
      </c>
      <c r="G45" s="11" t="n">
        <f aca="false">Assumptions!$F$12</f>
        <v>0.75</v>
      </c>
      <c r="H45" s="21" t="n">
        <f aca="false">C45*F45*G45</f>
        <v>2002.04477997355</v>
      </c>
      <c r="I45" s="33" t="n">
        <f aca="false">H45*D45</f>
        <v>70071567.2990744</v>
      </c>
      <c r="J45" s="11" t="n">
        <f aca="false">Assumptions!$F$15</f>
        <v>0.06</v>
      </c>
      <c r="K45" s="28" t="n">
        <f aca="false">H45*J45</f>
        <v>120.122686798413</v>
      </c>
      <c r="L45" s="33" t="n">
        <f aca="false">K45*D45</f>
        <v>4204294.03794446</v>
      </c>
    </row>
    <row r="46" customFormat="false" ht="15" hidden="false" customHeight="false" outlineLevel="0" collapsed="false">
      <c r="A46" s="6" t="s">
        <v>26</v>
      </c>
      <c r="B46" s="6" t="s">
        <v>183</v>
      </c>
      <c r="C46" s="7" t="n">
        <f aca="false">Firm_Counts!E60</f>
        <v>893.367866004963</v>
      </c>
      <c r="D46" s="32" t="n">
        <f aca="false">Assumptions!$F$7</f>
        <v>120000</v>
      </c>
      <c r="E46" s="33" t="n">
        <f aca="false">C46*D46</f>
        <v>107204143.920596</v>
      </c>
      <c r="F46" s="11" t="n">
        <f aca="false">Assumptions!$F$9</f>
        <v>0.6</v>
      </c>
      <c r="G46" s="11" t="n">
        <f aca="false">Assumptions!$F$12</f>
        <v>0.75</v>
      </c>
      <c r="H46" s="21" t="n">
        <f aca="false">C46*F46*G46</f>
        <v>402.015539702233</v>
      </c>
      <c r="I46" s="33" t="n">
        <f aca="false">H46*D46</f>
        <v>48241864.764268</v>
      </c>
      <c r="J46" s="11" t="n">
        <f aca="false">Assumptions!$F$16</f>
        <v>0.12</v>
      </c>
      <c r="K46" s="28" t="n">
        <f aca="false">H46*J46</f>
        <v>48.241864764268</v>
      </c>
      <c r="L46" s="33" t="n">
        <f aca="false">K46*D46</f>
        <v>5789023.77171216</v>
      </c>
    </row>
    <row r="47" customFormat="false" ht="15" hidden="false" customHeight="false" outlineLevel="0" collapsed="false">
      <c r="A47" s="3" t="s">
        <v>242</v>
      </c>
      <c r="B47" s="23"/>
      <c r="C47" s="24" t="n">
        <f aca="false">SUM(C44:C46)</f>
        <v>23784.5883333251</v>
      </c>
      <c r="D47" s="23"/>
      <c r="E47" s="34" t="n">
        <f aca="false">SUM(E44:E46)</f>
        <v>484225522.727086</v>
      </c>
      <c r="F47" s="23"/>
      <c r="G47" s="23"/>
      <c r="H47" s="24" t="n">
        <f aca="false">SUM(H44:H46)</f>
        <v>10703.0647499963</v>
      </c>
      <c r="I47" s="34" t="n">
        <f aca="false">SUM(I44:I46)</f>
        <v>217901485.227189</v>
      </c>
      <c r="J47" s="23"/>
      <c r="K47" s="35" t="n">
        <f aca="false">SUM(K44:K46)</f>
        <v>417.334684472297</v>
      </c>
      <c r="L47" s="34" t="n">
        <f aca="false">SUM(L44:L46)</f>
        <v>12980959.404572</v>
      </c>
    </row>
    <row r="48" customFormat="false" ht="15" hidden="false" customHeight="false" outlineLevel="0" collapsed="false">
      <c r="A48" s="6" t="s">
        <v>27</v>
      </c>
      <c r="B48" s="6" t="s">
        <v>179</v>
      </c>
      <c r="C48" s="7" t="n">
        <f aca="false">Firm_Counts!F58</f>
        <v>26020.5418841412</v>
      </c>
      <c r="D48" s="32" t="n">
        <f aca="false">Assumptions!$F$5</f>
        <v>12000</v>
      </c>
      <c r="E48" s="33" t="n">
        <f aca="false">C48*D48</f>
        <v>312246502.609694</v>
      </c>
      <c r="F48" s="11" t="n">
        <f aca="false">Assumptions!$F$10</f>
        <v>0.7</v>
      </c>
      <c r="G48" s="11" t="n">
        <f aca="false">Assumptions!$F$13</f>
        <v>0.85</v>
      </c>
      <c r="H48" s="21" t="n">
        <f aca="false">C48*F48*G48</f>
        <v>15482.222421064</v>
      </c>
      <c r="I48" s="33" t="n">
        <f aca="false">H48*D48</f>
        <v>185786669.052768</v>
      </c>
      <c r="J48" s="11" t="n">
        <f aca="false">Assumptions!$F$14</f>
        <v>0.03</v>
      </c>
      <c r="K48" s="28" t="n">
        <f aca="false">H48*J48</f>
        <v>464.46667263192</v>
      </c>
      <c r="L48" s="33" t="n">
        <f aca="false">K48*D48</f>
        <v>5573600.07158303</v>
      </c>
    </row>
    <row r="49" customFormat="false" ht="15" hidden="false" customHeight="false" outlineLevel="0" collapsed="false">
      <c r="A49" s="6" t="s">
        <v>27</v>
      </c>
      <c r="B49" s="6" t="s">
        <v>181</v>
      </c>
      <c r="C49" s="7" t="n">
        <f aca="false">Firm_Counts!F59</f>
        <v>5775.40452567021</v>
      </c>
      <c r="D49" s="32" t="n">
        <f aca="false">Assumptions!$F$6</f>
        <v>35000</v>
      </c>
      <c r="E49" s="33" t="n">
        <f aca="false">C49*D49</f>
        <v>202139158.398457</v>
      </c>
      <c r="F49" s="11" t="n">
        <f aca="false">Assumptions!$F$10</f>
        <v>0.7</v>
      </c>
      <c r="G49" s="11" t="n">
        <f aca="false">Assumptions!$F$13</f>
        <v>0.85</v>
      </c>
      <c r="H49" s="21" t="n">
        <f aca="false">C49*F49*G49</f>
        <v>3436.36569277377</v>
      </c>
      <c r="I49" s="33" t="n">
        <f aca="false">H49*D49</f>
        <v>120272799.247082</v>
      </c>
      <c r="J49" s="11" t="n">
        <f aca="false">Assumptions!$F$15</f>
        <v>0.06</v>
      </c>
      <c r="K49" s="28" t="n">
        <f aca="false">H49*J49</f>
        <v>206.181941566426</v>
      </c>
      <c r="L49" s="33" t="n">
        <f aca="false">K49*D49</f>
        <v>7216367.95482492</v>
      </c>
    </row>
    <row r="50" customFormat="false" ht="15" hidden="false" customHeight="false" outlineLevel="0" collapsed="false">
      <c r="A50" s="6" t="s">
        <v>27</v>
      </c>
      <c r="B50" s="6" t="s">
        <v>183</v>
      </c>
      <c r="C50" s="7" t="n">
        <f aca="false">Firm_Counts!F60</f>
        <v>1239.06763738845</v>
      </c>
      <c r="D50" s="32" t="n">
        <f aca="false">Assumptions!$F$7</f>
        <v>120000</v>
      </c>
      <c r="E50" s="33" t="n">
        <f aca="false">C50*D50</f>
        <v>148688116.486613</v>
      </c>
      <c r="F50" s="11" t="n">
        <f aca="false">Assumptions!$F$10</f>
        <v>0.7</v>
      </c>
      <c r="G50" s="11" t="n">
        <f aca="false">Assumptions!$F$13</f>
        <v>0.85</v>
      </c>
      <c r="H50" s="21" t="n">
        <f aca="false">C50*F50*G50</f>
        <v>737.245244246125</v>
      </c>
      <c r="I50" s="33" t="n">
        <f aca="false">H50*D50</f>
        <v>88469429.309535</v>
      </c>
      <c r="J50" s="11" t="n">
        <f aca="false">Assumptions!$F$16</f>
        <v>0.12</v>
      </c>
      <c r="K50" s="28" t="n">
        <f aca="false">H50*J50</f>
        <v>88.469429309535</v>
      </c>
      <c r="L50" s="33" t="n">
        <f aca="false">K50*D50</f>
        <v>10616331.5171442</v>
      </c>
    </row>
    <row r="51" customFormat="false" ht="15" hidden="false" customHeight="false" outlineLevel="0" collapsed="false">
      <c r="A51" s="3" t="s">
        <v>243</v>
      </c>
      <c r="B51" s="23"/>
      <c r="C51" s="24" t="n">
        <f aca="false">SUM(C48:C50)</f>
        <v>33035.0140471998</v>
      </c>
      <c r="D51" s="23"/>
      <c r="E51" s="34" t="n">
        <f aca="false">SUM(E48:E50)</f>
        <v>663073777.494764</v>
      </c>
      <c r="F51" s="23"/>
      <c r="G51" s="23"/>
      <c r="H51" s="24" t="n">
        <f aca="false">SUM(H48:H50)</f>
        <v>19655.8333580839</v>
      </c>
      <c r="I51" s="34" t="n">
        <f aca="false">SUM(I48:I50)</f>
        <v>394528897.609385</v>
      </c>
      <c r="J51" s="23"/>
      <c r="K51" s="35" t="n">
        <f aca="false">SUM(K48:K50)</f>
        <v>759.118043507881</v>
      </c>
      <c r="L51" s="34" t="n">
        <f aca="false">SUM(L48:L50)</f>
        <v>23406299.5435522</v>
      </c>
    </row>
    <row r="52" customFormat="false" ht="15" hidden="false" customHeight="false" outlineLevel="0" collapsed="false">
      <c r="A52" s="8" t="s">
        <v>244</v>
      </c>
      <c r="C52" s="27" t="n">
        <f aca="false">C43+C47+C51</f>
        <v>68313.1466676985</v>
      </c>
      <c r="E52" s="36" t="n">
        <f aca="false">E43+E47+E51</f>
        <v>1372090700.70878</v>
      </c>
      <c r="H52" s="27" t="n">
        <f aca="false">H43+H47+H51</f>
        <v>38220.4824005069</v>
      </c>
      <c r="I52" s="36" t="n">
        <f aca="false">I43+I47+I51</f>
        <v>766187700.769633</v>
      </c>
      <c r="K52" s="37" t="n">
        <f aca="false">K43+K47+K51</f>
        <v>1476.71955730594</v>
      </c>
      <c r="L52" s="36" t="n">
        <f aca="false">L43+L47+L51</f>
        <v>45222111.6054697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248</v>
      </c>
    </row>
    <row r="4" customFormat="false" ht="15" hidden="false" customHeight="false" outlineLevel="0" collapsed="false">
      <c r="A4" s="26" t="s">
        <v>249</v>
      </c>
    </row>
    <row r="5" customFormat="false" ht="23.85" hidden="false" customHeight="false" outlineLevel="0" collapsed="false">
      <c r="A5" s="5" t="s">
        <v>250</v>
      </c>
      <c r="B5" s="5" t="s">
        <v>118</v>
      </c>
      <c r="C5" s="5" t="s">
        <v>251</v>
      </c>
      <c r="D5" s="5" t="s">
        <v>252</v>
      </c>
      <c r="E5" s="5" t="s">
        <v>253</v>
      </c>
      <c r="F5" s="5" t="s">
        <v>254</v>
      </c>
    </row>
    <row r="6" customFormat="false" ht="15" hidden="false" customHeight="false" outlineLevel="0" collapsed="false">
      <c r="A6" s="6" t="s">
        <v>255</v>
      </c>
      <c r="B6" s="6" t="s">
        <v>25</v>
      </c>
      <c r="C6" s="33" t="n">
        <f aca="false">SUMPRODUCT(Firm_Counts!D58:D60,Assumptions!E14:E16,Assumptions!D5:D7)*Assumptions!$E$8*Assumptions!$E$11</f>
        <v>1108603.11983006</v>
      </c>
      <c r="D6" s="33" t="n">
        <f aca="false">SUMPRODUCT(Firm_Counts!D58:D60,Assumptions!E14:E16,Assumptions!E5:E7)*Assumptions!$E$8*Assumptions!$E$11</f>
        <v>1864123.57131507</v>
      </c>
      <c r="E6" s="33" t="n">
        <f aca="false">SUMPRODUCT(Firm_Counts!D58:D60,Assumptions!E14:E16,Assumptions!F5:F7)*Assumptions!$E$8*Assumptions!$E$11</f>
        <v>3358277.32589157</v>
      </c>
      <c r="F6" s="33" t="n">
        <f aca="false">E6-C6</f>
        <v>2249674.20606151</v>
      </c>
    </row>
    <row r="7" customFormat="false" ht="15" hidden="false" customHeight="false" outlineLevel="0" collapsed="false">
      <c r="A7" s="6" t="s">
        <v>256</v>
      </c>
      <c r="B7" s="6" t="s">
        <v>25</v>
      </c>
      <c r="C7" s="33" t="n">
        <f aca="false">SUMPRODUCT(Firm_Counts!D58:D60,Assumptions!D14:D16,Assumptions!E5:E7)*Assumptions!$E$8*Assumptions!$E$11</f>
        <v>621374.523771689</v>
      </c>
      <c r="D7" s="33" t="n">
        <f aca="false">SUMPRODUCT(Firm_Counts!D58:D60,Assumptions!E14:E16,Assumptions!E5:E7)*Assumptions!$E$8*Assumptions!$E$11</f>
        <v>1864123.57131507</v>
      </c>
      <c r="E7" s="33" t="n">
        <f aca="false">SUMPRODUCT(Firm_Counts!D58:D60,Assumptions!F14:F16,Assumptions!E5:E7)*Assumptions!$E$8*Assumptions!$E$11</f>
        <v>3728247.14263013</v>
      </c>
      <c r="F7" s="33" t="n">
        <f aca="false">E7-C7</f>
        <v>3106872.61885845</v>
      </c>
    </row>
    <row r="8" customFormat="false" ht="15" hidden="false" customHeight="false" outlineLevel="0" collapsed="false">
      <c r="A8" s="6" t="s">
        <v>257</v>
      </c>
      <c r="B8" s="6" t="s">
        <v>25</v>
      </c>
      <c r="C8" s="33" t="n">
        <f aca="false">SUMPRODUCT(Firm_Counts!D58:D60,Assumptions!E14:E16,Assumptions!E5:E7)*Assumptions!$D$8*Assumptions!$E$11</f>
        <v>1514600.40169349</v>
      </c>
      <c r="D8" s="33" t="n">
        <f aca="false">SUMPRODUCT(Firm_Counts!D58:D60,Assumptions!E14:E16,Assumptions!E5:E7)*Assumptions!$E$8*Assumptions!$E$11</f>
        <v>1864123.57131507</v>
      </c>
      <c r="E8" s="33" t="n">
        <f aca="false">SUMPRODUCT(Firm_Counts!D58:D60,Assumptions!E14:E16,Assumptions!E5:E7)*Assumptions!$F$8*Assumptions!$E$11</f>
        <v>2097139.01772945</v>
      </c>
      <c r="F8" s="33" t="n">
        <f aca="false">E8-C8</f>
        <v>582538.616035958</v>
      </c>
    </row>
    <row r="9" customFormat="false" ht="15" hidden="false" customHeight="false" outlineLevel="0" collapsed="false">
      <c r="A9" s="6" t="s">
        <v>258</v>
      </c>
      <c r="B9" s="6" t="s">
        <v>25</v>
      </c>
      <c r="C9" s="33" t="n">
        <f aca="false">SUMPRODUCT(Firm_Counts!D58:D60,Assumptions!E14:E16,Assumptions!E5:E7)*Assumptions!$E$8*Assumptions!$D$11</f>
        <v>1491298.85705205</v>
      </c>
      <c r="D9" s="33" t="n">
        <f aca="false">SUMPRODUCT(Firm_Counts!D58:D60,Assumptions!E14:E16,Assumptions!E5:E7)*Assumptions!$E$8*Assumptions!$E$11</f>
        <v>1864123.57131507</v>
      </c>
      <c r="E9" s="33" t="n">
        <f aca="false">SUMPRODUCT(Firm_Counts!D58:D60,Assumptions!E14:E16,Assumptions!E5:E7)*Assumptions!$E$8*Assumptions!$F$11</f>
        <v>2179590.63722992</v>
      </c>
      <c r="F9" s="33" t="n">
        <f aca="false">E9-C9</f>
        <v>688291.780177871</v>
      </c>
    </row>
    <row r="11" customFormat="false" ht="15" hidden="false" customHeight="false" outlineLevel="0" collapsed="false">
      <c r="A11" s="6" t="s">
        <v>255</v>
      </c>
      <c r="B11" s="6" t="s">
        <v>26</v>
      </c>
      <c r="C11" s="33" t="n">
        <f aca="false">SUMPRODUCT(Firm_Counts!E58:E60,Assumptions!E14:E16,Assumptions!D5:D7)*Assumptions!$E$9*Assumptions!$E$12</f>
        <v>1266364.90075238</v>
      </c>
      <c r="D11" s="33" t="n">
        <f aca="false">SUMPRODUCT(Firm_Counts!E58:E60,Assumptions!E14:E16,Assumptions!E5:E7)*Assumptions!$E$9*Assumptions!$E$12</f>
        <v>2149272.48559394</v>
      </c>
      <c r="E11" s="33" t="n">
        <f aca="false">SUMPRODUCT(Firm_Counts!E58:E60,Assumptions!E14:E16,Assumptions!F5:F7)*Assumptions!$E$9*Assumptions!$E$12</f>
        <v>3894287.8213716</v>
      </c>
      <c r="F11" s="33" t="n">
        <f aca="false">E11-C11</f>
        <v>2627922.92061922</v>
      </c>
    </row>
    <row r="12" customFormat="false" ht="15" hidden="false" customHeight="false" outlineLevel="0" collapsed="false">
      <c r="A12" s="6" t="s">
        <v>256</v>
      </c>
      <c r="B12" s="6" t="s">
        <v>26</v>
      </c>
      <c r="C12" s="33" t="n">
        <f aca="false">SUMPRODUCT(Firm_Counts!E58:E60,Assumptions!D14:D16,Assumptions!E5:E7)*Assumptions!$E$9*Assumptions!$E$12</f>
        <v>716424.161864646</v>
      </c>
      <c r="D12" s="33" t="n">
        <f aca="false">SUMPRODUCT(Firm_Counts!E58:E60,Assumptions!E14:E16,Assumptions!E5:E7)*Assumptions!$E$9*Assumptions!$E$12</f>
        <v>2149272.48559394</v>
      </c>
      <c r="E12" s="33" t="n">
        <f aca="false">SUMPRODUCT(Firm_Counts!E58:E60,Assumptions!F14:F16,Assumptions!E5:E7)*Assumptions!$E$9*Assumptions!$E$12</f>
        <v>4298544.97118788</v>
      </c>
      <c r="F12" s="33" t="n">
        <f aca="false">E12-C12</f>
        <v>3582120.80932323</v>
      </c>
    </row>
    <row r="13" customFormat="false" ht="15" hidden="false" customHeight="false" outlineLevel="0" collapsed="false">
      <c r="A13" s="6" t="s">
        <v>257</v>
      </c>
      <c r="B13" s="6" t="s">
        <v>26</v>
      </c>
      <c r="C13" s="33" t="n">
        <f aca="false">SUMPRODUCT(Firm_Counts!E58:E60,Assumptions!E14:E16,Assumptions!E5:E7)*Assumptions!$D$9*Assumptions!$E$12</f>
        <v>1432848.32372929</v>
      </c>
      <c r="D13" s="33" t="n">
        <f aca="false">SUMPRODUCT(Firm_Counts!E58:E60,Assumptions!E14:E16,Assumptions!E5:E7)*Assumptions!$E$9*Assumptions!$E$12</f>
        <v>2149272.48559394</v>
      </c>
      <c r="E13" s="33" t="n">
        <f aca="false">SUMPRODUCT(Firm_Counts!E58:E60,Assumptions!E14:E16,Assumptions!E5:E7)*Assumptions!$F$9*Assumptions!$E$12</f>
        <v>2865696.64745859</v>
      </c>
      <c r="F13" s="33" t="n">
        <f aca="false">E13-C13</f>
        <v>1432848.32372929</v>
      </c>
    </row>
    <row r="14" customFormat="false" ht="15" hidden="false" customHeight="false" outlineLevel="0" collapsed="false">
      <c r="A14" s="6" t="s">
        <v>258</v>
      </c>
      <c r="B14" s="6" t="s">
        <v>26</v>
      </c>
      <c r="C14" s="33" t="n">
        <f aca="false">SUMPRODUCT(Firm_Counts!E58:E60,Assumptions!E14:E16,Assumptions!E5:E7)*Assumptions!$E$9*Assumptions!$D$12</f>
        <v>1611954.36419545</v>
      </c>
      <c r="D14" s="33" t="n">
        <f aca="false">SUMPRODUCT(Firm_Counts!E58:E60,Assumptions!E14:E16,Assumptions!E5:E7)*Assumptions!$E$9*Assumptions!$E$12</f>
        <v>2149272.48559394</v>
      </c>
      <c r="E14" s="33" t="n">
        <f aca="false">SUMPRODUCT(Firm_Counts!E58:E60,Assumptions!E14:E16,Assumptions!E5:E7)*Assumptions!$E$9*Assumptions!$F$12</f>
        <v>2686590.60699242</v>
      </c>
      <c r="F14" s="33" t="n">
        <f aca="false">E14-C14</f>
        <v>1074636.24279697</v>
      </c>
    </row>
    <row r="16" customFormat="false" ht="15" hidden="false" customHeight="false" outlineLevel="0" collapsed="false">
      <c r="A16" s="6" t="s">
        <v>255</v>
      </c>
      <c r="B16" s="6" t="s">
        <v>27</v>
      </c>
      <c r="C16" s="33" t="n">
        <f aca="false">SUMPRODUCT(Firm_Counts!F58:F60,Assumptions!E14:E16,Assumptions!D5:D7)*Assumptions!$E$10*Assumptions!$E$13</f>
        <v>2463382.64441474</v>
      </c>
      <c r="D16" s="33" t="n">
        <f aca="false">SUMPRODUCT(Firm_Counts!F58:F60,Assumptions!E14:E16,Assumptions!E5:E7)*Assumptions!$E$10*Assumptions!$E$13</f>
        <v>4178480.91120707</v>
      </c>
      <c r="E16" s="33" t="n">
        <f aca="false">SUMPRODUCT(Firm_Counts!F58:F60,Assumptions!E14:E16,Assumptions!F5:F7)*Assumptions!$E$10*Assumptions!$E$13</f>
        <v>7572626.32291393</v>
      </c>
      <c r="F16" s="33" t="n">
        <f aca="false">E16-C16</f>
        <v>5109243.67849919</v>
      </c>
    </row>
    <row r="17" customFormat="false" ht="15" hidden="false" customHeight="false" outlineLevel="0" collapsed="false">
      <c r="A17" s="6" t="s">
        <v>256</v>
      </c>
      <c r="B17" s="6" t="s">
        <v>27</v>
      </c>
      <c r="C17" s="33" t="n">
        <f aca="false">SUMPRODUCT(Firm_Counts!F58:F60,Assumptions!D14:D16,Assumptions!E5:E7)*Assumptions!$E$10*Assumptions!$E$13</f>
        <v>1392826.97040236</v>
      </c>
      <c r="D17" s="33" t="n">
        <f aca="false">SUMPRODUCT(Firm_Counts!F58:F60,Assumptions!E14:E16,Assumptions!E5:E7)*Assumptions!$E$10*Assumptions!$E$13</f>
        <v>4178480.91120707</v>
      </c>
      <c r="E17" s="33" t="n">
        <f aca="false">SUMPRODUCT(Firm_Counts!F58:F60,Assumptions!F14:F16,Assumptions!E5:E7)*Assumptions!$E$10*Assumptions!$E$13</f>
        <v>8356961.82241413</v>
      </c>
      <c r="F17" s="33" t="n">
        <f aca="false">E17-C17</f>
        <v>6964134.85201178</v>
      </c>
    </row>
    <row r="18" customFormat="false" ht="15" hidden="false" customHeight="false" outlineLevel="0" collapsed="false">
      <c r="A18" s="6" t="s">
        <v>257</v>
      </c>
      <c r="B18" s="6" t="s">
        <v>27</v>
      </c>
      <c r="C18" s="33" t="n">
        <f aca="false">SUMPRODUCT(Firm_Counts!F58:F60,Assumptions!E14:E16,Assumptions!E5:E7)*Assumptions!$D$10*Assumptions!$E$13</f>
        <v>3038895.20815059</v>
      </c>
      <c r="D18" s="33" t="n">
        <f aca="false">SUMPRODUCT(Firm_Counts!F58:F60,Assumptions!E14:E16,Assumptions!E5:E7)*Assumptions!$E$10*Assumptions!$E$13</f>
        <v>4178480.91120707</v>
      </c>
      <c r="E18" s="33" t="n">
        <f aca="false">SUMPRODUCT(Firm_Counts!F58:F60,Assumptions!E14:E16,Assumptions!E5:E7)*Assumptions!$F$10*Assumptions!$E$13</f>
        <v>5318066.61426354</v>
      </c>
      <c r="F18" s="33" t="n">
        <f aca="false">E18-C18</f>
        <v>2279171.40611294</v>
      </c>
    </row>
    <row r="19" customFormat="false" ht="15" hidden="false" customHeight="false" outlineLevel="0" collapsed="false">
      <c r="A19" s="6" t="s">
        <v>258</v>
      </c>
      <c r="B19" s="6" t="s">
        <v>27</v>
      </c>
      <c r="C19" s="33" t="n">
        <f aca="false">SUMPRODUCT(Firm_Counts!F58:F60,Assumptions!E14:E16,Assumptions!E5:E7)*Assumptions!$E$10*Assumptions!$D$13</f>
        <v>3283092.14451984</v>
      </c>
      <c r="D19" s="33" t="n">
        <f aca="false">SUMPRODUCT(Firm_Counts!F58:F60,Assumptions!E14:E16,Assumptions!E5:E7)*Assumptions!$E$10*Assumptions!$E$13</f>
        <v>4178480.91120707</v>
      </c>
      <c r="E19" s="33" t="n">
        <f aca="false">SUMPRODUCT(Firm_Counts!F58:F60,Assumptions!E14:E16,Assumptions!E5:E7)*Assumptions!$E$10*Assumptions!$F$13</f>
        <v>5073869.6778943</v>
      </c>
      <c r="F19" s="33" t="n">
        <f aca="false">E19-C19</f>
        <v>1790777.53337446</v>
      </c>
    </row>
    <row r="21" customFormat="false" ht="15" hidden="false" customHeight="false" outlineLevel="0" collapsed="false">
      <c r="A21" s="6" t="s">
        <v>259</v>
      </c>
      <c r="B21" s="38" t="n">
        <f aca="false">ROUND(D6-TAM_SAM_SOM!L9,2)+ROUND(D11-TAM_SAM_SOM!L13,2)+ROUND(D16-TAM_SAM_SOM!L17,2)</f>
        <v>0</v>
      </c>
    </row>
    <row r="24" customFormat="false" ht="15" hidden="false" customHeight="false" outlineLevel="0" collapsed="false">
      <c r="A24" s="26" t="s">
        <v>260</v>
      </c>
    </row>
    <row r="25" customFormat="false" ht="15" hidden="false" customHeight="false" outlineLevel="0" collapsed="false">
      <c r="A25" s="6" t="s">
        <v>261</v>
      </c>
      <c r="B25" s="32" t="n">
        <f aca="false">TAM_SAM_SOM!L17</f>
        <v>4178480.91120707</v>
      </c>
    </row>
    <row r="26" customFormat="false" ht="15" hidden="false" customHeight="false" outlineLevel="0" collapsed="false">
      <c r="A26" s="6" t="s">
        <v>262</v>
      </c>
      <c r="B26" s="32" t="n">
        <f aca="false">TAM_SAM_SOM!L9</f>
        <v>1864123.57131507</v>
      </c>
    </row>
    <row r="28" customFormat="false" ht="15" hidden="false" customHeight="false" outlineLevel="0" collapsed="false">
      <c r="A28" s="3" t="s">
        <v>263</v>
      </c>
      <c r="B28" s="39" t="n">
        <v>0.5</v>
      </c>
      <c r="C28" s="39" t="n">
        <v>0.75</v>
      </c>
      <c r="D28" s="39" t="n">
        <v>1</v>
      </c>
      <c r="E28" s="39" t="n">
        <v>1.5</v>
      </c>
      <c r="F28" s="39" t="n">
        <v>2</v>
      </c>
      <c r="G28" s="39" t="n">
        <v>3</v>
      </c>
    </row>
    <row r="29" customFormat="false" ht="15" hidden="false" customHeight="false" outlineLevel="0" collapsed="false">
      <c r="A29" s="39" t="n">
        <v>0.5</v>
      </c>
      <c r="B29" s="33" t="n">
        <f aca="false">$B$26*$A29*B$28</f>
        <v>466030.892828767</v>
      </c>
      <c r="C29" s="33" t="n">
        <f aca="false">$B$26*$A29*C$28</f>
        <v>699046.33924315</v>
      </c>
      <c r="D29" s="33" t="n">
        <f aca="false">$B$26*$A29*D$28</f>
        <v>932061.785657533</v>
      </c>
      <c r="E29" s="33" t="n">
        <f aca="false">$B$26*$A29*E$28</f>
        <v>1398092.6784863</v>
      </c>
      <c r="F29" s="33" t="n">
        <f aca="false">$B$26*$A29*F$28</f>
        <v>1864123.57131507</v>
      </c>
      <c r="G29" s="33" t="n">
        <f aca="false">$B$26*$A29*G$28</f>
        <v>2796185.3569726</v>
      </c>
    </row>
    <row r="30" customFormat="false" ht="15" hidden="false" customHeight="false" outlineLevel="0" collapsed="false">
      <c r="A30" s="39" t="n">
        <v>0.75</v>
      </c>
      <c r="B30" s="33" t="n">
        <f aca="false">$B$26*$A30*B$28</f>
        <v>699046.33924315</v>
      </c>
      <c r="C30" s="33" t="n">
        <f aca="false">$B$26*$A30*C$28</f>
        <v>1048569.50886473</v>
      </c>
      <c r="D30" s="33" t="n">
        <f aca="false">$B$26*$A30*D$28</f>
        <v>1398092.6784863</v>
      </c>
      <c r="E30" s="33" t="n">
        <f aca="false">$B$26*$A30*E$28</f>
        <v>2097139.01772945</v>
      </c>
      <c r="F30" s="33" t="n">
        <f aca="false">$B$26*$A30*F$28</f>
        <v>2796185.3569726</v>
      </c>
      <c r="G30" s="33" t="n">
        <f aca="false">$B$26*$A30*G$28</f>
        <v>4194278.0354589</v>
      </c>
    </row>
    <row r="31" customFormat="false" ht="15" hidden="false" customHeight="false" outlineLevel="0" collapsed="false">
      <c r="A31" s="39" t="n">
        <v>1</v>
      </c>
      <c r="B31" s="33" t="n">
        <f aca="false">$B$26*$A31*B$28</f>
        <v>932061.785657533</v>
      </c>
      <c r="C31" s="33" t="n">
        <f aca="false">$B$26*$A31*C$28</f>
        <v>1398092.6784863</v>
      </c>
      <c r="D31" s="33" t="n">
        <f aca="false">$B$26*$A31*D$28</f>
        <v>1864123.57131507</v>
      </c>
      <c r="E31" s="33" t="n">
        <f aca="false">$B$26*$A31*E$28</f>
        <v>2796185.3569726</v>
      </c>
      <c r="F31" s="33" t="n">
        <f aca="false">$B$26*$A31*F$28</f>
        <v>3728247.14263013</v>
      </c>
      <c r="G31" s="33" t="n">
        <f aca="false">$B$26*$A31*G$28</f>
        <v>5592370.7139452</v>
      </c>
    </row>
    <row r="32" customFormat="false" ht="15" hidden="false" customHeight="false" outlineLevel="0" collapsed="false">
      <c r="A32" s="39" t="n">
        <v>1.5</v>
      </c>
      <c r="B32" s="33" t="n">
        <f aca="false">$B$26*$A32*B$28</f>
        <v>1398092.6784863</v>
      </c>
      <c r="C32" s="33" t="n">
        <f aca="false">$B$26*$A32*C$28</f>
        <v>2097139.01772945</v>
      </c>
      <c r="D32" s="33" t="n">
        <f aca="false">$B$26*$A32*D$28</f>
        <v>2796185.3569726</v>
      </c>
      <c r="E32" s="33" t="n">
        <f aca="false">$B$26*$A32*E$28</f>
        <v>4194278.0354589</v>
      </c>
      <c r="F32" s="33" t="n">
        <f aca="false">$B$26*$A32*F$28</f>
        <v>5592370.7139452</v>
      </c>
      <c r="G32" s="33" t="n">
        <f aca="false">$B$26*$A32*G$28</f>
        <v>8388556.0709178</v>
      </c>
    </row>
    <row r="33" customFormat="false" ht="15" hidden="false" customHeight="false" outlineLevel="0" collapsed="false">
      <c r="A33" s="39" t="n">
        <v>2</v>
      </c>
      <c r="B33" s="33" t="n">
        <f aca="false">$B$26*$A33*B$28</f>
        <v>1864123.57131507</v>
      </c>
      <c r="C33" s="33" t="n">
        <f aca="false">$B$26*$A33*C$28</f>
        <v>2796185.3569726</v>
      </c>
      <c r="D33" s="33" t="n">
        <f aca="false">$B$26*$A33*D$28</f>
        <v>3728247.14263013</v>
      </c>
      <c r="E33" s="33" t="n">
        <f aca="false">$B$26*$A33*E$28</f>
        <v>5592370.7139452</v>
      </c>
      <c r="F33" s="33" t="n">
        <f aca="false">$B$26*$A33*F$28</f>
        <v>7456494.28526027</v>
      </c>
      <c r="G33" s="33" t="n">
        <f aca="false">$B$26*$A33*G$28</f>
        <v>11184741.4278904</v>
      </c>
    </row>
    <row r="34" customFormat="false" ht="15" hidden="false" customHeight="false" outlineLevel="0" collapsed="false">
      <c r="A34" s="39" t="n">
        <v>3</v>
      </c>
      <c r="B34" s="33" t="n">
        <f aca="false">$B$26*$A34*B$28</f>
        <v>2796185.3569726</v>
      </c>
      <c r="C34" s="33" t="n">
        <f aca="false">$B$26*$A34*C$28</f>
        <v>4194278.0354589</v>
      </c>
      <c r="D34" s="33" t="n">
        <f aca="false">$B$26*$A34*D$28</f>
        <v>5592370.7139452</v>
      </c>
      <c r="E34" s="33" t="n">
        <f aca="false">$B$26*$A34*E$28</f>
        <v>8388556.0709178</v>
      </c>
      <c r="F34" s="33" t="n">
        <f aca="false">$B$26*$A34*F$28</f>
        <v>11184741.4278904</v>
      </c>
      <c r="G34" s="33" t="n">
        <f aca="false">$B$26*$A34*G$28</f>
        <v>16777112.1418356</v>
      </c>
    </row>
    <row r="36" customFormat="false" ht="15" hidden="false" customHeight="false" outlineLevel="0" collapsed="false">
      <c r="A36" s="6" t="s">
        <v>264</v>
      </c>
      <c r="B36" s="40" t="n">
        <f aca="false">B25/B26</f>
        <v>2.24152570972498</v>
      </c>
    </row>
    <row r="39" customFormat="false" ht="15" hidden="false" customHeight="false" outlineLevel="0" collapsed="false">
      <c r="A39" s="26" t="s">
        <v>265</v>
      </c>
    </row>
    <row r="40" customFormat="false" ht="15" hidden="false" customHeight="false" outlineLevel="0" collapsed="false">
      <c r="A40" s="5" t="s">
        <v>266</v>
      </c>
      <c r="B40" s="5" t="s">
        <v>118</v>
      </c>
      <c r="C40" s="5" t="s">
        <v>126</v>
      </c>
      <c r="D40" s="5" t="s">
        <v>267</v>
      </c>
      <c r="E40" s="5" t="s">
        <v>268</v>
      </c>
    </row>
    <row r="41" customFormat="false" ht="27.75" hidden="false" customHeight="true" outlineLevel="0" collapsed="false">
      <c r="A41" s="4" t="s">
        <v>269</v>
      </c>
      <c r="B41" s="6" t="s">
        <v>25</v>
      </c>
      <c r="C41" s="7" t="n">
        <f aca="false">Firm_Counts!D61</f>
        <v>11493.5442871735</v>
      </c>
      <c r="D41" s="22" t="n">
        <f aca="false">C41/C41</f>
        <v>1</v>
      </c>
      <c r="E41" s="4" t="s">
        <v>270</v>
      </c>
    </row>
    <row r="42" customFormat="false" ht="27.75" hidden="false" customHeight="true" outlineLevel="0" collapsed="false">
      <c r="A42" s="4" t="s">
        <v>271</v>
      </c>
      <c r="B42" s="6" t="s">
        <v>25</v>
      </c>
      <c r="C42" s="7" t="n">
        <f aca="false">Firm_Counts!D61+SUMIFS(Raw_Census!$D$5:$D$379,Raw_Census!$A$5:$A$379,"4233|20-49")+SUMIFS(Raw_Census!$D$5:$D$379,Raw_Census!$A$5:$A$379,"4233|50-99")+SUMIFS(Raw_Census!$D$5:$D$379,Raw_Census!$A$5:$A$379,"4233|100-249")+SUMIFS(Raw_Census!$D$5:$D$379,Raw_Census!$A$5:$A$379,"4233|250-499")+SUMIFS(Raw_Census!$D$5:$D$379,Raw_Census!$A$5:$A$379,"4233|500+")+SUMIFS(Raw_Census!$D$5:$D$379,Raw_Census!$A$5:$A$379,"4234|20-49")+SUMIFS(Raw_Census!$D$5:$D$379,Raw_Census!$A$5:$A$379,"4234|50-99")+SUMIFS(Raw_Census!$D$5:$D$379,Raw_Census!$A$5:$A$379,"4234|100-249")+SUMIFS(Raw_Census!$D$5:$D$379,Raw_Census!$A$5:$A$379,"4234|250-499")+SUMIFS(Raw_Census!$D$5:$D$379,Raw_Census!$A$5:$A$379,"4234|500+")*1</f>
        <v>16431.5442871735</v>
      </c>
      <c r="D42" s="22" t="n">
        <f aca="false">C42/C41</f>
        <v>1.42963248556067</v>
      </c>
      <c r="E42" s="4" t="s">
        <v>272</v>
      </c>
    </row>
    <row r="43" customFormat="false" ht="27.75" hidden="false" customHeight="true" outlineLevel="0" collapsed="false">
      <c r="A43" s="4" t="s">
        <v>269</v>
      </c>
      <c r="B43" s="6" t="s">
        <v>26</v>
      </c>
      <c r="C43" s="7" t="n">
        <f aca="false">Firm_Counts!E61</f>
        <v>23784.5883333251</v>
      </c>
      <c r="D43" s="22" t="n">
        <f aca="false">C43/C43</f>
        <v>1</v>
      </c>
      <c r="E43" s="4" t="s">
        <v>273</v>
      </c>
    </row>
    <row r="44" customFormat="false" ht="27.75" hidden="false" customHeight="true" outlineLevel="0" collapsed="false">
      <c r="A44" s="4" t="s">
        <v>274</v>
      </c>
      <c r="B44" s="6" t="s">
        <v>26</v>
      </c>
      <c r="C44" s="7" t="n">
        <f aca="false">SUMIFS(Raw_Census!$D$5:$D$379,Raw_Census!$A$5:$A$379,"31-33|20-49")+SUMIFS(Raw_Census!$D$5:$D$379,Raw_Census!$A$5:$A$379,"31-33|50-99")+SUMIFS(Raw_Census!$D$5:$D$379,Raw_Census!$A$5:$A$379,"31-33|100-249")+SUMIFS(Raw_Census!$D$5:$D$379,Raw_Census!$A$5:$A$379,"31-33|250-499")+SUMIFS(Raw_Census!$D$5:$D$379,Raw_Census!$A$5:$A$379,"31-33|500+")</f>
        <v>60710</v>
      </c>
      <c r="D44" s="22" t="n">
        <f aca="false">C44/C43</f>
        <v>2.55249320060494</v>
      </c>
      <c r="E44" s="4" t="s">
        <v>275</v>
      </c>
    </row>
    <row r="45" customFormat="false" ht="27.75" hidden="false" customHeight="true" outlineLevel="0" collapsed="false">
      <c r="A45" s="4" t="s">
        <v>269</v>
      </c>
      <c r="B45" s="6" t="s">
        <v>27</v>
      </c>
      <c r="C45" s="7" t="n">
        <f aca="false">Firm_Counts!F61</f>
        <v>33035.0140471998</v>
      </c>
      <c r="D45" s="22" t="n">
        <f aca="false">C45/C45</f>
        <v>1</v>
      </c>
      <c r="E45" s="4" t="s">
        <v>276</v>
      </c>
    </row>
    <row r="46" customFormat="false" ht="27.75" hidden="false" customHeight="true" outlineLevel="0" collapsed="false">
      <c r="A46" s="4" t="s">
        <v>277</v>
      </c>
      <c r="B46" s="6" t="s">
        <v>27</v>
      </c>
      <c r="C46" s="7" t="n">
        <f aca="false">SUMIFS(Raw_Census!$D$5:$D$379,Raw_Census!$A$5:$A$379,"54|20-49")+SUMIFS(Raw_Census!$D$5:$D$379,Raw_Census!$A$5:$A$379,"54|50-99")+SUMIFS(Raw_Census!$D$5:$D$379,Raw_Census!$A$5:$A$379,"54|100-249")+SUMIFS(Raw_Census!$D$5:$D$379,Raw_Census!$A$5:$A$379,"54|250-499")+SUMIFS(Raw_Census!$D$5:$D$379,Raw_Census!$A$5:$A$379,"54|500+")</f>
        <v>57665</v>
      </c>
      <c r="D46" s="22" t="n">
        <f aca="false">C46/C45</f>
        <v>1.7455721349962</v>
      </c>
      <c r="E46" s="4" t="s">
        <v>278</v>
      </c>
    </row>
  </sheetData>
  <conditionalFormatting sqref="B29:G34">
    <cfRule type="cellIs" priority="2" operator="greaterThanOrEqual" aboveAverage="0" equalAverage="0" bottom="0" percent="0" rank="0" text="" dxfId="0">
      <formula>$B$25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279</v>
      </c>
    </row>
    <row r="2" customFormat="false" ht="15" hidden="false" customHeight="false" outlineLevel="0" collapsed="false">
      <c r="A2" s="2" t="s">
        <v>280</v>
      </c>
    </row>
    <row r="4" customFormat="false" ht="15" hidden="false" customHeight="false" outlineLevel="0" collapsed="false">
      <c r="A4" s="5" t="s">
        <v>70</v>
      </c>
      <c r="B4" s="5" t="s">
        <v>281</v>
      </c>
      <c r="C4" s="5" t="s">
        <v>282</v>
      </c>
      <c r="D4" s="5" t="s">
        <v>283</v>
      </c>
      <c r="E4" s="5" t="s">
        <v>284</v>
      </c>
      <c r="F4" s="5" t="s">
        <v>285</v>
      </c>
      <c r="G4" s="5" t="s">
        <v>286</v>
      </c>
    </row>
    <row r="5" customFormat="false" ht="61.5" hidden="false" customHeight="true" outlineLevel="0" collapsed="false">
      <c r="A5" s="6" t="s">
        <v>287</v>
      </c>
      <c r="B5" s="4" t="s">
        <v>288</v>
      </c>
      <c r="C5" s="4" t="s">
        <v>289</v>
      </c>
      <c r="D5" s="14" t="n">
        <f aca="false">Firm_Counts!E61/Sensitivity!C44</f>
        <v>0.391773815406443</v>
      </c>
      <c r="E5" s="6" t="s">
        <v>290</v>
      </c>
      <c r="F5" s="8" t="s">
        <v>291</v>
      </c>
      <c r="G5" s="4" t="s">
        <v>292</v>
      </c>
    </row>
    <row r="6" customFormat="false" ht="61.5" hidden="false" customHeight="true" outlineLevel="0" collapsed="false">
      <c r="A6" s="6" t="s">
        <v>293</v>
      </c>
      <c r="B6" s="4" t="s">
        <v>294</v>
      </c>
      <c r="C6" s="4" t="s">
        <v>295</v>
      </c>
      <c r="D6" s="14" t="n">
        <f aca="false">(Firm_Counts!D58+Firm_Counts!D59)/(Firm_Counts!F58+Firm_Counts!F59)</f>
        <v>0.349652881656101</v>
      </c>
      <c r="E6" s="41" t="n">
        <v>0.5</v>
      </c>
      <c r="F6" s="8" t="str">
        <f aca="false">IF(AND(D6&gt;=E6,D7&gt;=1),"Supported","Rejected")</f>
        <v>Rejected</v>
      </c>
      <c r="G6" s="4" t="s">
        <v>296</v>
      </c>
    </row>
    <row r="7" customFormat="false" ht="61.5" hidden="false" customHeight="true" outlineLevel="0" collapsed="false">
      <c r="C7" s="4" t="s">
        <v>297</v>
      </c>
      <c r="D7" s="14" t="n">
        <f aca="false">(Firm_Counts!D58+Firm_Counts!D59)/(Firm_Counts!E58+Firm_Counts!E59)</f>
        <v>0.485668481636663</v>
      </c>
      <c r="E7" s="41" t="n">
        <v>1</v>
      </c>
    </row>
    <row r="8" customFormat="false" ht="61.5" hidden="false" customHeight="true" outlineLevel="0" collapsed="false">
      <c r="A8" s="6" t="s">
        <v>298</v>
      </c>
      <c r="B8" s="4" t="s">
        <v>299</v>
      </c>
      <c r="C8" s="4" t="s">
        <v>300</v>
      </c>
      <c r="D8" s="6" t="str">
        <f aca="false">TEXT(Segment_Profile!B18/Segment_Profile!F18,"0.00")&amp;" / "&amp;TEXT(Segment_Profile!C18/Segment_Profile!F18,"0.00")&amp;" / "&amp;TEXT(Segment_Profile!D18/Segment_Profile!F18,"0.00")</f>
        <v>0.69 / 0.45 / 7.15</v>
      </c>
      <c r="E8" s="6" t="s">
        <v>301</v>
      </c>
      <c r="F8" s="8" t="str">
        <f aca="false">IF(AND(Segment_Profile!B18&lt;Segment_Profile!F18,Segment_Profile!B13&gt;Segment_Profile!F13),"Preliminary support (distribution)","Not supported")</f>
        <v>Preliminary support (distribution)</v>
      </c>
      <c r="G8" s="4" t="s">
        <v>302</v>
      </c>
    </row>
    <row r="9" customFormat="false" ht="61.5" hidden="false" customHeight="true" outlineLevel="0" collapsed="false">
      <c r="A9" s="6" t="s">
        <v>303</v>
      </c>
      <c r="B9" s="4" t="s">
        <v>304</v>
      </c>
      <c r="C9" s="4" t="s">
        <v>305</v>
      </c>
      <c r="D9" s="6" t="str">
        <f aca="false">TEXT(Assumptions!$E$5,"$#,##0")&amp;" / "&amp;TEXT(Assumptions!$E$6,"$#,##0")</f>
        <v>$7,500 / $20,000</v>
      </c>
      <c r="E9" s="6" t="s">
        <v>306</v>
      </c>
      <c r="F9" s="8" t="s">
        <v>307</v>
      </c>
      <c r="G9" s="4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2" t="s">
        <v>310</v>
      </c>
    </row>
    <row r="4" customFormat="false" ht="15" hidden="false" customHeight="false" outlineLevel="0" collapsed="false">
      <c r="A4" s="5" t="s">
        <v>118</v>
      </c>
      <c r="B4" s="5" t="s">
        <v>119</v>
      </c>
      <c r="C4" s="5" t="s">
        <v>120</v>
      </c>
      <c r="D4" s="5" t="s">
        <v>311</v>
      </c>
      <c r="E4" s="5" t="s">
        <v>312</v>
      </c>
    </row>
    <row r="5" customFormat="false" ht="15" hidden="false" customHeight="false" outlineLevel="0" collapsed="false">
      <c r="A5" s="6" t="s">
        <v>25</v>
      </c>
      <c r="B5" s="19" t="s">
        <v>131</v>
      </c>
      <c r="C5" s="6" t="s">
        <v>132</v>
      </c>
      <c r="D5" s="6" t="s">
        <v>313</v>
      </c>
      <c r="E5" s="4" t="s">
        <v>314</v>
      </c>
    </row>
    <row r="6" customFormat="false" ht="15" hidden="false" customHeight="false" outlineLevel="0" collapsed="false">
      <c r="A6" s="6" t="s">
        <v>25</v>
      </c>
      <c r="B6" s="19" t="s">
        <v>133</v>
      </c>
      <c r="C6" s="6" t="s">
        <v>134</v>
      </c>
      <c r="D6" s="6" t="s">
        <v>313</v>
      </c>
      <c r="E6" s="4" t="s">
        <v>315</v>
      </c>
    </row>
    <row r="7" customFormat="false" ht="15" hidden="false" customHeight="false" outlineLevel="0" collapsed="false">
      <c r="A7" s="6" t="s">
        <v>25</v>
      </c>
      <c r="B7" s="19" t="s">
        <v>135</v>
      </c>
      <c r="C7" s="6" t="s">
        <v>136</v>
      </c>
      <c r="D7" s="6" t="s">
        <v>313</v>
      </c>
      <c r="E7" s="4" t="s">
        <v>316</v>
      </c>
    </row>
    <row r="8" customFormat="false" ht="15" hidden="false" customHeight="false" outlineLevel="0" collapsed="false">
      <c r="A8" s="6" t="s">
        <v>25</v>
      </c>
      <c r="B8" s="19" t="s">
        <v>137</v>
      </c>
      <c r="C8" s="6" t="s">
        <v>138</v>
      </c>
      <c r="D8" s="6" t="s">
        <v>313</v>
      </c>
      <c r="E8" s="4" t="s">
        <v>317</v>
      </c>
    </row>
    <row r="9" customFormat="false" ht="15" hidden="false" customHeight="false" outlineLevel="0" collapsed="false">
      <c r="A9" s="6" t="s">
        <v>25</v>
      </c>
      <c r="B9" s="19" t="s">
        <v>318</v>
      </c>
      <c r="C9" s="6" t="s">
        <v>319</v>
      </c>
      <c r="D9" s="6" t="s">
        <v>320</v>
      </c>
      <c r="E9" s="4" t="s">
        <v>321</v>
      </c>
    </row>
    <row r="10" customFormat="false" ht="15" hidden="false" customHeight="false" outlineLevel="0" collapsed="false">
      <c r="A10" s="6" t="s">
        <v>25</v>
      </c>
      <c r="B10" s="19" t="s">
        <v>322</v>
      </c>
      <c r="C10" s="6" t="s">
        <v>323</v>
      </c>
      <c r="D10" s="6" t="s">
        <v>320</v>
      </c>
      <c r="E10" s="4" t="s">
        <v>324</v>
      </c>
    </row>
    <row r="11" customFormat="false" ht="15" hidden="false" customHeight="false" outlineLevel="0" collapsed="false">
      <c r="A11" s="6" t="s">
        <v>26</v>
      </c>
      <c r="B11" s="19" t="s">
        <v>140</v>
      </c>
      <c r="C11" s="6" t="s">
        <v>141</v>
      </c>
      <c r="D11" s="6" t="s">
        <v>313</v>
      </c>
      <c r="E11" s="4" t="s">
        <v>325</v>
      </c>
    </row>
    <row r="12" customFormat="false" ht="15" hidden="false" customHeight="false" outlineLevel="0" collapsed="false">
      <c r="A12" s="6" t="s">
        <v>26</v>
      </c>
      <c r="B12" s="19" t="s">
        <v>142</v>
      </c>
      <c r="C12" s="6" t="s">
        <v>143</v>
      </c>
      <c r="D12" s="6" t="s">
        <v>313</v>
      </c>
      <c r="E12" s="4" t="s">
        <v>326</v>
      </c>
    </row>
    <row r="13" customFormat="false" ht="15" hidden="false" customHeight="false" outlineLevel="0" collapsed="false">
      <c r="A13" s="6" t="s">
        <v>26</v>
      </c>
      <c r="B13" s="19" t="s">
        <v>144</v>
      </c>
      <c r="C13" s="6" t="s">
        <v>145</v>
      </c>
      <c r="D13" s="6" t="s">
        <v>313</v>
      </c>
      <c r="E13" s="4" t="s">
        <v>327</v>
      </c>
    </row>
    <row r="14" customFormat="false" ht="15" hidden="false" customHeight="false" outlineLevel="0" collapsed="false">
      <c r="A14" s="6" t="s">
        <v>26</v>
      </c>
      <c r="B14" s="19" t="s">
        <v>146</v>
      </c>
      <c r="C14" s="6" t="s">
        <v>147</v>
      </c>
      <c r="D14" s="6" t="s">
        <v>313</v>
      </c>
      <c r="E14" s="4" t="s">
        <v>328</v>
      </c>
    </row>
    <row r="15" customFormat="false" ht="23.85" hidden="false" customHeight="false" outlineLevel="0" collapsed="false">
      <c r="A15" s="6" t="s">
        <v>26</v>
      </c>
      <c r="B15" s="19" t="s">
        <v>172</v>
      </c>
      <c r="C15" s="6" t="s">
        <v>329</v>
      </c>
      <c r="D15" s="6" t="s">
        <v>320</v>
      </c>
      <c r="E15" s="4" t="s">
        <v>330</v>
      </c>
    </row>
    <row r="16" customFormat="false" ht="15" hidden="false" customHeight="false" outlineLevel="0" collapsed="false">
      <c r="A16" s="6" t="s">
        <v>27</v>
      </c>
      <c r="B16" s="19" t="s">
        <v>149</v>
      </c>
      <c r="C16" s="6" t="s">
        <v>150</v>
      </c>
      <c r="D16" s="6" t="s">
        <v>313</v>
      </c>
      <c r="E16" s="4" t="s">
        <v>331</v>
      </c>
    </row>
    <row r="17" customFormat="false" ht="15" hidden="false" customHeight="false" outlineLevel="0" collapsed="false">
      <c r="A17" s="6" t="s">
        <v>27</v>
      </c>
      <c r="B17" s="19" t="s">
        <v>151</v>
      </c>
      <c r="C17" s="6" t="s">
        <v>152</v>
      </c>
      <c r="D17" s="6" t="s">
        <v>313</v>
      </c>
      <c r="E17" s="4" t="s">
        <v>332</v>
      </c>
    </row>
    <row r="18" customFormat="false" ht="15" hidden="false" customHeight="false" outlineLevel="0" collapsed="false">
      <c r="A18" s="6" t="s">
        <v>27</v>
      </c>
      <c r="B18" s="19" t="s">
        <v>153</v>
      </c>
      <c r="C18" s="6" t="s">
        <v>154</v>
      </c>
      <c r="D18" s="6" t="s">
        <v>313</v>
      </c>
      <c r="E18" s="4" t="s">
        <v>333</v>
      </c>
    </row>
    <row r="19" customFormat="false" ht="15" hidden="false" customHeight="false" outlineLevel="0" collapsed="false">
      <c r="A19" s="6" t="s">
        <v>27</v>
      </c>
      <c r="B19" s="19" t="s">
        <v>155</v>
      </c>
      <c r="C19" s="6" t="s">
        <v>156</v>
      </c>
      <c r="D19" s="6" t="s">
        <v>313</v>
      </c>
      <c r="E19" s="4" t="s">
        <v>334</v>
      </c>
    </row>
    <row r="20" customFormat="false" ht="15" hidden="false" customHeight="false" outlineLevel="0" collapsed="false">
      <c r="A20" s="6" t="s">
        <v>27</v>
      </c>
      <c r="B20" s="19" t="s">
        <v>335</v>
      </c>
      <c r="C20" s="6" t="s">
        <v>336</v>
      </c>
      <c r="D20" s="6" t="s">
        <v>320</v>
      </c>
      <c r="E20" s="4" t="s">
        <v>337</v>
      </c>
    </row>
    <row r="21" customFormat="false" ht="15" hidden="false" customHeight="false" outlineLevel="0" collapsed="false">
      <c r="A21" s="6" t="s">
        <v>27</v>
      </c>
      <c r="B21" s="19" t="s">
        <v>338</v>
      </c>
      <c r="C21" s="6" t="s">
        <v>339</v>
      </c>
      <c r="D21" s="6" t="s">
        <v>320</v>
      </c>
      <c r="E21" s="4" t="s">
        <v>340</v>
      </c>
    </row>
    <row r="22" customFormat="false" ht="15" hidden="false" customHeight="false" outlineLevel="0" collapsed="false">
      <c r="A22" s="6" t="s">
        <v>341</v>
      </c>
      <c r="B22" s="19" t="s">
        <v>342</v>
      </c>
      <c r="C22" s="6" t="s">
        <v>343</v>
      </c>
      <c r="D22" s="6" t="s">
        <v>344</v>
      </c>
      <c r="E22" s="4" t="s">
        <v>345</v>
      </c>
    </row>
    <row r="23" customFormat="false" ht="15" hidden="false" customHeight="false" outlineLevel="0" collapsed="false">
      <c r="A23" s="6" t="s">
        <v>346</v>
      </c>
      <c r="B23" s="19" t="s">
        <v>347</v>
      </c>
      <c r="C23" s="6" t="s">
        <v>348</v>
      </c>
      <c r="D23" s="6" t="s">
        <v>349</v>
      </c>
      <c r="E23" s="4" t="s">
        <v>350</v>
      </c>
    </row>
    <row r="25" customFormat="false" ht="30" hidden="false" customHeight="true" outlineLevel="0" collapsed="false">
      <c r="A25" s="18" t="s">
        <v>351</v>
      </c>
      <c r="B25" s="18"/>
      <c r="C25" s="18"/>
      <c r="D25" s="18"/>
      <c r="E25" s="18"/>
    </row>
  </sheetData>
  <mergeCells count="1"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J3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352</v>
      </c>
    </row>
    <row r="2" customFormat="false" ht="15" hidden="false" customHeight="false" outlineLevel="0" collapsed="false">
      <c r="A2" s="2" t="s">
        <v>353</v>
      </c>
    </row>
    <row r="4" customFormat="false" ht="23.85" hidden="false" customHeight="false" outlineLevel="0" collapsed="false">
      <c r="A4" s="5" t="s">
        <v>354</v>
      </c>
      <c r="B4" s="5" t="s">
        <v>355</v>
      </c>
      <c r="C4" s="5" t="s">
        <v>356</v>
      </c>
      <c r="D4" s="5" t="s">
        <v>357</v>
      </c>
      <c r="E4" s="5" t="s">
        <v>358</v>
      </c>
      <c r="F4" s="5" t="s">
        <v>359</v>
      </c>
      <c r="G4" s="5" t="s">
        <v>360</v>
      </c>
      <c r="H4" s="5" t="s">
        <v>361</v>
      </c>
      <c r="I4" s="5" t="s">
        <v>362</v>
      </c>
      <c r="J4" s="5" t="s">
        <v>363</v>
      </c>
    </row>
    <row r="5" customFormat="false" ht="15" hidden="false" customHeight="false" outlineLevel="0" collapsed="false">
      <c r="A5" s="42" t="str">
        <f aca="false">B5&amp;"|"&amp;C5</f>
        <v>42|ALL</v>
      </c>
      <c r="B5" s="43" t="s">
        <v>364</v>
      </c>
      <c r="C5" s="43" t="s">
        <v>365</v>
      </c>
      <c r="D5" s="44" t="n">
        <v>265472</v>
      </c>
      <c r="E5" s="43"/>
      <c r="F5" s="44" t="n">
        <v>373446</v>
      </c>
      <c r="G5" s="44" t="n">
        <v>6219107</v>
      </c>
      <c r="H5" s="44" t="n">
        <v>11870055103</v>
      </c>
      <c r="I5" s="43"/>
      <c r="J5" s="43" t="s">
        <v>366</v>
      </c>
    </row>
    <row r="6" customFormat="false" ht="15" hidden="false" customHeight="false" outlineLevel="0" collapsed="false">
      <c r="A6" s="42" t="str">
        <f aca="false">B6&amp;"|"&amp;C6</f>
        <v>42|FY</v>
      </c>
      <c r="B6" s="43" t="s">
        <v>364</v>
      </c>
      <c r="C6" s="43" t="s">
        <v>367</v>
      </c>
      <c r="D6" s="44" t="n">
        <v>236838</v>
      </c>
      <c r="E6" s="43"/>
      <c r="F6" s="44" t="n">
        <v>344624</v>
      </c>
      <c r="G6" s="44" t="n">
        <v>6157364</v>
      </c>
      <c r="H6" s="44" t="n">
        <v>11818905379</v>
      </c>
      <c r="I6" s="43"/>
      <c r="J6" s="43" t="s">
        <v>366</v>
      </c>
    </row>
    <row r="7" customFormat="false" ht="15" hidden="false" customHeight="false" outlineLevel="0" collapsed="false">
      <c r="A7" s="42" t="str">
        <f aca="false">B7&amp;"|"&amp;C7</f>
        <v>42|0-4</v>
      </c>
      <c r="B7" s="43" t="s">
        <v>364</v>
      </c>
      <c r="C7" s="43" t="s">
        <v>368</v>
      </c>
      <c r="D7" s="44" t="n">
        <v>126013</v>
      </c>
      <c r="E7" s="43"/>
      <c r="F7" s="44" t="n">
        <v>127035</v>
      </c>
      <c r="G7" s="44" t="n">
        <v>251862</v>
      </c>
      <c r="H7" s="44" t="n">
        <v>316488154</v>
      </c>
      <c r="I7" s="43"/>
      <c r="J7" s="43" t="s">
        <v>366</v>
      </c>
    </row>
    <row r="8" customFormat="false" ht="15" hidden="false" customHeight="false" outlineLevel="0" collapsed="false">
      <c r="A8" s="42" t="str">
        <f aca="false">B8&amp;"|"&amp;C8</f>
        <v>42|5-9</v>
      </c>
      <c r="B8" s="43" t="s">
        <v>364</v>
      </c>
      <c r="C8" s="43" t="s">
        <v>369</v>
      </c>
      <c r="D8" s="44" t="n">
        <v>43311</v>
      </c>
      <c r="E8" s="43"/>
      <c r="F8" s="44" t="n">
        <v>44561</v>
      </c>
      <c r="G8" s="44" t="n">
        <v>285881</v>
      </c>
      <c r="H8" s="44" t="n">
        <v>318961246</v>
      </c>
      <c r="I8" s="43"/>
      <c r="J8" s="43" t="s">
        <v>366</v>
      </c>
    </row>
    <row r="9" customFormat="false" ht="15" hidden="false" customHeight="false" outlineLevel="0" collapsed="false">
      <c r="A9" s="42" t="str">
        <f aca="false">B9&amp;"|"&amp;C9</f>
        <v>42|10-19</v>
      </c>
      <c r="B9" s="43" t="s">
        <v>364</v>
      </c>
      <c r="C9" s="43" t="s">
        <v>370</v>
      </c>
      <c r="D9" s="44" t="n">
        <v>30140</v>
      </c>
      <c r="E9" s="43"/>
      <c r="F9" s="44" t="n">
        <v>33227</v>
      </c>
      <c r="G9" s="44" t="n">
        <v>406023</v>
      </c>
      <c r="H9" s="44" t="n">
        <v>474833888</v>
      </c>
      <c r="I9" s="43"/>
      <c r="J9" s="43" t="s">
        <v>366</v>
      </c>
    </row>
    <row r="10" customFormat="false" ht="15" hidden="false" customHeight="false" outlineLevel="0" collapsed="false">
      <c r="A10" s="42" t="str">
        <f aca="false">B10&amp;"|"&amp;C10</f>
        <v>42|20-49</v>
      </c>
      <c r="B10" s="43" t="s">
        <v>364</v>
      </c>
      <c r="C10" s="43" t="s">
        <v>121</v>
      </c>
      <c r="D10" s="44" t="n">
        <v>21752</v>
      </c>
      <c r="E10" s="43"/>
      <c r="F10" s="44" t="n">
        <v>29364</v>
      </c>
      <c r="G10" s="44" t="n">
        <v>661264</v>
      </c>
      <c r="H10" s="44" t="n">
        <v>854118039</v>
      </c>
      <c r="I10" s="43"/>
      <c r="J10" s="43" t="s">
        <v>366</v>
      </c>
    </row>
    <row r="11" customFormat="false" ht="15" hidden="false" customHeight="false" outlineLevel="0" collapsed="false">
      <c r="A11" s="42" t="str">
        <f aca="false">B11&amp;"|"&amp;C11</f>
        <v>42|50-99</v>
      </c>
      <c r="B11" s="43" t="s">
        <v>364</v>
      </c>
      <c r="C11" s="43" t="s">
        <v>122</v>
      </c>
      <c r="D11" s="44" t="n">
        <v>7842</v>
      </c>
      <c r="E11" s="43"/>
      <c r="F11" s="44" t="n">
        <v>16195</v>
      </c>
      <c r="G11" s="44" t="n">
        <v>541263</v>
      </c>
      <c r="H11" s="44" t="n">
        <v>724261166</v>
      </c>
      <c r="I11" s="43"/>
      <c r="J11" s="43" t="s">
        <v>366</v>
      </c>
    </row>
    <row r="12" customFormat="false" ht="15" hidden="false" customHeight="false" outlineLevel="0" collapsed="false">
      <c r="A12" s="42" t="str">
        <f aca="false">B12&amp;"|"&amp;C12</f>
        <v>42|100-249</v>
      </c>
      <c r="B12" s="43" t="s">
        <v>364</v>
      </c>
      <c r="C12" s="43" t="s">
        <v>123</v>
      </c>
      <c r="D12" s="44" t="n">
        <v>4884</v>
      </c>
      <c r="E12" s="43"/>
      <c r="F12" s="44" t="n">
        <v>18625</v>
      </c>
      <c r="G12" s="44" t="n">
        <v>745783</v>
      </c>
      <c r="H12" s="44" t="n">
        <v>1139812378</v>
      </c>
      <c r="I12" s="43"/>
      <c r="J12" s="43" t="s">
        <v>366</v>
      </c>
    </row>
    <row r="13" customFormat="false" ht="15" hidden="false" customHeight="false" outlineLevel="0" collapsed="false">
      <c r="A13" s="42" t="str">
        <f aca="false">B13&amp;"|"&amp;C13</f>
        <v>42|250-499</v>
      </c>
      <c r="B13" s="43" t="s">
        <v>364</v>
      </c>
      <c r="C13" s="43" t="s">
        <v>124</v>
      </c>
      <c r="D13" s="44" t="n">
        <v>1591</v>
      </c>
      <c r="E13" s="43"/>
      <c r="F13" s="44" t="n">
        <v>12879</v>
      </c>
      <c r="G13" s="44" t="n">
        <v>552047</v>
      </c>
      <c r="H13" s="44" t="n">
        <v>1431482338</v>
      </c>
      <c r="I13" s="43"/>
      <c r="J13" s="43" t="s">
        <v>366</v>
      </c>
    </row>
    <row r="14" customFormat="false" ht="15" hidden="false" customHeight="false" outlineLevel="0" collapsed="false">
      <c r="A14" s="42" t="str">
        <f aca="false">B14&amp;"|"&amp;C14</f>
        <v>42|500+</v>
      </c>
      <c r="B14" s="43" t="s">
        <v>364</v>
      </c>
      <c r="C14" s="43" t="s">
        <v>125</v>
      </c>
      <c r="D14" s="44" t="n">
        <v>1305</v>
      </c>
      <c r="E14" s="43"/>
      <c r="F14" s="44" t="n">
        <v>62738</v>
      </c>
      <c r="G14" s="44" t="n">
        <v>2713241</v>
      </c>
      <c r="H14" s="44" t="n">
        <v>6558948170</v>
      </c>
      <c r="I14" s="43"/>
      <c r="J14" s="43" t="s">
        <v>366</v>
      </c>
    </row>
    <row r="15" customFormat="false" ht="15" hidden="false" customHeight="false" outlineLevel="0" collapsed="false">
      <c r="A15" s="42" t="str">
        <f aca="false">B15&amp;"|"&amp;C15</f>
        <v>42|NFY</v>
      </c>
      <c r="B15" s="43" t="s">
        <v>364</v>
      </c>
      <c r="C15" s="43" t="s">
        <v>371</v>
      </c>
      <c r="D15" s="44" t="n">
        <v>28634</v>
      </c>
      <c r="E15" s="43"/>
      <c r="F15" s="44" t="n">
        <v>28822</v>
      </c>
      <c r="G15" s="44" t="n">
        <v>61743</v>
      </c>
      <c r="H15" s="44" t="n">
        <v>51149724</v>
      </c>
      <c r="I15" s="43"/>
      <c r="J15" s="43" t="s">
        <v>366</v>
      </c>
    </row>
    <row r="16" customFormat="false" ht="15" hidden="false" customHeight="false" outlineLevel="0" collapsed="false">
      <c r="A16" s="42" t="str">
        <f aca="false">B16&amp;"|"&amp;C16</f>
        <v>423|ALL</v>
      </c>
      <c r="B16" s="43" t="s">
        <v>167</v>
      </c>
      <c r="C16" s="43" t="s">
        <v>365</v>
      </c>
      <c r="D16" s="44" t="n">
        <v>144016</v>
      </c>
      <c r="E16" s="43"/>
      <c r="F16" s="44" t="n">
        <v>218013</v>
      </c>
      <c r="G16" s="44" t="n">
        <v>3631054</v>
      </c>
      <c r="H16" s="44" t="n">
        <v>4917521572</v>
      </c>
      <c r="I16" s="43"/>
      <c r="J16" s="43" t="s">
        <v>366</v>
      </c>
    </row>
    <row r="17" customFormat="false" ht="15" hidden="false" customHeight="false" outlineLevel="0" collapsed="false">
      <c r="A17" s="42" t="str">
        <f aca="false">B17&amp;"|"&amp;C17</f>
        <v>423|FY</v>
      </c>
      <c r="B17" s="43" t="s">
        <v>167</v>
      </c>
      <c r="C17" s="43" t="s">
        <v>367</v>
      </c>
      <c r="D17" s="44" t="n">
        <v>130272</v>
      </c>
      <c r="E17" s="43"/>
      <c r="F17" s="44" t="n">
        <v>204142</v>
      </c>
      <c r="G17" s="44" t="n">
        <v>3596130</v>
      </c>
      <c r="H17" s="44" t="n">
        <v>4895159829</v>
      </c>
      <c r="I17" s="43"/>
      <c r="J17" s="43" t="s">
        <v>366</v>
      </c>
    </row>
    <row r="18" customFormat="false" ht="15" hidden="false" customHeight="false" outlineLevel="0" collapsed="false">
      <c r="A18" s="42" t="str">
        <f aca="false">B18&amp;"|"&amp;C18</f>
        <v>423|0-4</v>
      </c>
      <c r="B18" s="43" t="s">
        <v>167</v>
      </c>
      <c r="C18" s="43" t="s">
        <v>368</v>
      </c>
      <c r="D18" s="44" t="n">
        <v>63350</v>
      </c>
      <c r="E18" s="43"/>
      <c r="F18" s="44" t="n">
        <v>64007</v>
      </c>
      <c r="G18" s="44" t="n">
        <v>131681</v>
      </c>
      <c r="H18" s="44" t="n">
        <v>115986892</v>
      </c>
      <c r="I18" s="43"/>
      <c r="J18" s="43" t="s">
        <v>366</v>
      </c>
    </row>
    <row r="19" customFormat="false" ht="15" hidden="false" customHeight="false" outlineLevel="0" collapsed="false">
      <c r="A19" s="42" t="str">
        <f aca="false">B19&amp;"|"&amp;C19</f>
        <v>423|5-9</v>
      </c>
      <c r="B19" s="43" t="s">
        <v>167</v>
      </c>
      <c r="C19" s="43" t="s">
        <v>369</v>
      </c>
      <c r="D19" s="44" t="n">
        <v>25534</v>
      </c>
      <c r="E19" s="43"/>
      <c r="F19" s="44" t="n">
        <v>26292</v>
      </c>
      <c r="G19" s="44" t="n">
        <v>169288</v>
      </c>
      <c r="H19" s="44" t="n">
        <v>122888642</v>
      </c>
      <c r="I19" s="43"/>
      <c r="J19" s="43" t="s">
        <v>366</v>
      </c>
    </row>
    <row r="20" customFormat="false" ht="15" hidden="false" customHeight="false" outlineLevel="0" collapsed="false">
      <c r="A20" s="42" t="str">
        <f aca="false">B20&amp;"|"&amp;C20</f>
        <v>423|10-19</v>
      </c>
      <c r="B20" s="43" t="s">
        <v>167</v>
      </c>
      <c r="C20" s="43" t="s">
        <v>370</v>
      </c>
      <c r="D20" s="44" t="n">
        <v>18458</v>
      </c>
      <c r="E20" s="43"/>
      <c r="F20" s="44" t="n">
        <v>20443</v>
      </c>
      <c r="G20" s="44" t="n">
        <v>248860</v>
      </c>
      <c r="H20" s="44" t="n">
        <v>192804169</v>
      </c>
      <c r="I20" s="43"/>
      <c r="J20" s="43" t="s">
        <v>366</v>
      </c>
    </row>
    <row r="21" customFormat="false" ht="15" hidden="false" customHeight="false" outlineLevel="0" collapsed="false">
      <c r="A21" s="42" t="str">
        <f aca="false">B21&amp;"|"&amp;C21</f>
        <v>423|20-49</v>
      </c>
      <c r="B21" s="43" t="s">
        <v>167</v>
      </c>
      <c r="C21" s="43" t="s">
        <v>121</v>
      </c>
      <c r="D21" s="44" t="n">
        <v>13339</v>
      </c>
      <c r="E21" s="43"/>
      <c r="F21" s="44" t="n">
        <v>18462</v>
      </c>
      <c r="G21" s="44" t="n">
        <v>405352</v>
      </c>
      <c r="H21" s="44" t="n">
        <v>353550997</v>
      </c>
      <c r="I21" s="43"/>
      <c r="J21" s="43" t="s">
        <v>366</v>
      </c>
    </row>
    <row r="22" customFormat="false" ht="15" hidden="false" customHeight="false" outlineLevel="0" collapsed="false">
      <c r="A22" s="42" t="str">
        <f aca="false">B22&amp;"|"&amp;C22</f>
        <v>423|50-99</v>
      </c>
      <c r="B22" s="43" t="s">
        <v>167</v>
      </c>
      <c r="C22" s="43" t="s">
        <v>122</v>
      </c>
      <c r="D22" s="44" t="n">
        <v>4860</v>
      </c>
      <c r="E22" s="43"/>
      <c r="F22" s="44" t="n">
        <v>10675</v>
      </c>
      <c r="G22" s="44" t="n">
        <v>335977</v>
      </c>
      <c r="H22" s="44" t="n">
        <v>312062808</v>
      </c>
      <c r="I22" s="43"/>
      <c r="J22" s="43" t="s">
        <v>366</v>
      </c>
    </row>
    <row r="23" customFormat="false" ht="15" hidden="false" customHeight="false" outlineLevel="0" collapsed="false">
      <c r="A23" s="42" t="str">
        <f aca="false">B23&amp;"|"&amp;C23</f>
        <v>423|100-249</v>
      </c>
      <c r="B23" s="43" t="s">
        <v>167</v>
      </c>
      <c r="C23" s="43" t="s">
        <v>123</v>
      </c>
      <c r="D23" s="44" t="n">
        <v>2985</v>
      </c>
      <c r="E23" s="43"/>
      <c r="F23" s="44" t="n">
        <v>12752</v>
      </c>
      <c r="G23" s="44" t="n">
        <v>458227</v>
      </c>
      <c r="H23" s="44" t="n">
        <v>541872970</v>
      </c>
      <c r="I23" s="43"/>
      <c r="J23" s="43" t="s">
        <v>366</v>
      </c>
    </row>
    <row r="24" customFormat="false" ht="15" hidden="false" customHeight="false" outlineLevel="0" collapsed="false">
      <c r="A24" s="42" t="str">
        <f aca="false">B24&amp;"|"&amp;C24</f>
        <v>423|250-499</v>
      </c>
      <c r="B24" s="43" t="s">
        <v>167</v>
      </c>
      <c r="C24" s="43" t="s">
        <v>124</v>
      </c>
      <c r="D24" s="44" t="n">
        <v>944</v>
      </c>
      <c r="E24" s="43"/>
      <c r="F24" s="44" t="n">
        <v>8511</v>
      </c>
      <c r="G24" s="44" t="n">
        <v>328629</v>
      </c>
      <c r="H24" s="44" t="n">
        <v>517992342</v>
      </c>
      <c r="I24" s="43"/>
      <c r="J24" s="43" t="s">
        <v>366</v>
      </c>
    </row>
    <row r="25" customFormat="false" ht="15" hidden="false" customHeight="false" outlineLevel="0" collapsed="false">
      <c r="A25" s="42" t="str">
        <f aca="false">B25&amp;"|"&amp;C25</f>
        <v>423|500+</v>
      </c>
      <c r="B25" s="43" t="s">
        <v>167</v>
      </c>
      <c r="C25" s="43" t="s">
        <v>125</v>
      </c>
      <c r="D25" s="44" t="n">
        <v>802</v>
      </c>
      <c r="E25" s="43"/>
      <c r="F25" s="44" t="n">
        <v>43000</v>
      </c>
      <c r="G25" s="44" t="n">
        <v>1518116</v>
      </c>
      <c r="H25" s="44" t="n">
        <v>2738001009</v>
      </c>
      <c r="I25" s="43"/>
      <c r="J25" s="43" t="s">
        <v>366</v>
      </c>
    </row>
    <row r="26" customFormat="false" ht="15" hidden="false" customHeight="false" outlineLevel="0" collapsed="false">
      <c r="A26" s="42" t="str">
        <f aca="false">B26&amp;"|"&amp;C26</f>
        <v>423|NFY</v>
      </c>
      <c r="B26" s="43" t="s">
        <v>167</v>
      </c>
      <c r="C26" s="43" t="s">
        <v>371</v>
      </c>
      <c r="D26" s="44" t="n">
        <v>13744</v>
      </c>
      <c r="E26" s="43"/>
      <c r="F26" s="44" t="n">
        <v>13871</v>
      </c>
      <c r="G26" s="44" t="n">
        <v>34924</v>
      </c>
      <c r="H26" s="44" t="n">
        <v>22361743</v>
      </c>
      <c r="I26" s="43"/>
      <c r="J26" s="43" t="s">
        <v>366</v>
      </c>
    </row>
    <row r="27" customFormat="false" ht="15" hidden="false" customHeight="false" outlineLevel="0" collapsed="false">
      <c r="A27" s="42" t="str">
        <f aca="false">B27&amp;"|"&amp;C27</f>
        <v>4235|ALL</v>
      </c>
      <c r="B27" s="43" t="s">
        <v>131</v>
      </c>
      <c r="C27" s="43" t="s">
        <v>365</v>
      </c>
      <c r="D27" s="44" t="n">
        <v>6239</v>
      </c>
      <c r="E27" s="43"/>
      <c r="F27" s="44" t="n">
        <v>8705</v>
      </c>
      <c r="G27" s="44" t="n">
        <v>141633</v>
      </c>
      <c r="H27" s="44" t="n">
        <v>329309175</v>
      </c>
      <c r="I27" s="43" t="s">
        <v>167</v>
      </c>
      <c r="J27" s="43" t="s">
        <v>366</v>
      </c>
    </row>
    <row r="28" customFormat="false" ht="15" hidden="false" customHeight="false" outlineLevel="0" collapsed="false">
      <c r="A28" s="42" t="str">
        <f aca="false">B28&amp;"|"&amp;C28</f>
        <v>4235|FY</v>
      </c>
      <c r="B28" s="43" t="s">
        <v>131</v>
      </c>
      <c r="C28" s="43" t="s">
        <v>367</v>
      </c>
      <c r="D28" s="44" t="n">
        <v>5827</v>
      </c>
      <c r="E28" s="43"/>
      <c r="F28" s="44" t="n">
        <v>8293</v>
      </c>
      <c r="G28" s="44" t="n">
        <v>140747</v>
      </c>
      <c r="H28" s="44" t="n">
        <v>328151501</v>
      </c>
      <c r="I28" s="43" t="s">
        <v>167</v>
      </c>
      <c r="J28" s="43" t="s">
        <v>366</v>
      </c>
    </row>
    <row r="29" customFormat="false" ht="15" hidden="false" customHeight="false" outlineLevel="0" collapsed="false">
      <c r="A29" s="42" t="str">
        <f aca="false">B29&amp;"|"&amp;C29</f>
        <v>4235|0-4</v>
      </c>
      <c r="B29" s="43" t="s">
        <v>131</v>
      </c>
      <c r="C29" s="43" t="s">
        <v>368</v>
      </c>
      <c r="D29" s="44" t="n">
        <v>2440</v>
      </c>
      <c r="E29" s="43"/>
      <c r="F29" s="44" t="n">
        <v>2468</v>
      </c>
      <c r="G29" s="44"/>
      <c r="H29" s="44"/>
      <c r="I29" s="43" t="s">
        <v>167</v>
      </c>
      <c r="J29" s="43" t="s">
        <v>366</v>
      </c>
    </row>
    <row r="30" customFormat="false" ht="15" hidden="false" customHeight="false" outlineLevel="0" collapsed="false">
      <c r="A30" s="42" t="str">
        <f aca="false">B30&amp;"|"&amp;C30</f>
        <v>4235|5-9</v>
      </c>
      <c r="B30" s="43" t="s">
        <v>131</v>
      </c>
      <c r="C30" s="43" t="s">
        <v>369</v>
      </c>
      <c r="D30" s="44" t="n">
        <v>1155</v>
      </c>
      <c r="E30" s="43"/>
      <c r="F30" s="44" t="n">
        <v>1188</v>
      </c>
      <c r="G30" s="44" t="n">
        <v>7733</v>
      </c>
      <c r="H30" s="44" t="n">
        <v>20414280</v>
      </c>
      <c r="I30" s="43" t="s">
        <v>167</v>
      </c>
      <c r="J30" s="43" t="s">
        <v>366</v>
      </c>
    </row>
    <row r="31" customFormat="false" ht="15" hidden="false" customHeight="false" outlineLevel="0" collapsed="false">
      <c r="A31" s="42" t="str">
        <f aca="false">B31&amp;"|"&amp;C31</f>
        <v>4235|10-19</v>
      </c>
      <c r="B31" s="43" t="s">
        <v>131</v>
      </c>
      <c r="C31" s="43" t="s">
        <v>370</v>
      </c>
      <c r="D31" s="44" t="n">
        <v>964</v>
      </c>
      <c r="E31" s="43"/>
      <c r="F31" s="44" t="n">
        <v>1070</v>
      </c>
      <c r="G31" s="44" t="n">
        <v>13143</v>
      </c>
      <c r="H31" s="44" t="n">
        <v>23110739</v>
      </c>
      <c r="I31" s="43" t="s">
        <v>167</v>
      </c>
      <c r="J31" s="43" t="s">
        <v>366</v>
      </c>
    </row>
    <row r="32" customFormat="false" ht="15" hidden="false" customHeight="false" outlineLevel="0" collapsed="false">
      <c r="A32" s="42" t="str">
        <f aca="false">B32&amp;"|"&amp;C32</f>
        <v>4235|20-49</v>
      </c>
      <c r="B32" s="43" t="s">
        <v>131</v>
      </c>
      <c r="C32" s="43" t="s">
        <v>121</v>
      </c>
      <c r="D32" s="44" t="n">
        <v>771</v>
      </c>
      <c r="E32" s="43"/>
      <c r="F32" s="44" t="n">
        <v>1069</v>
      </c>
      <c r="G32" s="44" t="n">
        <v>23666</v>
      </c>
      <c r="H32" s="44" t="n">
        <v>67537558</v>
      </c>
      <c r="I32" s="43" t="s">
        <v>167</v>
      </c>
      <c r="J32" s="43" t="s">
        <v>366</v>
      </c>
    </row>
    <row r="33" customFormat="false" ht="15" hidden="false" customHeight="false" outlineLevel="0" collapsed="false">
      <c r="A33" s="42" t="str">
        <f aca="false">B33&amp;"|"&amp;C33</f>
        <v>4235|50-99</v>
      </c>
      <c r="B33" s="43" t="s">
        <v>131</v>
      </c>
      <c r="C33" s="43" t="s">
        <v>122</v>
      </c>
      <c r="D33" s="44"/>
      <c r="E33" s="43" t="s">
        <v>94</v>
      </c>
      <c r="F33" s="44"/>
      <c r="G33" s="44"/>
      <c r="H33" s="44"/>
      <c r="I33" s="43" t="s">
        <v>167</v>
      </c>
      <c r="J33" s="43" t="s">
        <v>366</v>
      </c>
    </row>
    <row r="34" customFormat="false" ht="15" hidden="false" customHeight="false" outlineLevel="0" collapsed="false">
      <c r="A34" s="42" t="str">
        <f aca="false">B34&amp;"|"&amp;C34</f>
        <v>4235|100-249</v>
      </c>
      <c r="B34" s="43" t="s">
        <v>131</v>
      </c>
      <c r="C34" s="43" t="s">
        <v>123</v>
      </c>
      <c r="D34" s="44"/>
      <c r="E34" s="43" t="s">
        <v>94</v>
      </c>
      <c r="F34" s="44"/>
      <c r="G34" s="44"/>
      <c r="H34" s="44"/>
      <c r="I34" s="43" t="s">
        <v>167</v>
      </c>
      <c r="J34" s="43" t="s">
        <v>366</v>
      </c>
    </row>
    <row r="35" customFormat="false" ht="15" hidden="false" customHeight="false" outlineLevel="0" collapsed="false">
      <c r="A35" s="42" t="str">
        <f aca="false">B35&amp;"|"&amp;C35</f>
        <v>4235|250-499</v>
      </c>
      <c r="B35" s="43" t="s">
        <v>131</v>
      </c>
      <c r="C35" s="43" t="s">
        <v>124</v>
      </c>
      <c r="D35" s="44"/>
      <c r="E35" s="43" t="s">
        <v>94</v>
      </c>
      <c r="F35" s="44"/>
      <c r="G35" s="44"/>
      <c r="H35" s="44"/>
      <c r="I35" s="43" t="s">
        <v>167</v>
      </c>
      <c r="J35" s="43" t="s">
        <v>366</v>
      </c>
    </row>
    <row r="36" customFormat="false" ht="15" hidden="false" customHeight="false" outlineLevel="0" collapsed="false">
      <c r="A36" s="42" t="str">
        <f aca="false">B36&amp;"|"&amp;C36</f>
        <v>4235|500+</v>
      </c>
      <c r="B36" s="43" t="s">
        <v>131</v>
      </c>
      <c r="C36" s="43" t="s">
        <v>125</v>
      </c>
      <c r="D36" s="44" t="n">
        <v>22</v>
      </c>
      <c r="E36" s="43"/>
      <c r="F36" s="44" t="n">
        <v>952</v>
      </c>
      <c r="G36" s="44" t="n">
        <v>33421</v>
      </c>
      <c r="H36" s="44" t="n">
        <v>55907376</v>
      </c>
      <c r="I36" s="43" t="s">
        <v>167</v>
      </c>
      <c r="J36" s="43" t="s">
        <v>366</v>
      </c>
    </row>
    <row r="37" customFormat="false" ht="15" hidden="false" customHeight="false" outlineLevel="0" collapsed="false">
      <c r="A37" s="42" t="str">
        <f aca="false">B37&amp;"|"&amp;C37</f>
        <v>4235|NFY</v>
      </c>
      <c r="B37" s="43" t="s">
        <v>131</v>
      </c>
      <c r="C37" s="43" t="s">
        <v>371</v>
      </c>
      <c r="D37" s="44" t="n">
        <v>412</v>
      </c>
      <c r="E37" s="43"/>
      <c r="F37" s="44" t="n">
        <v>412</v>
      </c>
      <c r="G37" s="44" t="n">
        <v>886</v>
      </c>
      <c r="H37" s="44" t="n">
        <v>1157674</v>
      </c>
      <c r="I37" s="43" t="s">
        <v>167</v>
      </c>
      <c r="J37" s="43" t="s">
        <v>366</v>
      </c>
    </row>
    <row r="38" customFormat="false" ht="15" hidden="false" customHeight="false" outlineLevel="0" collapsed="false">
      <c r="A38" s="42" t="str">
        <f aca="false">B38&amp;"|"&amp;C38</f>
        <v>4236|ALL</v>
      </c>
      <c r="B38" s="43" t="s">
        <v>133</v>
      </c>
      <c r="C38" s="43" t="s">
        <v>365</v>
      </c>
      <c r="D38" s="44" t="n">
        <v>15781</v>
      </c>
      <c r="E38" s="43"/>
      <c r="F38" s="44" t="n">
        <v>24933</v>
      </c>
      <c r="G38" s="44" t="n">
        <v>563675</v>
      </c>
      <c r="H38" s="44" t="n">
        <v>895229207</v>
      </c>
      <c r="I38" s="43" t="s">
        <v>167</v>
      </c>
      <c r="J38" s="43" t="s">
        <v>366</v>
      </c>
    </row>
    <row r="39" customFormat="false" ht="15" hidden="false" customHeight="false" outlineLevel="0" collapsed="false">
      <c r="A39" s="42" t="str">
        <f aca="false">B39&amp;"|"&amp;C39</f>
        <v>4236|FY</v>
      </c>
      <c r="B39" s="43" t="s">
        <v>133</v>
      </c>
      <c r="C39" s="43" t="s">
        <v>367</v>
      </c>
      <c r="D39" s="44" t="n">
        <v>14286</v>
      </c>
      <c r="E39" s="43"/>
      <c r="F39" s="44" t="n">
        <v>23428</v>
      </c>
      <c r="G39" s="44" t="n">
        <v>558076</v>
      </c>
      <c r="H39" s="44" t="n">
        <v>892018171</v>
      </c>
      <c r="I39" s="43" t="s">
        <v>167</v>
      </c>
      <c r="J39" s="43" t="s">
        <v>366</v>
      </c>
    </row>
    <row r="40" customFormat="false" ht="15" hidden="false" customHeight="false" outlineLevel="0" collapsed="false">
      <c r="A40" s="42" t="str">
        <f aca="false">B40&amp;"|"&amp;C40</f>
        <v>4236|0-4</v>
      </c>
      <c r="B40" s="43" t="s">
        <v>133</v>
      </c>
      <c r="C40" s="43" t="s">
        <v>368</v>
      </c>
      <c r="D40" s="44" t="n">
        <v>6944</v>
      </c>
      <c r="E40" s="43"/>
      <c r="F40" s="44" t="n">
        <v>7014</v>
      </c>
      <c r="G40" s="44" t="n">
        <v>14375</v>
      </c>
      <c r="H40" s="44" t="n">
        <v>12828028</v>
      </c>
      <c r="I40" s="43" t="s">
        <v>167</v>
      </c>
      <c r="J40" s="43" t="s">
        <v>366</v>
      </c>
    </row>
    <row r="41" customFormat="false" ht="15" hidden="false" customHeight="false" outlineLevel="0" collapsed="false">
      <c r="A41" s="42" t="str">
        <f aca="false">B41&amp;"|"&amp;C41</f>
        <v>4236|5-9</v>
      </c>
      <c r="B41" s="43" t="s">
        <v>133</v>
      </c>
      <c r="C41" s="43" t="s">
        <v>369</v>
      </c>
      <c r="D41" s="44" t="n">
        <v>2810</v>
      </c>
      <c r="E41" s="43"/>
      <c r="F41" s="44" t="n">
        <v>2910</v>
      </c>
      <c r="G41" s="44" t="n">
        <v>18634</v>
      </c>
      <c r="H41" s="44" t="n">
        <v>13883407</v>
      </c>
      <c r="I41" s="43" t="s">
        <v>167</v>
      </c>
      <c r="J41" s="43" t="s">
        <v>366</v>
      </c>
    </row>
    <row r="42" customFormat="false" ht="15" hidden="false" customHeight="false" outlineLevel="0" collapsed="false">
      <c r="A42" s="42" t="str">
        <f aca="false">B42&amp;"|"&amp;C42</f>
        <v>4236|10-19</v>
      </c>
      <c r="B42" s="43" t="s">
        <v>133</v>
      </c>
      <c r="C42" s="43" t="s">
        <v>370</v>
      </c>
      <c r="D42" s="44" t="n">
        <v>1954</v>
      </c>
      <c r="E42" s="43"/>
      <c r="F42" s="44" t="n">
        <v>2166</v>
      </c>
      <c r="G42" s="44" t="n">
        <v>26304</v>
      </c>
      <c r="H42" s="44" t="n">
        <v>24330556</v>
      </c>
      <c r="I42" s="43" t="s">
        <v>167</v>
      </c>
      <c r="J42" s="43" t="s">
        <v>366</v>
      </c>
    </row>
    <row r="43" customFormat="false" ht="15" hidden="false" customHeight="false" outlineLevel="0" collapsed="false">
      <c r="A43" s="42" t="str">
        <f aca="false">B43&amp;"|"&amp;C43</f>
        <v>4236|20-49</v>
      </c>
      <c r="B43" s="43" t="s">
        <v>133</v>
      </c>
      <c r="C43" s="43" t="s">
        <v>121</v>
      </c>
      <c r="D43" s="44" t="n">
        <v>1408</v>
      </c>
      <c r="E43" s="43"/>
      <c r="F43" s="44" t="n">
        <v>1868</v>
      </c>
      <c r="G43" s="44" t="n">
        <v>42698</v>
      </c>
      <c r="H43" s="44" t="n">
        <v>41687752</v>
      </c>
      <c r="I43" s="43" t="s">
        <v>167</v>
      </c>
      <c r="J43" s="43" t="s">
        <v>366</v>
      </c>
    </row>
    <row r="44" customFormat="false" ht="15" hidden="false" customHeight="false" outlineLevel="0" collapsed="false">
      <c r="A44" s="42" t="str">
        <f aca="false">B44&amp;"|"&amp;C44</f>
        <v>4236|50-99</v>
      </c>
      <c r="B44" s="43" t="s">
        <v>133</v>
      </c>
      <c r="C44" s="43" t="s">
        <v>122</v>
      </c>
      <c r="D44" s="44" t="n">
        <v>570</v>
      </c>
      <c r="E44" s="43"/>
      <c r="F44" s="44" t="n">
        <v>1260</v>
      </c>
      <c r="G44" s="44" t="n">
        <v>39297</v>
      </c>
      <c r="H44" s="44" t="n">
        <v>45903055</v>
      </c>
      <c r="I44" s="43" t="s">
        <v>167</v>
      </c>
      <c r="J44" s="43" t="s">
        <v>366</v>
      </c>
    </row>
    <row r="45" customFormat="false" ht="15" hidden="false" customHeight="false" outlineLevel="0" collapsed="false">
      <c r="A45" s="42" t="str">
        <f aca="false">B45&amp;"|"&amp;C45</f>
        <v>4236|100-249</v>
      </c>
      <c r="B45" s="43" t="s">
        <v>133</v>
      </c>
      <c r="C45" s="43" t="s">
        <v>123</v>
      </c>
      <c r="D45" s="44" t="n">
        <v>350</v>
      </c>
      <c r="E45" s="43"/>
      <c r="F45" s="44" t="n">
        <v>1159</v>
      </c>
      <c r="G45" s="44" t="n">
        <v>54183</v>
      </c>
      <c r="H45" s="44" t="n">
        <v>83021837</v>
      </c>
      <c r="I45" s="43" t="s">
        <v>167</v>
      </c>
      <c r="J45" s="43" t="s">
        <v>366</v>
      </c>
    </row>
    <row r="46" customFormat="false" ht="15" hidden="false" customHeight="false" outlineLevel="0" collapsed="false">
      <c r="A46" s="42" t="str">
        <f aca="false">B46&amp;"|"&amp;C46</f>
        <v>4236|250-499</v>
      </c>
      <c r="B46" s="43" t="s">
        <v>133</v>
      </c>
      <c r="C46" s="43" t="s">
        <v>124</v>
      </c>
      <c r="D46" s="44" t="n">
        <v>136</v>
      </c>
      <c r="E46" s="43"/>
      <c r="F46" s="44" t="n">
        <v>909</v>
      </c>
      <c r="G46" s="44" t="n">
        <v>47492</v>
      </c>
      <c r="H46" s="44" t="n">
        <v>153644795</v>
      </c>
      <c r="I46" s="43" t="s">
        <v>167</v>
      </c>
      <c r="J46" s="43" t="s">
        <v>366</v>
      </c>
    </row>
    <row r="47" customFormat="false" ht="15" hidden="false" customHeight="false" outlineLevel="0" collapsed="false">
      <c r="A47" s="42" t="str">
        <f aca="false">B47&amp;"|"&amp;C47</f>
        <v>4236|500+</v>
      </c>
      <c r="B47" s="43" t="s">
        <v>133</v>
      </c>
      <c r="C47" s="43" t="s">
        <v>125</v>
      </c>
      <c r="D47" s="44" t="n">
        <v>114</v>
      </c>
      <c r="E47" s="43"/>
      <c r="F47" s="44" t="n">
        <v>6142</v>
      </c>
      <c r="G47" s="44" t="n">
        <v>315093</v>
      </c>
      <c r="H47" s="44" t="n">
        <v>516718741</v>
      </c>
      <c r="I47" s="43" t="s">
        <v>167</v>
      </c>
      <c r="J47" s="43" t="s">
        <v>366</v>
      </c>
    </row>
    <row r="48" customFormat="false" ht="15" hidden="false" customHeight="false" outlineLevel="0" collapsed="false">
      <c r="A48" s="42" t="str">
        <f aca="false">B48&amp;"|"&amp;C48</f>
        <v>4236|NFY</v>
      </c>
      <c r="B48" s="43" t="s">
        <v>133</v>
      </c>
      <c r="C48" s="43" t="s">
        <v>371</v>
      </c>
      <c r="D48" s="44" t="n">
        <v>1495</v>
      </c>
      <c r="E48" s="43"/>
      <c r="F48" s="44" t="n">
        <v>1505</v>
      </c>
      <c r="G48" s="44" t="n">
        <v>5599</v>
      </c>
      <c r="H48" s="44" t="n">
        <v>3211036</v>
      </c>
      <c r="I48" s="43" t="s">
        <v>167</v>
      </c>
      <c r="J48" s="43" t="s">
        <v>366</v>
      </c>
    </row>
    <row r="49" customFormat="false" ht="15" hidden="false" customHeight="false" outlineLevel="0" collapsed="false">
      <c r="A49" s="42" t="str">
        <f aca="false">B49&amp;"|"&amp;C49</f>
        <v>4237|ALL</v>
      </c>
      <c r="B49" s="43" t="s">
        <v>135</v>
      </c>
      <c r="C49" s="43" t="s">
        <v>365</v>
      </c>
      <c r="D49" s="44" t="n">
        <v>9368</v>
      </c>
      <c r="E49" s="43"/>
      <c r="F49" s="44" t="n">
        <v>19827</v>
      </c>
      <c r="G49" s="44" t="n">
        <v>282385</v>
      </c>
      <c r="H49" s="44" t="n">
        <v>298635589</v>
      </c>
      <c r="I49" s="43" t="s">
        <v>167</v>
      </c>
      <c r="J49" s="43" t="s">
        <v>366</v>
      </c>
    </row>
    <row r="50" customFormat="false" ht="15" hidden="false" customHeight="false" outlineLevel="0" collapsed="false">
      <c r="A50" s="42" t="str">
        <f aca="false">B50&amp;"|"&amp;C50</f>
        <v>4237|FY</v>
      </c>
      <c r="B50" s="43" t="s">
        <v>135</v>
      </c>
      <c r="C50" s="43" t="s">
        <v>367</v>
      </c>
      <c r="D50" s="44" t="n">
        <v>8613</v>
      </c>
      <c r="E50" s="43"/>
      <c r="F50" s="44" t="n">
        <v>19057</v>
      </c>
      <c r="G50" s="44" t="n">
        <v>280515</v>
      </c>
      <c r="H50" s="44" t="n">
        <v>297386915</v>
      </c>
      <c r="I50" s="43" t="s">
        <v>167</v>
      </c>
      <c r="J50" s="43" t="s">
        <v>366</v>
      </c>
    </row>
    <row r="51" customFormat="false" ht="15" hidden="false" customHeight="false" outlineLevel="0" collapsed="false">
      <c r="A51" s="42" t="str">
        <f aca="false">B51&amp;"|"&amp;C51</f>
        <v>4237|0-4</v>
      </c>
      <c r="B51" s="43" t="s">
        <v>135</v>
      </c>
      <c r="C51" s="43" t="s">
        <v>368</v>
      </c>
      <c r="D51" s="44" t="n">
        <v>3734</v>
      </c>
      <c r="E51" s="43"/>
      <c r="F51" s="44" t="n">
        <v>3790</v>
      </c>
      <c r="G51" s="44" t="n">
        <v>7880</v>
      </c>
      <c r="H51" s="44" t="n">
        <v>5504230</v>
      </c>
      <c r="I51" s="43" t="s">
        <v>167</v>
      </c>
      <c r="J51" s="43" t="s">
        <v>366</v>
      </c>
    </row>
    <row r="52" customFormat="false" ht="15" hidden="false" customHeight="false" outlineLevel="0" collapsed="false">
      <c r="A52" s="42" t="str">
        <f aca="false">B52&amp;"|"&amp;C52</f>
        <v>4237|5-9</v>
      </c>
      <c r="B52" s="43" t="s">
        <v>135</v>
      </c>
      <c r="C52" s="43" t="s">
        <v>369</v>
      </c>
      <c r="D52" s="44" t="n">
        <v>1747</v>
      </c>
      <c r="E52" s="43"/>
      <c r="F52" s="44" t="n">
        <v>1806</v>
      </c>
      <c r="G52" s="44" t="n">
        <v>11567</v>
      </c>
      <c r="H52" s="44" t="n">
        <v>7055503</v>
      </c>
      <c r="I52" s="43" t="s">
        <v>167</v>
      </c>
      <c r="J52" s="43" t="s">
        <v>366</v>
      </c>
    </row>
    <row r="53" customFormat="false" ht="15" hidden="false" customHeight="false" outlineLevel="0" collapsed="false">
      <c r="A53" s="42" t="str">
        <f aca="false">B53&amp;"|"&amp;C53</f>
        <v>4237|10-19</v>
      </c>
      <c r="B53" s="43" t="s">
        <v>135</v>
      </c>
      <c r="C53" s="43" t="s">
        <v>370</v>
      </c>
      <c r="D53" s="44" t="n">
        <v>1311</v>
      </c>
      <c r="E53" s="43"/>
      <c r="F53" s="44" t="n">
        <v>1504</v>
      </c>
      <c r="G53" s="44" t="n">
        <v>17640</v>
      </c>
      <c r="H53" s="44" t="n">
        <v>10847012</v>
      </c>
      <c r="I53" s="43" t="s">
        <v>167</v>
      </c>
      <c r="J53" s="43" t="s">
        <v>366</v>
      </c>
    </row>
    <row r="54" customFormat="false" ht="15" hidden="false" customHeight="false" outlineLevel="0" collapsed="false">
      <c r="A54" s="42" t="str">
        <f aca="false">B54&amp;"|"&amp;C54</f>
        <v>4237|20-49</v>
      </c>
      <c r="B54" s="43" t="s">
        <v>135</v>
      </c>
      <c r="C54" s="43" t="s">
        <v>121</v>
      </c>
      <c r="D54" s="44" t="n">
        <v>1013</v>
      </c>
      <c r="E54" s="43"/>
      <c r="F54" s="44" t="n">
        <v>1644</v>
      </c>
      <c r="G54" s="44" t="n">
        <v>31260</v>
      </c>
      <c r="H54" s="44" t="n">
        <v>22066986</v>
      </c>
      <c r="I54" s="43" t="s">
        <v>167</v>
      </c>
      <c r="J54" s="43" t="s">
        <v>366</v>
      </c>
    </row>
    <row r="55" customFormat="false" ht="15" hidden="false" customHeight="false" outlineLevel="0" collapsed="false">
      <c r="A55" s="42" t="str">
        <f aca="false">B55&amp;"|"&amp;C55</f>
        <v>4237|50-99</v>
      </c>
      <c r="B55" s="43" t="s">
        <v>135</v>
      </c>
      <c r="C55" s="43" t="s">
        <v>122</v>
      </c>
      <c r="D55" s="44" t="n">
        <v>424</v>
      </c>
      <c r="E55" s="43"/>
      <c r="F55" s="44" t="n">
        <v>1161</v>
      </c>
      <c r="G55" s="44" t="n">
        <v>29270</v>
      </c>
      <c r="H55" s="44" t="n">
        <v>24138794</v>
      </c>
      <c r="I55" s="43" t="s">
        <v>167</v>
      </c>
      <c r="J55" s="43" t="s">
        <v>366</v>
      </c>
    </row>
    <row r="56" customFormat="false" ht="15" hidden="false" customHeight="false" outlineLevel="0" collapsed="false">
      <c r="A56" s="42" t="str">
        <f aca="false">B56&amp;"|"&amp;C56</f>
        <v>4237|100-249</v>
      </c>
      <c r="B56" s="43" t="s">
        <v>135</v>
      </c>
      <c r="C56" s="43" t="s">
        <v>123</v>
      </c>
      <c r="D56" s="44" t="n">
        <v>242</v>
      </c>
      <c r="E56" s="43"/>
      <c r="F56" s="44" t="n">
        <v>1726</v>
      </c>
      <c r="G56" s="44" t="n">
        <v>36995</v>
      </c>
      <c r="H56" s="44" t="n">
        <v>37808791</v>
      </c>
      <c r="I56" s="43" t="s">
        <v>167</v>
      </c>
      <c r="J56" s="43" t="s">
        <v>366</v>
      </c>
    </row>
    <row r="57" customFormat="false" ht="15" hidden="false" customHeight="false" outlineLevel="0" collapsed="false">
      <c r="A57" s="42" t="str">
        <f aca="false">B57&amp;"|"&amp;C57</f>
        <v>4237|250-499</v>
      </c>
      <c r="B57" s="43" t="s">
        <v>135</v>
      </c>
      <c r="C57" s="43" t="s">
        <v>124</v>
      </c>
      <c r="D57" s="44" t="n">
        <v>85</v>
      </c>
      <c r="E57" s="43"/>
      <c r="F57" s="44" t="n">
        <v>1472</v>
      </c>
      <c r="G57" s="44" t="n">
        <v>29008</v>
      </c>
      <c r="H57" s="44" t="n">
        <v>32009972</v>
      </c>
      <c r="I57" s="43" t="s">
        <v>167</v>
      </c>
      <c r="J57" s="43" t="s">
        <v>366</v>
      </c>
    </row>
    <row r="58" customFormat="false" ht="15" hidden="false" customHeight="false" outlineLevel="0" collapsed="false">
      <c r="A58" s="42" t="str">
        <f aca="false">B58&amp;"|"&amp;C58</f>
        <v>4237|500+</v>
      </c>
      <c r="B58" s="43" t="s">
        <v>135</v>
      </c>
      <c r="C58" s="43" t="s">
        <v>125</v>
      </c>
      <c r="D58" s="44" t="n">
        <v>57</v>
      </c>
      <c r="E58" s="43"/>
      <c r="F58" s="44" t="n">
        <v>5954</v>
      </c>
      <c r="G58" s="44" t="n">
        <v>116895</v>
      </c>
      <c r="H58" s="44" t="n">
        <v>157955627</v>
      </c>
      <c r="I58" s="43" t="s">
        <v>167</v>
      </c>
      <c r="J58" s="43" t="s">
        <v>366</v>
      </c>
    </row>
    <row r="59" customFormat="false" ht="15" hidden="false" customHeight="false" outlineLevel="0" collapsed="false">
      <c r="A59" s="42" t="str">
        <f aca="false">B59&amp;"|"&amp;C59</f>
        <v>4237|NFY</v>
      </c>
      <c r="B59" s="43" t="s">
        <v>135</v>
      </c>
      <c r="C59" s="43" t="s">
        <v>371</v>
      </c>
      <c r="D59" s="44" t="n">
        <v>755</v>
      </c>
      <c r="E59" s="43"/>
      <c r="F59" s="44" t="n">
        <v>770</v>
      </c>
      <c r="G59" s="44" t="n">
        <v>1870</v>
      </c>
      <c r="H59" s="44" t="n">
        <v>1248674</v>
      </c>
      <c r="I59" s="43" t="s">
        <v>167</v>
      </c>
      <c r="J59" s="43" t="s">
        <v>366</v>
      </c>
    </row>
    <row r="60" customFormat="false" ht="15" hidden="false" customHeight="false" outlineLevel="0" collapsed="false">
      <c r="A60" s="42" t="str">
        <f aca="false">B60&amp;"|"&amp;C60</f>
        <v>4238|ALL</v>
      </c>
      <c r="B60" s="43" t="s">
        <v>137</v>
      </c>
      <c r="C60" s="43" t="s">
        <v>365</v>
      </c>
      <c r="D60" s="44" t="n">
        <v>35802</v>
      </c>
      <c r="E60" s="43"/>
      <c r="F60" s="44" t="n">
        <v>54837</v>
      </c>
      <c r="G60" s="44" t="n">
        <v>767929</v>
      </c>
      <c r="H60" s="44" t="n">
        <v>725585463</v>
      </c>
      <c r="I60" s="43" t="s">
        <v>167</v>
      </c>
      <c r="J60" s="43" t="s">
        <v>366</v>
      </c>
    </row>
    <row r="61" customFormat="false" ht="15" hidden="false" customHeight="false" outlineLevel="0" collapsed="false">
      <c r="A61" s="42" t="str">
        <f aca="false">B61&amp;"|"&amp;C61</f>
        <v>4238|FY</v>
      </c>
      <c r="B61" s="43" t="s">
        <v>137</v>
      </c>
      <c r="C61" s="43" t="s">
        <v>367</v>
      </c>
      <c r="D61" s="44" t="n">
        <v>33137</v>
      </c>
      <c r="E61" s="43"/>
      <c r="F61" s="44" t="n">
        <v>52144</v>
      </c>
      <c r="G61" s="44" t="n">
        <v>760464</v>
      </c>
      <c r="H61" s="44" t="n">
        <v>721333129</v>
      </c>
      <c r="I61" s="43" t="s">
        <v>167</v>
      </c>
      <c r="J61" s="43" t="s">
        <v>366</v>
      </c>
    </row>
    <row r="62" customFormat="false" ht="15" hidden="false" customHeight="false" outlineLevel="0" collapsed="false">
      <c r="A62" s="42" t="str">
        <f aca="false">B62&amp;"|"&amp;C62</f>
        <v>4238|0-4</v>
      </c>
      <c r="B62" s="43" t="s">
        <v>137</v>
      </c>
      <c r="C62" s="43" t="s">
        <v>368</v>
      </c>
      <c r="D62" s="44" t="n">
        <v>15172</v>
      </c>
      <c r="E62" s="43"/>
      <c r="F62" s="44" t="n">
        <v>15362</v>
      </c>
      <c r="G62" s="44" t="n">
        <v>32453</v>
      </c>
      <c r="H62" s="44" t="n">
        <v>24408556</v>
      </c>
      <c r="I62" s="43" t="s">
        <v>167</v>
      </c>
      <c r="J62" s="43" t="s">
        <v>366</v>
      </c>
    </row>
    <row r="63" customFormat="false" ht="15" hidden="false" customHeight="false" outlineLevel="0" collapsed="false">
      <c r="A63" s="42" t="str">
        <f aca="false">B63&amp;"|"&amp;C63</f>
        <v>4238|5-9</v>
      </c>
      <c r="B63" s="43" t="s">
        <v>137</v>
      </c>
      <c r="C63" s="43" t="s">
        <v>369</v>
      </c>
      <c r="D63" s="44" t="n">
        <v>6910</v>
      </c>
      <c r="E63" s="43"/>
      <c r="F63" s="44" t="n">
        <v>7145</v>
      </c>
      <c r="G63" s="44" t="n">
        <v>45934</v>
      </c>
      <c r="H63" s="44" t="n">
        <v>29302168</v>
      </c>
      <c r="I63" s="43" t="s">
        <v>167</v>
      </c>
      <c r="J63" s="43" t="s">
        <v>366</v>
      </c>
    </row>
    <row r="64" customFormat="false" ht="15" hidden="false" customHeight="false" outlineLevel="0" collapsed="false">
      <c r="A64" s="42" t="str">
        <f aca="false">B64&amp;"|"&amp;C64</f>
        <v>4238|10-19</v>
      </c>
      <c r="B64" s="43" t="s">
        <v>137</v>
      </c>
      <c r="C64" s="43" t="s">
        <v>370</v>
      </c>
      <c r="D64" s="44" t="n">
        <v>5046</v>
      </c>
      <c r="E64" s="43"/>
      <c r="F64" s="44" t="n">
        <v>5709</v>
      </c>
      <c r="G64" s="44" t="n">
        <v>68418</v>
      </c>
      <c r="H64" s="44" t="n">
        <v>46140294</v>
      </c>
      <c r="I64" s="43" t="s">
        <v>167</v>
      </c>
      <c r="J64" s="43" t="s">
        <v>366</v>
      </c>
    </row>
    <row r="65" customFormat="false" ht="15" hidden="false" customHeight="false" outlineLevel="0" collapsed="false">
      <c r="A65" s="42" t="str">
        <f aca="false">B65&amp;"|"&amp;C65</f>
        <v>4238|20-49</v>
      </c>
      <c r="B65" s="43" t="s">
        <v>137</v>
      </c>
      <c r="C65" s="43" t="s">
        <v>121</v>
      </c>
      <c r="D65" s="44" t="n">
        <v>3622</v>
      </c>
      <c r="E65" s="43"/>
      <c r="F65" s="44" t="n">
        <v>5465</v>
      </c>
      <c r="G65" s="44" t="n">
        <v>110129</v>
      </c>
      <c r="H65" s="44" t="n">
        <v>79183431</v>
      </c>
      <c r="I65" s="43" t="s">
        <v>167</v>
      </c>
      <c r="J65" s="43" t="s">
        <v>366</v>
      </c>
    </row>
    <row r="66" customFormat="false" ht="15" hidden="false" customHeight="false" outlineLevel="0" collapsed="false">
      <c r="A66" s="42" t="str">
        <f aca="false">B66&amp;"|"&amp;C66</f>
        <v>4238|50-99</v>
      </c>
      <c r="B66" s="43" t="s">
        <v>137</v>
      </c>
      <c r="C66" s="43" t="s">
        <v>122</v>
      </c>
      <c r="D66" s="44" t="n">
        <v>1218</v>
      </c>
      <c r="E66" s="43"/>
      <c r="F66" s="44" t="n">
        <v>3084</v>
      </c>
      <c r="G66" s="44" t="n">
        <v>83565</v>
      </c>
      <c r="H66" s="44" t="n">
        <v>85691331</v>
      </c>
      <c r="I66" s="43" t="s">
        <v>167</v>
      </c>
      <c r="J66" s="43" t="s">
        <v>366</v>
      </c>
    </row>
    <row r="67" customFormat="false" ht="15" hidden="false" customHeight="false" outlineLevel="0" collapsed="false">
      <c r="A67" s="42" t="str">
        <f aca="false">B67&amp;"|"&amp;C67</f>
        <v>4238|100-249</v>
      </c>
      <c r="B67" s="43" t="s">
        <v>137</v>
      </c>
      <c r="C67" s="43" t="s">
        <v>123</v>
      </c>
      <c r="D67" s="44" t="n">
        <v>746</v>
      </c>
      <c r="E67" s="43"/>
      <c r="F67" s="44" t="n">
        <v>3694</v>
      </c>
      <c r="G67" s="44" t="n">
        <v>115979</v>
      </c>
      <c r="H67" s="44" t="n">
        <v>96851289</v>
      </c>
      <c r="I67" s="43" t="s">
        <v>167</v>
      </c>
      <c r="J67" s="43" t="s">
        <v>366</v>
      </c>
    </row>
    <row r="68" customFormat="false" ht="15" hidden="false" customHeight="false" outlineLevel="0" collapsed="false">
      <c r="A68" s="42" t="str">
        <f aca="false">B68&amp;"|"&amp;C68</f>
        <v>4238|250-499</v>
      </c>
      <c r="B68" s="43" t="s">
        <v>137</v>
      </c>
      <c r="C68" s="43" t="s">
        <v>124</v>
      </c>
      <c r="D68" s="44" t="n">
        <v>240</v>
      </c>
      <c r="E68" s="43"/>
      <c r="F68" s="44" t="n">
        <v>2759</v>
      </c>
      <c r="G68" s="44" t="n">
        <v>83365</v>
      </c>
      <c r="H68" s="44" t="n">
        <v>86294503</v>
      </c>
      <c r="I68" s="43" t="s">
        <v>167</v>
      </c>
      <c r="J68" s="43" t="s">
        <v>366</v>
      </c>
    </row>
    <row r="69" customFormat="false" ht="15" hidden="false" customHeight="false" outlineLevel="0" collapsed="false">
      <c r="A69" s="42" t="str">
        <f aca="false">B69&amp;"|"&amp;C69</f>
        <v>4238|500+</v>
      </c>
      <c r="B69" s="43" t="s">
        <v>137</v>
      </c>
      <c r="C69" s="43" t="s">
        <v>125</v>
      </c>
      <c r="D69" s="44" t="n">
        <v>183</v>
      </c>
      <c r="E69" s="43"/>
      <c r="F69" s="44" t="n">
        <v>8926</v>
      </c>
      <c r="G69" s="44" t="n">
        <v>220621</v>
      </c>
      <c r="H69" s="44" t="n">
        <v>273461557</v>
      </c>
      <c r="I69" s="43" t="s">
        <v>167</v>
      </c>
      <c r="J69" s="43" t="s">
        <v>366</v>
      </c>
    </row>
    <row r="70" customFormat="false" ht="15" hidden="false" customHeight="false" outlineLevel="0" collapsed="false">
      <c r="A70" s="42" t="str">
        <f aca="false">B70&amp;"|"&amp;C70</f>
        <v>4238|NFY</v>
      </c>
      <c r="B70" s="43" t="s">
        <v>137</v>
      </c>
      <c r="C70" s="43" t="s">
        <v>371</v>
      </c>
      <c r="D70" s="44" t="n">
        <v>2665</v>
      </c>
      <c r="E70" s="43"/>
      <c r="F70" s="44" t="n">
        <v>2693</v>
      </c>
      <c r="G70" s="44" t="n">
        <v>7465</v>
      </c>
      <c r="H70" s="44" t="n">
        <v>4252334</v>
      </c>
      <c r="I70" s="43" t="s">
        <v>167</v>
      </c>
      <c r="J70" s="43" t="s">
        <v>366</v>
      </c>
    </row>
    <row r="71" customFormat="false" ht="15" hidden="false" customHeight="false" outlineLevel="0" collapsed="false">
      <c r="A71" s="42" t="str">
        <f aca="false">B71&amp;"|"&amp;C71</f>
        <v>31-33|ALL</v>
      </c>
      <c r="B71" s="43" t="s">
        <v>172</v>
      </c>
      <c r="C71" s="43" t="s">
        <v>365</v>
      </c>
      <c r="D71" s="44" t="n">
        <v>240644</v>
      </c>
      <c r="E71" s="43"/>
      <c r="F71" s="44" t="n">
        <v>286626</v>
      </c>
      <c r="G71" s="44" t="n">
        <v>12171365</v>
      </c>
      <c r="H71" s="44" t="n">
        <v>7048663670</v>
      </c>
      <c r="I71" s="43"/>
      <c r="J71" s="43" t="s">
        <v>366</v>
      </c>
    </row>
    <row r="72" customFormat="false" ht="15" hidden="false" customHeight="false" outlineLevel="0" collapsed="false">
      <c r="A72" s="42" t="str">
        <f aca="false">B72&amp;"|"&amp;C72</f>
        <v>31-33|FY</v>
      </c>
      <c r="B72" s="43" t="s">
        <v>172</v>
      </c>
      <c r="C72" s="43" t="s">
        <v>367</v>
      </c>
      <c r="D72" s="44" t="n">
        <v>238346</v>
      </c>
      <c r="E72" s="43"/>
      <c r="F72" s="44" t="n">
        <v>284257</v>
      </c>
      <c r="G72" s="44" t="n">
        <v>12132125</v>
      </c>
      <c r="H72" s="44" t="n">
        <v>7040422502</v>
      </c>
      <c r="I72" s="43"/>
      <c r="J72" s="43" t="s">
        <v>366</v>
      </c>
    </row>
    <row r="73" customFormat="false" ht="15" hidden="false" customHeight="false" outlineLevel="0" collapsed="false">
      <c r="A73" s="42" t="str">
        <f aca="false">B73&amp;"|"&amp;C73</f>
        <v>31-33|0-4</v>
      </c>
      <c r="B73" s="43" t="s">
        <v>172</v>
      </c>
      <c r="C73" s="43" t="s">
        <v>368</v>
      </c>
      <c r="D73" s="44" t="n">
        <v>103968</v>
      </c>
      <c r="E73" s="43"/>
      <c r="F73" s="44" t="n">
        <v>104168</v>
      </c>
      <c r="G73" s="44" t="n">
        <v>203315</v>
      </c>
      <c r="H73" s="44" t="n">
        <v>50821615</v>
      </c>
      <c r="I73" s="43"/>
      <c r="J73" s="43" t="s">
        <v>366</v>
      </c>
    </row>
    <row r="74" customFormat="false" ht="15" hidden="false" customHeight="false" outlineLevel="0" collapsed="false">
      <c r="A74" s="42" t="str">
        <f aca="false">B74&amp;"|"&amp;C74</f>
        <v>31-33|5-9</v>
      </c>
      <c r="B74" s="43" t="s">
        <v>172</v>
      </c>
      <c r="C74" s="43" t="s">
        <v>369</v>
      </c>
      <c r="D74" s="44" t="n">
        <v>39293</v>
      </c>
      <c r="E74" s="43"/>
      <c r="F74" s="44" t="n">
        <v>39630</v>
      </c>
      <c r="G74" s="44" t="n">
        <v>262177</v>
      </c>
      <c r="H74" s="44" t="n">
        <v>65055412</v>
      </c>
      <c r="I74" s="43"/>
      <c r="J74" s="43" t="s">
        <v>366</v>
      </c>
    </row>
    <row r="75" customFormat="false" ht="15" hidden="false" customHeight="false" outlineLevel="0" collapsed="false">
      <c r="A75" s="42" t="str">
        <f aca="false">B75&amp;"|"&amp;C75</f>
        <v>31-33|10-19</v>
      </c>
      <c r="B75" s="43" t="s">
        <v>172</v>
      </c>
      <c r="C75" s="43" t="s">
        <v>370</v>
      </c>
      <c r="D75" s="44" t="n">
        <v>34375</v>
      </c>
      <c r="E75" s="43"/>
      <c r="F75" s="44" t="n">
        <v>35156</v>
      </c>
      <c r="G75" s="44" t="n">
        <v>473065</v>
      </c>
      <c r="H75" s="44" t="n">
        <v>113477378</v>
      </c>
      <c r="I75" s="43"/>
      <c r="J75" s="43" t="s">
        <v>366</v>
      </c>
    </row>
    <row r="76" customFormat="false" ht="15" hidden="false" customHeight="false" outlineLevel="0" collapsed="false">
      <c r="A76" s="42" t="str">
        <f aca="false">B76&amp;"|"&amp;C76</f>
        <v>31-33|20-49</v>
      </c>
      <c r="B76" s="43" t="s">
        <v>172</v>
      </c>
      <c r="C76" s="43" t="s">
        <v>121</v>
      </c>
      <c r="D76" s="44" t="n">
        <v>32323</v>
      </c>
      <c r="E76" s="43"/>
      <c r="F76" s="44" t="n">
        <v>34726</v>
      </c>
      <c r="G76" s="44" t="n">
        <v>998735</v>
      </c>
      <c r="H76" s="44" t="n">
        <v>278225654</v>
      </c>
      <c r="I76" s="43"/>
      <c r="J76" s="43" t="s">
        <v>366</v>
      </c>
    </row>
    <row r="77" customFormat="false" ht="15" hidden="false" customHeight="false" outlineLevel="0" collapsed="false">
      <c r="A77" s="42" t="str">
        <f aca="false">B77&amp;"|"&amp;C77</f>
        <v>31-33|50-99</v>
      </c>
      <c r="B77" s="43" t="s">
        <v>172</v>
      </c>
      <c r="C77" s="43" t="s">
        <v>122</v>
      </c>
      <c r="D77" s="44" t="n">
        <v>13573</v>
      </c>
      <c r="E77" s="43"/>
      <c r="F77" s="44" t="n">
        <v>16643</v>
      </c>
      <c r="G77" s="44" t="n">
        <v>943335</v>
      </c>
      <c r="H77" s="44" t="n">
        <v>312776290</v>
      </c>
      <c r="I77" s="43"/>
      <c r="J77" s="43" t="s">
        <v>366</v>
      </c>
    </row>
    <row r="78" customFormat="false" ht="15" hidden="false" customHeight="false" outlineLevel="0" collapsed="false">
      <c r="A78" s="42" t="str">
        <f aca="false">B78&amp;"|"&amp;C78</f>
        <v>31-33|100-249</v>
      </c>
      <c r="B78" s="43" t="s">
        <v>172</v>
      </c>
      <c r="C78" s="43" t="s">
        <v>123</v>
      </c>
      <c r="D78" s="44" t="n">
        <v>8859</v>
      </c>
      <c r="E78" s="43"/>
      <c r="F78" s="44" t="n">
        <v>14517</v>
      </c>
      <c r="G78" s="44" t="n">
        <v>1352115</v>
      </c>
      <c r="H78" s="44" t="n">
        <v>523251882</v>
      </c>
      <c r="I78" s="43"/>
      <c r="J78" s="43" t="s">
        <v>366</v>
      </c>
    </row>
    <row r="79" customFormat="false" ht="15" hidden="false" customHeight="false" outlineLevel="0" collapsed="false">
      <c r="A79" s="42" t="str">
        <f aca="false">B79&amp;"|"&amp;C79</f>
        <v>31-33|250-499</v>
      </c>
      <c r="B79" s="43" t="s">
        <v>172</v>
      </c>
      <c r="C79" s="43" t="s">
        <v>124</v>
      </c>
      <c r="D79" s="44" t="n">
        <v>3013</v>
      </c>
      <c r="E79" s="43"/>
      <c r="F79" s="44" t="n">
        <v>7770</v>
      </c>
      <c r="G79" s="44" t="n">
        <v>1046637</v>
      </c>
      <c r="H79" s="44" t="n">
        <v>507167665</v>
      </c>
      <c r="I79" s="43"/>
      <c r="J79" s="43" t="s">
        <v>366</v>
      </c>
    </row>
    <row r="80" customFormat="false" ht="15" hidden="false" customHeight="false" outlineLevel="0" collapsed="false">
      <c r="A80" s="42" t="str">
        <f aca="false">B80&amp;"|"&amp;C80</f>
        <v>31-33|500+</v>
      </c>
      <c r="B80" s="43" t="s">
        <v>172</v>
      </c>
      <c r="C80" s="43" t="s">
        <v>125</v>
      </c>
      <c r="D80" s="44" t="n">
        <v>2942</v>
      </c>
      <c r="E80" s="43"/>
      <c r="F80" s="44" t="n">
        <v>31647</v>
      </c>
      <c r="G80" s="44" t="n">
        <v>6852746</v>
      </c>
      <c r="H80" s="44" t="n">
        <v>5189646606</v>
      </c>
      <c r="I80" s="43"/>
      <c r="J80" s="43" t="s">
        <v>366</v>
      </c>
    </row>
    <row r="81" customFormat="false" ht="15" hidden="false" customHeight="false" outlineLevel="0" collapsed="false">
      <c r="A81" s="42" t="str">
        <f aca="false">B81&amp;"|"&amp;C81</f>
        <v>31-33|NFY</v>
      </c>
      <c r="B81" s="43" t="s">
        <v>172</v>
      </c>
      <c r="C81" s="43" t="s">
        <v>371</v>
      </c>
      <c r="D81" s="44" t="n">
        <v>2298</v>
      </c>
      <c r="E81" s="43"/>
      <c r="F81" s="44" t="n">
        <v>2369</v>
      </c>
      <c r="G81" s="44" t="n">
        <v>39240</v>
      </c>
      <c r="H81" s="44" t="n">
        <v>8241168</v>
      </c>
      <c r="I81" s="43"/>
      <c r="J81" s="43" t="s">
        <v>366</v>
      </c>
    </row>
    <row r="82" customFormat="false" ht="15" hidden="false" customHeight="false" outlineLevel="0" collapsed="false">
      <c r="A82" s="42" t="str">
        <f aca="false">B82&amp;"|"&amp;C82</f>
        <v>326|ALL</v>
      </c>
      <c r="B82" s="43" t="s">
        <v>140</v>
      </c>
      <c r="C82" s="43" t="s">
        <v>365</v>
      </c>
      <c r="D82" s="44" t="n">
        <v>8491</v>
      </c>
      <c r="E82" s="43"/>
      <c r="F82" s="44" t="n">
        <v>11630</v>
      </c>
      <c r="G82" s="44" t="n">
        <v>825424</v>
      </c>
      <c r="H82" s="44" t="n">
        <v>303212658</v>
      </c>
      <c r="I82" s="43" t="s">
        <v>172</v>
      </c>
      <c r="J82" s="43" t="s">
        <v>366</v>
      </c>
    </row>
    <row r="83" customFormat="false" ht="15" hidden="false" customHeight="false" outlineLevel="0" collapsed="false">
      <c r="A83" s="42" t="str">
        <f aca="false">B83&amp;"|"&amp;C83</f>
        <v>326|FY</v>
      </c>
      <c r="B83" s="43" t="s">
        <v>140</v>
      </c>
      <c r="C83" s="43" t="s">
        <v>367</v>
      </c>
      <c r="D83" s="44" t="n">
        <v>8416</v>
      </c>
      <c r="E83" s="43"/>
      <c r="F83" s="44" t="n">
        <v>11550</v>
      </c>
      <c r="G83" s="44" t="n">
        <v>821991</v>
      </c>
      <c r="H83" s="44" t="n">
        <v>302634977</v>
      </c>
      <c r="I83" s="43" t="s">
        <v>172</v>
      </c>
      <c r="J83" s="43" t="s">
        <v>366</v>
      </c>
    </row>
    <row r="84" customFormat="false" ht="15" hidden="false" customHeight="false" outlineLevel="0" collapsed="false">
      <c r="A84" s="42" t="str">
        <f aca="false">B84&amp;"|"&amp;C84</f>
        <v>326|0-4</v>
      </c>
      <c r="B84" s="43" t="s">
        <v>140</v>
      </c>
      <c r="C84" s="43" t="s">
        <v>368</v>
      </c>
      <c r="D84" s="44" t="n">
        <v>2181</v>
      </c>
      <c r="E84" s="43"/>
      <c r="F84" s="44" t="n">
        <v>2185</v>
      </c>
      <c r="G84" s="44" t="n">
        <v>4686</v>
      </c>
      <c r="H84" s="44" t="n">
        <v>1572735</v>
      </c>
      <c r="I84" s="43" t="s">
        <v>172</v>
      </c>
      <c r="J84" s="43" t="s">
        <v>366</v>
      </c>
    </row>
    <row r="85" customFormat="false" ht="15" hidden="false" customHeight="false" outlineLevel="0" collapsed="false">
      <c r="A85" s="42" t="str">
        <f aca="false">B85&amp;"|"&amp;C85</f>
        <v>326|5-9</v>
      </c>
      <c r="B85" s="43" t="s">
        <v>140</v>
      </c>
      <c r="C85" s="43" t="s">
        <v>369</v>
      </c>
      <c r="D85" s="44" t="n">
        <v>1300</v>
      </c>
      <c r="E85" s="43"/>
      <c r="F85" s="44" t="n">
        <v>1307</v>
      </c>
      <c r="G85" s="44" t="n">
        <v>8517</v>
      </c>
      <c r="H85" s="44" t="n">
        <v>2776701</v>
      </c>
      <c r="I85" s="43" t="s">
        <v>172</v>
      </c>
      <c r="J85" s="43" t="s">
        <v>366</v>
      </c>
    </row>
    <row r="86" customFormat="false" ht="15" hidden="false" customHeight="false" outlineLevel="0" collapsed="false">
      <c r="A86" s="42" t="str">
        <f aca="false">B86&amp;"|"&amp;C86</f>
        <v>326|10-19</v>
      </c>
      <c r="B86" s="43" t="s">
        <v>140</v>
      </c>
      <c r="C86" s="43" t="s">
        <v>370</v>
      </c>
      <c r="D86" s="44" t="n">
        <v>1145</v>
      </c>
      <c r="E86" s="43"/>
      <c r="F86" s="44" t="n">
        <v>1157</v>
      </c>
      <c r="G86" s="44" t="n">
        <v>16304</v>
      </c>
      <c r="H86" s="44" t="n">
        <v>4483702</v>
      </c>
      <c r="I86" s="43" t="s">
        <v>172</v>
      </c>
      <c r="J86" s="43" t="s">
        <v>366</v>
      </c>
    </row>
    <row r="87" customFormat="false" ht="15" hidden="false" customHeight="false" outlineLevel="0" collapsed="false">
      <c r="A87" s="42" t="str">
        <f aca="false">B87&amp;"|"&amp;C87</f>
        <v>326|20-49</v>
      </c>
      <c r="B87" s="43" t="s">
        <v>140</v>
      </c>
      <c r="C87" s="43" t="s">
        <v>121</v>
      </c>
      <c r="D87" s="44" t="n">
        <v>1505</v>
      </c>
      <c r="E87" s="43"/>
      <c r="F87" s="44" t="n">
        <v>1589</v>
      </c>
      <c r="G87" s="44" t="n">
        <v>48064</v>
      </c>
      <c r="H87" s="44" t="n">
        <v>13513333</v>
      </c>
      <c r="I87" s="43" t="s">
        <v>172</v>
      </c>
      <c r="J87" s="43" t="s">
        <v>366</v>
      </c>
    </row>
    <row r="88" customFormat="false" ht="15" hidden="false" customHeight="false" outlineLevel="0" collapsed="false">
      <c r="A88" s="42" t="str">
        <f aca="false">B88&amp;"|"&amp;C88</f>
        <v>326|50-99</v>
      </c>
      <c r="B88" s="43" t="s">
        <v>140</v>
      </c>
      <c r="C88" s="43" t="s">
        <v>122</v>
      </c>
      <c r="D88" s="44" t="n">
        <v>935</v>
      </c>
      <c r="E88" s="43"/>
      <c r="F88" s="44" t="n">
        <v>1097</v>
      </c>
      <c r="G88" s="44" t="n">
        <v>66254</v>
      </c>
      <c r="H88" s="44" t="n">
        <v>19959650</v>
      </c>
      <c r="I88" s="43" t="s">
        <v>172</v>
      </c>
      <c r="J88" s="43" t="s">
        <v>366</v>
      </c>
    </row>
    <row r="89" customFormat="false" ht="15" hidden="false" customHeight="false" outlineLevel="0" collapsed="false">
      <c r="A89" s="42" t="str">
        <f aca="false">B89&amp;"|"&amp;C89</f>
        <v>326|100-249</v>
      </c>
      <c r="B89" s="43" t="s">
        <v>140</v>
      </c>
      <c r="C89" s="43" t="s">
        <v>123</v>
      </c>
      <c r="D89" s="44" t="n">
        <v>760</v>
      </c>
      <c r="E89" s="43"/>
      <c r="F89" s="44" t="n">
        <v>1165</v>
      </c>
      <c r="G89" s="44" t="n">
        <v>119875</v>
      </c>
      <c r="H89" s="44" t="n">
        <v>40003013</v>
      </c>
      <c r="I89" s="43" t="s">
        <v>172</v>
      </c>
      <c r="J89" s="43" t="s">
        <v>366</v>
      </c>
    </row>
    <row r="90" customFormat="false" ht="15" hidden="false" customHeight="false" outlineLevel="0" collapsed="false">
      <c r="A90" s="42" t="str">
        <f aca="false">B90&amp;"|"&amp;C90</f>
        <v>326|250-499</v>
      </c>
      <c r="B90" s="43" t="s">
        <v>140</v>
      </c>
      <c r="C90" s="43" t="s">
        <v>124</v>
      </c>
      <c r="D90" s="44" t="n">
        <v>313</v>
      </c>
      <c r="E90" s="43"/>
      <c r="F90" s="44" t="n">
        <v>815</v>
      </c>
      <c r="G90" s="44" t="n">
        <v>108128</v>
      </c>
      <c r="H90" s="44" t="n">
        <v>38397550</v>
      </c>
      <c r="I90" s="43" t="s">
        <v>172</v>
      </c>
      <c r="J90" s="43" t="s">
        <v>366</v>
      </c>
    </row>
    <row r="91" customFormat="false" ht="15" hidden="false" customHeight="false" outlineLevel="0" collapsed="false">
      <c r="A91" s="42" t="str">
        <f aca="false">B91&amp;"|"&amp;C91</f>
        <v>326|500+</v>
      </c>
      <c r="B91" s="43" t="s">
        <v>140</v>
      </c>
      <c r="C91" s="43" t="s">
        <v>125</v>
      </c>
      <c r="D91" s="44" t="n">
        <v>277</v>
      </c>
      <c r="E91" s="43"/>
      <c r="F91" s="44" t="n">
        <v>2235</v>
      </c>
      <c r="G91" s="44" t="n">
        <v>450163</v>
      </c>
      <c r="H91" s="44" t="n">
        <v>181928293</v>
      </c>
      <c r="I91" s="43" t="s">
        <v>172</v>
      </c>
      <c r="J91" s="43" t="s">
        <v>366</v>
      </c>
    </row>
    <row r="92" customFormat="false" ht="15" hidden="false" customHeight="false" outlineLevel="0" collapsed="false">
      <c r="A92" s="42" t="str">
        <f aca="false">B92&amp;"|"&amp;C92</f>
        <v>326|NFY</v>
      </c>
      <c r="B92" s="43" t="s">
        <v>140</v>
      </c>
      <c r="C92" s="43" t="s">
        <v>371</v>
      </c>
      <c r="D92" s="44" t="n">
        <v>75</v>
      </c>
      <c r="E92" s="43"/>
      <c r="F92" s="44" t="n">
        <v>80</v>
      </c>
      <c r="G92" s="44" t="n">
        <v>3433</v>
      </c>
      <c r="H92" s="44" t="n">
        <v>577681</v>
      </c>
      <c r="I92" s="43" t="s">
        <v>172</v>
      </c>
      <c r="J92" s="43" t="s">
        <v>366</v>
      </c>
    </row>
    <row r="93" customFormat="false" ht="15" hidden="false" customHeight="false" outlineLevel="0" collapsed="false">
      <c r="A93" s="42" t="str">
        <f aca="false">B93&amp;"|"&amp;C93</f>
        <v>332|ALL</v>
      </c>
      <c r="B93" s="43" t="s">
        <v>142</v>
      </c>
      <c r="C93" s="43" t="s">
        <v>365</v>
      </c>
      <c r="D93" s="44" t="n">
        <v>49631</v>
      </c>
      <c r="E93" s="43"/>
      <c r="F93" s="44" t="n">
        <v>54131</v>
      </c>
      <c r="G93" s="44" t="n">
        <v>1424399</v>
      </c>
      <c r="H93" s="44" t="n">
        <v>465673224</v>
      </c>
      <c r="I93" s="43" t="s">
        <v>172</v>
      </c>
      <c r="J93" s="43" t="s">
        <v>366</v>
      </c>
    </row>
    <row r="94" customFormat="false" ht="15" hidden="false" customHeight="false" outlineLevel="0" collapsed="false">
      <c r="A94" s="42" t="str">
        <f aca="false">B94&amp;"|"&amp;C94</f>
        <v>332|FY</v>
      </c>
      <c r="B94" s="43" t="s">
        <v>142</v>
      </c>
      <c r="C94" s="43" t="s">
        <v>367</v>
      </c>
      <c r="D94" s="44" t="n">
        <v>49215</v>
      </c>
      <c r="E94" s="43"/>
      <c r="F94" s="44" t="n">
        <v>53708</v>
      </c>
      <c r="G94" s="44" t="n">
        <v>1418705</v>
      </c>
      <c r="H94" s="44" t="n">
        <v>464590448</v>
      </c>
      <c r="I94" s="43" t="s">
        <v>172</v>
      </c>
      <c r="J94" s="43" t="s">
        <v>366</v>
      </c>
    </row>
    <row r="95" customFormat="false" ht="15" hidden="false" customHeight="false" outlineLevel="0" collapsed="false">
      <c r="A95" s="42" t="str">
        <f aca="false">B95&amp;"|"&amp;C95</f>
        <v>332|0-4</v>
      </c>
      <c r="B95" s="43" t="s">
        <v>142</v>
      </c>
      <c r="C95" s="43" t="s">
        <v>368</v>
      </c>
      <c r="D95" s="44" t="n">
        <v>18711</v>
      </c>
      <c r="E95" s="43"/>
      <c r="F95" s="44" t="n">
        <v>18740</v>
      </c>
      <c r="G95" s="44" t="n">
        <v>38341</v>
      </c>
      <c r="H95" s="44" t="n">
        <v>8159269</v>
      </c>
      <c r="I95" s="43" t="s">
        <v>172</v>
      </c>
      <c r="J95" s="43" t="s">
        <v>366</v>
      </c>
    </row>
    <row r="96" customFormat="false" ht="15" hidden="false" customHeight="false" outlineLevel="0" collapsed="false">
      <c r="A96" s="42" t="str">
        <f aca="false">B96&amp;"|"&amp;C96</f>
        <v>332|5-9</v>
      </c>
      <c r="B96" s="43" t="s">
        <v>142</v>
      </c>
      <c r="C96" s="43" t="s">
        <v>369</v>
      </c>
      <c r="D96" s="44" t="n">
        <v>8976</v>
      </c>
      <c r="E96" s="43"/>
      <c r="F96" s="44" t="n">
        <v>9007</v>
      </c>
      <c r="G96" s="44" t="n">
        <v>60524</v>
      </c>
      <c r="H96" s="44" t="n">
        <v>13178980</v>
      </c>
      <c r="I96" s="43" t="s">
        <v>172</v>
      </c>
      <c r="J96" s="43" t="s">
        <v>366</v>
      </c>
    </row>
    <row r="97" customFormat="false" ht="15" hidden="false" customHeight="false" outlineLevel="0" collapsed="false">
      <c r="A97" s="42" t="str">
        <f aca="false">B97&amp;"|"&amp;C97</f>
        <v>332|10-19</v>
      </c>
      <c r="B97" s="43" t="s">
        <v>142</v>
      </c>
      <c r="C97" s="43" t="s">
        <v>370</v>
      </c>
      <c r="D97" s="44" t="n">
        <v>8334</v>
      </c>
      <c r="E97" s="43"/>
      <c r="F97" s="44" t="n">
        <v>8423</v>
      </c>
      <c r="G97" s="44" t="n">
        <v>114785</v>
      </c>
      <c r="H97" s="44" t="n">
        <v>24530759</v>
      </c>
      <c r="I97" s="43" t="s">
        <v>172</v>
      </c>
      <c r="J97" s="43" t="s">
        <v>366</v>
      </c>
    </row>
    <row r="98" customFormat="false" ht="15" hidden="false" customHeight="false" outlineLevel="0" collapsed="false">
      <c r="A98" s="42" t="str">
        <f aca="false">B98&amp;"|"&amp;C98</f>
        <v>332|20-49</v>
      </c>
      <c r="B98" s="43" t="s">
        <v>142</v>
      </c>
      <c r="C98" s="43" t="s">
        <v>121</v>
      </c>
      <c r="D98" s="44" t="n">
        <v>7758</v>
      </c>
      <c r="E98" s="43"/>
      <c r="F98" s="44" t="n">
        <v>8100</v>
      </c>
      <c r="G98" s="44" t="n">
        <v>238654</v>
      </c>
      <c r="H98" s="44" t="n">
        <v>57788221</v>
      </c>
      <c r="I98" s="43" t="s">
        <v>172</v>
      </c>
      <c r="J98" s="43" t="s">
        <v>366</v>
      </c>
    </row>
    <row r="99" customFormat="false" ht="15" hidden="false" customHeight="false" outlineLevel="0" collapsed="false">
      <c r="A99" s="42" t="str">
        <f aca="false">B99&amp;"|"&amp;C99</f>
        <v>332|50-99</v>
      </c>
      <c r="B99" s="43" t="s">
        <v>142</v>
      </c>
      <c r="C99" s="43" t="s">
        <v>122</v>
      </c>
      <c r="D99" s="44" t="n">
        <v>3050</v>
      </c>
      <c r="E99" s="43"/>
      <c r="F99" s="44" t="n">
        <v>3632</v>
      </c>
      <c r="G99" s="44" t="n">
        <v>210252</v>
      </c>
      <c r="H99" s="44" t="n">
        <v>56866871</v>
      </c>
      <c r="I99" s="43" t="s">
        <v>172</v>
      </c>
      <c r="J99" s="43" t="s">
        <v>366</v>
      </c>
    </row>
    <row r="100" customFormat="false" ht="15" hidden="false" customHeight="false" outlineLevel="0" collapsed="false">
      <c r="A100" s="42" t="str">
        <f aca="false">B100&amp;"|"&amp;C100</f>
        <v>332|100-249</v>
      </c>
      <c r="B100" s="43" t="s">
        <v>142</v>
      </c>
      <c r="C100" s="43" t="s">
        <v>123</v>
      </c>
      <c r="D100" s="44" t="n">
        <v>1685</v>
      </c>
      <c r="E100" s="43"/>
      <c r="F100" s="44" t="n">
        <v>2621</v>
      </c>
      <c r="G100" s="44" t="n">
        <v>253795</v>
      </c>
      <c r="H100" s="44" t="n">
        <v>76777735</v>
      </c>
      <c r="I100" s="43" t="s">
        <v>172</v>
      </c>
      <c r="J100" s="43" t="s">
        <v>366</v>
      </c>
    </row>
    <row r="101" customFormat="false" ht="15" hidden="false" customHeight="false" outlineLevel="0" collapsed="false">
      <c r="A101" s="42" t="str">
        <f aca="false">B101&amp;"|"&amp;C101</f>
        <v>332|250-499</v>
      </c>
      <c r="B101" s="43" t="s">
        <v>142</v>
      </c>
      <c r="C101" s="43" t="s">
        <v>124</v>
      </c>
      <c r="D101" s="44" t="n">
        <v>423</v>
      </c>
      <c r="E101" s="43"/>
      <c r="F101" s="44" t="n">
        <v>1088</v>
      </c>
      <c r="G101" s="44" t="n">
        <v>147406</v>
      </c>
      <c r="H101" s="44" t="n">
        <v>56360876</v>
      </c>
      <c r="I101" s="43" t="s">
        <v>172</v>
      </c>
      <c r="J101" s="43" t="s">
        <v>366</v>
      </c>
    </row>
    <row r="102" customFormat="false" ht="15" hidden="false" customHeight="false" outlineLevel="0" collapsed="false">
      <c r="A102" s="42" t="str">
        <f aca="false">B102&amp;"|"&amp;C102</f>
        <v>332|500+</v>
      </c>
      <c r="B102" s="43" t="s">
        <v>142</v>
      </c>
      <c r="C102" s="43" t="s">
        <v>125</v>
      </c>
      <c r="D102" s="44" t="n">
        <v>278</v>
      </c>
      <c r="E102" s="43"/>
      <c r="F102" s="44" t="n">
        <v>2097</v>
      </c>
      <c r="G102" s="44" t="n">
        <v>354948</v>
      </c>
      <c r="H102" s="44" t="n">
        <v>170927737</v>
      </c>
      <c r="I102" s="43" t="s">
        <v>172</v>
      </c>
      <c r="J102" s="43" t="s">
        <v>366</v>
      </c>
    </row>
    <row r="103" customFormat="false" ht="15" hidden="false" customHeight="false" outlineLevel="0" collapsed="false">
      <c r="A103" s="42" t="str">
        <f aca="false">B103&amp;"|"&amp;C103</f>
        <v>332|NFY</v>
      </c>
      <c r="B103" s="43" t="s">
        <v>142</v>
      </c>
      <c r="C103" s="43" t="s">
        <v>371</v>
      </c>
      <c r="D103" s="44" t="n">
        <v>416</v>
      </c>
      <c r="E103" s="43"/>
      <c r="F103" s="44" t="n">
        <v>423</v>
      </c>
      <c r="G103" s="44" t="n">
        <v>5694</v>
      </c>
      <c r="H103" s="44" t="n">
        <v>1082776</v>
      </c>
      <c r="I103" s="43" t="s">
        <v>172</v>
      </c>
      <c r="J103" s="43" t="s">
        <v>366</v>
      </c>
    </row>
    <row r="104" customFormat="false" ht="15" hidden="false" customHeight="false" outlineLevel="0" collapsed="false">
      <c r="A104" s="42" t="str">
        <f aca="false">B104&amp;"|"&amp;C104</f>
        <v>333|ALL</v>
      </c>
      <c r="B104" s="43" t="s">
        <v>144</v>
      </c>
      <c r="C104" s="43" t="s">
        <v>365</v>
      </c>
      <c r="D104" s="44" t="n">
        <v>18779</v>
      </c>
      <c r="E104" s="43"/>
      <c r="F104" s="44" t="n">
        <v>21476</v>
      </c>
      <c r="G104" s="44" t="n">
        <v>1069526</v>
      </c>
      <c r="H104" s="44" t="n">
        <v>445515810</v>
      </c>
      <c r="I104" s="43" t="s">
        <v>172</v>
      </c>
      <c r="J104" s="43" t="s">
        <v>366</v>
      </c>
    </row>
    <row r="105" customFormat="false" ht="15" hidden="false" customHeight="false" outlineLevel="0" collapsed="false">
      <c r="A105" s="42" t="str">
        <f aca="false">B105&amp;"|"&amp;C105</f>
        <v>333|FY</v>
      </c>
      <c r="B105" s="43" t="s">
        <v>144</v>
      </c>
      <c r="C105" s="43" t="s">
        <v>367</v>
      </c>
      <c r="D105" s="44" t="n">
        <v>18656</v>
      </c>
      <c r="E105" s="43"/>
      <c r="F105" s="44" t="n">
        <v>21352</v>
      </c>
      <c r="G105" s="44" t="n">
        <v>1066997</v>
      </c>
      <c r="H105" s="44" t="n">
        <v>445060599</v>
      </c>
      <c r="I105" s="43" t="s">
        <v>172</v>
      </c>
      <c r="J105" s="43" t="s">
        <v>366</v>
      </c>
    </row>
    <row r="106" customFormat="false" ht="15" hidden="false" customHeight="false" outlineLevel="0" collapsed="false">
      <c r="A106" s="42" t="str">
        <f aca="false">B106&amp;"|"&amp;C106</f>
        <v>333|0-4</v>
      </c>
      <c r="B106" s="43" t="s">
        <v>144</v>
      </c>
      <c r="C106" s="43" t="s">
        <v>368</v>
      </c>
      <c r="D106" s="44" t="n">
        <v>6490</v>
      </c>
      <c r="E106" s="43"/>
      <c r="F106" s="44" t="n">
        <v>6498</v>
      </c>
      <c r="G106" s="44" t="n">
        <v>13224</v>
      </c>
      <c r="H106" s="44" t="n">
        <v>4094588</v>
      </c>
      <c r="I106" s="43" t="s">
        <v>172</v>
      </c>
      <c r="J106" s="43" t="s">
        <v>366</v>
      </c>
    </row>
    <row r="107" customFormat="false" ht="15" hidden="false" customHeight="false" outlineLevel="0" collapsed="false">
      <c r="A107" s="42" t="str">
        <f aca="false">B107&amp;"|"&amp;C107</f>
        <v>333|5-9</v>
      </c>
      <c r="B107" s="43" t="s">
        <v>144</v>
      </c>
      <c r="C107" s="43" t="s">
        <v>369</v>
      </c>
      <c r="D107" s="44" t="n">
        <v>2876</v>
      </c>
      <c r="E107" s="43"/>
      <c r="F107" s="44" t="n">
        <v>2891</v>
      </c>
      <c r="G107" s="44" t="n">
        <v>19289</v>
      </c>
      <c r="H107" s="44" t="n">
        <v>5561271</v>
      </c>
      <c r="I107" s="43" t="s">
        <v>172</v>
      </c>
      <c r="J107" s="43" t="s">
        <v>366</v>
      </c>
    </row>
    <row r="108" customFormat="false" ht="15" hidden="false" customHeight="false" outlineLevel="0" collapsed="false">
      <c r="A108" s="42" t="str">
        <f aca="false">B108&amp;"|"&amp;C108</f>
        <v>333|10-19</v>
      </c>
      <c r="B108" s="43" t="s">
        <v>144</v>
      </c>
      <c r="C108" s="43" t="s">
        <v>370</v>
      </c>
      <c r="D108" s="44" t="n">
        <v>2865</v>
      </c>
      <c r="E108" s="43"/>
      <c r="F108" s="44" t="n">
        <v>2889</v>
      </c>
      <c r="G108" s="44" t="n">
        <v>39643</v>
      </c>
      <c r="H108" s="44" t="n">
        <v>10422303</v>
      </c>
      <c r="I108" s="43" t="s">
        <v>172</v>
      </c>
      <c r="J108" s="43" t="s">
        <v>366</v>
      </c>
    </row>
    <row r="109" customFormat="false" ht="15" hidden="false" customHeight="false" outlineLevel="0" collapsed="false">
      <c r="A109" s="42" t="str">
        <f aca="false">B109&amp;"|"&amp;C109</f>
        <v>333|20-49</v>
      </c>
      <c r="B109" s="43" t="s">
        <v>144</v>
      </c>
      <c r="C109" s="43" t="s">
        <v>121</v>
      </c>
      <c r="D109" s="44" t="n">
        <v>3291</v>
      </c>
      <c r="E109" s="43"/>
      <c r="F109" s="44" t="n">
        <v>3439</v>
      </c>
      <c r="G109" s="44" t="n">
        <v>102872</v>
      </c>
      <c r="H109" s="44" t="n">
        <v>29340027</v>
      </c>
      <c r="I109" s="43" t="s">
        <v>172</v>
      </c>
      <c r="J109" s="43" t="s">
        <v>366</v>
      </c>
    </row>
    <row r="110" customFormat="false" ht="15" hidden="false" customHeight="false" outlineLevel="0" collapsed="false">
      <c r="A110" s="42" t="str">
        <f aca="false">B110&amp;"|"&amp;C110</f>
        <v>333|50-99</v>
      </c>
      <c r="B110" s="43" t="s">
        <v>144</v>
      </c>
      <c r="C110" s="43" t="s">
        <v>122</v>
      </c>
      <c r="D110" s="44" t="n">
        <v>1484</v>
      </c>
      <c r="E110" s="43"/>
      <c r="F110" s="44" t="n">
        <v>1690</v>
      </c>
      <c r="G110" s="44" t="n">
        <v>103029</v>
      </c>
      <c r="H110" s="44" t="n">
        <v>31340779</v>
      </c>
      <c r="I110" s="43" t="s">
        <v>172</v>
      </c>
      <c r="J110" s="43" t="s">
        <v>366</v>
      </c>
    </row>
    <row r="111" customFormat="false" ht="15" hidden="false" customHeight="false" outlineLevel="0" collapsed="false">
      <c r="A111" s="42" t="str">
        <f aca="false">B111&amp;"|"&amp;C111</f>
        <v>333|100-249</v>
      </c>
      <c r="B111" s="43" t="s">
        <v>144</v>
      </c>
      <c r="C111" s="43" t="s">
        <v>123</v>
      </c>
      <c r="D111" s="44" t="n">
        <v>997</v>
      </c>
      <c r="E111" s="43"/>
      <c r="F111" s="44" t="n">
        <v>1376</v>
      </c>
      <c r="G111" s="44" t="n">
        <v>151690</v>
      </c>
      <c r="H111" s="44" t="n">
        <v>53136448</v>
      </c>
      <c r="I111" s="43" t="s">
        <v>172</v>
      </c>
      <c r="J111" s="43" t="s">
        <v>366</v>
      </c>
    </row>
    <row r="112" customFormat="false" ht="15" hidden="false" customHeight="false" outlineLevel="0" collapsed="false">
      <c r="A112" s="42" t="str">
        <f aca="false">B112&amp;"|"&amp;C112</f>
        <v>333|250-499</v>
      </c>
      <c r="B112" s="43" t="s">
        <v>144</v>
      </c>
      <c r="C112" s="43" t="s">
        <v>124</v>
      </c>
      <c r="D112" s="44" t="n">
        <v>358</v>
      </c>
      <c r="E112" s="43"/>
      <c r="F112" s="44" t="n">
        <v>729</v>
      </c>
      <c r="G112" s="44" t="n">
        <v>123683</v>
      </c>
      <c r="H112" s="44" t="n">
        <v>47680603</v>
      </c>
      <c r="I112" s="43" t="s">
        <v>172</v>
      </c>
      <c r="J112" s="43" t="s">
        <v>366</v>
      </c>
    </row>
    <row r="113" customFormat="false" ht="15" hidden="false" customHeight="false" outlineLevel="0" collapsed="false">
      <c r="A113" s="42" t="str">
        <f aca="false">B113&amp;"|"&amp;C113</f>
        <v>333|500+</v>
      </c>
      <c r="B113" s="43" t="s">
        <v>144</v>
      </c>
      <c r="C113" s="43" t="s">
        <v>125</v>
      </c>
      <c r="D113" s="44" t="n">
        <v>295</v>
      </c>
      <c r="E113" s="43"/>
      <c r="F113" s="44" t="n">
        <v>1840</v>
      </c>
      <c r="G113" s="44" t="n">
        <v>513567</v>
      </c>
      <c r="H113" s="44" t="n">
        <v>263484580</v>
      </c>
      <c r="I113" s="43" t="s">
        <v>172</v>
      </c>
      <c r="J113" s="43" t="s">
        <v>366</v>
      </c>
    </row>
    <row r="114" customFormat="false" ht="15" hidden="false" customHeight="false" outlineLevel="0" collapsed="false">
      <c r="A114" s="42" t="str">
        <f aca="false">B114&amp;"|"&amp;C114</f>
        <v>333|NFY</v>
      </c>
      <c r="B114" s="43" t="s">
        <v>144</v>
      </c>
      <c r="C114" s="43" t="s">
        <v>371</v>
      </c>
      <c r="D114" s="44" t="n">
        <v>123</v>
      </c>
      <c r="E114" s="43"/>
      <c r="F114" s="44" t="n">
        <v>124</v>
      </c>
      <c r="G114" s="44" t="n">
        <v>2529</v>
      </c>
      <c r="H114" s="44" t="n">
        <v>455211</v>
      </c>
      <c r="I114" s="43" t="s">
        <v>172</v>
      </c>
      <c r="J114" s="43" t="s">
        <v>366</v>
      </c>
    </row>
    <row r="115" customFormat="false" ht="15" hidden="false" customHeight="false" outlineLevel="0" collapsed="false">
      <c r="A115" s="42" t="str">
        <f aca="false">B115&amp;"|"&amp;C115</f>
        <v>334|ALL</v>
      </c>
      <c r="B115" s="43" t="s">
        <v>372</v>
      </c>
      <c r="C115" s="43" t="s">
        <v>365</v>
      </c>
      <c r="D115" s="44" t="n">
        <v>9861</v>
      </c>
      <c r="E115" s="43"/>
      <c r="F115" s="44" t="n">
        <v>11445</v>
      </c>
      <c r="G115" s="44" t="n">
        <v>819719</v>
      </c>
      <c r="H115" s="44" t="n">
        <v>352323904</v>
      </c>
      <c r="I115" s="43" t="s">
        <v>172</v>
      </c>
      <c r="J115" s="43" t="s">
        <v>366</v>
      </c>
    </row>
    <row r="116" customFormat="false" ht="15" hidden="false" customHeight="false" outlineLevel="0" collapsed="false">
      <c r="A116" s="42" t="str">
        <f aca="false">B116&amp;"|"&amp;C116</f>
        <v>334|FY</v>
      </c>
      <c r="B116" s="43" t="s">
        <v>372</v>
      </c>
      <c r="C116" s="43" t="s">
        <v>367</v>
      </c>
      <c r="D116" s="44" t="n">
        <v>9797</v>
      </c>
      <c r="E116" s="43"/>
      <c r="F116" s="44" t="n">
        <v>11375</v>
      </c>
      <c r="G116" s="44" t="n">
        <v>818210</v>
      </c>
      <c r="H116" s="44" t="n">
        <v>352033387</v>
      </c>
      <c r="I116" s="43" t="s">
        <v>172</v>
      </c>
      <c r="J116" s="43" t="s">
        <v>366</v>
      </c>
    </row>
    <row r="117" customFormat="false" ht="15" hidden="false" customHeight="false" outlineLevel="0" collapsed="false">
      <c r="A117" s="42" t="str">
        <f aca="false">B117&amp;"|"&amp;C117</f>
        <v>334|0-4</v>
      </c>
      <c r="B117" s="43" t="s">
        <v>372</v>
      </c>
      <c r="C117" s="43" t="s">
        <v>368</v>
      </c>
      <c r="D117" s="44" t="n">
        <v>3523</v>
      </c>
      <c r="E117" s="43"/>
      <c r="F117" s="44" t="n">
        <v>3528</v>
      </c>
      <c r="G117" s="44" t="n">
        <v>6949</v>
      </c>
      <c r="H117" s="44" t="n">
        <v>2132957</v>
      </c>
      <c r="I117" s="43" t="s">
        <v>172</v>
      </c>
      <c r="J117" s="43" t="s">
        <v>366</v>
      </c>
    </row>
    <row r="118" customFormat="false" ht="15" hidden="false" customHeight="false" outlineLevel="0" collapsed="false">
      <c r="A118" s="42" t="str">
        <f aca="false">B118&amp;"|"&amp;C118</f>
        <v>334|5-9</v>
      </c>
      <c r="B118" s="43" t="s">
        <v>372</v>
      </c>
      <c r="C118" s="43" t="s">
        <v>369</v>
      </c>
      <c r="D118" s="44" t="n">
        <v>1498</v>
      </c>
      <c r="E118" s="43"/>
      <c r="F118" s="44" t="n">
        <v>1503</v>
      </c>
      <c r="G118" s="44" t="n">
        <v>9985</v>
      </c>
      <c r="H118" s="44" t="n">
        <v>3161691</v>
      </c>
      <c r="I118" s="43" t="s">
        <v>172</v>
      </c>
      <c r="J118" s="43" t="s">
        <v>366</v>
      </c>
    </row>
    <row r="119" customFormat="false" ht="15" hidden="false" customHeight="false" outlineLevel="0" collapsed="false">
      <c r="A119" s="42" t="str">
        <f aca="false">B119&amp;"|"&amp;C119</f>
        <v>334|10-19</v>
      </c>
      <c r="B119" s="43" t="s">
        <v>372</v>
      </c>
      <c r="C119" s="43" t="s">
        <v>370</v>
      </c>
      <c r="D119" s="44" t="n">
        <v>1274</v>
      </c>
      <c r="E119" s="43"/>
      <c r="F119" s="44" t="n">
        <v>1285</v>
      </c>
      <c r="G119" s="44" t="n">
        <v>17516</v>
      </c>
      <c r="H119" s="44" t="n">
        <v>5011761</v>
      </c>
      <c r="I119" s="43" t="s">
        <v>172</v>
      </c>
      <c r="J119" s="43" t="s">
        <v>366</v>
      </c>
    </row>
    <row r="120" customFormat="false" ht="15" hidden="false" customHeight="false" outlineLevel="0" collapsed="false">
      <c r="A120" s="42" t="str">
        <f aca="false">B120&amp;"|"&amp;C120</f>
        <v>334|20-49</v>
      </c>
      <c r="B120" s="43" t="s">
        <v>372</v>
      </c>
      <c r="C120" s="43" t="s">
        <v>121</v>
      </c>
      <c r="D120" s="44" t="n">
        <v>1655</v>
      </c>
      <c r="E120" s="43"/>
      <c r="F120" s="44" t="n">
        <v>1712</v>
      </c>
      <c r="G120" s="44" t="n">
        <v>51902</v>
      </c>
      <c r="H120" s="44" t="n">
        <v>14524035</v>
      </c>
      <c r="I120" s="43" t="s">
        <v>172</v>
      </c>
      <c r="J120" s="43" t="s">
        <v>366</v>
      </c>
    </row>
    <row r="121" customFormat="false" ht="15" hidden="false" customHeight="false" outlineLevel="0" collapsed="false">
      <c r="A121" s="42" t="str">
        <f aca="false">B121&amp;"|"&amp;C121</f>
        <v>334|50-99</v>
      </c>
      <c r="B121" s="43" t="s">
        <v>372</v>
      </c>
      <c r="C121" s="43" t="s">
        <v>122</v>
      </c>
      <c r="D121" s="44" t="n">
        <v>807</v>
      </c>
      <c r="E121" s="43"/>
      <c r="F121" s="44" t="n">
        <v>877</v>
      </c>
      <c r="G121" s="44" t="n">
        <v>56683</v>
      </c>
      <c r="H121" s="44" t="n">
        <v>17220594</v>
      </c>
      <c r="I121" s="43" t="s">
        <v>172</v>
      </c>
      <c r="J121" s="43" t="s">
        <v>366</v>
      </c>
    </row>
    <row r="122" customFormat="false" ht="15" hidden="false" customHeight="false" outlineLevel="0" collapsed="false">
      <c r="A122" s="42" t="str">
        <f aca="false">B122&amp;"|"&amp;C122</f>
        <v>334|100-249</v>
      </c>
      <c r="B122" s="43" t="s">
        <v>372</v>
      </c>
      <c r="C122" s="43" t="s">
        <v>123</v>
      </c>
      <c r="D122" s="44" t="n">
        <v>572</v>
      </c>
      <c r="E122" s="43"/>
      <c r="F122" s="44" t="n">
        <v>783</v>
      </c>
      <c r="G122" s="44" t="n">
        <v>87018</v>
      </c>
      <c r="H122" s="44" t="n">
        <v>29958682</v>
      </c>
      <c r="I122" s="43" t="s">
        <v>172</v>
      </c>
      <c r="J122" s="43" t="s">
        <v>366</v>
      </c>
    </row>
    <row r="123" customFormat="false" ht="15" hidden="false" customHeight="false" outlineLevel="0" collapsed="false">
      <c r="A123" s="42" t="str">
        <f aca="false">B123&amp;"|"&amp;C123</f>
        <v>334|250-499</v>
      </c>
      <c r="B123" s="43" t="s">
        <v>372</v>
      </c>
      <c r="C123" s="43" t="s">
        <v>124</v>
      </c>
      <c r="D123" s="44" t="n">
        <v>239</v>
      </c>
      <c r="E123" s="43"/>
      <c r="F123" s="44" t="n">
        <v>427</v>
      </c>
      <c r="G123" s="44" t="n">
        <v>83288</v>
      </c>
      <c r="H123" s="44" t="n">
        <v>29809918</v>
      </c>
      <c r="I123" s="43" t="s">
        <v>172</v>
      </c>
      <c r="J123" s="43" t="s">
        <v>366</v>
      </c>
    </row>
    <row r="124" customFormat="false" ht="15" hidden="false" customHeight="false" outlineLevel="0" collapsed="false">
      <c r="A124" s="42" t="str">
        <f aca="false">B124&amp;"|"&amp;C124</f>
        <v>334|500+</v>
      </c>
      <c r="B124" s="43" t="s">
        <v>372</v>
      </c>
      <c r="C124" s="43" t="s">
        <v>125</v>
      </c>
      <c r="D124" s="44" t="n">
        <v>229</v>
      </c>
      <c r="E124" s="43"/>
      <c r="F124" s="44" t="n">
        <v>1260</v>
      </c>
      <c r="G124" s="44" t="n">
        <v>504869</v>
      </c>
      <c r="H124" s="44" t="n">
        <v>250213749</v>
      </c>
      <c r="I124" s="43" t="s">
        <v>172</v>
      </c>
      <c r="J124" s="43" t="s">
        <v>366</v>
      </c>
    </row>
    <row r="125" customFormat="false" ht="15" hidden="false" customHeight="false" outlineLevel="0" collapsed="false">
      <c r="A125" s="42" t="str">
        <f aca="false">B125&amp;"|"&amp;C125</f>
        <v>334|NFY</v>
      </c>
      <c r="B125" s="43" t="s">
        <v>372</v>
      </c>
      <c r="C125" s="43" t="s">
        <v>371</v>
      </c>
      <c r="D125" s="44" t="n">
        <v>64</v>
      </c>
      <c r="E125" s="43"/>
      <c r="F125" s="44" t="n">
        <v>70</v>
      </c>
      <c r="G125" s="44" t="n">
        <v>1509</v>
      </c>
      <c r="H125" s="44" t="n">
        <v>290517</v>
      </c>
      <c r="I125" s="43" t="s">
        <v>172</v>
      </c>
      <c r="J125" s="43" t="s">
        <v>366</v>
      </c>
    </row>
    <row r="126" customFormat="false" ht="15" hidden="false" customHeight="false" outlineLevel="0" collapsed="false">
      <c r="A126" s="42" t="str">
        <f aca="false">B126&amp;"|"&amp;C126</f>
        <v>335|ALL</v>
      </c>
      <c r="B126" s="43" t="s">
        <v>146</v>
      </c>
      <c r="C126" s="43" t="s">
        <v>365</v>
      </c>
      <c r="D126" s="44" t="n">
        <v>4552</v>
      </c>
      <c r="E126" s="43"/>
      <c r="F126" s="44" t="n">
        <v>5308</v>
      </c>
      <c r="G126" s="44" t="n">
        <v>373387</v>
      </c>
      <c r="H126" s="44" t="n">
        <v>172684075</v>
      </c>
      <c r="I126" s="43" t="s">
        <v>172</v>
      </c>
      <c r="J126" s="43" t="s">
        <v>366</v>
      </c>
    </row>
    <row r="127" customFormat="false" ht="15" hidden="false" customHeight="false" outlineLevel="0" collapsed="false">
      <c r="A127" s="42" t="str">
        <f aca="false">B127&amp;"|"&amp;C127</f>
        <v>335|FY</v>
      </c>
      <c r="B127" s="43" t="s">
        <v>146</v>
      </c>
      <c r="C127" s="43" t="s">
        <v>367</v>
      </c>
      <c r="D127" s="44" t="n">
        <v>4514</v>
      </c>
      <c r="E127" s="43"/>
      <c r="F127" s="44" t="n">
        <v>5270</v>
      </c>
      <c r="G127" s="44" t="n">
        <v>372238</v>
      </c>
      <c r="H127" s="44" t="n">
        <v>172528359</v>
      </c>
      <c r="I127" s="43" t="s">
        <v>172</v>
      </c>
      <c r="J127" s="43" t="s">
        <v>366</v>
      </c>
    </row>
    <row r="128" customFormat="false" ht="15" hidden="false" customHeight="false" outlineLevel="0" collapsed="false">
      <c r="A128" s="42" t="str">
        <f aca="false">B128&amp;"|"&amp;C128</f>
        <v>335|0-4</v>
      </c>
      <c r="B128" s="43" t="s">
        <v>146</v>
      </c>
      <c r="C128" s="43" t="s">
        <v>368</v>
      </c>
      <c r="D128" s="44" t="n">
        <v>1519</v>
      </c>
      <c r="E128" s="43"/>
      <c r="F128" s="44" t="n">
        <v>1521</v>
      </c>
      <c r="G128" s="44" t="n">
        <v>3022</v>
      </c>
      <c r="H128" s="44" t="n">
        <v>907425</v>
      </c>
      <c r="I128" s="43" t="s">
        <v>172</v>
      </c>
      <c r="J128" s="43" t="s">
        <v>366</v>
      </c>
    </row>
    <row r="129" customFormat="false" ht="15" hidden="false" customHeight="false" outlineLevel="0" collapsed="false">
      <c r="A129" s="42" t="str">
        <f aca="false">B129&amp;"|"&amp;C129</f>
        <v>335|5-9</v>
      </c>
      <c r="B129" s="43" t="s">
        <v>146</v>
      </c>
      <c r="C129" s="43" t="s">
        <v>369</v>
      </c>
      <c r="D129" s="44" t="n">
        <v>657</v>
      </c>
      <c r="E129" s="43"/>
      <c r="F129" s="44" t="n">
        <v>658</v>
      </c>
      <c r="G129" s="44" t="n">
        <v>4340</v>
      </c>
      <c r="H129" s="44" t="n">
        <v>1339621</v>
      </c>
      <c r="I129" s="43" t="s">
        <v>172</v>
      </c>
      <c r="J129" s="43" t="s">
        <v>366</v>
      </c>
    </row>
    <row r="130" customFormat="false" ht="15" hidden="false" customHeight="false" outlineLevel="0" collapsed="false">
      <c r="A130" s="42" t="str">
        <f aca="false">B130&amp;"|"&amp;C130</f>
        <v>335|10-19</v>
      </c>
      <c r="B130" s="43" t="s">
        <v>146</v>
      </c>
      <c r="C130" s="43" t="s">
        <v>370</v>
      </c>
      <c r="D130" s="44" t="n">
        <v>616</v>
      </c>
      <c r="E130" s="43"/>
      <c r="F130" s="44" t="n">
        <v>628</v>
      </c>
      <c r="G130" s="44" t="n">
        <v>8645</v>
      </c>
      <c r="H130" s="44" t="n">
        <v>2548452</v>
      </c>
      <c r="I130" s="43" t="s">
        <v>172</v>
      </c>
      <c r="J130" s="43" t="s">
        <v>366</v>
      </c>
    </row>
    <row r="131" customFormat="false" ht="15" hidden="false" customHeight="false" outlineLevel="0" collapsed="false">
      <c r="A131" s="42" t="str">
        <f aca="false">B131&amp;"|"&amp;C131</f>
        <v>335|20-49</v>
      </c>
      <c r="B131" s="43" t="s">
        <v>146</v>
      </c>
      <c r="C131" s="43" t="s">
        <v>121</v>
      </c>
      <c r="D131" s="44" t="n">
        <v>775</v>
      </c>
      <c r="E131" s="43"/>
      <c r="F131" s="44" t="n">
        <v>809</v>
      </c>
      <c r="G131" s="44" t="n">
        <v>24550</v>
      </c>
      <c r="H131" s="44" t="n">
        <v>7538557</v>
      </c>
      <c r="I131" s="43" t="s">
        <v>172</v>
      </c>
      <c r="J131" s="43" t="s">
        <v>366</v>
      </c>
    </row>
    <row r="132" customFormat="false" ht="15" hidden="false" customHeight="false" outlineLevel="0" collapsed="false">
      <c r="A132" s="42" t="str">
        <f aca="false">B132&amp;"|"&amp;C132</f>
        <v>335|50-99</v>
      </c>
      <c r="B132" s="43" t="s">
        <v>146</v>
      </c>
      <c r="C132" s="43" t="s">
        <v>122</v>
      </c>
      <c r="D132" s="44" t="n">
        <v>422</v>
      </c>
      <c r="E132" s="43"/>
      <c r="F132" s="44" t="n">
        <v>454</v>
      </c>
      <c r="G132" s="44" t="n">
        <v>29321</v>
      </c>
      <c r="H132" s="44" t="n">
        <v>9452468</v>
      </c>
      <c r="I132" s="43" t="s">
        <v>172</v>
      </c>
      <c r="J132" s="43" t="s">
        <v>366</v>
      </c>
    </row>
    <row r="133" customFormat="false" ht="15" hidden="false" customHeight="false" outlineLevel="0" collapsed="false">
      <c r="A133" s="42" t="str">
        <f aca="false">B133&amp;"|"&amp;C133</f>
        <v>335|100-249</v>
      </c>
      <c r="B133" s="43" t="s">
        <v>146</v>
      </c>
      <c r="C133" s="43" t="s">
        <v>123</v>
      </c>
      <c r="D133" s="44" t="n">
        <v>288</v>
      </c>
      <c r="E133" s="43"/>
      <c r="F133" s="44" t="n">
        <v>374</v>
      </c>
      <c r="G133" s="44" t="n">
        <v>44277</v>
      </c>
      <c r="H133" s="44" t="n">
        <v>16251671</v>
      </c>
      <c r="I133" s="43" t="s">
        <v>172</v>
      </c>
      <c r="J133" s="43" t="s">
        <v>366</v>
      </c>
    </row>
    <row r="134" customFormat="false" ht="15" hidden="false" customHeight="false" outlineLevel="0" collapsed="false">
      <c r="A134" s="42" t="str">
        <f aca="false">B134&amp;"|"&amp;C134</f>
        <v>335|250-499</v>
      </c>
      <c r="B134" s="43" t="s">
        <v>146</v>
      </c>
      <c r="C134" s="43" t="s">
        <v>124</v>
      </c>
      <c r="D134" s="44" t="n">
        <v>108</v>
      </c>
      <c r="E134" s="43"/>
      <c r="F134" s="44" t="n">
        <v>184</v>
      </c>
      <c r="G134" s="44" t="n">
        <v>37403</v>
      </c>
      <c r="H134" s="44" t="n">
        <v>17831707</v>
      </c>
      <c r="I134" s="43" t="s">
        <v>172</v>
      </c>
      <c r="J134" s="43" t="s">
        <v>366</v>
      </c>
    </row>
    <row r="135" customFormat="false" ht="15" hidden="false" customHeight="false" outlineLevel="0" collapsed="false">
      <c r="A135" s="42" t="str">
        <f aca="false">B135&amp;"|"&amp;C135</f>
        <v>335|500+</v>
      </c>
      <c r="B135" s="43" t="s">
        <v>146</v>
      </c>
      <c r="C135" s="43" t="s">
        <v>125</v>
      </c>
      <c r="D135" s="44" t="n">
        <v>129</v>
      </c>
      <c r="E135" s="43"/>
      <c r="F135" s="44" t="n">
        <v>642</v>
      </c>
      <c r="G135" s="44" t="n">
        <v>220680</v>
      </c>
      <c r="H135" s="44" t="n">
        <v>116658458</v>
      </c>
      <c r="I135" s="43" t="s">
        <v>172</v>
      </c>
      <c r="J135" s="43" t="s">
        <v>366</v>
      </c>
    </row>
    <row r="136" customFormat="false" ht="15" hidden="false" customHeight="false" outlineLevel="0" collapsed="false">
      <c r="A136" s="42" t="str">
        <f aca="false">B136&amp;"|"&amp;C136</f>
        <v>335|NFY</v>
      </c>
      <c r="B136" s="43" t="s">
        <v>146</v>
      </c>
      <c r="C136" s="43" t="s">
        <v>371</v>
      </c>
      <c r="D136" s="44" t="n">
        <v>38</v>
      </c>
      <c r="E136" s="43"/>
      <c r="F136" s="44" t="n">
        <v>38</v>
      </c>
      <c r="G136" s="44" t="n">
        <v>1149</v>
      </c>
      <c r="H136" s="44" t="n">
        <v>155716</v>
      </c>
      <c r="I136" s="43" t="s">
        <v>172</v>
      </c>
      <c r="J136" s="43" t="s">
        <v>366</v>
      </c>
    </row>
    <row r="137" customFormat="false" ht="15" hidden="false" customHeight="false" outlineLevel="0" collapsed="false">
      <c r="A137" s="42" t="str">
        <f aca="false">B137&amp;"|"&amp;C137</f>
        <v>54|ALL</v>
      </c>
      <c r="B137" s="43" t="s">
        <v>173</v>
      </c>
      <c r="C137" s="43" t="s">
        <v>365</v>
      </c>
      <c r="D137" s="44" t="n">
        <v>876176</v>
      </c>
      <c r="E137" s="43"/>
      <c r="F137" s="44" t="n">
        <v>977257</v>
      </c>
      <c r="G137" s="44" t="n">
        <v>11185562</v>
      </c>
      <c r="H137" s="44" t="n">
        <v>2667262040</v>
      </c>
      <c r="I137" s="43"/>
      <c r="J137" s="43" t="s">
        <v>366</v>
      </c>
    </row>
    <row r="138" customFormat="false" ht="15" hidden="false" customHeight="false" outlineLevel="0" collapsed="false">
      <c r="A138" s="42" t="str">
        <f aca="false">B138&amp;"|"&amp;C138</f>
        <v>54|FY</v>
      </c>
      <c r="B138" s="43" t="s">
        <v>173</v>
      </c>
      <c r="C138" s="43" t="s">
        <v>367</v>
      </c>
      <c r="D138" s="44" t="n">
        <v>682701</v>
      </c>
      <c r="E138" s="43"/>
      <c r="F138" s="44" t="n">
        <v>783523</v>
      </c>
      <c r="G138" s="44" t="n">
        <v>10987793</v>
      </c>
      <c r="H138" s="44" t="n">
        <v>2616384416</v>
      </c>
      <c r="I138" s="43"/>
      <c r="J138" s="43" t="s">
        <v>366</v>
      </c>
    </row>
    <row r="139" customFormat="false" ht="15" hidden="false" customHeight="false" outlineLevel="0" collapsed="false">
      <c r="A139" s="42" t="str">
        <f aca="false">B139&amp;"|"&amp;C139</f>
        <v>54|0-4</v>
      </c>
      <c r="B139" s="43" t="s">
        <v>173</v>
      </c>
      <c r="C139" s="43" t="s">
        <v>368</v>
      </c>
      <c r="D139" s="44" t="n">
        <v>462549</v>
      </c>
      <c r="E139" s="43"/>
      <c r="F139" s="44" t="n">
        <v>463440</v>
      </c>
      <c r="G139" s="44" t="n">
        <v>837416</v>
      </c>
      <c r="H139" s="44" t="n">
        <v>183164148</v>
      </c>
      <c r="I139" s="43"/>
      <c r="J139" s="43" t="s">
        <v>366</v>
      </c>
    </row>
    <row r="140" customFormat="false" ht="15" hidden="false" customHeight="false" outlineLevel="0" collapsed="false">
      <c r="A140" s="42" t="str">
        <f aca="false">B140&amp;"|"&amp;C140</f>
        <v>54|5-9</v>
      </c>
      <c r="B140" s="43" t="s">
        <v>173</v>
      </c>
      <c r="C140" s="43" t="s">
        <v>369</v>
      </c>
      <c r="D140" s="44" t="n">
        <v>103685</v>
      </c>
      <c r="E140" s="43"/>
      <c r="F140" s="44" t="n">
        <v>104573</v>
      </c>
      <c r="G140" s="44" t="n">
        <v>677076</v>
      </c>
      <c r="H140" s="44" t="n">
        <v>136081252</v>
      </c>
      <c r="I140" s="43"/>
      <c r="J140" s="43" t="s">
        <v>366</v>
      </c>
    </row>
    <row r="141" customFormat="false" ht="15" hidden="false" customHeight="false" outlineLevel="0" collapsed="false">
      <c r="A141" s="42" t="str">
        <f aca="false">B141&amp;"|"&amp;C141</f>
        <v>54|10-19</v>
      </c>
      <c r="B141" s="43" t="s">
        <v>173</v>
      </c>
      <c r="C141" s="43" t="s">
        <v>370</v>
      </c>
      <c r="D141" s="44" t="n">
        <v>58802</v>
      </c>
      <c r="E141" s="43"/>
      <c r="F141" s="44" t="n">
        <v>61518</v>
      </c>
      <c r="G141" s="44" t="n">
        <v>785210</v>
      </c>
      <c r="H141" s="44" t="n">
        <v>163612699</v>
      </c>
      <c r="I141" s="43"/>
      <c r="J141" s="43" t="s">
        <v>366</v>
      </c>
    </row>
    <row r="142" customFormat="false" ht="15" hidden="false" customHeight="false" outlineLevel="0" collapsed="false">
      <c r="A142" s="42" t="str">
        <f aca="false">B142&amp;"|"&amp;C142</f>
        <v>54|20-49</v>
      </c>
      <c r="B142" s="43" t="s">
        <v>173</v>
      </c>
      <c r="C142" s="43" t="s">
        <v>121</v>
      </c>
      <c r="D142" s="44" t="n">
        <v>35049</v>
      </c>
      <c r="E142" s="43"/>
      <c r="F142" s="44" t="n">
        <v>41789</v>
      </c>
      <c r="G142" s="44" t="n">
        <v>1048008</v>
      </c>
      <c r="H142" s="44" t="n">
        <v>229495147</v>
      </c>
      <c r="I142" s="43"/>
      <c r="J142" s="43" t="s">
        <v>366</v>
      </c>
    </row>
    <row r="143" customFormat="false" ht="15" hidden="false" customHeight="false" outlineLevel="0" collapsed="false">
      <c r="A143" s="42" t="str">
        <f aca="false">B143&amp;"|"&amp;C143</f>
        <v>54|50-99</v>
      </c>
      <c r="B143" s="43" t="s">
        <v>173</v>
      </c>
      <c r="C143" s="43" t="s">
        <v>122</v>
      </c>
      <c r="D143" s="44" t="n">
        <v>11416</v>
      </c>
      <c r="E143" s="43"/>
      <c r="F143" s="44" t="n">
        <v>18272</v>
      </c>
      <c r="G143" s="44" t="n">
        <v>787141</v>
      </c>
      <c r="H143" s="44" t="n">
        <v>184107812</v>
      </c>
      <c r="I143" s="43"/>
      <c r="J143" s="43" t="s">
        <v>366</v>
      </c>
    </row>
    <row r="144" customFormat="false" ht="15" hidden="false" customHeight="false" outlineLevel="0" collapsed="false">
      <c r="A144" s="42" t="str">
        <f aca="false">B144&amp;"|"&amp;C144</f>
        <v>54|100-249</v>
      </c>
      <c r="B144" s="43" t="s">
        <v>173</v>
      </c>
      <c r="C144" s="43" t="s">
        <v>123</v>
      </c>
      <c r="D144" s="44" t="n">
        <v>6827</v>
      </c>
      <c r="E144" s="43"/>
      <c r="F144" s="44" t="n">
        <v>17145</v>
      </c>
      <c r="G144" s="44" t="n">
        <v>1036485</v>
      </c>
      <c r="H144" s="44" t="n">
        <v>252583359</v>
      </c>
      <c r="I144" s="43"/>
      <c r="J144" s="43" t="s">
        <v>366</v>
      </c>
    </row>
    <row r="145" customFormat="false" ht="15" hidden="false" customHeight="false" outlineLevel="0" collapsed="false">
      <c r="A145" s="42" t="str">
        <f aca="false">B145&amp;"|"&amp;C145</f>
        <v>54|250-499</v>
      </c>
      <c r="B145" s="43" t="s">
        <v>173</v>
      </c>
      <c r="C145" s="43" t="s">
        <v>124</v>
      </c>
      <c r="D145" s="44" t="n">
        <v>2304</v>
      </c>
      <c r="E145" s="43"/>
      <c r="F145" s="44" t="n">
        <v>9861</v>
      </c>
      <c r="G145" s="44" t="n">
        <v>799542</v>
      </c>
      <c r="H145" s="44" t="n">
        <v>199848710</v>
      </c>
      <c r="I145" s="43"/>
      <c r="J145" s="43" t="s">
        <v>366</v>
      </c>
    </row>
    <row r="146" customFormat="false" ht="15" hidden="false" customHeight="false" outlineLevel="0" collapsed="false">
      <c r="A146" s="42" t="str">
        <f aca="false">B146&amp;"|"&amp;C146</f>
        <v>54|500+</v>
      </c>
      <c r="B146" s="43" t="s">
        <v>173</v>
      </c>
      <c r="C146" s="43" t="s">
        <v>125</v>
      </c>
      <c r="D146" s="44" t="n">
        <v>2069</v>
      </c>
      <c r="E146" s="43"/>
      <c r="F146" s="44" t="n">
        <v>66925</v>
      </c>
      <c r="G146" s="44" t="n">
        <v>5016915</v>
      </c>
      <c r="H146" s="44" t="n">
        <v>1267491289</v>
      </c>
      <c r="I146" s="43"/>
      <c r="J146" s="43" t="s">
        <v>366</v>
      </c>
    </row>
    <row r="147" customFormat="false" ht="15" hidden="false" customHeight="false" outlineLevel="0" collapsed="false">
      <c r="A147" s="42" t="str">
        <f aca="false">B147&amp;"|"&amp;C147</f>
        <v>54|NFY</v>
      </c>
      <c r="B147" s="43" t="s">
        <v>173</v>
      </c>
      <c r="C147" s="43" t="s">
        <v>371</v>
      </c>
      <c r="D147" s="44" t="n">
        <v>193475</v>
      </c>
      <c r="E147" s="43"/>
      <c r="F147" s="44" t="n">
        <v>193734</v>
      </c>
      <c r="G147" s="44" t="n">
        <v>197769</v>
      </c>
      <c r="H147" s="44" t="n">
        <v>50877624</v>
      </c>
      <c r="I147" s="43"/>
      <c r="J147" s="43" t="s">
        <v>366</v>
      </c>
    </row>
    <row r="148" customFormat="false" ht="15" hidden="false" customHeight="false" outlineLevel="0" collapsed="false">
      <c r="A148" s="42" t="str">
        <f aca="false">B148&amp;"|"&amp;C148</f>
        <v>5411|ALL</v>
      </c>
      <c r="B148" s="43" t="s">
        <v>335</v>
      </c>
      <c r="C148" s="43" t="s">
        <v>365</v>
      </c>
      <c r="D148" s="44" t="n">
        <v>168337</v>
      </c>
      <c r="E148" s="43"/>
      <c r="F148" s="44" t="n">
        <v>182081</v>
      </c>
      <c r="G148" s="44" t="n">
        <v>1395948</v>
      </c>
      <c r="H148" s="44" t="n">
        <v>374572500</v>
      </c>
      <c r="I148" s="43" t="s">
        <v>173</v>
      </c>
      <c r="J148" s="43" t="s">
        <v>366</v>
      </c>
    </row>
    <row r="149" customFormat="false" ht="15" hidden="false" customHeight="false" outlineLevel="0" collapsed="false">
      <c r="A149" s="42" t="str">
        <f aca="false">B149&amp;"|"&amp;C149</f>
        <v>5411|FY</v>
      </c>
      <c r="B149" s="43" t="s">
        <v>335</v>
      </c>
      <c r="C149" s="43" t="s">
        <v>367</v>
      </c>
      <c r="D149" s="44" t="n">
        <v>142068</v>
      </c>
      <c r="E149" s="43"/>
      <c r="F149" s="44" t="n">
        <v>155771</v>
      </c>
      <c r="G149" s="44" t="n">
        <v>1374144</v>
      </c>
      <c r="H149" s="44" t="n">
        <v>367665906</v>
      </c>
      <c r="I149" s="43" t="s">
        <v>173</v>
      </c>
      <c r="J149" s="43" t="s">
        <v>366</v>
      </c>
    </row>
    <row r="150" customFormat="false" ht="15" hidden="false" customHeight="false" outlineLevel="0" collapsed="false">
      <c r="A150" s="42" t="str">
        <f aca="false">B150&amp;"|"&amp;C150</f>
        <v>5411|0-4</v>
      </c>
      <c r="B150" s="43" t="s">
        <v>335</v>
      </c>
      <c r="C150" s="43" t="s">
        <v>368</v>
      </c>
      <c r="D150" s="44" t="n">
        <v>98148</v>
      </c>
      <c r="E150" s="43"/>
      <c r="F150" s="44" t="n">
        <v>98339</v>
      </c>
      <c r="G150" s="44" t="n">
        <v>192332</v>
      </c>
      <c r="H150" s="44" t="n">
        <v>41701767</v>
      </c>
      <c r="I150" s="43" t="s">
        <v>173</v>
      </c>
      <c r="J150" s="43" t="s">
        <v>366</v>
      </c>
    </row>
    <row r="151" customFormat="false" ht="15" hidden="false" customHeight="false" outlineLevel="0" collapsed="false">
      <c r="A151" s="42" t="str">
        <f aca="false">B151&amp;"|"&amp;C151</f>
        <v>5411|5-9</v>
      </c>
      <c r="B151" s="43" t="s">
        <v>335</v>
      </c>
      <c r="C151" s="43" t="s">
        <v>369</v>
      </c>
      <c r="D151" s="44" t="n">
        <v>24205</v>
      </c>
      <c r="E151" s="43"/>
      <c r="F151" s="44" t="n">
        <v>24408</v>
      </c>
      <c r="G151" s="44" t="n">
        <v>156477</v>
      </c>
      <c r="H151" s="44" t="n">
        <v>32972474</v>
      </c>
      <c r="I151" s="43" t="s">
        <v>173</v>
      </c>
      <c r="J151" s="43" t="s">
        <v>366</v>
      </c>
    </row>
    <row r="152" customFormat="false" ht="15" hidden="false" customHeight="false" outlineLevel="0" collapsed="false">
      <c r="A152" s="42" t="str">
        <f aca="false">B152&amp;"|"&amp;C152</f>
        <v>5411|10-19</v>
      </c>
      <c r="B152" s="43" t="s">
        <v>335</v>
      </c>
      <c r="C152" s="43" t="s">
        <v>370</v>
      </c>
      <c r="D152" s="44" t="n">
        <v>11097</v>
      </c>
      <c r="E152" s="43"/>
      <c r="F152" s="44" t="n">
        <v>11921</v>
      </c>
      <c r="G152" s="44" t="n">
        <v>146340</v>
      </c>
      <c r="H152" s="44" t="n">
        <v>33044856</v>
      </c>
      <c r="I152" s="43" t="s">
        <v>173</v>
      </c>
      <c r="J152" s="43" t="s">
        <v>366</v>
      </c>
    </row>
    <row r="153" customFormat="false" ht="15" hidden="false" customHeight="false" outlineLevel="0" collapsed="false">
      <c r="A153" s="42" t="str">
        <f aca="false">B153&amp;"|"&amp;C153</f>
        <v>5411|20-49</v>
      </c>
      <c r="B153" s="43" t="s">
        <v>335</v>
      </c>
      <c r="C153" s="43" t="s">
        <v>121</v>
      </c>
      <c r="D153" s="44" t="n">
        <v>5672</v>
      </c>
      <c r="E153" s="43"/>
      <c r="F153" s="44" t="n">
        <v>7678</v>
      </c>
      <c r="G153" s="44" t="n">
        <v>168562</v>
      </c>
      <c r="H153" s="44" t="n">
        <v>39417935</v>
      </c>
      <c r="I153" s="43" t="s">
        <v>173</v>
      </c>
      <c r="J153" s="43" t="s">
        <v>366</v>
      </c>
    </row>
    <row r="154" customFormat="false" ht="15" hidden="false" customHeight="false" outlineLevel="0" collapsed="false">
      <c r="A154" s="42" t="str">
        <f aca="false">B154&amp;"|"&amp;C154</f>
        <v>5411|50-99</v>
      </c>
      <c r="B154" s="43" t="s">
        <v>335</v>
      </c>
      <c r="C154" s="43" t="s">
        <v>122</v>
      </c>
      <c r="D154" s="44" t="n">
        <v>1573</v>
      </c>
      <c r="E154" s="43"/>
      <c r="F154" s="44" t="n">
        <v>3457</v>
      </c>
      <c r="G154" s="44" t="n">
        <v>107806</v>
      </c>
      <c r="H154" s="44" t="n">
        <v>26151760</v>
      </c>
      <c r="I154" s="43" t="s">
        <v>173</v>
      </c>
      <c r="J154" s="43" t="s">
        <v>366</v>
      </c>
    </row>
    <row r="155" customFormat="false" ht="15" hidden="false" customHeight="false" outlineLevel="0" collapsed="false">
      <c r="A155" s="42" t="str">
        <f aca="false">B155&amp;"|"&amp;C155</f>
        <v>5411|100-249</v>
      </c>
      <c r="B155" s="43" t="s">
        <v>335</v>
      </c>
      <c r="C155" s="43" t="s">
        <v>123</v>
      </c>
      <c r="D155" s="44" t="n">
        <v>900</v>
      </c>
      <c r="E155" s="43"/>
      <c r="F155" s="44" t="n">
        <v>3761</v>
      </c>
      <c r="G155" s="44" t="n">
        <v>133248</v>
      </c>
      <c r="H155" s="44" t="n">
        <v>33969786</v>
      </c>
      <c r="I155" s="43" t="s">
        <v>173</v>
      </c>
      <c r="J155" s="43" t="s">
        <v>366</v>
      </c>
    </row>
    <row r="156" customFormat="false" ht="15" hidden="false" customHeight="false" outlineLevel="0" collapsed="false">
      <c r="A156" s="42" t="str">
        <f aca="false">B156&amp;"|"&amp;C156</f>
        <v>5411|250-499</v>
      </c>
      <c r="B156" s="43" t="s">
        <v>335</v>
      </c>
      <c r="C156" s="43" t="s">
        <v>124</v>
      </c>
      <c r="D156" s="44" t="n">
        <v>251</v>
      </c>
      <c r="E156" s="43"/>
      <c r="F156" s="44" t="n">
        <v>2239</v>
      </c>
      <c r="G156" s="44" t="n">
        <v>86614</v>
      </c>
      <c r="H156" s="44" t="n">
        <v>23462215</v>
      </c>
      <c r="I156" s="43" t="s">
        <v>173</v>
      </c>
      <c r="J156" s="43" t="s">
        <v>366</v>
      </c>
    </row>
    <row r="157" customFormat="false" ht="15" hidden="false" customHeight="false" outlineLevel="0" collapsed="false">
      <c r="A157" s="42" t="str">
        <f aca="false">B157&amp;"|"&amp;C157</f>
        <v>5411|500+</v>
      </c>
      <c r="B157" s="43" t="s">
        <v>335</v>
      </c>
      <c r="C157" s="43" t="s">
        <v>125</v>
      </c>
      <c r="D157" s="44" t="n">
        <v>222</v>
      </c>
      <c r="E157" s="43"/>
      <c r="F157" s="44" t="n">
        <v>3968</v>
      </c>
      <c r="G157" s="44" t="n">
        <v>382765</v>
      </c>
      <c r="H157" s="44" t="n">
        <v>136945113</v>
      </c>
      <c r="I157" s="43" t="s">
        <v>173</v>
      </c>
      <c r="J157" s="43" t="s">
        <v>366</v>
      </c>
    </row>
    <row r="158" customFormat="false" ht="15" hidden="false" customHeight="false" outlineLevel="0" collapsed="false">
      <c r="A158" s="42" t="str">
        <f aca="false">B158&amp;"|"&amp;C158</f>
        <v>5411|NFY</v>
      </c>
      <c r="B158" s="43" t="s">
        <v>335</v>
      </c>
      <c r="C158" s="43" t="s">
        <v>371</v>
      </c>
      <c r="D158" s="44" t="n">
        <v>26269</v>
      </c>
      <c r="E158" s="43"/>
      <c r="F158" s="44" t="n">
        <v>26310</v>
      </c>
      <c r="G158" s="44" t="n">
        <v>21804</v>
      </c>
      <c r="H158" s="44" t="n">
        <v>6906594</v>
      </c>
      <c r="I158" s="43" t="s">
        <v>173</v>
      </c>
      <c r="J158" s="43" t="s">
        <v>366</v>
      </c>
    </row>
    <row r="159" customFormat="false" ht="15" hidden="false" customHeight="false" outlineLevel="0" collapsed="false">
      <c r="A159" s="42" t="str">
        <f aca="false">B159&amp;"|"&amp;C159</f>
        <v>5412|ALL</v>
      </c>
      <c r="B159" s="43" t="s">
        <v>338</v>
      </c>
      <c r="C159" s="43" t="s">
        <v>365</v>
      </c>
      <c r="D159" s="44" t="n">
        <v>120889</v>
      </c>
      <c r="E159" s="43"/>
      <c r="F159" s="44" t="n">
        <v>136861</v>
      </c>
      <c r="G159" s="44" t="n">
        <v>1313416</v>
      </c>
      <c r="H159" s="44" t="n">
        <v>208847722</v>
      </c>
      <c r="I159" s="43" t="s">
        <v>173</v>
      </c>
      <c r="J159" s="43" t="s">
        <v>366</v>
      </c>
    </row>
    <row r="160" customFormat="false" ht="15" hidden="false" customHeight="false" outlineLevel="0" collapsed="false">
      <c r="A160" s="42" t="str">
        <f aca="false">B160&amp;"|"&amp;C160</f>
        <v>5412|FY</v>
      </c>
      <c r="B160" s="43" t="s">
        <v>338</v>
      </c>
      <c r="C160" s="43" t="s">
        <v>367</v>
      </c>
      <c r="D160" s="44" t="n">
        <v>95530</v>
      </c>
      <c r="E160" s="43"/>
      <c r="F160" s="44" t="n">
        <v>111462</v>
      </c>
      <c r="G160" s="44" t="n">
        <v>1280794</v>
      </c>
      <c r="H160" s="44" t="n">
        <v>204997458</v>
      </c>
      <c r="I160" s="43" t="s">
        <v>173</v>
      </c>
      <c r="J160" s="43" t="s">
        <v>366</v>
      </c>
    </row>
    <row r="161" customFormat="false" ht="15" hidden="false" customHeight="false" outlineLevel="0" collapsed="false">
      <c r="A161" s="42" t="str">
        <f aca="false">B161&amp;"|"&amp;C161</f>
        <v>5412|0-4</v>
      </c>
      <c r="B161" s="43" t="s">
        <v>338</v>
      </c>
      <c r="C161" s="43" t="s">
        <v>368</v>
      </c>
      <c r="D161" s="44" t="n">
        <v>63387</v>
      </c>
      <c r="E161" s="43"/>
      <c r="F161" s="44" t="n">
        <v>63441</v>
      </c>
      <c r="G161" s="44" t="n">
        <v>126276</v>
      </c>
      <c r="H161" s="44" t="n">
        <v>15660866</v>
      </c>
      <c r="I161" s="43" t="s">
        <v>173</v>
      </c>
      <c r="J161" s="43" t="s">
        <v>366</v>
      </c>
    </row>
    <row r="162" customFormat="false" ht="15" hidden="false" customHeight="false" outlineLevel="0" collapsed="false">
      <c r="A162" s="42" t="str">
        <f aca="false">B162&amp;"|"&amp;C162</f>
        <v>5412|5-9</v>
      </c>
      <c r="B162" s="43" t="s">
        <v>338</v>
      </c>
      <c r="C162" s="43" t="s">
        <v>369</v>
      </c>
      <c r="D162" s="44" t="n">
        <v>18193</v>
      </c>
      <c r="E162" s="43"/>
      <c r="F162" s="44" t="n">
        <v>18319</v>
      </c>
      <c r="G162" s="44" t="n">
        <v>117794</v>
      </c>
      <c r="H162" s="44" t="n">
        <v>13792974</v>
      </c>
      <c r="I162" s="43" t="s">
        <v>173</v>
      </c>
      <c r="J162" s="43" t="s">
        <v>366</v>
      </c>
    </row>
    <row r="163" customFormat="false" ht="15" hidden="false" customHeight="false" outlineLevel="0" collapsed="false">
      <c r="A163" s="42" t="str">
        <f aca="false">B163&amp;"|"&amp;C163</f>
        <v>5412|10-19</v>
      </c>
      <c r="B163" s="43" t="s">
        <v>338</v>
      </c>
      <c r="C163" s="43" t="s">
        <v>370</v>
      </c>
      <c r="D163" s="44" t="n">
        <v>7872</v>
      </c>
      <c r="E163" s="43"/>
      <c r="F163" s="44" t="n">
        <v>8353</v>
      </c>
      <c r="G163" s="44" t="n">
        <v>103106</v>
      </c>
      <c r="H163" s="44" t="n">
        <v>12691511</v>
      </c>
      <c r="I163" s="43" t="s">
        <v>173</v>
      </c>
      <c r="J163" s="43" t="s">
        <v>366</v>
      </c>
    </row>
    <row r="164" customFormat="false" ht="15" hidden="false" customHeight="false" outlineLevel="0" collapsed="false">
      <c r="A164" s="42" t="str">
        <f aca="false">B164&amp;"|"&amp;C164</f>
        <v>5412|20-49</v>
      </c>
      <c r="B164" s="43" t="s">
        <v>338</v>
      </c>
      <c r="C164" s="43" t="s">
        <v>121</v>
      </c>
      <c r="D164" s="44" t="n">
        <v>3837</v>
      </c>
      <c r="E164" s="43"/>
      <c r="F164" s="44" t="n">
        <v>5029</v>
      </c>
      <c r="G164" s="44" t="n">
        <v>113860</v>
      </c>
      <c r="H164" s="44" t="n">
        <v>13885403</v>
      </c>
      <c r="I164" s="43" t="s">
        <v>173</v>
      </c>
      <c r="J164" s="43" t="s">
        <v>366</v>
      </c>
    </row>
    <row r="165" customFormat="false" ht="15" hidden="false" customHeight="false" outlineLevel="0" collapsed="false">
      <c r="A165" s="42" t="str">
        <f aca="false">B165&amp;"|"&amp;C165</f>
        <v>5412|50-99</v>
      </c>
      <c r="B165" s="43" t="s">
        <v>338</v>
      </c>
      <c r="C165" s="43" t="s">
        <v>122</v>
      </c>
      <c r="D165" s="44" t="n">
        <v>1193</v>
      </c>
      <c r="E165" s="43"/>
      <c r="F165" s="44" t="n">
        <v>2092</v>
      </c>
      <c r="G165" s="44" t="n">
        <v>81528</v>
      </c>
      <c r="H165" s="44" t="n">
        <v>9753152</v>
      </c>
      <c r="I165" s="43" t="s">
        <v>173</v>
      </c>
      <c r="J165" s="43" t="s">
        <v>366</v>
      </c>
    </row>
    <row r="166" customFormat="false" ht="15" hidden="false" customHeight="false" outlineLevel="0" collapsed="false">
      <c r="A166" s="42" t="str">
        <f aca="false">B166&amp;"|"&amp;C166</f>
        <v>5412|100-249</v>
      </c>
      <c r="B166" s="43" t="s">
        <v>338</v>
      </c>
      <c r="C166" s="43" t="s">
        <v>123</v>
      </c>
      <c r="D166" s="44" t="n">
        <v>664</v>
      </c>
      <c r="E166" s="43"/>
      <c r="F166" s="44" t="n">
        <v>1660</v>
      </c>
      <c r="G166" s="44" t="n">
        <v>101439</v>
      </c>
      <c r="H166" s="44" t="n">
        <v>11840823</v>
      </c>
      <c r="I166" s="43" t="s">
        <v>173</v>
      </c>
      <c r="J166" s="43" t="s">
        <v>366</v>
      </c>
    </row>
    <row r="167" customFormat="false" ht="15" hidden="false" customHeight="false" outlineLevel="0" collapsed="false">
      <c r="A167" s="42" t="str">
        <f aca="false">B167&amp;"|"&amp;C167</f>
        <v>5412|250-499</v>
      </c>
      <c r="B167" s="43" t="s">
        <v>338</v>
      </c>
      <c r="C167" s="43" t="s">
        <v>124</v>
      </c>
      <c r="D167" s="44" t="n">
        <v>193</v>
      </c>
      <c r="E167" s="43"/>
      <c r="F167" s="44" t="n">
        <v>938</v>
      </c>
      <c r="G167" s="44" t="n">
        <v>66931</v>
      </c>
      <c r="H167" s="44" t="n">
        <v>7939508</v>
      </c>
      <c r="I167" s="43" t="s">
        <v>173</v>
      </c>
      <c r="J167" s="43" t="s">
        <v>366</v>
      </c>
    </row>
    <row r="168" customFormat="false" ht="15" hidden="false" customHeight="false" outlineLevel="0" collapsed="false">
      <c r="A168" s="42" t="str">
        <f aca="false">B168&amp;"|"&amp;C168</f>
        <v>5412|500+</v>
      </c>
      <c r="B168" s="43" t="s">
        <v>338</v>
      </c>
      <c r="C168" s="43" t="s">
        <v>125</v>
      </c>
      <c r="D168" s="44" t="n">
        <v>191</v>
      </c>
      <c r="E168" s="43"/>
      <c r="F168" s="44" t="n">
        <v>11630</v>
      </c>
      <c r="G168" s="44" t="n">
        <v>569860</v>
      </c>
      <c r="H168" s="44" t="n">
        <v>119433221</v>
      </c>
      <c r="I168" s="43" t="s">
        <v>173</v>
      </c>
      <c r="J168" s="43" t="s">
        <v>366</v>
      </c>
    </row>
    <row r="169" customFormat="false" ht="15" hidden="false" customHeight="false" outlineLevel="0" collapsed="false">
      <c r="A169" s="42" t="str">
        <f aca="false">B169&amp;"|"&amp;C169</f>
        <v>5412|NFY</v>
      </c>
      <c r="B169" s="43" t="s">
        <v>338</v>
      </c>
      <c r="C169" s="43" t="s">
        <v>371</v>
      </c>
      <c r="D169" s="44" t="n">
        <v>25359</v>
      </c>
      <c r="E169" s="43"/>
      <c r="F169" s="44" t="n">
        <v>25399</v>
      </c>
      <c r="G169" s="44" t="n">
        <v>32622</v>
      </c>
      <c r="H169" s="44" t="n">
        <v>3850264</v>
      </c>
      <c r="I169" s="43" t="s">
        <v>173</v>
      </c>
      <c r="J169" s="43" t="s">
        <v>366</v>
      </c>
    </row>
    <row r="170" customFormat="false" ht="15" hidden="false" customHeight="false" outlineLevel="0" collapsed="false">
      <c r="A170" s="42" t="str">
        <f aca="false">B170&amp;"|"&amp;C170</f>
        <v>5413|ALL</v>
      </c>
      <c r="B170" s="43" t="s">
        <v>149</v>
      </c>
      <c r="C170" s="43" t="s">
        <v>365</v>
      </c>
      <c r="D170" s="44" t="n">
        <v>97304</v>
      </c>
      <c r="E170" s="43"/>
      <c r="F170" s="44" t="n">
        <v>119256</v>
      </c>
      <c r="G170" s="44" t="n">
        <v>1719500</v>
      </c>
      <c r="H170" s="44" t="n">
        <v>406514457</v>
      </c>
      <c r="I170" s="43" t="s">
        <v>173</v>
      </c>
      <c r="J170" s="43" t="s">
        <v>366</v>
      </c>
    </row>
    <row r="171" customFormat="false" ht="15" hidden="false" customHeight="false" outlineLevel="0" collapsed="false">
      <c r="A171" s="42" t="str">
        <f aca="false">B171&amp;"|"&amp;C171</f>
        <v>5413|FY</v>
      </c>
      <c r="B171" s="43" t="s">
        <v>149</v>
      </c>
      <c r="C171" s="43" t="s">
        <v>367</v>
      </c>
      <c r="D171" s="44" t="n">
        <v>80590</v>
      </c>
      <c r="E171" s="43"/>
      <c r="F171" s="44" t="n">
        <v>102514</v>
      </c>
      <c r="G171" s="44" t="n">
        <v>1701461</v>
      </c>
      <c r="H171" s="44" t="n">
        <v>401719312</v>
      </c>
      <c r="I171" s="43" t="s">
        <v>173</v>
      </c>
      <c r="J171" s="43" t="s">
        <v>366</v>
      </c>
    </row>
    <row r="172" customFormat="false" ht="15" hidden="false" customHeight="false" outlineLevel="0" collapsed="false">
      <c r="A172" s="42" t="str">
        <f aca="false">B172&amp;"|"&amp;C172</f>
        <v>5413|0-4</v>
      </c>
      <c r="B172" s="43" t="s">
        <v>149</v>
      </c>
      <c r="C172" s="43" t="s">
        <v>368</v>
      </c>
      <c r="D172" s="44" t="n">
        <v>46477</v>
      </c>
      <c r="E172" s="43"/>
      <c r="F172" s="44" t="n">
        <v>46605</v>
      </c>
      <c r="G172" s="44" t="n">
        <v>88231</v>
      </c>
      <c r="H172" s="44" t="n">
        <v>18377122</v>
      </c>
      <c r="I172" s="43" t="s">
        <v>173</v>
      </c>
      <c r="J172" s="43" t="s">
        <v>366</v>
      </c>
    </row>
    <row r="173" customFormat="false" ht="15" hidden="false" customHeight="false" outlineLevel="0" collapsed="false">
      <c r="A173" s="42" t="str">
        <f aca="false">B173&amp;"|"&amp;C173</f>
        <v>5413|5-9</v>
      </c>
      <c r="B173" s="43" t="s">
        <v>149</v>
      </c>
      <c r="C173" s="43" t="s">
        <v>369</v>
      </c>
      <c r="D173" s="44" t="n">
        <v>14615</v>
      </c>
      <c r="E173" s="43"/>
      <c r="F173" s="44" t="n">
        <v>14719</v>
      </c>
      <c r="G173" s="44" t="n">
        <v>96361</v>
      </c>
      <c r="H173" s="44" t="n">
        <v>19051920</v>
      </c>
      <c r="I173" s="43" t="s">
        <v>173</v>
      </c>
      <c r="J173" s="43" t="s">
        <v>366</v>
      </c>
    </row>
    <row r="174" customFormat="false" ht="15" hidden="false" customHeight="false" outlineLevel="0" collapsed="false">
      <c r="A174" s="42" t="str">
        <f aca="false">B174&amp;"|"&amp;C174</f>
        <v>5413|10-19</v>
      </c>
      <c r="B174" s="43" t="s">
        <v>149</v>
      </c>
      <c r="C174" s="43" t="s">
        <v>370</v>
      </c>
      <c r="D174" s="44" t="n">
        <v>9397</v>
      </c>
      <c r="E174" s="43"/>
      <c r="F174" s="44" t="n">
        <v>9797</v>
      </c>
      <c r="G174" s="44" t="n">
        <v>126129</v>
      </c>
      <c r="H174" s="44" t="n">
        <v>26234592</v>
      </c>
      <c r="I174" s="43" t="s">
        <v>173</v>
      </c>
      <c r="J174" s="43" t="s">
        <v>366</v>
      </c>
    </row>
    <row r="175" customFormat="false" ht="15" hidden="false" customHeight="false" outlineLevel="0" collapsed="false">
      <c r="A175" s="42" t="str">
        <f aca="false">B175&amp;"|"&amp;C175</f>
        <v>5413|20-49</v>
      </c>
      <c r="B175" s="43" t="s">
        <v>149</v>
      </c>
      <c r="C175" s="43" t="s">
        <v>121</v>
      </c>
      <c r="D175" s="44" t="n">
        <v>5930</v>
      </c>
      <c r="E175" s="43"/>
      <c r="F175" s="44" t="n">
        <v>7263</v>
      </c>
      <c r="G175" s="44" t="n">
        <v>179028</v>
      </c>
      <c r="H175" s="44" t="n">
        <v>39985102</v>
      </c>
      <c r="I175" s="43" t="s">
        <v>173</v>
      </c>
      <c r="J175" s="43" t="s">
        <v>366</v>
      </c>
    </row>
    <row r="176" customFormat="false" ht="15" hidden="false" customHeight="false" outlineLevel="0" collapsed="false">
      <c r="A176" s="42" t="str">
        <f aca="false">B176&amp;"|"&amp;C176</f>
        <v>5413|50-99</v>
      </c>
      <c r="B176" s="43" t="s">
        <v>149</v>
      </c>
      <c r="C176" s="43" t="s">
        <v>122</v>
      </c>
      <c r="D176" s="44" t="n">
        <v>2104</v>
      </c>
      <c r="E176" s="43"/>
      <c r="F176" s="44" t="n">
        <v>3837</v>
      </c>
      <c r="G176" s="44" t="n">
        <v>145073</v>
      </c>
      <c r="H176" s="44" t="n">
        <v>33779219</v>
      </c>
      <c r="I176" s="43" t="s">
        <v>173</v>
      </c>
      <c r="J176" s="43" t="s">
        <v>366</v>
      </c>
    </row>
    <row r="177" customFormat="false" ht="15" hidden="false" customHeight="false" outlineLevel="0" collapsed="false">
      <c r="A177" s="42" t="str">
        <f aca="false">B177&amp;"|"&amp;C177</f>
        <v>5413|100-249</v>
      </c>
      <c r="B177" s="43" t="s">
        <v>149</v>
      </c>
      <c r="C177" s="43" t="s">
        <v>123</v>
      </c>
      <c r="D177" s="44" t="n">
        <v>1251</v>
      </c>
      <c r="E177" s="43"/>
      <c r="F177" s="44" t="n">
        <v>4138</v>
      </c>
      <c r="G177" s="44" t="n">
        <v>189979</v>
      </c>
      <c r="H177" s="44" t="n">
        <v>46527771</v>
      </c>
      <c r="I177" s="43" t="s">
        <v>173</v>
      </c>
      <c r="J177" s="43" t="s">
        <v>366</v>
      </c>
    </row>
    <row r="178" customFormat="false" ht="15" hidden="false" customHeight="false" outlineLevel="0" collapsed="false">
      <c r="A178" s="42" t="str">
        <f aca="false">B178&amp;"|"&amp;C178</f>
        <v>5413|250-499</v>
      </c>
      <c r="B178" s="43" t="s">
        <v>149</v>
      </c>
      <c r="C178" s="43" t="s">
        <v>124</v>
      </c>
      <c r="D178" s="44" t="n">
        <v>429</v>
      </c>
      <c r="E178" s="43"/>
      <c r="F178" s="44" t="n">
        <v>2841</v>
      </c>
      <c r="G178" s="44" t="n">
        <v>149368</v>
      </c>
      <c r="H178" s="44" t="n">
        <v>35786314</v>
      </c>
      <c r="I178" s="43" t="s">
        <v>173</v>
      </c>
      <c r="J178" s="43" t="s">
        <v>366</v>
      </c>
    </row>
    <row r="179" customFormat="false" ht="15" hidden="false" customHeight="false" outlineLevel="0" collapsed="false">
      <c r="A179" s="42" t="str">
        <f aca="false">B179&amp;"|"&amp;C179</f>
        <v>5413|500+</v>
      </c>
      <c r="B179" s="43" t="s">
        <v>149</v>
      </c>
      <c r="C179" s="43" t="s">
        <v>125</v>
      </c>
      <c r="D179" s="44" t="n">
        <v>387</v>
      </c>
      <c r="E179" s="43"/>
      <c r="F179" s="44" t="n">
        <v>13314</v>
      </c>
      <c r="G179" s="44" t="n">
        <v>727292</v>
      </c>
      <c r="H179" s="44" t="n">
        <v>181977272</v>
      </c>
      <c r="I179" s="43" t="s">
        <v>173</v>
      </c>
      <c r="J179" s="43" t="s">
        <v>366</v>
      </c>
    </row>
    <row r="180" customFormat="false" ht="15" hidden="false" customHeight="false" outlineLevel="0" collapsed="false">
      <c r="A180" s="42" t="str">
        <f aca="false">B180&amp;"|"&amp;C180</f>
        <v>5413|NFY</v>
      </c>
      <c r="B180" s="43" t="s">
        <v>149</v>
      </c>
      <c r="C180" s="43" t="s">
        <v>371</v>
      </c>
      <c r="D180" s="44" t="n">
        <v>16714</v>
      </c>
      <c r="E180" s="43"/>
      <c r="F180" s="44" t="n">
        <v>16742</v>
      </c>
      <c r="G180" s="44" t="n">
        <v>18039</v>
      </c>
      <c r="H180" s="44" t="n">
        <v>4795145</v>
      </c>
      <c r="I180" s="43" t="s">
        <v>173</v>
      </c>
      <c r="J180" s="43" t="s">
        <v>366</v>
      </c>
    </row>
    <row r="181" customFormat="false" ht="15" hidden="false" customHeight="false" outlineLevel="0" collapsed="false">
      <c r="A181" s="42" t="str">
        <f aca="false">B181&amp;"|"&amp;C181</f>
        <v>5415|ALL</v>
      </c>
      <c r="B181" s="43" t="s">
        <v>151</v>
      </c>
      <c r="C181" s="43" t="s">
        <v>365</v>
      </c>
      <c r="D181" s="44" t="n">
        <v>125645</v>
      </c>
      <c r="E181" s="43"/>
      <c r="F181" s="44" t="n">
        <v>141843</v>
      </c>
      <c r="G181" s="44" t="n">
        <v>2260211</v>
      </c>
      <c r="H181" s="44" t="n">
        <v>600590857</v>
      </c>
      <c r="I181" s="43" t="s">
        <v>173</v>
      </c>
      <c r="J181" s="43" t="s">
        <v>366</v>
      </c>
    </row>
    <row r="182" customFormat="false" ht="15" hidden="false" customHeight="false" outlineLevel="0" collapsed="false">
      <c r="A182" s="42" t="str">
        <f aca="false">B182&amp;"|"&amp;C182</f>
        <v>5415|FY</v>
      </c>
      <c r="B182" s="43" t="s">
        <v>151</v>
      </c>
      <c r="C182" s="43" t="s">
        <v>367</v>
      </c>
      <c r="D182" s="44" t="n">
        <v>94288</v>
      </c>
      <c r="E182" s="43"/>
      <c r="F182" s="44" t="n">
        <v>110473</v>
      </c>
      <c r="G182" s="44" t="n">
        <v>2225767</v>
      </c>
      <c r="H182" s="44" t="n">
        <v>590588535</v>
      </c>
      <c r="I182" s="43" t="s">
        <v>173</v>
      </c>
      <c r="J182" s="43" t="s">
        <v>366</v>
      </c>
    </row>
    <row r="183" customFormat="false" ht="15" hidden="false" customHeight="false" outlineLevel="0" collapsed="false">
      <c r="A183" s="42" t="str">
        <f aca="false">B183&amp;"|"&amp;C183</f>
        <v>5415|0-4</v>
      </c>
      <c r="B183" s="43" t="s">
        <v>151</v>
      </c>
      <c r="C183" s="43" t="s">
        <v>368</v>
      </c>
      <c r="D183" s="44" t="n">
        <v>64210</v>
      </c>
      <c r="E183" s="43"/>
      <c r="F183" s="44" t="n">
        <v>64338</v>
      </c>
      <c r="G183" s="44" t="n">
        <v>110722</v>
      </c>
      <c r="H183" s="44" t="n">
        <v>26913641</v>
      </c>
      <c r="I183" s="43" t="s">
        <v>173</v>
      </c>
      <c r="J183" s="43" t="s">
        <v>366</v>
      </c>
    </row>
    <row r="184" customFormat="false" ht="15" hidden="false" customHeight="false" outlineLevel="0" collapsed="false">
      <c r="A184" s="42" t="str">
        <f aca="false">B184&amp;"|"&amp;C184</f>
        <v>5415|5-9</v>
      </c>
      <c r="B184" s="43" t="s">
        <v>151</v>
      </c>
      <c r="C184" s="43" t="s">
        <v>369</v>
      </c>
      <c r="D184" s="44" t="n">
        <v>11805</v>
      </c>
      <c r="E184" s="43"/>
      <c r="F184" s="44" t="n">
        <v>11901</v>
      </c>
      <c r="G184" s="44" t="n">
        <v>77382</v>
      </c>
      <c r="H184" s="44" t="n">
        <v>19148716</v>
      </c>
      <c r="I184" s="43" t="s">
        <v>173</v>
      </c>
      <c r="J184" s="43" t="s">
        <v>366</v>
      </c>
    </row>
    <row r="185" customFormat="false" ht="15" hidden="false" customHeight="false" outlineLevel="0" collapsed="false">
      <c r="A185" s="42" t="str">
        <f aca="false">B185&amp;"|"&amp;C185</f>
        <v>5415|10-19</v>
      </c>
      <c r="B185" s="43" t="s">
        <v>151</v>
      </c>
      <c r="C185" s="43" t="s">
        <v>370</v>
      </c>
      <c r="D185" s="44" t="n">
        <v>7494</v>
      </c>
      <c r="E185" s="43"/>
      <c r="F185" s="44" t="n">
        <v>7734</v>
      </c>
      <c r="G185" s="44" t="n">
        <v>101257</v>
      </c>
      <c r="H185" s="44" t="n">
        <v>26317849</v>
      </c>
      <c r="I185" s="43" t="s">
        <v>173</v>
      </c>
      <c r="J185" s="43" t="s">
        <v>366</v>
      </c>
    </row>
    <row r="186" customFormat="false" ht="15" hidden="false" customHeight="false" outlineLevel="0" collapsed="false">
      <c r="A186" s="42" t="str">
        <f aca="false">B186&amp;"|"&amp;C186</f>
        <v>5415|20-49</v>
      </c>
      <c r="B186" s="43" t="s">
        <v>151</v>
      </c>
      <c r="C186" s="43" t="s">
        <v>121</v>
      </c>
      <c r="D186" s="44" t="n">
        <v>5831</v>
      </c>
      <c r="E186" s="43"/>
      <c r="F186" s="44" t="n">
        <v>6330</v>
      </c>
      <c r="G186" s="44" t="n">
        <v>179046</v>
      </c>
      <c r="H186" s="44" t="n">
        <v>46791341</v>
      </c>
      <c r="I186" s="43" t="s">
        <v>173</v>
      </c>
      <c r="J186" s="43" t="s">
        <v>366</v>
      </c>
    </row>
    <row r="187" customFormat="false" ht="15" hidden="false" customHeight="false" outlineLevel="0" collapsed="false">
      <c r="A187" s="42" t="str">
        <f aca="false">B187&amp;"|"&amp;C187</f>
        <v>5415|50-99</v>
      </c>
      <c r="B187" s="43" t="s">
        <v>151</v>
      </c>
      <c r="C187" s="43" t="s">
        <v>122</v>
      </c>
      <c r="D187" s="44" t="n">
        <v>2359</v>
      </c>
      <c r="E187" s="43"/>
      <c r="F187" s="44" t="n">
        <v>2917</v>
      </c>
      <c r="G187" s="44" t="n">
        <v>164769</v>
      </c>
      <c r="H187" s="44" t="n">
        <v>44901576</v>
      </c>
      <c r="I187" s="43" t="s">
        <v>173</v>
      </c>
      <c r="J187" s="43" t="s">
        <v>366</v>
      </c>
    </row>
    <row r="188" customFormat="false" ht="15" hidden="false" customHeight="false" outlineLevel="0" collapsed="false">
      <c r="A188" s="42" t="str">
        <f aca="false">B188&amp;"|"&amp;C188</f>
        <v>5415|100-249</v>
      </c>
      <c r="B188" s="43" t="s">
        <v>151</v>
      </c>
      <c r="C188" s="43" t="s">
        <v>123</v>
      </c>
      <c r="D188" s="44" t="n">
        <v>1581</v>
      </c>
      <c r="E188" s="43"/>
      <c r="F188" s="44" t="n">
        <v>2472</v>
      </c>
      <c r="G188" s="44" t="n">
        <v>240853</v>
      </c>
      <c r="H188" s="44" t="n">
        <v>63426163</v>
      </c>
      <c r="I188" s="43" t="s">
        <v>173</v>
      </c>
      <c r="J188" s="43" t="s">
        <v>366</v>
      </c>
    </row>
    <row r="189" customFormat="false" ht="15" hidden="false" customHeight="false" outlineLevel="0" collapsed="false">
      <c r="A189" s="42" t="str">
        <f aca="false">B189&amp;"|"&amp;C189</f>
        <v>5415|250-499</v>
      </c>
      <c r="B189" s="43" t="s">
        <v>151</v>
      </c>
      <c r="C189" s="43" t="s">
        <v>124</v>
      </c>
      <c r="D189" s="44" t="n">
        <v>561</v>
      </c>
      <c r="E189" s="43"/>
      <c r="F189" s="44" t="n">
        <v>1631</v>
      </c>
      <c r="G189" s="44" t="n">
        <v>195289</v>
      </c>
      <c r="H189" s="44" t="n">
        <v>55722017</v>
      </c>
      <c r="I189" s="43" t="s">
        <v>173</v>
      </c>
      <c r="J189" s="43" t="s">
        <v>366</v>
      </c>
    </row>
    <row r="190" customFormat="false" ht="15" hidden="false" customHeight="false" outlineLevel="0" collapsed="false">
      <c r="A190" s="42" t="str">
        <f aca="false">B190&amp;"|"&amp;C190</f>
        <v>5415|500+</v>
      </c>
      <c r="B190" s="43" t="s">
        <v>151</v>
      </c>
      <c r="C190" s="43" t="s">
        <v>125</v>
      </c>
      <c r="D190" s="44" t="n">
        <v>447</v>
      </c>
      <c r="E190" s="43"/>
      <c r="F190" s="44" t="n">
        <v>13150</v>
      </c>
      <c r="G190" s="44" t="n">
        <v>1156449</v>
      </c>
      <c r="H190" s="44" t="n">
        <v>307367232</v>
      </c>
      <c r="I190" s="43" t="s">
        <v>173</v>
      </c>
      <c r="J190" s="43" t="s">
        <v>366</v>
      </c>
    </row>
    <row r="191" customFormat="false" ht="15" hidden="false" customHeight="false" outlineLevel="0" collapsed="false">
      <c r="A191" s="42" t="str">
        <f aca="false">B191&amp;"|"&amp;C191</f>
        <v>5415|NFY</v>
      </c>
      <c r="B191" s="43" t="s">
        <v>151</v>
      </c>
      <c r="C191" s="43" t="s">
        <v>371</v>
      </c>
      <c r="D191" s="44" t="n">
        <v>31357</v>
      </c>
      <c r="E191" s="43"/>
      <c r="F191" s="44" t="n">
        <v>31370</v>
      </c>
      <c r="G191" s="44" t="n">
        <v>34444</v>
      </c>
      <c r="H191" s="44" t="n">
        <v>10002322</v>
      </c>
      <c r="I191" s="43" t="s">
        <v>173</v>
      </c>
      <c r="J191" s="43" t="s">
        <v>366</v>
      </c>
    </row>
    <row r="192" customFormat="false" ht="15" hidden="false" customHeight="false" outlineLevel="0" collapsed="false">
      <c r="A192" s="42" t="str">
        <f aca="false">B192&amp;"|"&amp;C192</f>
        <v>5416|ALL</v>
      </c>
      <c r="B192" s="43" t="s">
        <v>153</v>
      </c>
      <c r="C192" s="43" t="s">
        <v>365</v>
      </c>
      <c r="D192" s="44" t="n">
        <v>211100</v>
      </c>
      <c r="E192" s="43"/>
      <c r="F192" s="44" t="n">
        <v>222321</v>
      </c>
      <c r="G192" s="44" t="n">
        <v>1788068</v>
      </c>
      <c r="H192" s="44" t="n">
        <v>435022191</v>
      </c>
      <c r="I192" s="43" t="s">
        <v>173</v>
      </c>
      <c r="J192" s="43" t="s">
        <v>366</v>
      </c>
    </row>
    <row r="193" customFormat="false" ht="15" hidden="false" customHeight="false" outlineLevel="0" collapsed="false">
      <c r="A193" s="42" t="str">
        <f aca="false">B193&amp;"|"&amp;C193</f>
        <v>5416|FY</v>
      </c>
      <c r="B193" s="43" t="s">
        <v>153</v>
      </c>
      <c r="C193" s="43" t="s">
        <v>367</v>
      </c>
      <c r="D193" s="44" t="n">
        <v>149087</v>
      </c>
      <c r="E193" s="43"/>
      <c r="F193" s="44" t="n">
        <v>160268</v>
      </c>
      <c r="G193" s="44" t="n">
        <v>1739355</v>
      </c>
      <c r="H193" s="44" t="n">
        <v>419584577</v>
      </c>
      <c r="I193" s="43" t="s">
        <v>173</v>
      </c>
      <c r="J193" s="43" t="s">
        <v>366</v>
      </c>
    </row>
    <row r="194" customFormat="false" ht="15" hidden="false" customHeight="false" outlineLevel="0" collapsed="false">
      <c r="A194" s="42" t="str">
        <f aca="false">B194&amp;"|"&amp;C194</f>
        <v>5416|0-4</v>
      </c>
      <c r="B194" s="43" t="s">
        <v>153</v>
      </c>
      <c r="C194" s="43" t="s">
        <v>368</v>
      </c>
      <c r="D194" s="44" t="n">
        <v>115299</v>
      </c>
      <c r="E194" s="43"/>
      <c r="F194" s="44" t="n">
        <v>115419</v>
      </c>
      <c r="G194" s="44" t="n">
        <v>185587</v>
      </c>
      <c r="H194" s="44" t="n">
        <v>46646555</v>
      </c>
      <c r="I194" s="43" t="s">
        <v>173</v>
      </c>
      <c r="J194" s="43" t="s">
        <v>366</v>
      </c>
    </row>
    <row r="195" customFormat="false" ht="15" hidden="false" customHeight="false" outlineLevel="0" collapsed="false">
      <c r="A195" s="42" t="str">
        <f aca="false">B195&amp;"|"&amp;C195</f>
        <v>5416|5-9</v>
      </c>
      <c r="B195" s="43" t="s">
        <v>153</v>
      </c>
      <c r="C195" s="43" t="s">
        <v>369</v>
      </c>
      <c r="D195" s="44" t="n">
        <v>15112</v>
      </c>
      <c r="E195" s="43"/>
      <c r="F195" s="44" t="n">
        <v>15308</v>
      </c>
      <c r="G195" s="44" t="n">
        <v>98109</v>
      </c>
      <c r="H195" s="44" t="n">
        <v>23439293</v>
      </c>
      <c r="I195" s="43" t="s">
        <v>173</v>
      </c>
      <c r="J195" s="43" t="s">
        <v>366</v>
      </c>
    </row>
    <row r="196" customFormat="false" ht="15" hidden="false" customHeight="false" outlineLevel="0" collapsed="false">
      <c r="A196" s="42" t="str">
        <f aca="false">B196&amp;"|"&amp;C196</f>
        <v>5416|10-19</v>
      </c>
      <c r="B196" s="43" t="s">
        <v>153</v>
      </c>
      <c r="C196" s="43" t="s">
        <v>370</v>
      </c>
      <c r="D196" s="44" t="n">
        <v>8723</v>
      </c>
      <c r="E196" s="43"/>
      <c r="F196" s="44" t="n">
        <v>9058</v>
      </c>
      <c r="G196" s="44" t="n">
        <v>117016</v>
      </c>
      <c r="H196" s="44" t="n">
        <v>28694697</v>
      </c>
      <c r="I196" s="43" t="s">
        <v>173</v>
      </c>
      <c r="J196" s="43" t="s">
        <v>366</v>
      </c>
    </row>
    <row r="197" customFormat="false" ht="15" hidden="false" customHeight="false" outlineLevel="0" collapsed="false">
      <c r="A197" s="42" t="str">
        <f aca="false">B197&amp;"|"&amp;C197</f>
        <v>5416|20-49</v>
      </c>
      <c r="B197" s="43" t="s">
        <v>153</v>
      </c>
      <c r="C197" s="43" t="s">
        <v>121</v>
      </c>
      <c r="D197" s="44" t="n">
        <v>5789</v>
      </c>
      <c r="E197" s="43"/>
      <c r="F197" s="44" t="n">
        <v>6485</v>
      </c>
      <c r="G197" s="44" t="n">
        <v>174222</v>
      </c>
      <c r="H197" s="44" t="n">
        <v>41284511</v>
      </c>
      <c r="I197" s="43" t="s">
        <v>173</v>
      </c>
      <c r="J197" s="43" t="s">
        <v>366</v>
      </c>
    </row>
    <row r="198" customFormat="false" ht="15" hidden="false" customHeight="false" outlineLevel="0" collapsed="false">
      <c r="A198" s="42" t="str">
        <f aca="false">B198&amp;"|"&amp;C198</f>
        <v>5416|50-99</v>
      </c>
      <c r="B198" s="43" t="s">
        <v>153</v>
      </c>
      <c r="C198" s="43" t="s">
        <v>122</v>
      </c>
      <c r="D198" s="44" t="n">
        <v>2151</v>
      </c>
      <c r="E198" s="43"/>
      <c r="F198" s="44" t="n">
        <v>3029</v>
      </c>
      <c r="G198" s="44" t="n">
        <v>148901</v>
      </c>
      <c r="H198" s="44" t="n">
        <v>34597838</v>
      </c>
      <c r="I198" s="43" t="s">
        <v>173</v>
      </c>
      <c r="J198" s="43" t="s">
        <v>366</v>
      </c>
    </row>
    <row r="199" customFormat="false" ht="15" hidden="false" customHeight="false" outlineLevel="0" collapsed="false">
      <c r="A199" s="42" t="str">
        <f aca="false">B199&amp;"|"&amp;C199</f>
        <v>5416|100-249</v>
      </c>
      <c r="B199" s="43" t="s">
        <v>153</v>
      </c>
      <c r="C199" s="43" t="s">
        <v>123</v>
      </c>
      <c r="D199" s="44" t="n">
        <v>1244</v>
      </c>
      <c r="E199" s="43"/>
      <c r="F199" s="44" t="n">
        <v>2659</v>
      </c>
      <c r="G199" s="44" t="n">
        <v>188821</v>
      </c>
      <c r="H199" s="44" t="n">
        <v>44804316</v>
      </c>
      <c r="I199" s="43" t="s">
        <v>173</v>
      </c>
      <c r="J199" s="43" t="s">
        <v>366</v>
      </c>
    </row>
    <row r="200" customFormat="false" ht="15" hidden="false" customHeight="false" outlineLevel="0" collapsed="false">
      <c r="A200" s="42" t="str">
        <f aca="false">B200&amp;"|"&amp;C200</f>
        <v>5416|250-499</v>
      </c>
      <c r="B200" s="43" t="s">
        <v>153</v>
      </c>
      <c r="C200" s="43" t="s">
        <v>124</v>
      </c>
      <c r="D200" s="44" t="n">
        <v>430</v>
      </c>
      <c r="E200" s="43"/>
      <c r="F200" s="44" t="n">
        <v>1344</v>
      </c>
      <c r="G200" s="44" t="n">
        <v>149492</v>
      </c>
      <c r="H200" s="44" t="n">
        <v>32215523</v>
      </c>
      <c r="I200" s="43" t="s">
        <v>173</v>
      </c>
      <c r="J200" s="43" t="s">
        <v>366</v>
      </c>
    </row>
    <row r="201" customFormat="false" ht="15" hidden="false" customHeight="false" outlineLevel="0" collapsed="false">
      <c r="A201" s="42" t="str">
        <f aca="false">B201&amp;"|"&amp;C201</f>
        <v>5416|500+</v>
      </c>
      <c r="B201" s="43" t="s">
        <v>153</v>
      </c>
      <c r="C201" s="43" t="s">
        <v>125</v>
      </c>
      <c r="D201" s="44" t="n">
        <v>339</v>
      </c>
      <c r="E201" s="43"/>
      <c r="F201" s="44" t="n">
        <v>6966</v>
      </c>
      <c r="G201" s="44" t="n">
        <v>677207</v>
      </c>
      <c r="H201" s="44" t="n">
        <v>167901844</v>
      </c>
      <c r="I201" s="43" t="s">
        <v>173</v>
      </c>
      <c r="J201" s="43" t="s">
        <v>366</v>
      </c>
    </row>
    <row r="202" customFormat="false" ht="15" hidden="false" customHeight="false" outlineLevel="0" collapsed="false">
      <c r="A202" s="42" t="str">
        <f aca="false">B202&amp;"|"&amp;C202</f>
        <v>5416|NFY</v>
      </c>
      <c r="B202" s="43" t="s">
        <v>153</v>
      </c>
      <c r="C202" s="43" t="s">
        <v>371</v>
      </c>
      <c r="D202" s="44" t="n">
        <v>62013</v>
      </c>
      <c r="E202" s="43"/>
      <c r="F202" s="44" t="n">
        <v>62053</v>
      </c>
      <c r="G202" s="44" t="n">
        <v>48713</v>
      </c>
      <c r="H202" s="44" t="n">
        <v>15437614</v>
      </c>
      <c r="I202" s="43" t="s">
        <v>173</v>
      </c>
      <c r="J202" s="43" t="s">
        <v>366</v>
      </c>
    </row>
    <row r="203" customFormat="false" ht="15" hidden="false" customHeight="false" outlineLevel="0" collapsed="false">
      <c r="A203" s="42" t="str">
        <f aca="false">B203&amp;"|"&amp;C203</f>
        <v>5418|ALL</v>
      </c>
      <c r="B203" s="43" t="s">
        <v>155</v>
      </c>
      <c r="C203" s="43" t="s">
        <v>365</v>
      </c>
      <c r="D203" s="44" t="n">
        <v>34694</v>
      </c>
      <c r="E203" s="43"/>
      <c r="F203" s="44" t="n">
        <v>38542</v>
      </c>
      <c r="G203" s="44" t="n">
        <v>527028</v>
      </c>
      <c r="H203" s="44" t="n">
        <v>134760114</v>
      </c>
      <c r="I203" s="43" t="s">
        <v>173</v>
      </c>
      <c r="J203" s="43" t="s">
        <v>366</v>
      </c>
    </row>
    <row r="204" customFormat="false" ht="15" hidden="false" customHeight="false" outlineLevel="0" collapsed="false">
      <c r="A204" s="42" t="str">
        <f aca="false">B204&amp;"|"&amp;C204</f>
        <v>5418|FY</v>
      </c>
      <c r="B204" s="43" t="s">
        <v>155</v>
      </c>
      <c r="C204" s="43" t="s">
        <v>367</v>
      </c>
      <c r="D204" s="44" t="n">
        <v>27736</v>
      </c>
      <c r="E204" s="43"/>
      <c r="F204" s="44" t="n">
        <v>31557</v>
      </c>
      <c r="G204" s="44" t="n">
        <v>517109</v>
      </c>
      <c r="H204" s="44" t="n">
        <v>131943571</v>
      </c>
      <c r="I204" s="43" t="s">
        <v>173</v>
      </c>
      <c r="J204" s="43" t="s">
        <v>366</v>
      </c>
    </row>
    <row r="205" customFormat="false" ht="15" hidden="false" customHeight="false" outlineLevel="0" collapsed="false">
      <c r="A205" s="42" t="str">
        <f aca="false">B205&amp;"|"&amp;C205</f>
        <v>5418|0-4</v>
      </c>
      <c r="B205" s="43" t="s">
        <v>155</v>
      </c>
      <c r="C205" s="43" t="s">
        <v>368</v>
      </c>
      <c r="D205" s="44" t="n">
        <v>18000</v>
      </c>
      <c r="E205" s="43"/>
      <c r="F205" s="44" t="n">
        <v>18102</v>
      </c>
      <c r="G205" s="44" t="n">
        <v>33120</v>
      </c>
      <c r="H205" s="44" t="n">
        <v>9544938</v>
      </c>
      <c r="I205" s="43" t="s">
        <v>173</v>
      </c>
      <c r="J205" s="43" t="s">
        <v>366</v>
      </c>
    </row>
    <row r="206" customFormat="false" ht="15" hidden="false" customHeight="false" outlineLevel="0" collapsed="false">
      <c r="A206" s="42" t="str">
        <f aca="false">B206&amp;"|"&amp;C206</f>
        <v>5418|5-9</v>
      </c>
      <c r="B206" s="43" t="s">
        <v>155</v>
      </c>
      <c r="C206" s="43" t="s">
        <v>369</v>
      </c>
      <c r="D206" s="44" t="n">
        <v>4303</v>
      </c>
      <c r="E206" s="43"/>
      <c r="F206" s="44" t="n">
        <v>4341</v>
      </c>
      <c r="G206" s="44" t="n">
        <v>28206</v>
      </c>
      <c r="H206" s="44" t="n">
        <v>7514401</v>
      </c>
      <c r="I206" s="43" t="s">
        <v>173</v>
      </c>
      <c r="J206" s="43" t="s">
        <v>366</v>
      </c>
    </row>
    <row r="207" customFormat="false" ht="15" hidden="false" customHeight="false" outlineLevel="0" collapsed="false">
      <c r="A207" s="42" t="str">
        <f aca="false">B207&amp;"|"&amp;C207</f>
        <v>5418|10-19</v>
      </c>
      <c r="B207" s="43" t="s">
        <v>155</v>
      </c>
      <c r="C207" s="43" t="s">
        <v>370</v>
      </c>
      <c r="D207" s="44" t="n">
        <v>2589</v>
      </c>
      <c r="E207" s="43"/>
      <c r="F207" s="44" t="n">
        <v>2673</v>
      </c>
      <c r="G207" s="44" t="n">
        <v>34615</v>
      </c>
      <c r="H207" s="44" t="n">
        <v>9203833</v>
      </c>
      <c r="I207" s="43" t="s">
        <v>173</v>
      </c>
      <c r="J207" s="43" t="s">
        <v>366</v>
      </c>
    </row>
    <row r="208" customFormat="false" ht="15" hidden="false" customHeight="false" outlineLevel="0" collapsed="false">
      <c r="A208" s="42" t="str">
        <f aca="false">B208&amp;"|"&amp;C208</f>
        <v>5418|20-49</v>
      </c>
      <c r="B208" s="43" t="s">
        <v>155</v>
      </c>
      <c r="C208" s="43" t="s">
        <v>121</v>
      </c>
      <c r="D208" s="44" t="n">
        <v>1655</v>
      </c>
      <c r="E208" s="43"/>
      <c r="F208" s="44" t="n">
        <v>1855</v>
      </c>
      <c r="G208" s="44" t="n">
        <v>49648</v>
      </c>
      <c r="H208" s="44" t="n">
        <v>13357284</v>
      </c>
      <c r="I208" s="43" t="s">
        <v>173</v>
      </c>
      <c r="J208" s="43" t="s">
        <v>366</v>
      </c>
    </row>
    <row r="209" customFormat="false" ht="15" hidden="false" customHeight="false" outlineLevel="0" collapsed="false">
      <c r="A209" s="42" t="str">
        <f aca="false">B209&amp;"|"&amp;C209</f>
        <v>5418|50-99</v>
      </c>
      <c r="B209" s="43" t="s">
        <v>155</v>
      </c>
      <c r="C209" s="43" t="s">
        <v>122</v>
      </c>
      <c r="D209" s="44" t="n">
        <v>584</v>
      </c>
      <c r="E209" s="43"/>
      <c r="F209" s="44" t="n">
        <v>785</v>
      </c>
      <c r="G209" s="44" t="n">
        <v>40398</v>
      </c>
      <c r="H209" s="44" t="n">
        <v>11757895</v>
      </c>
      <c r="I209" s="43" t="s">
        <v>173</v>
      </c>
      <c r="J209" s="43" t="s">
        <v>366</v>
      </c>
    </row>
    <row r="210" customFormat="false" ht="15" hidden="false" customHeight="false" outlineLevel="0" collapsed="false">
      <c r="A210" s="42" t="str">
        <f aca="false">B210&amp;"|"&amp;C210</f>
        <v>5418|100-249</v>
      </c>
      <c r="B210" s="43" t="s">
        <v>155</v>
      </c>
      <c r="C210" s="43" t="s">
        <v>123</v>
      </c>
      <c r="D210" s="44" t="n">
        <v>371</v>
      </c>
      <c r="E210" s="43"/>
      <c r="F210" s="44" t="n">
        <v>800</v>
      </c>
      <c r="G210" s="44" t="n">
        <v>56587</v>
      </c>
      <c r="H210" s="44" t="n">
        <v>15766113</v>
      </c>
      <c r="I210" s="43" t="s">
        <v>173</v>
      </c>
      <c r="J210" s="43" t="s">
        <v>366</v>
      </c>
    </row>
    <row r="211" customFormat="false" ht="15" hidden="false" customHeight="false" outlineLevel="0" collapsed="false">
      <c r="A211" s="42" t="str">
        <f aca="false">B211&amp;"|"&amp;C211</f>
        <v>5418|250-499</v>
      </c>
      <c r="B211" s="43" t="s">
        <v>155</v>
      </c>
      <c r="C211" s="43" t="s">
        <v>124</v>
      </c>
      <c r="D211" s="44" t="n">
        <v>132</v>
      </c>
      <c r="E211" s="43"/>
      <c r="F211" s="44" t="n">
        <v>323</v>
      </c>
      <c r="G211" s="44" t="n">
        <v>44231</v>
      </c>
      <c r="H211" s="44" t="n">
        <v>12035120</v>
      </c>
      <c r="I211" s="43" t="s">
        <v>173</v>
      </c>
      <c r="J211" s="43" t="s">
        <v>366</v>
      </c>
    </row>
    <row r="212" customFormat="false" ht="15" hidden="false" customHeight="false" outlineLevel="0" collapsed="false">
      <c r="A212" s="42" t="str">
        <f aca="false">B212&amp;"|"&amp;C212</f>
        <v>5418|500+</v>
      </c>
      <c r="B212" s="43" t="s">
        <v>155</v>
      </c>
      <c r="C212" s="43" t="s">
        <v>125</v>
      </c>
      <c r="D212" s="44" t="n">
        <v>102</v>
      </c>
      <c r="E212" s="43"/>
      <c r="F212" s="44" t="n">
        <v>2678</v>
      </c>
      <c r="G212" s="44" t="n">
        <v>230304</v>
      </c>
      <c r="H212" s="44" t="n">
        <v>52763987</v>
      </c>
      <c r="I212" s="43" t="s">
        <v>173</v>
      </c>
      <c r="J212" s="43" t="s">
        <v>366</v>
      </c>
    </row>
    <row r="213" customFormat="false" ht="15" hidden="false" customHeight="false" outlineLevel="0" collapsed="false">
      <c r="A213" s="42" t="str">
        <f aca="false">B213&amp;"|"&amp;C213</f>
        <v>5418|NFY</v>
      </c>
      <c r="B213" s="43" t="s">
        <v>155</v>
      </c>
      <c r="C213" s="43" t="s">
        <v>371</v>
      </c>
      <c r="D213" s="44" t="n">
        <v>6958</v>
      </c>
      <c r="E213" s="43"/>
      <c r="F213" s="44" t="n">
        <v>6985</v>
      </c>
      <c r="G213" s="44" t="n">
        <v>9919</v>
      </c>
      <c r="H213" s="44" t="n">
        <v>2816543</v>
      </c>
      <c r="I213" s="43" t="s">
        <v>173</v>
      </c>
      <c r="J213" s="43" t="s">
        <v>366</v>
      </c>
    </row>
    <row r="214" customFormat="false" ht="15" hidden="false" customHeight="false" outlineLevel="0" collapsed="false">
      <c r="A214" s="42" t="str">
        <f aca="false">B214&amp;"|"&amp;C214</f>
        <v>5132|ALL</v>
      </c>
      <c r="B214" s="43" t="s">
        <v>342</v>
      </c>
      <c r="C214" s="43" t="s">
        <v>365</v>
      </c>
      <c r="D214" s="44" t="n">
        <v>16824</v>
      </c>
      <c r="E214" s="43"/>
      <c r="F214" s="44" t="n">
        <v>20976</v>
      </c>
      <c r="G214" s="44" t="n">
        <v>1033305</v>
      </c>
      <c r="H214" s="44" t="n">
        <v>492929994</v>
      </c>
      <c r="I214" s="43"/>
      <c r="J214" s="43" t="s">
        <v>366</v>
      </c>
    </row>
    <row r="215" customFormat="false" ht="15" hidden="false" customHeight="false" outlineLevel="0" collapsed="false">
      <c r="A215" s="42" t="str">
        <f aca="false">B215&amp;"|"&amp;C215</f>
        <v>5132|FY</v>
      </c>
      <c r="B215" s="43" t="s">
        <v>342</v>
      </c>
      <c r="C215" s="43" t="s">
        <v>367</v>
      </c>
      <c r="D215" s="44" t="n">
        <v>13406</v>
      </c>
      <c r="E215" s="43"/>
      <c r="F215" s="44" t="n">
        <v>17539</v>
      </c>
      <c r="G215" s="44" t="n">
        <v>1024177</v>
      </c>
      <c r="H215" s="44" t="n">
        <v>489677276</v>
      </c>
      <c r="I215" s="43"/>
      <c r="J215" s="43" t="s">
        <v>366</v>
      </c>
    </row>
    <row r="216" customFormat="false" ht="15" hidden="false" customHeight="false" outlineLevel="0" collapsed="false">
      <c r="A216" s="42" t="str">
        <f aca="false">B216&amp;"|"&amp;C216</f>
        <v>5132|0-4</v>
      </c>
      <c r="B216" s="43" t="s">
        <v>342</v>
      </c>
      <c r="C216" s="43" t="s">
        <v>368</v>
      </c>
      <c r="D216" s="44" t="n">
        <v>5759</v>
      </c>
      <c r="E216" s="43"/>
      <c r="F216" s="44" t="n">
        <v>5791</v>
      </c>
      <c r="G216" s="44" t="n">
        <v>11662</v>
      </c>
      <c r="H216" s="44" t="n">
        <v>4193224</v>
      </c>
      <c r="I216" s="43"/>
      <c r="J216" s="43" t="s">
        <v>366</v>
      </c>
    </row>
    <row r="217" customFormat="false" ht="15" hidden="false" customHeight="false" outlineLevel="0" collapsed="false">
      <c r="A217" s="42" t="str">
        <f aca="false">B217&amp;"|"&amp;C217</f>
        <v>5132|5-9</v>
      </c>
      <c r="B217" s="43" t="s">
        <v>342</v>
      </c>
      <c r="C217" s="43" t="s">
        <v>369</v>
      </c>
      <c r="D217" s="44" t="n">
        <v>2363</v>
      </c>
      <c r="E217" s="43"/>
      <c r="F217" s="44" t="n">
        <v>2395</v>
      </c>
      <c r="G217" s="44" t="n">
        <v>15727</v>
      </c>
      <c r="H217" s="44" t="n">
        <v>4958049</v>
      </c>
      <c r="I217" s="43"/>
      <c r="J217" s="43" t="s">
        <v>366</v>
      </c>
    </row>
    <row r="218" customFormat="false" ht="15" hidden="false" customHeight="false" outlineLevel="0" collapsed="false">
      <c r="A218" s="42" t="str">
        <f aca="false">B218&amp;"|"&amp;C218</f>
        <v>5132|10-19</v>
      </c>
      <c r="B218" s="43" t="s">
        <v>342</v>
      </c>
      <c r="C218" s="43" t="s">
        <v>370</v>
      </c>
      <c r="D218" s="44" t="n">
        <v>2010</v>
      </c>
      <c r="E218" s="43"/>
      <c r="F218" s="44" t="n">
        <v>2048</v>
      </c>
      <c r="G218" s="44" t="n">
        <v>27371</v>
      </c>
      <c r="H218" s="44" t="n">
        <v>8501498</v>
      </c>
      <c r="I218" s="43"/>
      <c r="J218" s="43" t="s">
        <v>366</v>
      </c>
    </row>
    <row r="219" customFormat="false" ht="15" hidden="false" customHeight="false" outlineLevel="0" collapsed="false">
      <c r="A219" s="42" t="str">
        <f aca="false">B219&amp;"|"&amp;C219</f>
        <v>5132|20-49</v>
      </c>
      <c r="B219" s="43" t="s">
        <v>342</v>
      </c>
      <c r="C219" s="43" t="s">
        <v>121</v>
      </c>
      <c r="D219" s="44" t="n">
        <v>1557</v>
      </c>
      <c r="E219" s="43"/>
      <c r="F219" s="44" t="n">
        <v>1645</v>
      </c>
      <c r="G219" s="44" t="n">
        <v>47948</v>
      </c>
      <c r="H219" s="44" t="n">
        <v>15211659</v>
      </c>
      <c r="I219" s="43"/>
      <c r="J219" s="43" t="s">
        <v>366</v>
      </c>
    </row>
    <row r="220" customFormat="false" ht="15" hidden="false" customHeight="false" outlineLevel="0" collapsed="false">
      <c r="A220" s="42" t="str">
        <f aca="false">B220&amp;"|"&amp;C220</f>
        <v>5132|50-99</v>
      </c>
      <c r="B220" s="43" t="s">
        <v>342</v>
      </c>
      <c r="C220" s="43" t="s">
        <v>122</v>
      </c>
      <c r="D220" s="44" t="n">
        <v>638</v>
      </c>
      <c r="E220" s="43"/>
      <c r="F220" s="44" t="n">
        <v>753</v>
      </c>
      <c r="G220" s="44" t="n">
        <v>44250</v>
      </c>
      <c r="H220" s="44" t="n">
        <v>14725095</v>
      </c>
      <c r="I220" s="43"/>
      <c r="J220" s="43" t="s">
        <v>366</v>
      </c>
    </row>
    <row r="221" customFormat="false" ht="15" hidden="false" customHeight="false" outlineLevel="0" collapsed="false">
      <c r="A221" s="42" t="str">
        <f aca="false">B221&amp;"|"&amp;C221</f>
        <v>5132|100-249</v>
      </c>
      <c r="B221" s="43" t="s">
        <v>342</v>
      </c>
      <c r="C221" s="43" t="s">
        <v>123</v>
      </c>
      <c r="D221" s="44" t="n">
        <v>575</v>
      </c>
      <c r="E221" s="43"/>
      <c r="F221" s="44" t="n">
        <v>797</v>
      </c>
      <c r="G221" s="44" t="n">
        <v>89863</v>
      </c>
      <c r="H221" s="44" t="n">
        <v>40293112</v>
      </c>
      <c r="I221" s="43"/>
      <c r="J221" s="43" t="s">
        <v>366</v>
      </c>
    </row>
    <row r="222" customFormat="false" ht="15" hidden="false" customHeight="false" outlineLevel="0" collapsed="false">
      <c r="A222" s="42" t="str">
        <f aca="false">B222&amp;"|"&amp;C222</f>
        <v>5132|250-499</v>
      </c>
      <c r="B222" s="43" t="s">
        <v>342</v>
      </c>
      <c r="C222" s="43" t="s">
        <v>124</v>
      </c>
      <c r="D222" s="44" t="n">
        <v>209</v>
      </c>
      <c r="E222" s="43"/>
      <c r="F222" s="44" t="n">
        <v>416</v>
      </c>
      <c r="G222" s="44" t="n">
        <v>73378</v>
      </c>
      <c r="H222" s="44" t="n">
        <v>26998461</v>
      </c>
      <c r="I222" s="43"/>
      <c r="J222" s="43" t="s">
        <v>366</v>
      </c>
    </row>
    <row r="223" customFormat="false" ht="15" hidden="false" customHeight="false" outlineLevel="0" collapsed="false">
      <c r="A223" s="42" t="str">
        <f aca="false">B223&amp;"|"&amp;C223</f>
        <v>5132|500+</v>
      </c>
      <c r="B223" s="43" t="s">
        <v>342</v>
      </c>
      <c r="C223" s="43" t="s">
        <v>125</v>
      </c>
      <c r="D223" s="44" t="n">
        <v>295</v>
      </c>
      <c r="E223" s="43"/>
      <c r="F223" s="44" t="n">
        <v>3694</v>
      </c>
      <c r="G223" s="44" t="n">
        <v>713978</v>
      </c>
      <c r="H223" s="44" t="n">
        <v>374796178</v>
      </c>
      <c r="I223" s="43"/>
      <c r="J223" s="43" t="s">
        <v>366</v>
      </c>
    </row>
    <row r="224" customFormat="false" ht="15" hidden="false" customHeight="false" outlineLevel="0" collapsed="false">
      <c r="A224" s="42" t="str">
        <f aca="false">B224&amp;"|"&amp;C224</f>
        <v>5132|NFY</v>
      </c>
      <c r="B224" s="43" t="s">
        <v>342</v>
      </c>
      <c r="C224" s="43" t="s">
        <v>371</v>
      </c>
      <c r="D224" s="44" t="n">
        <v>3418</v>
      </c>
      <c r="E224" s="43"/>
      <c r="F224" s="44" t="n">
        <v>3437</v>
      </c>
      <c r="G224" s="44" t="n">
        <v>9128</v>
      </c>
      <c r="H224" s="44" t="n">
        <v>3252718</v>
      </c>
      <c r="I224" s="43"/>
      <c r="J224" s="43" t="s">
        <v>366</v>
      </c>
    </row>
    <row r="225" customFormat="false" ht="15" hidden="false" customHeight="false" outlineLevel="0" collapsed="false">
      <c r="A225" s="42" t="str">
        <f aca="false">B225&amp;"|"&amp;C225</f>
        <v>5613|ALL</v>
      </c>
      <c r="B225" s="43" t="s">
        <v>347</v>
      </c>
      <c r="C225" s="43" t="s">
        <v>365</v>
      </c>
      <c r="D225" s="44" t="n">
        <v>31331</v>
      </c>
      <c r="E225" s="43"/>
      <c r="F225" s="44" t="n">
        <v>56763</v>
      </c>
      <c r="G225" s="44" t="n">
        <v>7770894</v>
      </c>
      <c r="H225" s="44" t="n">
        <v>557867373</v>
      </c>
      <c r="I225" s="43"/>
      <c r="J225" s="43" t="s">
        <v>366</v>
      </c>
    </row>
    <row r="226" customFormat="false" ht="15" hidden="false" customHeight="false" outlineLevel="0" collapsed="false">
      <c r="A226" s="42" t="str">
        <f aca="false">B226&amp;"|"&amp;C226</f>
        <v>5613|FY</v>
      </c>
      <c r="B226" s="43" t="s">
        <v>347</v>
      </c>
      <c r="C226" s="43" t="s">
        <v>367</v>
      </c>
      <c r="D226" s="44" t="n">
        <v>24695</v>
      </c>
      <c r="E226" s="43"/>
      <c r="F226" s="44" t="n">
        <v>50105</v>
      </c>
      <c r="G226" s="44" t="n">
        <v>7725678</v>
      </c>
      <c r="H226" s="44" t="n">
        <v>553958054</v>
      </c>
      <c r="I226" s="43"/>
      <c r="J226" s="43" t="s">
        <v>366</v>
      </c>
    </row>
    <row r="227" customFormat="false" ht="15" hidden="false" customHeight="false" outlineLevel="0" collapsed="false">
      <c r="A227" s="42" t="str">
        <f aca="false">B227&amp;"|"&amp;C227</f>
        <v>5613|0-4</v>
      </c>
      <c r="B227" s="43" t="s">
        <v>347</v>
      </c>
      <c r="C227" s="43" t="s">
        <v>368</v>
      </c>
      <c r="D227" s="44" t="n">
        <v>8977</v>
      </c>
      <c r="E227" s="43"/>
      <c r="F227" s="44" t="n">
        <v>9039</v>
      </c>
      <c r="G227" s="44" t="n">
        <v>17041</v>
      </c>
      <c r="H227" s="44" t="n">
        <v>6526757</v>
      </c>
      <c r="I227" s="43"/>
      <c r="J227" s="43" t="s">
        <v>366</v>
      </c>
    </row>
    <row r="228" customFormat="false" ht="15" hidden="false" customHeight="false" outlineLevel="0" collapsed="false">
      <c r="A228" s="42" t="str">
        <f aca="false">B228&amp;"|"&amp;C228</f>
        <v>5613|5-9</v>
      </c>
      <c r="B228" s="43" t="s">
        <v>347</v>
      </c>
      <c r="C228" s="43" t="s">
        <v>369</v>
      </c>
      <c r="D228" s="44" t="n">
        <v>2959</v>
      </c>
      <c r="E228" s="43"/>
      <c r="F228" s="44" t="n">
        <v>2992</v>
      </c>
      <c r="G228" s="44" t="n">
        <v>19806</v>
      </c>
      <c r="H228" s="44" t="n">
        <v>4121265</v>
      </c>
      <c r="I228" s="43"/>
      <c r="J228" s="43" t="s">
        <v>366</v>
      </c>
    </row>
    <row r="229" customFormat="false" ht="15" hidden="false" customHeight="false" outlineLevel="0" collapsed="false">
      <c r="A229" s="42" t="str">
        <f aca="false">B229&amp;"|"&amp;C229</f>
        <v>5613|10-19</v>
      </c>
      <c r="B229" s="43" t="s">
        <v>347</v>
      </c>
      <c r="C229" s="43" t="s">
        <v>370</v>
      </c>
      <c r="D229" s="44" t="n">
        <v>2732</v>
      </c>
      <c r="E229" s="43"/>
      <c r="F229" s="44" t="n">
        <v>2789</v>
      </c>
      <c r="G229" s="44" t="n">
        <v>37778</v>
      </c>
      <c r="H229" s="44" t="n">
        <v>6339594</v>
      </c>
      <c r="I229" s="43"/>
      <c r="J229" s="43" t="s">
        <v>366</v>
      </c>
    </row>
    <row r="230" customFormat="false" ht="15" hidden="false" customHeight="false" outlineLevel="0" collapsed="false">
      <c r="A230" s="42" t="str">
        <f aca="false">B230&amp;"|"&amp;C230</f>
        <v>5613|20-49</v>
      </c>
      <c r="B230" s="43" t="s">
        <v>347</v>
      </c>
      <c r="C230" s="43" t="s">
        <v>121</v>
      </c>
      <c r="D230" s="44" t="n">
        <v>3396</v>
      </c>
      <c r="E230" s="43"/>
      <c r="F230" s="44" t="n">
        <v>3605</v>
      </c>
      <c r="G230" s="44" t="n">
        <v>108400</v>
      </c>
      <c r="H230" s="44" t="n">
        <v>12941415</v>
      </c>
      <c r="I230" s="43"/>
      <c r="J230" s="43" t="s">
        <v>366</v>
      </c>
    </row>
    <row r="231" customFormat="false" ht="15" hidden="false" customHeight="false" outlineLevel="0" collapsed="false">
      <c r="A231" s="42" t="str">
        <f aca="false">B231&amp;"|"&amp;C231</f>
        <v>5613|50-99</v>
      </c>
      <c r="B231" s="43" t="s">
        <v>347</v>
      </c>
      <c r="C231" s="43" t="s">
        <v>122</v>
      </c>
      <c r="D231" s="44" t="n">
        <v>2108</v>
      </c>
      <c r="E231" s="43"/>
      <c r="F231" s="44" t="n">
        <v>2382</v>
      </c>
      <c r="G231" s="44" t="n">
        <v>148507</v>
      </c>
      <c r="H231" s="44" t="n">
        <v>14212457</v>
      </c>
      <c r="I231" s="43"/>
      <c r="J231" s="43" t="s">
        <v>366</v>
      </c>
    </row>
    <row r="232" customFormat="false" ht="15" hidden="false" customHeight="false" outlineLevel="0" collapsed="false">
      <c r="A232" s="42" t="str">
        <f aca="false">B232&amp;"|"&amp;C232</f>
        <v>5613|100-249</v>
      </c>
      <c r="B232" s="43" t="s">
        <v>347</v>
      </c>
      <c r="C232" s="43" t="s">
        <v>123</v>
      </c>
      <c r="D232" s="44" t="n">
        <v>2036</v>
      </c>
      <c r="E232" s="43"/>
      <c r="F232" s="44" t="n">
        <v>2786</v>
      </c>
      <c r="G232" s="44" t="n">
        <v>320342</v>
      </c>
      <c r="H232" s="44" t="n">
        <v>26236880</v>
      </c>
      <c r="I232" s="43"/>
      <c r="J232" s="43" t="s">
        <v>366</v>
      </c>
    </row>
    <row r="233" customFormat="false" ht="15" hidden="false" customHeight="false" outlineLevel="0" collapsed="false">
      <c r="A233" s="42" t="str">
        <f aca="false">B233&amp;"|"&amp;C233</f>
        <v>5613|250-499</v>
      </c>
      <c r="B233" s="43" t="s">
        <v>347</v>
      </c>
      <c r="C233" s="43" t="s">
        <v>124</v>
      </c>
      <c r="D233" s="44" t="n">
        <v>992</v>
      </c>
      <c r="E233" s="43"/>
      <c r="F233" s="44" t="n">
        <v>2042</v>
      </c>
      <c r="G233" s="44" t="n">
        <v>351719</v>
      </c>
      <c r="H233" s="44" t="n">
        <v>26830010</v>
      </c>
      <c r="I233" s="43"/>
      <c r="J233" s="43" t="s">
        <v>366</v>
      </c>
    </row>
    <row r="234" customFormat="false" ht="15" hidden="false" customHeight="false" outlineLevel="0" collapsed="false">
      <c r="A234" s="42" t="str">
        <f aca="false">B234&amp;"|"&amp;C234</f>
        <v>5613|500+</v>
      </c>
      <c r="B234" s="43" t="s">
        <v>347</v>
      </c>
      <c r="C234" s="43" t="s">
        <v>125</v>
      </c>
      <c r="D234" s="44" t="n">
        <v>1495</v>
      </c>
      <c r="E234" s="43"/>
      <c r="F234" s="44" t="n">
        <v>24470</v>
      </c>
      <c r="G234" s="44" t="n">
        <v>6722085</v>
      </c>
      <c r="H234" s="44" t="n">
        <v>456749676</v>
      </c>
      <c r="I234" s="43"/>
      <c r="J234" s="43" t="s">
        <v>366</v>
      </c>
    </row>
    <row r="235" customFormat="false" ht="15" hidden="false" customHeight="false" outlineLevel="0" collapsed="false">
      <c r="A235" s="42" t="str">
        <f aca="false">B235&amp;"|"&amp;C235</f>
        <v>5613|NFY</v>
      </c>
      <c r="B235" s="43" t="s">
        <v>347</v>
      </c>
      <c r="C235" s="43" t="s">
        <v>371</v>
      </c>
      <c r="D235" s="44" t="n">
        <v>6636</v>
      </c>
      <c r="E235" s="43"/>
      <c r="F235" s="44" t="n">
        <v>6658</v>
      </c>
      <c r="G235" s="44" t="n">
        <v>45216</v>
      </c>
      <c r="H235" s="44" t="n">
        <v>3909319</v>
      </c>
      <c r="I235" s="43"/>
      <c r="J235" s="43" t="s">
        <v>366</v>
      </c>
    </row>
    <row r="236" customFormat="false" ht="15" hidden="false" customHeight="false" outlineLevel="0" collapsed="false">
      <c r="A236" s="42" t="str">
        <f aca="false">B236&amp;"|"&amp;C236</f>
        <v>4231|FY</v>
      </c>
      <c r="B236" s="43" t="s">
        <v>373</v>
      </c>
      <c r="C236" s="43" t="s">
        <v>367</v>
      </c>
      <c r="D236" s="44" t="n">
        <v>12540</v>
      </c>
      <c r="E236" s="43"/>
      <c r="F236" s="44" t="n">
        <v>21606</v>
      </c>
      <c r="G236" s="44"/>
      <c r="H236" s="44"/>
      <c r="I236" s="43" t="s">
        <v>167</v>
      </c>
      <c r="J236" s="43" t="s">
        <v>374</v>
      </c>
    </row>
    <row r="237" customFormat="false" ht="15" hidden="false" customHeight="false" outlineLevel="0" collapsed="false">
      <c r="A237" s="42" t="str">
        <f aca="false">B237&amp;"|"&amp;C237</f>
        <v>4231|20-49</v>
      </c>
      <c r="B237" s="43" t="s">
        <v>373</v>
      </c>
      <c r="C237" s="43" t="s">
        <v>121</v>
      </c>
      <c r="D237" s="44" t="n">
        <v>1372</v>
      </c>
      <c r="E237" s="43"/>
      <c r="F237" s="44" t="n">
        <v>1870</v>
      </c>
      <c r="G237" s="44"/>
      <c r="H237" s="44"/>
      <c r="I237" s="43" t="s">
        <v>167</v>
      </c>
      <c r="J237" s="43" t="s">
        <v>374</v>
      </c>
    </row>
    <row r="238" customFormat="false" ht="15" hidden="false" customHeight="false" outlineLevel="0" collapsed="false">
      <c r="A238" s="42" t="str">
        <f aca="false">B238&amp;"|"&amp;C238</f>
        <v>4231|50-99</v>
      </c>
      <c r="B238" s="43" t="s">
        <v>373</v>
      </c>
      <c r="C238" s="43" t="s">
        <v>122</v>
      </c>
      <c r="D238" s="44" t="n">
        <v>592</v>
      </c>
      <c r="E238" s="43"/>
      <c r="F238" s="44" t="n">
        <v>1293</v>
      </c>
      <c r="G238" s="44"/>
      <c r="H238" s="44"/>
      <c r="I238" s="43" t="s">
        <v>167</v>
      </c>
      <c r="J238" s="43" t="s">
        <v>374</v>
      </c>
    </row>
    <row r="239" customFormat="false" ht="15" hidden="false" customHeight="false" outlineLevel="0" collapsed="false">
      <c r="A239" s="42" t="str">
        <f aca="false">B239&amp;"|"&amp;C239</f>
        <v>4231|100-249</v>
      </c>
      <c r="B239" s="43" t="s">
        <v>373</v>
      </c>
      <c r="C239" s="43" t="s">
        <v>123</v>
      </c>
      <c r="D239" s="44" t="n">
        <v>351</v>
      </c>
      <c r="E239" s="43"/>
      <c r="F239" s="44" t="n">
        <v>1483</v>
      </c>
      <c r="G239" s="44"/>
      <c r="H239" s="44"/>
      <c r="I239" s="43" t="s">
        <v>167</v>
      </c>
      <c r="J239" s="43" t="s">
        <v>374</v>
      </c>
    </row>
    <row r="240" customFormat="false" ht="15" hidden="false" customHeight="false" outlineLevel="0" collapsed="false">
      <c r="A240" s="42" t="str">
        <f aca="false">B240&amp;"|"&amp;C240</f>
        <v>4231|250-499</v>
      </c>
      <c r="B240" s="43" t="s">
        <v>373</v>
      </c>
      <c r="C240" s="43" t="s">
        <v>124</v>
      </c>
      <c r="D240" s="44" t="n">
        <v>126</v>
      </c>
      <c r="E240" s="43"/>
      <c r="F240" s="44" t="n">
        <v>1039</v>
      </c>
      <c r="G240" s="44"/>
      <c r="H240" s="44"/>
      <c r="I240" s="43" t="s">
        <v>167</v>
      </c>
      <c r="J240" s="43" t="s">
        <v>374</v>
      </c>
    </row>
    <row r="241" customFormat="false" ht="15" hidden="false" customHeight="false" outlineLevel="0" collapsed="false">
      <c r="A241" s="42" t="str">
        <f aca="false">B241&amp;"|"&amp;C241</f>
        <v>4231|500+</v>
      </c>
      <c r="B241" s="43" t="s">
        <v>373</v>
      </c>
      <c r="C241" s="43" t="s">
        <v>125</v>
      </c>
      <c r="D241" s="44" t="n">
        <v>124</v>
      </c>
      <c r="E241" s="43"/>
      <c r="F241" s="44" t="n">
        <v>5633</v>
      </c>
      <c r="G241" s="44"/>
      <c r="H241" s="44"/>
      <c r="I241" s="43" t="s">
        <v>167</v>
      </c>
      <c r="J241" s="43" t="s">
        <v>374</v>
      </c>
    </row>
    <row r="242" customFormat="false" ht="15" hidden="false" customHeight="false" outlineLevel="0" collapsed="false">
      <c r="A242" s="42" t="str">
        <f aca="false">B242&amp;"|"&amp;C242</f>
        <v>4232|FY</v>
      </c>
      <c r="B242" s="43" t="s">
        <v>375</v>
      </c>
      <c r="C242" s="43" t="s">
        <v>367</v>
      </c>
      <c r="D242" s="44" t="n">
        <v>8753</v>
      </c>
      <c r="E242" s="43"/>
      <c r="F242" s="44" t="n">
        <v>10635</v>
      </c>
      <c r="G242" s="44"/>
      <c r="H242" s="44"/>
      <c r="I242" s="43" t="s">
        <v>167</v>
      </c>
      <c r="J242" s="43" t="s">
        <v>374</v>
      </c>
    </row>
    <row r="243" customFormat="false" ht="15" hidden="false" customHeight="false" outlineLevel="0" collapsed="false">
      <c r="A243" s="42" t="str">
        <f aca="false">B243&amp;"|"&amp;C243</f>
        <v>4232|20-49</v>
      </c>
      <c r="B243" s="43" t="s">
        <v>375</v>
      </c>
      <c r="C243" s="43" t="s">
        <v>121</v>
      </c>
      <c r="D243" s="44" t="n">
        <v>940</v>
      </c>
      <c r="E243" s="43"/>
      <c r="F243" s="44" t="n">
        <v>1193</v>
      </c>
      <c r="G243" s="44"/>
      <c r="H243" s="44"/>
      <c r="I243" s="43" t="s">
        <v>167</v>
      </c>
      <c r="J243" s="43" t="s">
        <v>374</v>
      </c>
    </row>
    <row r="244" customFormat="false" ht="15" hidden="false" customHeight="false" outlineLevel="0" collapsed="false">
      <c r="A244" s="42" t="str">
        <f aca="false">B244&amp;"|"&amp;C244</f>
        <v>4232|50-99</v>
      </c>
      <c r="B244" s="43" t="s">
        <v>375</v>
      </c>
      <c r="C244" s="43" t="s">
        <v>122</v>
      </c>
      <c r="D244" s="44" t="n">
        <v>349</v>
      </c>
      <c r="E244" s="43"/>
      <c r="F244" s="44" t="n">
        <v>633</v>
      </c>
      <c r="G244" s="44"/>
      <c r="H244" s="44"/>
      <c r="I244" s="43" t="s">
        <v>167</v>
      </c>
      <c r="J244" s="43" t="s">
        <v>374</v>
      </c>
    </row>
    <row r="245" customFormat="false" ht="15" hidden="false" customHeight="false" outlineLevel="0" collapsed="false">
      <c r="A245" s="42" t="str">
        <f aca="false">B245&amp;"|"&amp;C245</f>
        <v>4232|100-249</v>
      </c>
      <c r="B245" s="43" t="s">
        <v>375</v>
      </c>
      <c r="C245" s="43" t="s">
        <v>123</v>
      </c>
      <c r="D245" s="44" t="n">
        <v>217</v>
      </c>
      <c r="E245" s="43"/>
      <c r="F245" s="44" t="n">
        <v>715</v>
      </c>
      <c r="G245" s="44"/>
      <c r="H245" s="44"/>
      <c r="I245" s="43" t="s">
        <v>167</v>
      </c>
      <c r="J245" s="43" t="s">
        <v>374</v>
      </c>
    </row>
    <row r="246" customFormat="false" ht="15" hidden="false" customHeight="false" outlineLevel="0" collapsed="false">
      <c r="A246" s="42" t="str">
        <f aca="false">B246&amp;"|"&amp;C246</f>
        <v>4232|250-499</v>
      </c>
      <c r="B246" s="43" t="s">
        <v>375</v>
      </c>
      <c r="C246" s="43" t="s">
        <v>124</v>
      </c>
      <c r="D246" s="44" t="n">
        <v>58</v>
      </c>
      <c r="E246" s="43"/>
      <c r="F246" s="44" t="n">
        <v>367</v>
      </c>
      <c r="G246" s="44"/>
      <c r="H246" s="44"/>
      <c r="I246" s="43" t="s">
        <v>167</v>
      </c>
      <c r="J246" s="43" t="s">
        <v>374</v>
      </c>
    </row>
    <row r="247" customFormat="false" ht="15" hidden="false" customHeight="false" outlineLevel="0" collapsed="false">
      <c r="A247" s="42" t="str">
        <f aca="false">B247&amp;"|"&amp;C247</f>
        <v>4232|500+</v>
      </c>
      <c r="B247" s="43" t="s">
        <v>375</v>
      </c>
      <c r="C247" s="43" t="s">
        <v>125</v>
      </c>
      <c r="D247" s="44" t="n">
        <v>22</v>
      </c>
      <c r="E247" s="43"/>
      <c r="F247" s="44" t="n">
        <v>350</v>
      </c>
      <c r="G247" s="44"/>
      <c r="H247" s="44"/>
      <c r="I247" s="43" t="s">
        <v>167</v>
      </c>
      <c r="J247" s="43" t="s">
        <v>374</v>
      </c>
    </row>
    <row r="248" customFormat="false" ht="15" hidden="false" customHeight="false" outlineLevel="0" collapsed="false">
      <c r="A248" s="42" t="str">
        <f aca="false">B248&amp;"|"&amp;C248</f>
        <v>4233|FY</v>
      </c>
      <c r="B248" s="43" t="s">
        <v>318</v>
      </c>
      <c r="C248" s="43" t="s">
        <v>367</v>
      </c>
      <c r="D248" s="44" t="n">
        <v>9055</v>
      </c>
      <c r="E248" s="43"/>
      <c r="F248" s="44" t="n">
        <v>16899</v>
      </c>
      <c r="G248" s="44"/>
      <c r="H248" s="44"/>
      <c r="I248" s="43" t="s">
        <v>167</v>
      </c>
      <c r="J248" s="43" t="s">
        <v>374</v>
      </c>
    </row>
    <row r="249" customFormat="false" ht="15" hidden="false" customHeight="false" outlineLevel="0" collapsed="false">
      <c r="A249" s="42" t="str">
        <f aca="false">B249&amp;"|"&amp;C249</f>
        <v>4233|20-49</v>
      </c>
      <c r="B249" s="43" t="s">
        <v>318</v>
      </c>
      <c r="C249" s="43" t="s">
        <v>121</v>
      </c>
      <c r="D249" s="44" t="n">
        <v>1178</v>
      </c>
      <c r="E249" s="43"/>
      <c r="F249" s="44" t="n">
        <v>1703</v>
      </c>
      <c r="G249" s="44"/>
      <c r="H249" s="44"/>
      <c r="I249" s="43" t="s">
        <v>167</v>
      </c>
      <c r="J249" s="43" t="s">
        <v>374</v>
      </c>
    </row>
    <row r="250" customFormat="false" ht="15" hidden="false" customHeight="false" outlineLevel="0" collapsed="false">
      <c r="A250" s="42" t="str">
        <f aca="false">B250&amp;"|"&amp;C250</f>
        <v>4233|50-99</v>
      </c>
      <c r="B250" s="43" t="s">
        <v>318</v>
      </c>
      <c r="C250" s="43" t="s">
        <v>122</v>
      </c>
      <c r="D250" s="44" t="n">
        <v>410</v>
      </c>
      <c r="E250" s="43"/>
      <c r="F250" s="44" t="n">
        <v>918</v>
      </c>
      <c r="G250" s="44"/>
      <c r="H250" s="44"/>
      <c r="I250" s="43" t="s">
        <v>167</v>
      </c>
      <c r="J250" s="43" t="s">
        <v>374</v>
      </c>
    </row>
    <row r="251" customFormat="false" ht="15" hidden="false" customHeight="false" outlineLevel="0" collapsed="false">
      <c r="A251" s="42" t="str">
        <f aca="false">B251&amp;"|"&amp;C251</f>
        <v>4233|100-249</v>
      </c>
      <c r="B251" s="43" t="s">
        <v>318</v>
      </c>
      <c r="C251" s="43" t="s">
        <v>123</v>
      </c>
      <c r="D251" s="44" t="n">
        <v>246</v>
      </c>
      <c r="E251" s="43"/>
      <c r="F251" s="44" t="n">
        <v>1034</v>
      </c>
      <c r="G251" s="44"/>
      <c r="H251" s="44"/>
      <c r="I251" s="43" t="s">
        <v>167</v>
      </c>
      <c r="J251" s="43" t="s">
        <v>374</v>
      </c>
    </row>
    <row r="252" customFormat="false" ht="15" hidden="false" customHeight="false" outlineLevel="0" collapsed="false">
      <c r="A252" s="42" t="str">
        <f aca="false">B252&amp;"|"&amp;C252</f>
        <v>4233|250-499</v>
      </c>
      <c r="B252" s="43" t="s">
        <v>318</v>
      </c>
      <c r="C252" s="43" t="s">
        <v>124</v>
      </c>
      <c r="D252" s="44" t="n">
        <v>67</v>
      </c>
      <c r="E252" s="43"/>
      <c r="F252" s="44" t="n">
        <v>909</v>
      </c>
      <c r="G252" s="44"/>
      <c r="H252" s="44"/>
      <c r="I252" s="43" t="s">
        <v>167</v>
      </c>
      <c r="J252" s="43" t="s">
        <v>374</v>
      </c>
    </row>
    <row r="253" customFormat="false" ht="15" hidden="false" customHeight="false" outlineLevel="0" collapsed="false">
      <c r="A253" s="42" t="str">
        <f aca="false">B253&amp;"|"&amp;C253</f>
        <v>4233|500+</v>
      </c>
      <c r="B253" s="43" t="s">
        <v>318</v>
      </c>
      <c r="C253" s="43" t="s">
        <v>125</v>
      </c>
      <c r="D253" s="44" t="n">
        <v>53</v>
      </c>
      <c r="E253" s="43"/>
      <c r="F253" s="44" t="n">
        <v>4916</v>
      </c>
      <c r="G253" s="44"/>
      <c r="H253" s="44"/>
      <c r="I253" s="43" t="s">
        <v>167</v>
      </c>
      <c r="J253" s="43" t="s">
        <v>374</v>
      </c>
    </row>
    <row r="254" customFormat="false" ht="15" hidden="false" customHeight="false" outlineLevel="0" collapsed="false">
      <c r="A254" s="42" t="str">
        <f aca="false">B254&amp;"|"&amp;C254</f>
        <v>4234|FY</v>
      </c>
      <c r="B254" s="43" t="s">
        <v>322</v>
      </c>
      <c r="C254" s="43" t="s">
        <v>367</v>
      </c>
      <c r="D254" s="44" t="n">
        <v>17413</v>
      </c>
      <c r="E254" s="43"/>
      <c r="F254" s="44" t="n">
        <v>26112</v>
      </c>
      <c r="G254" s="44"/>
      <c r="H254" s="44"/>
      <c r="I254" s="43" t="s">
        <v>167</v>
      </c>
      <c r="J254" s="43" t="s">
        <v>374</v>
      </c>
    </row>
    <row r="255" customFormat="false" ht="15" hidden="false" customHeight="false" outlineLevel="0" collapsed="false">
      <c r="A255" s="42" t="str">
        <f aca="false">B255&amp;"|"&amp;C255</f>
        <v>4234|20-49</v>
      </c>
      <c r="B255" s="43" t="s">
        <v>322</v>
      </c>
      <c r="C255" s="43" t="s">
        <v>121</v>
      </c>
      <c r="D255" s="44" t="n">
        <v>1603</v>
      </c>
      <c r="E255" s="43"/>
      <c r="F255" s="44" t="n">
        <v>2011</v>
      </c>
      <c r="G255" s="44"/>
      <c r="H255" s="44"/>
      <c r="I255" s="43" t="s">
        <v>167</v>
      </c>
      <c r="J255" s="43" t="s">
        <v>374</v>
      </c>
    </row>
    <row r="256" customFormat="false" ht="15" hidden="false" customHeight="false" outlineLevel="0" collapsed="false">
      <c r="A256" s="42" t="str">
        <f aca="false">B256&amp;"|"&amp;C256</f>
        <v>4234|50-99</v>
      </c>
      <c r="B256" s="43" t="s">
        <v>322</v>
      </c>
      <c r="C256" s="43" t="s">
        <v>122</v>
      </c>
      <c r="D256" s="44" t="n">
        <v>649</v>
      </c>
      <c r="E256" s="43"/>
      <c r="F256" s="44" t="n">
        <v>1126</v>
      </c>
      <c r="G256" s="44"/>
      <c r="H256" s="44"/>
      <c r="I256" s="43" t="s">
        <v>167</v>
      </c>
      <c r="J256" s="43" t="s">
        <v>374</v>
      </c>
    </row>
    <row r="257" customFormat="false" ht="15" hidden="false" customHeight="false" outlineLevel="0" collapsed="false">
      <c r="A257" s="42" t="str">
        <f aca="false">B257&amp;"|"&amp;C257</f>
        <v>4234|100-249</v>
      </c>
      <c r="B257" s="43" t="s">
        <v>322</v>
      </c>
      <c r="C257" s="43" t="s">
        <v>123</v>
      </c>
      <c r="D257" s="44" t="n">
        <v>422</v>
      </c>
      <c r="E257" s="43"/>
      <c r="F257" s="44" t="n">
        <v>1187</v>
      </c>
      <c r="G257" s="44"/>
      <c r="H257" s="44"/>
      <c r="I257" s="43" t="s">
        <v>167</v>
      </c>
      <c r="J257" s="43" t="s">
        <v>374</v>
      </c>
    </row>
    <row r="258" customFormat="false" ht="15" hidden="false" customHeight="false" outlineLevel="0" collapsed="false">
      <c r="A258" s="42" t="str">
        <f aca="false">B258&amp;"|"&amp;C258</f>
        <v>4234|250-499</v>
      </c>
      <c r="B258" s="43" t="s">
        <v>322</v>
      </c>
      <c r="C258" s="43" t="s">
        <v>124</v>
      </c>
      <c r="D258" s="44" t="n">
        <v>146</v>
      </c>
      <c r="E258" s="43"/>
      <c r="F258" s="44" t="n">
        <v>541</v>
      </c>
      <c r="G258" s="44"/>
      <c r="H258" s="44"/>
      <c r="I258" s="43" t="s">
        <v>167</v>
      </c>
      <c r="J258" s="43" t="s">
        <v>374</v>
      </c>
    </row>
    <row r="259" customFormat="false" ht="15" hidden="false" customHeight="false" outlineLevel="0" collapsed="false">
      <c r="A259" s="42" t="str">
        <f aca="false">B259&amp;"|"&amp;C259</f>
        <v>4234|500+</v>
      </c>
      <c r="B259" s="43" t="s">
        <v>322</v>
      </c>
      <c r="C259" s="43" t="s">
        <v>125</v>
      </c>
      <c r="D259" s="44" t="n">
        <v>164</v>
      </c>
      <c r="E259" s="43"/>
      <c r="F259" s="44" t="n">
        <v>6510</v>
      </c>
      <c r="G259" s="44"/>
      <c r="H259" s="44"/>
      <c r="I259" s="43" t="s">
        <v>167</v>
      </c>
      <c r="J259" s="43" t="s">
        <v>374</v>
      </c>
    </row>
    <row r="260" customFormat="false" ht="15" hidden="false" customHeight="false" outlineLevel="0" collapsed="false">
      <c r="A260" s="42" t="str">
        <f aca="false">B260&amp;"|"&amp;C260</f>
        <v>4239|FY</v>
      </c>
      <c r="B260" s="43" t="s">
        <v>376</v>
      </c>
      <c r="C260" s="43" t="s">
        <v>367</v>
      </c>
      <c r="D260" s="44" t="n">
        <v>22350</v>
      </c>
      <c r="E260" s="43"/>
      <c r="F260" s="44" t="n">
        <v>25919</v>
      </c>
      <c r="G260" s="44"/>
      <c r="H260" s="44"/>
      <c r="I260" s="43" t="s">
        <v>167</v>
      </c>
      <c r="J260" s="43" t="s">
        <v>374</v>
      </c>
    </row>
    <row r="261" customFormat="false" ht="15" hidden="false" customHeight="false" outlineLevel="0" collapsed="false">
      <c r="A261" s="42" t="str">
        <f aca="false">B261&amp;"|"&amp;C261</f>
        <v>4239|20-49</v>
      </c>
      <c r="B261" s="43" t="s">
        <v>376</v>
      </c>
      <c r="C261" s="43" t="s">
        <v>121</v>
      </c>
      <c r="D261" s="44" t="n">
        <v>1799</v>
      </c>
      <c r="E261" s="43"/>
      <c r="F261" s="44" t="n">
        <v>2127</v>
      </c>
      <c r="G261" s="44"/>
      <c r="H261" s="44"/>
      <c r="I261" s="43" t="s">
        <v>167</v>
      </c>
      <c r="J261" s="43" t="s">
        <v>374</v>
      </c>
    </row>
    <row r="262" customFormat="false" ht="15" hidden="false" customHeight="false" outlineLevel="0" collapsed="false">
      <c r="A262" s="42" t="str">
        <f aca="false">B262&amp;"|"&amp;C262</f>
        <v>4239|50-99</v>
      </c>
      <c r="B262" s="43" t="s">
        <v>376</v>
      </c>
      <c r="C262" s="43" t="s">
        <v>122</v>
      </c>
      <c r="D262" s="44"/>
      <c r="E262" s="43" t="s">
        <v>94</v>
      </c>
      <c r="F262" s="44"/>
      <c r="G262" s="44"/>
      <c r="H262" s="44"/>
      <c r="I262" s="43" t="s">
        <v>167</v>
      </c>
      <c r="J262" s="43" t="s">
        <v>374</v>
      </c>
    </row>
    <row r="263" customFormat="false" ht="15" hidden="false" customHeight="false" outlineLevel="0" collapsed="false">
      <c r="A263" s="42" t="str">
        <f aca="false">B263&amp;"|"&amp;C263</f>
        <v>4239|100-249</v>
      </c>
      <c r="B263" s="43" t="s">
        <v>376</v>
      </c>
      <c r="C263" s="43" t="s">
        <v>123</v>
      </c>
      <c r="D263" s="44"/>
      <c r="E263" s="43" t="s">
        <v>94</v>
      </c>
      <c r="F263" s="44"/>
      <c r="G263" s="44"/>
      <c r="H263" s="44"/>
      <c r="I263" s="43" t="s">
        <v>167</v>
      </c>
      <c r="J263" s="43" t="s">
        <v>374</v>
      </c>
    </row>
    <row r="264" customFormat="false" ht="15" hidden="false" customHeight="false" outlineLevel="0" collapsed="false">
      <c r="A264" s="42" t="str">
        <f aca="false">B264&amp;"|"&amp;C264</f>
        <v>4239|250-499</v>
      </c>
      <c r="B264" s="43" t="s">
        <v>376</v>
      </c>
      <c r="C264" s="43" t="s">
        <v>124</v>
      </c>
      <c r="D264" s="44"/>
      <c r="E264" s="43" t="s">
        <v>94</v>
      </c>
      <c r="F264" s="44"/>
      <c r="G264" s="44"/>
      <c r="H264" s="44"/>
      <c r="I264" s="43" t="s">
        <v>167</v>
      </c>
      <c r="J264" s="43" t="s">
        <v>374</v>
      </c>
    </row>
    <row r="265" customFormat="false" ht="15" hidden="false" customHeight="false" outlineLevel="0" collapsed="false">
      <c r="A265" s="42" t="str">
        <f aca="false">B265&amp;"|"&amp;C265</f>
        <v>4239|500+</v>
      </c>
      <c r="B265" s="43" t="s">
        <v>376</v>
      </c>
      <c r="C265" s="43" t="s">
        <v>125</v>
      </c>
      <c r="D265" s="44" t="n">
        <v>59</v>
      </c>
      <c r="E265" s="43"/>
      <c r="F265" s="44" t="n">
        <v>1450</v>
      </c>
      <c r="G265" s="44"/>
      <c r="H265" s="44"/>
      <c r="I265" s="43" t="s">
        <v>167</v>
      </c>
      <c r="J265" s="43" t="s">
        <v>374</v>
      </c>
    </row>
    <row r="266" customFormat="false" ht="15" hidden="false" customHeight="false" outlineLevel="0" collapsed="false">
      <c r="A266" s="42" t="str">
        <f aca="false">B266&amp;"|"&amp;C266</f>
        <v>5414|FY</v>
      </c>
      <c r="B266" s="43" t="s">
        <v>377</v>
      </c>
      <c r="C266" s="43" t="s">
        <v>367</v>
      </c>
      <c r="D266" s="44" t="n">
        <v>28627</v>
      </c>
      <c r="E266" s="43"/>
      <c r="F266" s="44" t="n">
        <v>28996</v>
      </c>
      <c r="G266" s="44"/>
      <c r="H266" s="44"/>
      <c r="I266" s="43" t="s">
        <v>173</v>
      </c>
      <c r="J266" s="43" t="s">
        <v>374</v>
      </c>
    </row>
    <row r="267" customFormat="false" ht="15" hidden="false" customHeight="false" outlineLevel="0" collapsed="false">
      <c r="A267" s="42" t="str">
        <f aca="false">B267&amp;"|"&amp;C267</f>
        <v>5414|20-49</v>
      </c>
      <c r="B267" s="43" t="s">
        <v>377</v>
      </c>
      <c r="C267" s="43" t="s">
        <v>121</v>
      </c>
      <c r="D267" s="44" t="n">
        <v>732</v>
      </c>
      <c r="E267" s="43"/>
      <c r="F267" s="44" t="n">
        <v>799</v>
      </c>
      <c r="G267" s="44"/>
      <c r="H267" s="44"/>
      <c r="I267" s="43" t="s">
        <v>173</v>
      </c>
      <c r="J267" s="43" t="s">
        <v>374</v>
      </c>
    </row>
    <row r="268" customFormat="false" ht="15" hidden="false" customHeight="false" outlineLevel="0" collapsed="false">
      <c r="A268" s="42" t="str">
        <f aca="false">B268&amp;"|"&amp;C268</f>
        <v>5414|50-99</v>
      </c>
      <c r="B268" s="43" t="s">
        <v>377</v>
      </c>
      <c r="C268" s="43" t="s">
        <v>122</v>
      </c>
      <c r="D268" s="44" t="n">
        <v>161</v>
      </c>
      <c r="E268" s="43"/>
      <c r="F268" s="44" t="n">
        <v>185</v>
      </c>
      <c r="G268" s="44"/>
      <c r="H268" s="44"/>
      <c r="I268" s="43" t="s">
        <v>173</v>
      </c>
      <c r="J268" s="43" t="s">
        <v>374</v>
      </c>
    </row>
    <row r="269" customFormat="false" ht="15" hidden="false" customHeight="false" outlineLevel="0" collapsed="false">
      <c r="A269" s="42" t="str">
        <f aca="false">B269&amp;"|"&amp;C269</f>
        <v>5414|100-249</v>
      </c>
      <c r="B269" s="43" t="s">
        <v>377</v>
      </c>
      <c r="C269" s="43" t="s">
        <v>123</v>
      </c>
      <c r="D269" s="44" t="n">
        <v>67</v>
      </c>
      <c r="E269" s="43"/>
      <c r="F269" s="44" t="n">
        <v>117</v>
      </c>
      <c r="G269" s="44"/>
      <c r="H269" s="44"/>
      <c r="I269" s="43" t="s">
        <v>173</v>
      </c>
      <c r="J269" s="43" t="s">
        <v>374</v>
      </c>
    </row>
    <row r="270" customFormat="false" ht="15" hidden="false" customHeight="false" outlineLevel="0" collapsed="false">
      <c r="A270" s="42" t="str">
        <f aca="false">B270&amp;"|"&amp;C270</f>
        <v>5414|250-499</v>
      </c>
      <c r="B270" s="43" t="s">
        <v>377</v>
      </c>
      <c r="C270" s="43" t="s">
        <v>124</v>
      </c>
      <c r="D270" s="44" t="n">
        <v>17</v>
      </c>
      <c r="E270" s="43"/>
      <c r="F270" s="44" t="n">
        <v>34</v>
      </c>
      <c r="G270" s="44"/>
      <c r="H270" s="44"/>
      <c r="I270" s="43" t="s">
        <v>173</v>
      </c>
      <c r="J270" s="43" t="s">
        <v>374</v>
      </c>
    </row>
    <row r="271" customFormat="false" ht="15" hidden="false" customHeight="false" outlineLevel="0" collapsed="false">
      <c r="A271" s="42" t="str">
        <f aca="false">B271&amp;"|"&amp;C271</f>
        <v>5414|500+</v>
      </c>
      <c r="B271" s="43" t="s">
        <v>377</v>
      </c>
      <c r="C271" s="43" t="s">
        <v>125</v>
      </c>
      <c r="D271" s="44" t="n">
        <v>7</v>
      </c>
      <c r="E271" s="43"/>
      <c r="F271" s="44" t="n">
        <v>120</v>
      </c>
      <c r="G271" s="44"/>
      <c r="H271" s="44"/>
      <c r="I271" s="43" t="s">
        <v>173</v>
      </c>
      <c r="J271" s="43" t="s">
        <v>374</v>
      </c>
    </row>
    <row r="272" customFormat="false" ht="15" hidden="false" customHeight="false" outlineLevel="0" collapsed="false">
      <c r="A272" s="42" t="str">
        <f aca="false">B272&amp;"|"&amp;C272</f>
        <v>5417|FY</v>
      </c>
      <c r="B272" s="43" t="s">
        <v>378</v>
      </c>
      <c r="C272" s="43" t="s">
        <v>367</v>
      </c>
      <c r="D272" s="44" t="n">
        <v>15791</v>
      </c>
      <c r="E272" s="43"/>
      <c r="F272" s="44" t="n">
        <v>20020</v>
      </c>
      <c r="G272" s="44"/>
      <c r="H272" s="44"/>
      <c r="I272" s="43" t="s">
        <v>173</v>
      </c>
      <c r="J272" s="43" t="s">
        <v>374</v>
      </c>
    </row>
    <row r="273" customFormat="false" ht="15" hidden="false" customHeight="false" outlineLevel="0" collapsed="false">
      <c r="A273" s="42" t="str">
        <f aca="false">B273&amp;"|"&amp;C273</f>
        <v>5417|20-49</v>
      </c>
      <c r="B273" s="43" t="s">
        <v>378</v>
      </c>
      <c r="C273" s="43" t="s">
        <v>121</v>
      </c>
      <c r="D273" s="44" t="n">
        <v>1722</v>
      </c>
      <c r="E273" s="43"/>
      <c r="F273" s="44" t="n">
        <v>1947</v>
      </c>
      <c r="G273" s="44"/>
      <c r="H273" s="44"/>
      <c r="I273" s="43" t="s">
        <v>173</v>
      </c>
      <c r="J273" s="43" t="s">
        <v>374</v>
      </c>
    </row>
    <row r="274" customFormat="false" ht="15" hidden="false" customHeight="false" outlineLevel="0" collapsed="false">
      <c r="A274" s="42" t="str">
        <f aca="false">B274&amp;"|"&amp;C274</f>
        <v>5417|50-99</v>
      </c>
      <c r="B274" s="43" t="s">
        <v>378</v>
      </c>
      <c r="C274" s="43" t="s">
        <v>122</v>
      </c>
      <c r="D274" s="44" t="n">
        <v>805</v>
      </c>
      <c r="E274" s="43"/>
      <c r="F274" s="44" t="n">
        <v>1070</v>
      </c>
      <c r="G274" s="44"/>
      <c r="H274" s="44"/>
      <c r="I274" s="43" t="s">
        <v>173</v>
      </c>
      <c r="J274" s="43" t="s">
        <v>374</v>
      </c>
    </row>
    <row r="275" customFormat="false" ht="15" hidden="false" customHeight="false" outlineLevel="0" collapsed="false">
      <c r="A275" s="42" t="str">
        <f aca="false">B275&amp;"|"&amp;C275</f>
        <v>5417|100-249</v>
      </c>
      <c r="B275" s="43" t="s">
        <v>378</v>
      </c>
      <c r="C275" s="43" t="s">
        <v>123</v>
      </c>
      <c r="D275" s="44" t="n">
        <v>646</v>
      </c>
      <c r="E275" s="43"/>
      <c r="F275" s="44" t="n">
        <v>1060</v>
      </c>
      <c r="G275" s="44"/>
      <c r="H275" s="44"/>
      <c r="I275" s="43" t="s">
        <v>173</v>
      </c>
      <c r="J275" s="43" t="s">
        <v>374</v>
      </c>
    </row>
    <row r="276" customFormat="false" ht="15" hidden="false" customHeight="false" outlineLevel="0" collapsed="false">
      <c r="A276" s="42" t="str">
        <f aca="false">B276&amp;"|"&amp;C276</f>
        <v>5417|250-499</v>
      </c>
      <c r="B276" s="43" t="s">
        <v>378</v>
      </c>
      <c r="C276" s="43" t="s">
        <v>124</v>
      </c>
      <c r="D276" s="44" t="n">
        <v>286</v>
      </c>
      <c r="E276" s="43"/>
      <c r="F276" s="44" t="n">
        <v>638</v>
      </c>
      <c r="G276" s="44"/>
      <c r="H276" s="44"/>
      <c r="I276" s="43" t="s">
        <v>173</v>
      </c>
      <c r="J276" s="43" t="s">
        <v>374</v>
      </c>
    </row>
    <row r="277" customFormat="false" ht="15" hidden="false" customHeight="false" outlineLevel="0" collapsed="false">
      <c r="A277" s="42" t="str">
        <f aca="false">B277&amp;"|"&amp;C277</f>
        <v>5417|500+</v>
      </c>
      <c r="B277" s="43" t="s">
        <v>378</v>
      </c>
      <c r="C277" s="43" t="s">
        <v>125</v>
      </c>
      <c r="D277" s="44" t="n">
        <v>319</v>
      </c>
      <c r="E277" s="43"/>
      <c r="F277" s="44" t="n">
        <v>3084</v>
      </c>
      <c r="G277" s="44"/>
      <c r="H277" s="44"/>
      <c r="I277" s="43" t="s">
        <v>173</v>
      </c>
      <c r="J277" s="43" t="s">
        <v>374</v>
      </c>
    </row>
    <row r="278" customFormat="false" ht="15" hidden="false" customHeight="false" outlineLevel="0" collapsed="false">
      <c r="A278" s="42" t="str">
        <f aca="false">B278&amp;"|"&amp;C278</f>
        <v>5419|FY</v>
      </c>
      <c r="B278" s="43" t="s">
        <v>379</v>
      </c>
      <c r="C278" s="43" t="s">
        <v>367</v>
      </c>
      <c r="D278" s="44" t="n">
        <v>51148</v>
      </c>
      <c r="E278" s="43"/>
      <c r="F278" s="44" t="n">
        <v>62378</v>
      </c>
      <c r="G278" s="44"/>
      <c r="H278" s="44"/>
      <c r="I278" s="43" t="s">
        <v>173</v>
      </c>
      <c r="J278" s="43" t="s">
        <v>374</v>
      </c>
    </row>
    <row r="279" customFormat="false" ht="15" hidden="false" customHeight="false" outlineLevel="0" collapsed="false">
      <c r="A279" s="42" t="str">
        <f aca="false">B279&amp;"|"&amp;C279</f>
        <v>5419|20-49</v>
      </c>
      <c r="B279" s="43" t="s">
        <v>379</v>
      </c>
      <c r="C279" s="43" t="s">
        <v>121</v>
      </c>
      <c r="D279" s="44" t="n">
        <v>4307</v>
      </c>
      <c r="E279" s="43"/>
      <c r="F279" s="44" t="n">
        <v>4895</v>
      </c>
      <c r="G279" s="44"/>
      <c r="H279" s="44"/>
      <c r="I279" s="43" t="s">
        <v>173</v>
      </c>
      <c r="J279" s="43" t="s">
        <v>374</v>
      </c>
    </row>
    <row r="280" customFormat="false" ht="15" hidden="false" customHeight="false" outlineLevel="0" collapsed="false">
      <c r="A280" s="42" t="str">
        <f aca="false">B280&amp;"|"&amp;C280</f>
        <v>5419|50-99</v>
      </c>
      <c r="B280" s="43" t="s">
        <v>379</v>
      </c>
      <c r="C280" s="43" t="s">
        <v>122</v>
      </c>
      <c r="D280" s="44" t="n">
        <v>732</v>
      </c>
      <c r="E280" s="43"/>
      <c r="F280" s="44" t="n">
        <v>1100</v>
      </c>
      <c r="G280" s="44"/>
      <c r="H280" s="44"/>
      <c r="I280" s="43" t="s">
        <v>173</v>
      </c>
      <c r="J280" s="43" t="s">
        <v>374</v>
      </c>
    </row>
    <row r="281" customFormat="false" ht="15" hidden="false" customHeight="false" outlineLevel="0" collapsed="false">
      <c r="A281" s="42" t="str">
        <f aca="false">B281&amp;"|"&amp;C281</f>
        <v>5419|100-249</v>
      </c>
      <c r="B281" s="43" t="s">
        <v>379</v>
      </c>
      <c r="C281" s="43" t="s">
        <v>123</v>
      </c>
      <c r="D281" s="44" t="n">
        <v>337</v>
      </c>
      <c r="E281" s="43"/>
      <c r="F281" s="44" t="n">
        <v>1065</v>
      </c>
      <c r="G281" s="44"/>
      <c r="H281" s="44"/>
      <c r="I281" s="43" t="s">
        <v>173</v>
      </c>
      <c r="J281" s="43" t="s">
        <v>374</v>
      </c>
    </row>
    <row r="282" customFormat="false" ht="15" hidden="false" customHeight="false" outlineLevel="0" collapsed="false">
      <c r="A282" s="42" t="str">
        <f aca="false">B282&amp;"|"&amp;C282</f>
        <v>5419|250-499</v>
      </c>
      <c r="B282" s="43" t="s">
        <v>379</v>
      </c>
      <c r="C282" s="43" t="s">
        <v>124</v>
      </c>
      <c r="D282" s="44" t="n">
        <v>124</v>
      </c>
      <c r="E282" s="43"/>
      <c r="F282" s="44" t="n">
        <v>649</v>
      </c>
      <c r="G282" s="44"/>
      <c r="H282" s="44"/>
      <c r="I282" s="43" t="s">
        <v>173</v>
      </c>
      <c r="J282" s="43" t="s">
        <v>374</v>
      </c>
    </row>
    <row r="283" customFormat="false" ht="15" hidden="false" customHeight="false" outlineLevel="0" collapsed="false">
      <c r="A283" s="42" t="str">
        <f aca="false">B283&amp;"|"&amp;C283</f>
        <v>5419|500+</v>
      </c>
      <c r="B283" s="43" t="s">
        <v>379</v>
      </c>
      <c r="C283" s="43" t="s">
        <v>125</v>
      </c>
      <c r="D283" s="44" t="n">
        <v>115</v>
      </c>
      <c r="E283" s="43"/>
      <c r="F283" s="44" t="n">
        <v>8795</v>
      </c>
      <c r="G283" s="44"/>
      <c r="H283" s="44"/>
      <c r="I283" s="43" t="s">
        <v>173</v>
      </c>
      <c r="J283" s="43" t="s">
        <v>374</v>
      </c>
    </row>
    <row r="284" customFormat="false" ht="15" hidden="false" customHeight="false" outlineLevel="0" collapsed="false">
      <c r="A284" s="42" t="str">
        <f aca="false">B284&amp;"|"&amp;C284</f>
        <v>311|FY</v>
      </c>
      <c r="B284" s="43" t="s">
        <v>380</v>
      </c>
      <c r="C284" s="43" t="s">
        <v>367</v>
      </c>
      <c r="D284" s="44" t="n">
        <v>24469</v>
      </c>
      <c r="E284" s="43"/>
      <c r="F284" s="44" t="n">
        <v>29356</v>
      </c>
      <c r="G284" s="44"/>
      <c r="H284" s="44"/>
      <c r="I284" s="43" t="s">
        <v>172</v>
      </c>
      <c r="J284" s="43" t="s">
        <v>374</v>
      </c>
    </row>
    <row r="285" customFormat="false" ht="15" hidden="false" customHeight="false" outlineLevel="0" collapsed="false">
      <c r="A285" s="42" t="str">
        <f aca="false">B285&amp;"|"&amp;C285</f>
        <v>311|20-49</v>
      </c>
      <c r="B285" s="43" t="s">
        <v>380</v>
      </c>
      <c r="C285" s="43" t="s">
        <v>121</v>
      </c>
      <c r="D285" s="44" t="n">
        <v>3028</v>
      </c>
      <c r="E285" s="43"/>
      <c r="F285" s="44" t="n">
        <v>3327</v>
      </c>
      <c r="G285" s="44"/>
      <c r="H285" s="44"/>
      <c r="I285" s="43" t="s">
        <v>172</v>
      </c>
      <c r="J285" s="43" t="s">
        <v>374</v>
      </c>
    </row>
    <row r="286" customFormat="false" ht="15" hidden="false" customHeight="false" outlineLevel="0" collapsed="false">
      <c r="A286" s="42" t="str">
        <f aca="false">B286&amp;"|"&amp;C286</f>
        <v>311|50-99</v>
      </c>
      <c r="B286" s="43" t="s">
        <v>380</v>
      </c>
      <c r="C286" s="43" t="s">
        <v>122</v>
      </c>
      <c r="D286" s="44" t="n">
        <v>1264</v>
      </c>
      <c r="E286" s="43"/>
      <c r="F286" s="44" t="n">
        <v>1535</v>
      </c>
      <c r="G286" s="44"/>
      <c r="H286" s="44"/>
      <c r="I286" s="43" t="s">
        <v>172</v>
      </c>
      <c r="J286" s="43" t="s">
        <v>374</v>
      </c>
    </row>
    <row r="287" customFormat="false" ht="15" hidden="false" customHeight="false" outlineLevel="0" collapsed="false">
      <c r="A287" s="42" t="str">
        <f aca="false">B287&amp;"|"&amp;C287</f>
        <v>311|100-249</v>
      </c>
      <c r="B287" s="43" t="s">
        <v>380</v>
      </c>
      <c r="C287" s="43" t="s">
        <v>123</v>
      </c>
      <c r="D287" s="44" t="n">
        <v>936</v>
      </c>
      <c r="E287" s="43"/>
      <c r="F287" s="44" t="n">
        <v>1360</v>
      </c>
      <c r="G287" s="44"/>
      <c r="H287" s="44"/>
      <c r="I287" s="43" t="s">
        <v>172</v>
      </c>
      <c r="J287" s="43" t="s">
        <v>374</v>
      </c>
    </row>
    <row r="288" customFormat="false" ht="15" hidden="false" customHeight="false" outlineLevel="0" collapsed="false">
      <c r="A288" s="42" t="str">
        <f aca="false">B288&amp;"|"&amp;C288</f>
        <v>311|250-499</v>
      </c>
      <c r="B288" s="43" t="s">
        <v>380</v>
      </c>
      <c r="C288" s="43" t="s">
        <v>124</v>
      </c>
      <c r="D288" s="44" t="n">
        <v>389</v>
      </c>
      <c r="E288" s="43"/>
      <c r="F288" s="44" t="n">
        <v>842</v>
      </c>
      <c r="G288" s="44"/>
      <c r="H288" s="44"/>
      <c r="I288" s="43" t="s">
        <v>172</v>
      </c>
      <c r="J288" s="43" t="s">
        <v>374</v>
      </c>
    </row>
    <row r="289" customFormat="false" ht="15" hidden="false" customHeight="false" outlineLevel="0" collapsed="false">
      <c r="A289" s="42" t="str">
        <f aca="false">B289&amp;"|"&amp;C289</f>
        <v>311|500+</v>
      </c>
      <c r="B289" s="43" t="s">
        <v>380</v>
      </c>
      <c r="C289" s="43" t="s">
        <v>125</v>
      </c>
      <c r="D289" s="44" t="n">
        <v>451</v>
      </c>
      <c r="E289" s="43"/>
      <c r="F289" s="44" t="n">
        <v>3641</v>
      </c>
      <c r="G289" s="44"/>
      <c r="H289" s="44"/>
      <c r="I289" s="43" t="s">
        <v>172</v>
      </c>
      <c r="J289" s="43" t="s">
        <v>374</v>
      </c>
    </row>
    <row r="290" customFormat="false" ht="15" hidden="false" customHeight="false" outlineLevel="0" collapsed="false">
      <c r="A290" s="42" t="str">
        <f aca="false">B290&amp;"|"&amp;C290</f>
        <v>312|FY</v>
      </c>
      <c r="B290" s="43" t="s">
        <v>381</v>
      </c>
      <c r="C290" s="43" t="s">
        <v>367</v>
      </c>
      <c r="D290" s="44"/>
      <c r="E290" s="43" t="s">
        <v>94</v>
      </c>
      <c r="F290" s="44"/>
      <c r="G290" s="44"/>
      <c r="H290" s="44"/>
      <c r="I290" s="43" t="s">
        <v>172</v>
      </c>
      <c r="J290" s="43" t="s">
        <v>374</v>
      </c>
    </row>
    <row r="291" customFormat="false" ht="15" hidden="false" customHeight="false" outlineLevel="0" collapsed="false">
      <c r="A291" s="42" t="str">
        <f aca="false">B291&amp;"|"&amp;C291</f>
        <v>312|20-49</v>
      </c>
      <c r="B291" s="43" t="s">
        <v>381</v>
      </c>
      <c r="C291" s="43" t="s">
        <v>121</v>
      </c>
      <c r="D291" s="44" t="n">
        <v>1339</v>
      </c>
      <c r="E291" s="43"/>
      <c r="F291" s="44" t="n">
        <v>1444</v>
      </c>
      <c r="G291" s="44"/>
      <c r="H291" s="44"/>
      <c r="I291" s="43" t="s">
        <v>172</v>
      </c>
      <c r="J291" s="43" t="s">
        <v>374</v>
      </c>
    </row>
    <row r="292" customFormat="false" ht="15" hidden="false" customHeight="false" outlineLevel="0" collapsed="false">
      <c r="A292" s="42" t="str">
        <f aca="false">B292&amp;"|"&amp;C292</f>
        <v>312|50-99</v>
      </c>
      <c r="B292" s="43" t="s">
        <v>381</v>
      </c>
      <c r="C292" s="43" t="s">
        <v>122</v>
      </c>
      <c r="D292" s="44" t="n">
        <v>374</v>
      </c>
      <c r="E292" s="43"/>
      <c r="F292" s="44" t="n">
        <v>442</v>
      </c>
      <c r="G292" s="44"/>
      <c r="H292" s="44"/>
      <c r="I292" s="43" t="s">
        <v>172</v>
      </c>
      <c r="J292" s="43" t="s">
        <v>374</v>
      </c>
    </row>
    <row r="293" customFormat="false" ht="15" hidden="false" customHeight="false" outlineLevel="0" collapsed="false">
      <c r="A293" s="42" t="str">
        <f aca="false">B293&amp;"|"&amp;C293</f>
        <v>312|100-249</v>
      </c>
      <c r="B293" s="43" t="s">
        <v>381</v>
      </c>
      <c r="C293" s="43" t="s">
        <v>123</v>
      </c>
      <c r="D293" s="44" t="n">
        <v>187</v>
      </c>
      <c r="E293" s="43"/>
      <c r="F293" s="44" t="n">
        <v>259</v>
      </c>
      <c r="G293" s="44"/>
      <c r="H293" s="44"/>
      <c r="I293" s="43" t="s">
        <v>172</v>
      </c>
      <c r="J293" s="43" t="s">
        <v>374</v>
      </c>
    </row>
    <row r="294" customFormat="false" ht="15" hidden="false" customHeight="false" outlineLevel="0" collapsed="false">
      <c r="A294" s="42" t="str">
        <f aca="false">B294&amp;"|"&amp;C294</f>
        <v>312|250-499</v>
      </c>
      <c r="B294" s="43" t="s">
        <v>381</v>
      </c>
      <c r="C294" s="43" t="s">
        <v>124</v>
      </c>
      <c r="D294" s="44"/>
      <c r="E294" s="43" t="s">
        <v>94</v>
      </c>
      <c r="F294" s="44"/>
      <c r="G294" s="44"/>
      <c r="H294" s="44"/>
      <c r="I294" s="43" t="s">
        <v>172</v>
      </c>
      <c r="J294" s="43" t="s">
        <v>374</v>
      </c>
    </row>
    <row r="295" customFormat="false" ht="15" hidden="false" customHeight="false" outlineLevel="0" collapsed="false">
      <c r="A295" s="42" t="str">
        <f aca="false">B295&amp;"|"&amp;C295</f>
        <v>312|500+</v>
      </c>
      <c r="B295" s="43" t="s">
        <v>381</v>
      </c>
      <c r="C295" s="43" t="s">
        <v>125</v>
      </c>
      <c r="D295" s="44" t="n">
        <v>61</v>
      </c>
      <c r="E295" s="43"/>
      <c r="F295" s="44" t="n">
        <v>626</v>
      </c>
      <c r="G295" s="44"/>
      <c r="H295" s="44"/>
      <c r="I295" s="43" t="s">
        <v>172</v>
      </c>
      <c r="J295" s="43" t="s">
        <v>374</v>
      </c>
    </row>
    <row r="296" customFormat="false" ht="15" hidden="false" customHeight="false" outlineLevel="0" collapsed="false">
      <c r="A296" s="42" t="str">
        <f aca="false">B296&amp;"|"&amp;C296</f>
        <v>313|FY</v>
      </c>
      <c r="B296" s="43" t="s">
        <v>382</v>
      </c>
      <c r="C296" s="43" t="s">
        <v>367</v>
      </c>
      <c r="D296" s="44" t="n">
        <v>1452</v>
      </c>
      <c r="E296" s="43"/>
      <c r="F296" s="44" t="n">
        <v>1668</v>
      </c>
      <c r="G296" s="44"/>
      <c r="H296" s="44"/>
      <c r="I296" s="43" t="s">
        <v>172</v>
      </c>
      <c r="J296" s="43" t="s">
        <v>374</v>
      </c>
    </row>
    <row r="297" customFormat="false" ht="15" hidden="false" customHeight="false" outlineLevel="0" collapsed="false">
      <c r="A297" s="42" t="str">
        <f aca="false">B297&amp;"|"&amp;C297</f>
        <v>313|20-49</v>
      </c>
      <c r="B297" s="43" t="s">
        <v>382</v>
      </c>
      <c r="C297" s="43" t="s">
        <v>121</v>
      </c>
      <c r="D297" s="44" t="n">
        <v>239</v>
      </c>
      <c r="E297" s="43"/>
      <c r="F297" s="44" t="n">
        <v>247</v>
      </c>
      <c r="G297" s="44"/>
      <c r="H297" s="44"/>
      <c r="I297" s="43" t="s">
        <v>172</v>
      </c>
      <c r="J297" s="43" t="s">
        <v>374</v>
      </c>
    </row>
    <row r="298" customFormat="false" ht="15" hidden="false" customHeight="false" outlineLevel="0" collapsed="false">
      <c r="A298" s="42" t="str">
        <f aca="false">B298&amp;"|"&amp;C298</f>
        <v>313|50-99</v>
      </c>
      <c r="B298" s="43" t="s">
        <v>382</v>
      </c>
      <c r="C298" s="43" t="s">
        <v>122</v>
      </c>
      <c r="D298" s="44" t="n">
        <v>128</v>
      </c>
      <c r="E298" s="43"/>
      <c r="F298" s="44" t="n">
        <v>151</v>
      </c>
      <c r="G298" s="44"/>
      <c r="H298" s="44"/>
      <c r="I298" s="43" t="s">
        <v>172</v>
      </c>
      <c r="J298" s="43" t="s">
        <v>374</v>
      </c>
    </row>
    <row r="299" customFormat="false" ht="15" hidden="false" customHeight="false" outlineLevel="0" collapsed="false">
      <c r="A299" s="42" t="str">
        <f aca="false">B299&amp;"|"&amp;C299</f>
        <v>313|100-249</v>
      </c>
      <c r="B299" s="43" t="s">
        <v>382</v>
      </c>
      <c r="C299" s="43" t="s">
        <v>123</v>
      </c>
      <c r="D299" s="44" t="n">
        <v>102</v>
      </c>
      <c r="E299" s="43"/>
      <c r="F299" s="44" t="n">
        <v>133</v>
      </c>
      <c r="G299" s="44"/>
      <c r="H299" s="44"/>
      <c r="I299" s="43" t="s">
        <v>172</v>
      </c>
      <c r="J299" s="43" t="s">
        <v>374</v>
      </c>
    </row>
    <row r="300" customFormat="false" ht="15" hidden="false" customHeight="false" outlineLevel="0" collapsed="false">
      <c r="A300" s="42" t="str">
        <f aca="false">B300&amp;"|"&amp;C300</f>
        <v>313|250-499</v>
      </c>
      <c r="B300" s="43" t="s">
        <v>382</v>
      </c>
      <c r="C300" s="43" t="s">
        <v>124</v>
      </c>
      <c r="D300" s="44" t="n">
        <v>38</v>
      </c>
      <c r="E300" s="43"/>
      <c r="F300" s="44" t="n">
        <v>82</v>
      </c>
      <c r="G300" s="44"/>
      <c r="H300" s="44"/>
      <c r="I300" s="43" t="s">
        <v>172</v>
      </c>
      <c r="J300" s="43" t="s">
        <v>374</v>
      </c>
    </row>
    <row r="301" customFormat="false" ht="15" hidden="false" customHeight="false" outlineLevel="0" collapsed="false">
      <c r="A301" s="42" t="str">
        <f aca="false">B301&amp;"|"&amp;C301</f>
        <v>313|500+</v>
      </c>
      <c r="B301" s="43" t="s">
        <v>382</v>
      </c>
      <c r="C301" s="43" t="s">
        <v>125</v>
      </c>
      <c r="D301" s="44" t="n">
        <v>26</v>
      </c>
      <c r="E301" s="43"/>
      <c r="F301" s="44" t="n">
        <v>131</v>
      </c>
      <c r="G301" s="44"/>
      <c r="H301" s="44"/>
      <c r="I301" s="43" t="s">
        <v>172</v>
      </c>
      <c r="J301" s="43" t="s">
        <v>374</v>
      </c>
    </row>
    <row r="302" customFormat="false" ht="15" hidden="false" customHeight="false" outlineLevel="0" collapsed="false">
      <c r="A302" s="42" t="str">
        <f aca="false">B302&amp;"|"&amp;C302</f>
        <v>314|FY</v>
      </c>
      <c r="B302" s="43" t="s">
        <v>383</v>
      </c>
      <c r="C302" s="43" t="s">
        <v>367</v>
      </c>
      <c r="D302" s="44" t="n">
        <v>4682</v>
      </c>
      <c r="E302" s="43"/>
      <c r="F302" s="44" t="n">
        <v>4868</v>
      </c>
      <c r="G302" s="44"/>
      <c r="H302" s="44"/>
      <c r="I302" s="43" t="s">
        <v>172</v>
      </c>
      <c r="J302" s="43" t="s">
        <v>374</v>
      </c>
    </row>
    <row r="303" customFormat="false" ht="15" hidden="false" customHeight="false" outlineLevel="0" collapsed="false">
      <c r="A303" s="42" t="str">
        <f aca="false">B303&amp;"|"&amp;C303</f>
        <v>314|20-49</v>
      </c>
      <c r="B303" s="43" t="s">
        <v>383</v>
      </c>
      <c r="C303" s="43" t="s">
        <v>121</v>
      </c>
      <c r="D303" s="44" t="n">
        <v>465</v>
      </c>
      <c r="E303" s="43"/>
      <c r="F303" s="44" t="n">
        <v>485</v>
      </c>
      <c r="G303" s="44"/>
      <c r="H303" s="44"/>
      <c r="I303" s="43" t="s">
        <v>172</v>
      </c>
      <c r="J303" s="43" t="s">
        <v>374</v>
      </c>
    </row>
    <row r="304" customFormat="false" ht="15" hidden="false" customHeight="false" outlineLevel="0" collapsed="false">
      <c r="A304" s="42" t="str">
        <f aca="false">B304&amp;"|"&amp;C304</f>
        <v>314|50-99</v>
      </c>
      <c r="B304" s="43" t="s">
        <v>383</v>
      </c>
      <c r="C304" s="43" t="s">
        <v>122</v>
      </c>
      <c r="D304" s="44" t="n">
        <v>154</v>
      </c>
      <c r="E304" s="43"/>
      <c r="F304" s="44" t="n">
        <v>184</v>
      </c>
      <c r="G304" s="44"/>
      <c r="H304" s="44"/>
      <c r="I304" s="43" t="s">
        <v>172</v>
      </c>
      <c r="J304" s="43" t="s">
        <v>374</v>
      </c>
    </row>
    <row r="305" customFormat="false" ht="15" hidden="false" customHeight="false" outlineLevel="0" collapsed="false">
      <c r="A305" s="42" t="str">
        <f aca="false">B305&amp;"|"&amp;C305</f>
        <v>314|100-249</v>
      </c>
      <c r="B305" s="43" t="s">
        <v>383</v>
      </c>
      <c r="C305" s="43" t="s">
        <v>123</v>
      </c>
      <c r="D305" s="44" t="n">
        <v>104</v>
      </c>
      <c r="E305" s="43"/>
      <c r="F305" s="44" t="n">
        <v>131</v>
      </c>
      <c r="G305" s="44"/>
      <c r="H305" s="44"/>
      <c r="I305" s="43" t="s">
        <v>172</v>
      </c>
      <c r="J305" s="43" t="s">
        <v>374</v>
      </c>
    </row>
    <row r="306" customFormat="false" ht="15" hidden="false" customHeight="false" outlineLevel="0" collapsed="false">
      <c r="A306" s="42" t="str">
        <f aca="false">B306&amp;"|"&amp;C306</f>
        <v>314|250-499</v>
      </c>
      <c r="B306" s="43" t="s">
        <v>383</v>
      </c>
      <c r="C306" s="43" t="s">
        <v>124</v>
      </c>
      <c r="D306" s="44" t="n">
        <v>36</v>
      </c>
      <c r="E306" s="43"/>
      <c r="F306" s="44" t="n">
        <v>71</v>
      </c>
      <c r="G306" s="44"/>
      <c r="H306" s="44"/>
      <c r="I306" s="43" t="s">
        <v>172</v>
      </c>
      <c r="J306" s="43" t="s">
        <v>374</v>
      </c>
    </row>
    <row r="307" customFormat="false" ht="15" hidden="false" customHeight="false" outlineLevel="0" collapsed="false">
      <c r="A307" s="42" t="str">
        <f aca="false">B307&amp;"|"&amp;C307</f>
        <v>314|500+</v>
      </c>
      <c r="B307" s="43" t="s">
        <v>383</v>
      </c>
      <c r="C307" s="43" t="s">
        <v>125</v>
      </c>
      <c r="D307" s="44" t="n">
        <v>20</v>
      </c>
      <c r="E307" s="43"/>
      <c r="F307" s="44" t="n">
        <v>81</v>
      </c>
      <c r="G307" s="44"/>
      <c r="H307" s="44"/>
      <c r="I307" s="43" t="s">
        <v>172</v>
      </c>
      <c r="J307" s="43" t="s">
        <v>374</v>
      </c>
    </row>
    <row r="308" customFormat="false" ht="15" hidden="false" customHeight="false" outlineLevel="0" collapsed="false">
      <c r="A308" s="42" t="str">
        <f aca="false">B308&amp;"|"&amp;C308</f>
        <v>315|FY</v>
      </c>
      <c r="B308" s="43" t="s">
        <v>384</v>
      </c>
      <c r="C308" s="43" t="s">
        <v>367</v>
      </c>
      <c r="D308" s="44" t="n">
        <v>4554</v>
      </c>
      <c r="E308" s="43"/>
      <c r="F308" s="44" t="n">
        <v>4643</v>
      </c>
      <c r="G308" s="44"/>
      <c r="H308" s="44"/>
      <c r="I308" s="43" t="s">
        <v>172</v>
      </c>
      <c r="J308" s="43" t="s">
        <v>374</v>
      </c>
    </row>
    <row r="309" customFormat="false" ht="15" hidden="false" customHeight="false" outlineLevel="0" collapsed="false">
      <c r="A309" s="42" t="str">
        <f aca="false">B309&amp;"|"&amp;C309</f>
        <v>315|20-49</v>
      </c>
      <c r="B309" s="43" t="s">
        <v>384</v>
      </c>
      <c r="C309" s="43" t="s">
        <v>121</v>
      </c>
      <c r="D309" s="44" t="n">
        <v>451</v>
      </c>
      <c r="E309" s="43"/>
      <c r="F309" s="44" t="n">
        <v>464</v>
      </c>
      <c r="G309" s="44"/>
      <c r="H309" s="44"/>
      <c r="I309" s="43" t="s">
        <v>172</v>
      </c>
      <c r="J309" s="43" t="s">
        <v>374</v>
      </c>
    </row>
    <row r="310" customFormat="false" ht="15" hidden="false" customHeight="false" outlineLevel="0" collapsed="false">
      <c r="A310" s="42" t="str">
        <f aca="false">B310&amp;"|"&amp;C310</f>
        <v>315|50-99</v>
      </c>
      <c r="B310" s="43" t="s">
        <v>384</v>
      </c>
      <c r="C310" s="43" t="s">
        <v>122</v>
      </c>
      <c r="D310" s="44" t="n">
        <v>134</v>
      </c>
      <c r="E310" s="43"/>
      <c r="F310" s="44" t="n">
        <v>145</v>
      </c>
      <c r="G310" s="44"/>
      <c r="H310" s="44"/>
      <c r="I310" s="43" t="s">
        <v>172</v>
      </c>
      <c r="J310" s="43" t="s">
        <v>374</v>
      </c>
    </row>
    <row r="311" customFormat="false" ht="15" hidden="false" customHeight="false" outlineLevel="0" collapsed="false">
      <c r="A311" s="42" t="str">
        <f aca="false">B311&amp;"|"&amp;C311</f>
        <v>315|100-249</v>
      </c>
      <c r="B311" s="43" t="s">
        <v>384</v>
      </c>
      <c r="C311" s="43" t="s">
        <v>123</v>
      </c>
      <c r="D311" s="44" t="n">
        <v>79</v>
      </c>
      <c r="E311" s="43"/>
      <c r="F311" s="44" t="n">
        <v>97</v>
      </c>
      <c r="G311" s="44"/>
      <c r="H311" s="44"/>
      <c r="I311" s="43" t="s">
        <v>172</v>
      </c>
      <c r="J311" s="43" t="s">
        <v>374</v>
      </c>
    </row>
    <row r="312" customFormat="false" ht="15" hidden="false" customHeight="false" outlineLevel="0" collapsed="false">
      <c r="A312" s="42" t="str">
        <f aca="false">B312&amp;"|"&amp;C312</f>
        <v>315|250-499</v>
      </c>
      <c r="B312" s="43" t="s">
        <v>384</v>
      </c>
      <c r="C312" s="43" t="s">
        <v>124</v>
      </c>
      <c r="D312" s="44"/>
      <c r="E312" s="43" t="s">
        <v>94</v>
      </c>
      <c r="F312" s="44"/>
      <c r="G312" s="44"/>
      <c r="H312" s="44"/>
      <c r="I312" s="43" t="s">
        <v>172</v>
      </c>
      <c r="J312" s="43" t="s">
        <v>374</v>
      </c>
    </row>
    <row r="313" customFormat="false" ht="15" hidden="false" customHeight="false" outlineLevel="0" collapsed="false">
      <c r="A313" s="42" t="str">
        <f aca="false">B313&amp;"|"&amp;C313</f>
        <v>315|500+</v>
      </c>
      <c r="B313" s="43" t="s">
        <v>384</v>
      </c>
      <c r="C313" s="43" t="s">
        <v>125</v>
      </c>
      <c r="D313" s="44"/>
      <c r="E313" s="43" t="s">
        <v>94</v>
      </c>
      <c r="F313" s="44"/>
      <c r="G313" s="44"/>
      <c r="H313" s="44"/>
      <c r="I313" s="43" t="s">
        <v>172</v>
      </c>
      <c r="J313" s="43" t="s">
        <v>374</v>
      </c>
    </row>
    <row r="314" customFormat="false" ht="15" hidden="false" customHeight="false" outlineLevel="0" collapsed="false">
      <c r="A314" s="42" t="str">
        <f aca="false">B314&amp;"|"&amp;C314</f>
        <v>316|FY</v>
      </c>
      <c r="B314" s="43" t="s">
        <v>385</v>
      </c>
      <c r="C314" s="43" t="s">
        <v>367</v>
      </c>
      <c r="D314" s="44"/>
      <c r="E314" s="43" t="s">
        <v>94</v>
      </c>
      <c r="F314" s="44"/>
      <c r="G314" s="44"/>
      <c r="H314" s="44"/>
      <c r="I314" s="43" t="s">
        <v>172</v>
      </c>
      <c r="J314" s="43" t="s">
        <v>374</v>
      </c>
    </row>
    <row r="315" customFormat="false" ht="15" hidden="false" customHeight="false" outlineLevel="0" collapsed="false">
      <c r="A315" s="42" t="str">
        <f aca="false">B315&amp;"|"&amp;C315</f>
        <v>316|20-49</v>
      </c>
      <c r="B315" s="43" t="s">
        <v>385</v>
      </c>
      <c r="C315" s="43" t="s">
        <v>121</v>
      </c>
      <c r="D315" s="44" t="n">
        <v>119</v>
      </c>
      <c r="E315" s="43"/>
      <c r="F315" s="44" t="n">
        <v>126</v>
      </c>
      <c r="G315" s="44"/>
      <c r="H315" s="44"/>
      <c r="I315" s="43" t="s">
        <v>172</v>
      </c>
      <c r="J315" s="43" t="s">
        <v>374</v>
      </c>
    </row>
    <row r="316" customFormat="false" ht="15" hidden="false" customHeight="false" outlineLevel="0" collapsed="false">
      <c r="A316" s="42" t="str">
        <f aca="false">B316&amp;"|"&amp;C316</f>
        <v>316|50-99</v>
      </c>
      <c r="B316" s="43" t="s">
        <v>385</v>
      </c>
      <c r="C316" s="43" t="s">
        <v>122</v>
      </c>
      <c r="D316" s="44" t="n">
        <v>39</v>
      </c>
      <c r="E316" s="43"/>
      <c r="F316" s="44" t="n">
        <v>39</v>
      </c>
      <c r="G316" s="44"/>
      <c r="H316" s="44"/>
      <c r="I316" s="43" t="s">
        <v>172</v>
      </c>
      <c r="J316" s="43" t="s">
        <v>374</v>
      </c>
    </row>
    <row r="317" customFormat="false" ht="15" hidden="false" customHeight="false" outlineLevel="0" collapsed="false">
      <c r="A317" s="42" t="str">
        <f aca="false">B317&amp;"|"&amp;C317</f>
        <v>316|100-249</v>
      </c>
      <c r="B317" s="43" t="s">
        <v>385</v>
      </c>
      <c r="C317" s="43" t="s">
        <v>123</v>
      </c>
      <c r="D317" s="44" t="n">
        <v>26</v>
      </c>
      <c r="E317" s="43"/>
      <c r="F317" s="44" t="n">
        <v>27</v>
      </c>
      <c r="G317" s="44"/>
      <c r="H317" s="44"/>
      <c r="I317" s="43" t="s">
        <v>172</v>
      </c>
      <c r="J317" s="43" t="s">
        <v>374</v>
      </c>
    </row>
    <row r="318" customFormat="false" ht="15" hidden="false" customHeight="false" outlineLevel="0" collapsed="false">
      <c r="A318" s="42" t="str">
        <f aca="false">B318&amp;"|"&amp;C318</f>
        <v>316|250-499</v>
      </c>
      <c r="B318" s="43" t="s">
        <v>385</v>
      </c>
      <c r="C318" s="43" t="s">
        <v>124</v>
      </c>
      <c r="D318" s="44"/>
      <c r="E318" s="43" t="s">
        <v>94</v>
      </c>
      <c r="F318" s="44"/>
      <c r="G318" s="44"/>
      <c r="H318" s="44"/>
      <c r="I318" s="43" t="s">
        <v>172</v>
      </c>
      <c r="J318" s="43" t="s">
        <v>374</v>
      </c>
    </row>
    <row r="319" customFormat="false" ht="15" hidden="false" customHeight="false" outlineLevel="0" collapsed="false">
      <c r="A319" s="42" t="str">
        <f aca="false">B319&amp;"|"&amp;C319</f>
        <v>316|500+</v>
      </c>
      <c r="B319" s="43" t="s">
        <v>385</v>
      </c>
      <c r="C319" s="43" t="s">
        <v>125</v>
      </c>
      <c r="D319" s="44"/>
      <c r="E319" s="43" t="s">
        <v>94</v>
      </c>
      <c r="F319" s="44"/>
      <c r="G319" s="44"/>
      <c r="H319" s="44"/>
      <c r="I319" s="43" t="s">
        <v>172</v>
      </c>
      <c r="J319" s="43" t="s">
        <v>374</v>
      </c>
    </row>
    <row r="320" customFormat="false" ht="15" hidden="false" customHeight="false" outlineLevel="0" collapsed="false">
      <c r="A320" s="42" t="str">
        <f aca="false">B320&amp;"|"&amp;C320</f>
        <v>321|FY</v>
      </c>
      <c r="B320" s="43" t="s">
        <v>386</v>
      </c>
      <c r="C320" s="43" t="s">
        <v>367</v>
      </c>
      <c r="D320" s="44" t="n">
        <v>11892</v>
      </c>
      <c r="E320" s="43"/>
      <c r="F320" s="44" t="n">
        <v>14124</v>
      </c>
      <c r="G320" s="44"/>
      <c r="H320" s="44"/>
      <c r="I320" s="43" t="s">
        <v>172</v>
      </c>
      <c r="J320" s="43" t="s">
        <v>374</v>
      </c>
    </row>
    <row r="321" customFormat="false" ht="15" hidden="false" customHeight="false" outlineLevel="0" collapsed="false">
      <c r="A321" s="42" t="str">
        <f aca="false">B321&amp;"|"&amp;C321</f>
        <v>321|20-49</v>
      </c>
      <c r="B321" s="43" t="s">
        <v>386</v>
      </c>
      <c r="C321" s="43" t="s">
        <v>121</v>
      </c>
      <c r="D321" s="44" t="n">
        <v>1798</v>
      </c>
      <c r="E321" s="43"/>
      <c r="F321" s="44" t="n">
        <v>1889</v>
      </c>
      <c r="G321" s="44"/>
      <c r="H321" s="44"/>
      <c r="I321" s="43" t="s">
        <v>172</v>
      </c>
      <c r="J321" s="43" t="s">
        <v>374</v>
      </c>
    </row>
    <row r="322" customFormat="false" ht="15" hidden="false" customHeight="false" outlineLevel="0" collapsed="false">
      <c r="A322" s="42" t="str">
        <f aca="false">B322&amp;"|"&amp;C322</f>
        <v>321|50-99</v>
      </c>
      <c r="B322" s="43" t="s">
        <v>386</v>
      </c>
      <c r="C322" s="43" t="s">
        <v>122</v>
      </c>
      <c r="D322" s="44" t="n">
        <v>683</v>
      </c>
      <c r="E322" s="43"/>
      <c r="F322" s="44" t="n">
        <v>830</v>
      </c>
      <c r="G322" s="44"/>
      <c r="H322" s="44"/>
      <c r="I322" s="43" t="s">
        <v>172</v>
      </c>
      <c r="J322" s="43" t="s">
        <v>374</v>
      </c>
    </row>
    <row r="323" customFormat="false" ht="15" hidden="false" customHeight="false" outlineLevel="0" collapsed="false">
      <c r="A323" s="42" t="str">
        <f aca="false">B323&amp;"|"&amp;C323</f>
        <v>321|100-249</v>
      </c>
      <c r="B323" s="43" t="s">
        <v>386</v>
      </c>
      <c r="C323" s="43" t="s">
        <v>123</v>
      </c>
      <c r="D323" s="44" t="n">
        <v>432</v>
      </c>
      <c r="E323" s="43"/>
      <c r="F323" s="44" t="n">
        <v>730</v>
      </c>
      <c r="G323" s="44"/>
      <c r="H323" s="44"/>
      <c r="I323" s="43" t="s">
        <v>172</v>
      </c>
      <c r="J323" s="43" t="s">
        <v>374</v>
      </c>
    </row>
    <row r="324" customFormat="false" ht="15" hidden="false" customHeight="false" outlineLevel="0" collapsed="false">
      <c r="A324" s="42" t="str">
        <f aca="false">B324&amp;"|"&amp;C324</f>
        <v>321|250-499</v>
      </c>
      <c r="B324" s="43" t="s">
        <v>386</v>
      </c>
      <c r="C324" s="43" t="s">
        <v>124</v>
      </c>
      <c r="D324" s="44" t="n">
        <v>105</v>
      </c>
      <c r="E324" s="43"/>
      <c r="F324" s="44" t="n">
        <v>328</v>
      </c>
      <c r="G324" s="44"/>
      <c r="H324" s="44"/>
      <c r="I324" s="43" t="s">
        <v>172</v>
      </c>
      <c r="J324" s="43" t="s">
        <v>374</v>
      </c>
    </row>
    <row r="325" customFormat="false" ht="15" hidden="false" customHeight="false" outlineLevel="0" collapsed="false">
      <c r="A325" s="42" t="str">
        <f aca="false">B325&amp;"|"&amp;C325</f>
        <v>321|500+</v>
      </c>
      <c r="B325" s="43" t="s">
        <v>386</v>
      </c>
      <c r="C325" s="43" t="s">
        <v>125</v>
      </c>
      <c r="D325" s="44" t="n">
        <v>91</v>
      </c>
      <c r="E325" s="43"/>
      <c r="F325" s="44" t="n">
        <v>1509</v>
      </c>
      <c r="G325" s="44"/>
      <c r="H325" s="44"/>
      <c r="I325" s="43" t="s">
        <v>172</v>
      </c>
      <c r="J325" s="43" t="s">
        <v>374</v>
      </c>
    </row>
    <row r="326" customFormat="false" ht="15" hidden="false" customHeight="false" outlineLevel="0" collapsed="false">
      <c r="A326" s="42" t="str">
        <f aca="false">B326&amp;"|"&amp;C326</f>
        <v>322|FY</v>
      </c>
      <c r="B326" s="43" t="s">
        <v>387</v>
      </c>
      <c r="C326" s="43" t="s">
        <v>367</v>
      </c>
      <c r="D326" s="44"/>
      <c r="E326" s="43" t="s">
        <v>94</v>
      </c>
      <c r="F326" s="44"/>
      <c r="G326" s="44"/>
      <c r="H326" s="44"/>
      <c r="I326" s="43" t="s">
        <v>172</v>
      </c>
      <c r="J326" s="43" t="s">
        <v>374</v>
      </c>
    </row>
    <row r="327" customFormat="false" ht="15" hidden="false" customHeight="false" outlineLevel="0" collapsed="false">
      <c r="A327" s="42" t="str">
        <f aca="false">B327&amp;"|"&amp;C327</f>
        <v>322|20-49</v>
      </c>
      <c r="B327" s="43" t="s">
        <v>387</v>
      </c>
      <c r="C327" s="43" t="s">
        <v>121</v>
      </c>
      <c r="D327" s="44" t="n">
        <v>441</v>
      </c>
      <c r="E327" s="43"/>
      <c r="F327" s="44" t="n">
        <v>449</v>
      </c>
      <c r="G327" s="44"/>
      <c r="H327" s="44"/>
      <c r="I327" s="43" t="s">
        <v>172</v>
      </c>
      <c r="J327" s="43" t="s">
        <v>374</v>
      </c>
    </row>
    <row r="328" customFormat="false" ht="15" hidden="false" customHeight="false" outlineLevel="0" collapsed="false">
      <c r="A328" s="42" t="str">
        <f aca="false">B328&amp;"|"&amp;C328</f>
        <v>322|50-99</v>
      </c>
      <c r="B328" s="43" t="s">
        <v>387</v>
      </c>
      <c r="C328" s="43" t="s">
        <v>122</v>
      </c>
      <c r="D328" s="44" t="n">
        <v>295</v>
      </c>
      <c r="E328" s="43"/>
      <c r="F328" s="44" t="n">
        <v>335</v>
      </c>
      <c r="G328" s="44"/>
      <c r="H328" s="44"/>
      <c r="I328" s="43" t="s">
        <v>172</v>
      </c>
      <c r="J328" s="43" t="s">
        <v>374</v>
      </c>
    </row>
    <row r="329" customFormat="false" ht="15" hidden="false" customHeight="false" outlineLevel="0" collapsed="false">
      <c r="A329" s="42" t="str">
        <f aca="false">B329&amp;"|"&amp;C329</f>
        <v>322|100-249</v>
      </c>
      <c r="B329" s="43" t="s">
        <v>387</v>
      </c>
      <c r="C329" s="43" t="s">
        <v>123</v>
      </c>
      <c r="D329" s="44" t="n">
        <v>278</v>
      </c>
      <c r="E329" s="43"/>
      <c r="F329" s="44" t="n">
        <v>423</v>
      </c>
      <c r="G329" s="44"/>
      <c r="H329" s="44"/>
      <c r="I329" s="43" t="s">
        <v>172</v>
      </c>
      <c r="J329" s="43" t="s">
        <v>374</v>
      </c>
    </row>
    <row r="330" customFormat="false" ht="15" hidden="false" customHeight="false" outlineLevel="0" collapsed="false">
      <c r="A330" s="42" t="str">
        <f aca="false">B330&amp;"|"&amp;C330</f>
        <v>322|250-499</v>
      </c>
      <c r="B330" s="43" t="s">
        <v>387</v>
      </c>
      <c r="C330" s="43" t="s">
        <v>124</v>
      </c>
      <c r="D330" s="44" t="n">
        <v>69</v>
      </c>
      <c r="E330" s="43"/>
      <c r="F330" s="44" t="n">
        <v>164</v>
      </c>
      <c r="G330" s="44"/>
      <c r="H330" s="44"/>
      <c r="I330" s="43" t="s">
        <v>172</v>
      </c>
      <c r="J330" s="43" t="s">
        <v>374</v>
      </c>
    </row>
    <row r="331" customFormat="false" ht="15" hidden="false" customHeight="false" outlineLevel="0" collapsed="false">
      <c r="A331" s="42" t="str">
        <f aca="false">B331&amp;"|"&amp;C331</f>
        <v>322|500+</v>
      </c>
      <c r="B331" s="43" t="s">
        <v>387</v>
      </c>
      <c r="C331" s="43" t="s">
        <v>125</v>
      </c>
      <c r="D331" s="44" t="n">
        <v>101</v>
      </c>
      <c r="E331" s="43"/>
      <c r="F331" s="44" t="n">
        <v>1397</v>
      </c>
      <c r="G331" s="44"/>
      <c r="H331" s="44"/>
      <c r="I331" s="43" t="s">
        <v>172</v>
      </c>
      <c r="J331" s="43" t="s">
        <v>374</v>
      </c>
    </row>
    <row r="332" customFormat="false" ht="15" hidden="false" customHeight="false" outlineLevel="0" collapsed="false">
      <c r="A332" s="42" t="str">
        <f aca="false">B332&amp;"|"&amp;C332</f>
        <v>323|FY</v>
      </c>
      <c r="B332" s="43" t="s">
        <v>388</v>
      </c>
      <c r="C332" s="43" t="s">
        <v>367</v>
      </c>
      <c r="D332" s="44" t="n">
        <v>21316</v>
      </c>
      <c r="E332" s="43"/>
      <c r="F332" s="44" t="n">
        <v>22687</v>
      </c>
      <c r="G332" s="44"/>
      <c r="H332" s="44"/>
      <c r="I332" s="43" t="s">
        <v>172</v>
      </c>
      <c r="J332" s="43" t="s">
        <v>374</v>
      </c>
    </row>
    <row r="333" customFormat="false" ht="15" hidden="false" customHeight="false" outlineLevel="0" collapsed="false">
      <c r="A333" s="42" t="str">
        <f aca="false">B333&amp;"|"&amp;C333</f>
        <v>323|20-49</v>
      </c>
      <c r="B333" s="43" t="s">
        <v>388</v>
      </c>
      <c r="C333" s="43" t="s">
        <v>121</v>
      </c>
      <c r="D333" s="44" t="n">
        <v>1843</v>
      </c>
      <c r="E333" s="43"/>
      <c r="F333" s="44" t="n">
        <v>1982</v>
      </c>
      <c r="G333" s="44"/>
      <c r="H333" s="44"/>
      <c r="I333" s="43" t="s">
        <v>172</v>
      </c>
      <c r="J333" s="43" t="s">
        <v>374</v>
      </c>
    </row>
    <row r="334" customFormat="false" ht="15" hidden="false" customHeight="false" outlineLevel="0" collapsed="false">
      <c r="A334" s="42" t="str">
        <f aca="false">B334&amp;"|"&amp;C334</f>
        <v>323|50-99</v>
      </c>
      <c r="B334" s="43" t="s">
        <v>388</v>
      </c>
      <c r="C334" s="43" t="s">
        <v>122</v>
      </c>
      <c r="D334" s="44" t="n">
        <v>642</v>
      </c>
      <c r="E334" s="43"/>
      <c r="F334" s="44" t="n">
        <v>770</v>
      </c>
      <c r="G334" s="44"/>
      <c r="H334" s="44"/>
      <c r="I334" s="43" t="s">
        <v>172</v>
      </c>
      <c r="J334" s="43" t="s">
        <v>374</v>
      </c>
    </row>
    <row r="335" customFormat="false" ht="15" hidden="false" customHeight="false" outlineLevel="0" collapsed="false">
      <c r="A335" s="42" t="str">
        <f aca="false">B335&amp;"|"&amp;C335</f>
        <v>323|100-249</v>
      </c>
      <c r="B335" s="43" t="s">
        <v>388</v>
      </c>
      <c r="C335" s="43" t="s">
        <v>123</v>
      </c>
      <c r="D335" s="44" t="n">
        <v>369</v>
      </c>
      <c r="E335" s="43"/>
      <c r="F335" s="44" t="n">
        <v>600</v>
      </c>
      <c r="G335" s="44"/>
      <c r="H335" s="44"/>
      <c r="I335" s="43" t="s">
        <v>172</v>
      </c>
      <c r="J335" s="43" t="s">
        <v>374</v>
      </c>
    </row>
    <row r="336" customFormat="false" ht="15" hidden="false" customHeight="false" outlineLevel="0" collapsed="false">
      <c r="A336" s="42" t="str">
        <f aca="false">B336&amp;"|"&amp;C336</f>
        <v>323|250-499</v>
      </c>
      <c r="B336" s="43" t="s">
        <v>388</v>
      </c>
      <c r="C336" s="43" t="s">
        <v>124</v>
      </c>
      <c r="D336" s="44" t="n">
        <v>96</v>
      </c>
      <c r="E336" s="43"/>
      <c r="F336" s="44" t="n">
        <v>213</v>
      </c>
      <c r="G336" s="44"/>
      <c r="H336" s="44"/>
      <c r="I336" s="43" t="s">
        <v>172</v>
      </c>
      <c r="J336" s="43" t="s">
        <v>374</v>
      </c>
    </row>
    <row r="337" customFormat="false" ht="15" hidden="false" customHeight="false" outlineLevel="0" collapsed="false">
      <c r="A337" s="42" t="str">
        <f aca="false">B337&amp;"|"&amp;C337</f>
        <v>323|500+</v>
      </c>
      <c r="B337" s="43" t="s">
        <v>388</v>
      </c>
      <c r="C337" s="43" t="s">
        <v>125</v>
      </c>
      <c r="D337" s="44" t="n">
        <v>81</v>
      </c>
      <c r="E337" s="43"/>
      <c r="F337" s="44" t="n">
        <v>674</v>
      </c>
      <c r="G337" s="44"/>
      <c r="H337" s="44"/>
      <c r="I337" s="43" t="s">
        <v>172</v>
      </c>
      <c r="J337" s="43" t="s">
        <v>374</v>
      </c>
    </row>
    <row r="338" customFormat="false" ht="15" hidden="false" customHeight="false" outlineLevel="0" collapsed="false">
      <c r="A338" s="42" t="str">
        <f aca="false">B338&amp;"|"&amp;C338</f>
        <v>324|FY</v>
      </c>
      <c r="B338" s="43" t="s">
        <v>389</v>
      </c>
      <c r="C338" s="43" t="s">
        <v>367</v>
      </c>
      <c r="D338" s="44" t="n">
        <v>753</v>
      </c>
      <c r="E338" s="43"/>
      <c r="F338" s="44" t="n">
        <v>1943</v>
      </c>
      <c r="G338" s="44"/>
      <c r="H338" s="44"/>
      <c r="I338" s="43" t="s">
        <v>172</v>
      </c>
      <c r="J338" s="43" t="s">
        <v>374</v>
      </c>
    </row>
    <row r="339" customFormat="false" ht="15" hidden="false" customHeight="false" outlineLevel="0" collapsed="false">
      <c r="A339" s="42" t="str">
        <f aca="false">B339&amp;"|"&amp;C339</f>
        <v>324|20-49</v>
      </c>
      <c r="B339" s="43" t="s">
        <v>389</v>
      </c>
      <c r="C339" s="43" t="s">
        <v>121</v>
      </c>
      <c r="D339" s="44" t="n">
        <v>121</v>
      </c>
      <c r="E339" s="43"/>
      <c r="F339" s="44" t="n">
        <v>239</v>
      </c>
      <c r="G339" s="44"/>
      <c r="H339" s="44"/>
      <c r="I339" s="43" t="s">
        <v>172</v>
      </c>
      <c r="J339" s="43" t="s">
        <v>374</v>
      </c>
    </row>
    <row r="340" customFormat="false" ht="15" hidden="false" customHeight="false" outlineLevel="0" collapsed="false">
      <c r="A340" s="42" t="str">
        <f aca="false">B340&amp;"|"&amp;C340</f>
        <v>324|50-99</v>
      </c>
      <c r="B340" s="43" t="s">
        <v>389</v>
      </c>
      <c r="C340" s="43" t="s">
        <v>122</v>
      </c>
      <c r="D340" s="44" t="n">
        <v>75</v>
      </c>
      <c r="E340" s="43"/>
      <c r="F340" s="44" t="n">
        <v>217</v>
      </c>
      <c r="G340" s="44"/>
      <c r="H340" s="44"/>
      <c r="I340" s="43" t="s">
        <v>172</v>
      </c>
      <c r="J340" s="43" t="s">
        <v>374</v>
      </c>
    </row>
    <row r="341" customFormat="false" ht="15" hidden="false" customHeight="false" outlineLevel="0" collapsed="false">
      <c r="A341" s="42" t="str">
        <f aca="false">B341&amp;"|"&amp;C341</f>
        <v>324|100-249</v>
      </c>
      <c r="B341" s="43" t="s">
        <v>389</v>
      </c>
      <c r="C341" s="43" t="s">
        <v>123</v>
      </c>
      <c r="D341" s="44" t="n">
        <v>59</v>
      </c>
      <c r="E341" s="43"/>
      <c r="F341" s="44" t="n">
        <v>253</v>
      </c>
      <c r="G341" s="44"/>
      <c r="H341" s="44"/>
      <c r="I341" s="43" t="s">
        <v>172</v>
      </c>
      <c r="J341" s="43" t="s">
        <v>374</v>
      </c>
    </row>
    <row r="342" customFormat="false" ht="15" hidden="false" customHeight="false" outlineLevel="0" collapsed="false">
      <c r="A342" s="42" t="str">
        <f aca="false">B342&amp;"|"&amp;C342</f>
        <v>324|250-499</v>
      </c>
      <c r="B342" s="43" t="s">
        <v>389</v>
      </c>
      <c r="C342" s="43" t="s">
        <v>124</v>
      </c>
      <c r="D342" s="44" t="n">
        <v>28</v>
      </c>
      <c r="E342" s="43"/>
      <c r="F342" s="44" t="n">
        <v>151</v>
      </c>
      <c r="G342" s="44"/>
      <c r="H342" s="44"/>
      <c r="I342" s="43" t="s">
        <v>172</v>
      </c>
      <c r="J342" s="43" t="s">
        <v>374</v>
      </c>
    </row>
    <row r="343" customFormat="false" ht="15" hidden="false" customHeight="false" outlineLevel="0" collapsed="false">
      <c r="A343" s="42" t="str">
        <f aca="false">B343&amp;"|"&amp;C343</f>
        <v>324|500+</v>
      </c>
      <c r="B343" s="43" t="s">
        <v>389</v>
      </c>
      <c r="C343" s="43" t="s">
        <v>125</v>
      </c>
      <c r="D343" s="44" t="n">
        <v>35</v>
      </c>
      <c r="E343" s="43"/>
      <c r="F343" s="44" t="n">
        <v>580</v>
      </c>
      <c r="G343" s="44"/>
      <c r="H343" s="44"/>
      <c r="I343" s="43" t="s">
        <v>172</v>
      </c>
      <c r="J343" s="43" t="s">
        <v>374</v>
      </c>
    </row>
    <row r="344" customFormat="false" ht="15" hidden="false" customHeight="false" outlineLevel="0" collapsed="false">
      <c r="A344" s="42" t="str">
        <f aca="false">B344&amp;"|"&amp;C344</f>
        <v>325|FY</v>
      </c>
      <c r="B344" s="43" t="s">
        <v>390</v>
      </c>
      <c r="C344" s="43" t="s">
        <v>367</v>
      </c>
      <c r="D344" s="44" t="n">
        <v>10705</v>
      </c>
      <c r="E344" s="43"/>
      <c r="F344" s="44" t="n">
        <v>14851</v>
      </c>
      <c r="G344" s="44"/>
      <c r="H344" s="44"/>
      <c r="I344" s="43" t="s">
        <v>172</v>
      </c>
      <c r="J344" s="43" t="s">
        <v>374</v>
      </c>
    </row>
    <row r="345" customFormat="false" ht="15" hidden="false" customHeight="false" outlineLevel="0" collapsed="false">
      <c r="A345" s="42" t="str">
        <f aca="false">B345&amp;"|"&amp;C345</f>
        <v>325|20-49</v>
      </c>
      <c r="B345" s="43" t="s">
        <v>390</v>
      </c>
      <c r="C345" s="43" t="s">
        <v>121</v>
      </c>
      <c r="D345" s="44" t="n">
        <v>1647</v>
      </c>
      <c r="E345" s="43"/>
      <c r="F345" s="44" t="n">
        <v>1800</v>
      </c>
      <c r="G345" s="44"/>
      <c r="H345" s="44"/>
      <c r="I345" s="43" t="s">
        <v>172</v>
      </c>
      <c r="J345" s="43" t="s">
        <v>374</v>
      </c>
    </row>
    <row r="346" customFormat="false" ht="15" hidden="false" customHeight="false" outlineLevel="0" collapsed="false">
      <c r="A346" s="42" t="str">
        <f aca="false">B346&amp;"|"&amp;C346</f>
        <v>325|50-99</v>
      </c>
      <c r="B346" s="43" t="s">
        <v>390</v>
      </c>
      <c r="C346" s="43" t="s">
        <v>122</v>
      </c>
      <c r="D346" s="44" t="n">
        <v>865</v>
      </c>
      <c r="E346" s="43"/>
      <c r="F346" s="44" t="n">
        <v>1141</v>
      </c>
      <c r="G346" s="44"/>
      <c r="H346" s="44"/>
      <c r="I346" s="43" t="s">
        <v>172</v>
      </c>
      <c r="J346" s="43" t="s">
        <v>374</v>
      </c>
    </row>
    <row r="347" customFormat="false" ht="15" hidden="false" customHeight="false" outlineLevel="0" collapsed="false">
      <c r="A347" s="42" t="str">
        <f aca="false">B347&amp;"|"&amp;C347</f>
        <v>325|100-249</v>
      </c>
      <c r="B347" s="43" t="s">
        <v>390</v>
      </c>
      <c r="C347" s="43" t="s">
        <v>123</v>
      </c>
      <c r="D347" s="44" t="n">
        <v>718</v>
      </c>
      <c r="E347" s="43"/>
      <c r="F347" s="44" t="n">
        <v>1265</v>
      </c>
      <c r="G347" s="44"/>
      <c r="H347" s="44"/>
      <c r="I347" s="43" t="s">
        <v>172</v>
      </c>
      <c r="J347" s="43" t="s">
        <v>374</v>
      </c>
    </row>
    <row r="348" customFormat="false" ht="15" hidden="false" customHeight="false" outlineLevel="0" collapsed="false">
      <c r="A348" s="42" t="str">
        <f aca="false">B348&amp;"|"&amp;C348</f>
        <v>325|250-499</v>
      </c>
      <c r="B348" s="43" t="s">
        <v>390</v>
      </c>
      <c r="C348" s="43" t="s">
        <v>124</v>
      </c>
      <c r="D348" s="44" t="n">
        <v>304</v>
      </c>
      <c r="E348" s="43"/>
      <c r="F348" s="44" t="n">
        <v>841</v>
      </c>
      <c r="G348" s="44"/>
      <c r="H348" s="44"/>
      <c r="I348" s="43" t="s">
        <v>172</v>
      </c>
      <c r="J348" s="43" t="s">
        <v>374</v>
      </c>
    </row>
    <row r="349" customFormat="false" ht="15" hidden="false" customHeight="false" outlineLevel="0" collapsed="false">
      <c r="A349" s="42" t="str">
        <f aca="false">B349&amp;"|"&amp;C349</f>
        <v>325|500+</v>
      </c>
      <c r="B349" s="43" t="s">
        <v>390</v>
      </c>
      <c r="C349" s="43" t="s">
        <v>125</v>
      </c>
      <c r="D349" s="44" t="n">
        <v>305</v>
      </c>
      <c r="E349" s="43"/>
      <c r="F349" s="44" t="n">
        <v>2868</v>
      </c>
      <c r="G349" s="44"/>
      <c r="H349" s="44"/>
      <c r="I349" s="43" t="s">
        <v>172</v>
      </c>
      <c r="J349" s="43" t="s">
        <v>374</v>
      </c>
    </row>
    <row r="350" customFormat="false" ht="15" hidden="false" customHeight="false" outlineLevel="0" collapsed="false">
      <c r="A350" s="42" t="str">
        <f aca="false">B350&amp;"|"&amp;C350</f>
        <v>327|FY</v>
      </c>
      <c r="B350" s="43" t="s">
        <v>391</v>
      </c>
      <c r="C350" s="43" t="s">
        <v>367</v>
      </c>
      <c r="D350" s="44" t="n">
        <v>8986</v>
      </c>
      <c r="E350" s="43"/>
      <c r="F350" s="44" t="n">
        <v>15186</v>
      </c>
      <c r="G350" s="44"/>
      <c r="H350" s="44"/>
      <c r="I350" s="43" t="s">
        <v>172</v>
      </c>
      <c r="J350" s="43" t="s">
        <v>374</v>
      </c>
    </row>
    <row r="351" customFormat="false" ht="15" hidden="false" customHeight="false" outlineLevel="0" collapsed="false">
      <c r="A351" s="42" t="str">
        <f aca="false">B351&amp;"|"&amp;C351</f>
        <v>327|20-49</v>
      </c>
      <c r="B351" s="43" t="s">
        <v>391</v>
      </c>
      <c r="C351" s="43" t="s">
        <v>121</v>
      </c>
      <c r="D351" s="44" t="n">
        <v>1475</v>
      </c>
      <c r="E351" s="43"/>
      <c r="F351" s="44" t="n">
        <v>1863</v>
      </c>
      <c r="G351" s="44"/>
      <c r="H351" s="44"/>
      <c r="I351" s="43" t="s">
        <v>172</v>
      </c>
      <c r="J351" s="43" t="s">
        <v>374</v>
      </c>
    </row>
    <row r="352" customFormat="false" ht="15" hidden="false" customHeight="false" outlineLevel="0" collapsed="false">
      <c r="A352" s="42" t="str">
        <f aca="false">B352&amp;"|"&amp;C352</f>
        <v>327|50-99</v>
      </c>
      <c r="B352" s="43" t="s">
        <v>391</v>
      </c>
      <c r="C352" s="43" t="s">
        <v>122</v>
      </c>
      <c r="D352" s="44" t="n">
        <v>637</v>
      </c>
      <c r="E352" s="43"/>
      <c r="F352" s="44" t="n">
        <v>1203</v>
      </c>
      <c r="G352" s="44"/>
      <c r="H352" s="44"/>
      <c r="I352" s="43" t="s">
        <v>172</v>
      </c>
      <c r="J352" s="43" t="s">
        <v>374</v>
      </c>
    </row>
    <row r="353" customFormat="false" ht="15" hidden="false" customHeight="false" outlineLevel="0" collapsed="false">
      <c r="A353" s="42" t="str">
        <f aca="false">B353&amp;"|"&amp;C353</f>
        <v>327|100-249</v>
      </c>
      <c r="B353" s="43" t="s">
        <v>391</v>
      </c>
      <c r="C353" s="43" t="s">
        <v>123</v>
      </c>
      <c r="D353" s="44" t="n">
        <v>378</v>
      </c>
      <c r="E353" s="43"/>
      <c r="F353" s="44" t="n">
        <v>1326</v>
      </c>
      <c r="G353" s="44"/>
      <c r="H353" s="44"/>
      <c r="I353" s="43" t="s">
        <v>172</v>
      </c>
      <c r="J353" s="43" t="s">
        <v>374</v>
      </c>
    </row>
    <row r="354" customFormat="false" ht="15" hidden="false" customHeight="false" outlineLevel="0" collapsed="false">
      <c r="A354" s="42" t="str">
        <f aca="false">B354&amp;"|"&amp;C354</f>
        <v>327|250-499</v>
      </c>
      <c r="B354" s="43" t="s">
        <v>391</v>
      </c>
      <c r="C354" s="43" t="s">
        <v>124</v>
      </c>
      <c r="D354" s="44" t="n">
        <v>117</v>
      </c>
      <c r="E354" s="43"/>
      <c r="F354" s="44" t="n">
        <v>622</v>
      </c>
      <c r="G354" s="44"/>
      <c r="H354" s="44"/>
      <c r="I354" s="43" t="s">
        <v>172</v>
      </c>
      <c r="J354" s="43" t="s">
        <v>374</v>
      </c>
    </row>
    <row r="355" customFormat="false" ht="15" hidden="false" customHeight="false" outlineLevel="0" collapsed="false">
      <c r="A355" s="42" t="str">
        <f aca="false">B355&amp;"|"&amp;C355</f>
        <v>327|500+</v>
      </c>
      <c r="B355" s="43" t="s">
        <v>391</v>
      </c>
      <c r="C355" s="43" t="s">
        <v>125</v>
      </c>
      <c r="D355" s="44" t="n">
        <v>117</v>
      </c>
      <c r="E355" s="43"/>
      <c r="F355" s="44" t="n">
        <v>3782</v>
      </c>
      <c r="G355" s="44"/>
      <c r="H355" s="44"/>
      <c r="I355" s="43" t="s">
        <v>172</v>
      </c>
      <c r="J355" s="43" t="s">
        <v>374</v>
      </c>
    </row>
    <row r="356" customFormat="false" ht="15" hidden="false" customHeight="false" outlineLevel="0" collapsed="false">
      <c r="A356" s="42" t="str">
        <f aca="false">B356&amp;"|"&amp;C356</f>
        <v>331|FY</v>
      </c>
      <c r="B356" s="43" t="s">
        <v>392</v>
      </c>
      <c r="C356" s="43" t="s">
        <v>367</v>
      </c>
      <c r="D356" s="44" t="n">
        <v>2358</v>
      </c>
      <c r="E356" s="43"/>
      <c r="F356" s="44" t="n">
        <v>3225</v>
      </c>
      <c r="G356" s="44"/>
      <c r="H356" s="44"/>
      <c r="I356" s="43" t="s">
        <v>172</v>
      </c>
      <c r="J356" s="43" t="s">
        <v>374</v>
      </c>
    </row>
    <row r="357" customFormat="false" ht="15" hidden="false" customHeight="false" outlineLevel="0" collapsed="false">
      <c r="A357" s="42" t="str">
        <f aca="false">B357&amp;"|"&amp;C357</f>
        <v>331|20-49</v>
      </c>
      <c r="B357" s="43" t="s">
        <v>392</v>
      </c>
      <c r="C357" s="43" t="s">
        <v>121</v>
      </c>
      <c r="D357" s="44" t="n">
        <v>463</v>
      </c>
      <c r="E357" s="43"/>
      <c r="F357" s="44" t="n">
        <v>480</v>
      </c>
      <c r="G357" s="44"/>
      <c r="H357" s="44"/>
      <c r="I357" s="43" t="s">
        <v>172</v>
      </c>
      <c r="J357" s="43" t="s">
        <v>374</v>
      </c>
    </row>
    <row r="358" customFormat="false" ht="15" hidden="false" customHeight="false" outlineLevel="0" collapsed="false">
      <c r="A358" s="42" t="str">
        <f aca="false">B358&amp;"|"&amp;C358</f>
        <v>331|50-99</v>
      </c>
      <c r="B358" s="43" t="s">
        <v>392</v>
      </c>
      <c r="C358" s="43" t="s">
        <v>122</v>
      </c>
      <c r="D358" s="44" t="n">
        <v>323</v>
      </c>
      <c r="E358" s="43"/>
      <c r="F358" s="44" t="n">
        <v>368</v>
      </c>
      <c r="G358" s="44"/>
      <c r="H358" s="44"/>
      <c r="I358" s="43" t="s">
        <v>172</v>
      </c>
      <c r="J358" s="43" t="s">
        <v>374</v>
      </c>
    </row>
    <row r="359" customFormat="false" ht="15" hidden="false" customHeight="false" outlineLevel="0" collapsed="false">
      <c r="A359" s="42" t="str">
        <f aca="false">B359&amp;"|"&amp;C359</f>
        <v>331|100-249</v>
      </c>
      <c r="B359" s="43" t="s">
        <v>392</v>
      </c>
      <c r="C359" s="43" t="s">
        <v>123</v>
      </c>
      <c r="D359" s="44" t="n">
        <v>323</v>
      </c>
      <c r="E359" s="43"/>
      <c r="F359" s="44" t="n">
        <v>428</v>
      </c>
      <c r="G359" s="44"/>
      <c r="H359" s="44"/>
      <c r="I359" s="43" t="s">
        <v>172</v>
      </c>
      <c r="J359" s="43" t="s">
        <v>374</v>
      </c>
    </row>
    <row r="360" customFormat="false" ht="15" hidden="false" customHeight="false" outlineLevel="0" collapsed="false">
      <c r="A360" s="42" t="str">
        <f aca="false">B360&amp;"|"&amp;C360</f>
        <v>331|250-499</v>
      </c>
      <c r="B360" s="43" t="s">
        <v>392</v>
      </c>
      <c r="C360" s="43" t="s">
        <v>124</v>
      </c>
      <c r="D360" s="44" t="n">
        <v>135</v>
      </c>
      <c r="E360" s="43"/>
      <c r="F360" s="44" t="n">
        <v>266</v>
      </c>
      <c r="G360" s="44"/>
      <c r="H360" s="44"/>
      <c r="I360" s="43" t="s">
        <v>172</v>
      </c>
      <c r="J360" s="43" t="s">
        <v>374</v>
      </c>
    </row>
    <row r="361" customFormat="false" ht="15" hidden="false" customHeight="false" outlineLevel="0" collapsed="false">
      <c r="A361" s="42" t="str">
        <f aca="false">B361&amp;"|"&amp;C361</f>
        <v>331|500+</v>
      </c>
      <c r="B361" s="43" t="s">
        <v>392</v>
      </c>
      <c r="C361" s="43" t="s">
        <v>125</v>
      </c>
      <c r="D361" s="44" t="n">
        <v>116</v>
      </c>
      <c r="E361" s="43"/>
      <c r="F361" s="44" t="n">
        <v>675</v>
      </c>
      <c r="G361" s="44"/>
      <c r="H361" s="44"/>
      <c r="I361" s="43" t="s">
        <v>172</v>
      </c>
      <c r="J361" s="43" t="s">
        <v>374</v>
      </c>
    </row>
    <row r="362" customFormat="false" ht="15" hidden="false" customHeight="false" outlineLevel="0" collapsed="false">
      <c r="A362" s="42" t="str">
        <f aca="false">B362&amp;"|"&amp;C362</f>
        <v>336|FY</v>
      </c>
      <c r="B362" s="43" t="s">
        <v>393</v>
      </c>
      <c r="C362" s="43" t="s">
        <v>367</v>
      </c>
      <c r="D362" s="44" t="n">
        <v>9383</v>
      </c>
      <c r="E362" s="43"/>
      <c r="F362" s="44" t="n">
        <v>11785</v>
      </c>
      <c r="G362" s="44"/>
      <c r="H362" s="44"/>
      <c r="I362" s="43" t="s">
        <v>172</v>
      </c>
      <c r="J362" s="43" t="s">
        <v>374</v>
      </c>
    </row>
    <row r="363" customFormat="false" ht="15" hidden="false" customHeight="false" outlineLevel="0" collapsed="false">
      <c r="A363" s="42" t="str">
        <f aca="false">B363&amp;"|"&amp;C363</f>
        <v>336|20-49</v>
      </c>
      <c r="B363" s="43" t="s">
        <v>393</v>
      </c>
      <c r="C363" s="43" t="s">
        <v>121</v>
      </c>
      <c r="D363" s="44" t="n">
        <v>1361</v>
      </c>
      <c r="E363" s="43"/>
      <c r="F363" s="44" t="n">
        <v>1425</v>
      </c>
      <c r="G363" s="44"/>
      <c r="H363" s="44"/>
      <c r="I363" s="43" t="s">
        <v>172</v>
      </c>
      <c r="J363" s="43" t="s">
        <v>374</v>
      </c>
    </row>
    <row r="364" customFormat="false" ht="15" hidden="false" customHeight="false" outlineLevel="0" collapsed="false">
      <c r="A364" s="42" t="str">
        <f aca="false">B364&amp;"|"&amp;C364</f>
        <v>336|50-99</v>
      </c>
      <c r="B364" s="43" t="s">
        <v>393</v>
      </c>
      <c r="C364" s="43" t="s">
        <v>122</v>
      </c>
      <c r="D364" s="44" t="n">
        <v>887</v>
      </c>
      <c r="E364" s="43"/>
      <c r="F364" s="44" t="n">
        <v>975</v>
      </c>
      <c r="G364" s="44"/>
      <c r="H364" s="44"/>
      <c r="I364" s="43" t="s">
        <v>172</v>
      </c>
      <c r="J364" s="43" t="s">
        <v>374</v>
      </c>
    </row>
    <row r="365" customFormat="false" ht="15" hidden="false" customHeight="false" outlineLevel="0" collapsed="false">
      <c r="A365" s="42" t="str">
        <f aca="false">B365&amp;"|"&amp;C365</f>
        <v>336|100-249</v>
      </c>
      <c r="B365" s="43" t="s">
        <v>393</v>
      </c>
      <c r="C365" s="43" t="s">
        <v>123</v>
      </c>
      <c r="D365" s="44" t="n">
        <v>703</v>
      </c>
      <c r="E365" s="43"/>
      <c r="F365" s="44" t="n">
        <v>919</v>
      </c>
      <c r="G365" s="44"/>
      <c r="H365" s="44"/>
      <c r="I365" s="43" t="s">
        <v>172</v>
      </c>
      <c r="J365" s="43" t="s">
        <v>374</v>
      </c>
    </row>
    <row r="366" customFormat="false" ht="15" hidden="false" customHeight="false" outlineLevel="0" collapsed="false">
      <c r="A366" s="42" t="str">
        <f aca="false">B366&amp;"|"&amp;C366</f>
        <v>336|250-499</v>
      </c>
      <c r="B366" s="43" t="s">
        <v>393</v>
      </c>
      <c r="C366" s="43" t="s">
        <v>124</v>
      </c>
      <c r="D366" s="44" t="n">
        <v>318</v>
      </c>
      <c r="E366" s="43"/>
      <c r="F366" s="44" t="n">
        <v>544</v>
      </c>
      <c r="G366" s="44"/>
      <c r="H366" s="44"/>
      <c r="I366" s="43" t="s">
        <v>172</v>
      </c>
      <c r="J366" s="43" t="s">
        <v>374</v>
      </c>
    </row>
    <row r="367" customFormat="false" ht="15" hidden="false" customHeight="false" outlineLevel="0" collapsed="false">
      <c r="A367" s="42" t="str">
        <f aca="false">B367&amp;"|"&amp;C367</f>
        <v>336|500+</v>
      </c>
      <c r="B367" s="43" t="s">
        <v>393</v>
      </c>
      <c r="C367" s="43" t="s">
        <v>125</v>
      </c>
      <c r="D367" s="44" t="n">
        <v>375</v>
      </c>
      <c r="E367" s="43"/>
      <c r="F367" s="44" t="n">
        <v>2163</v>
      </c>
      <c r="G367" s="44"/>
      <c r="H367" s="44"/>
      <c r="I367" s="43" t="s">
        <v>172</v>
      </c>
      <c r="J367" s="43" t="s">
        <v>374</v>
      </c>
    </row>
    <row r="368" customFormat="false" ht="15" hidden="false" customHeight="false" outlineLevel="0" collapsed="false">
      <c r="A368" s="42" t="str">
        <f aca="false">B368&amp;"|"&amp;C368</f>
        <v>337|FY</v>
      </c>
      <c r="B368" s="43" t="s">
        <v>394</v>
      </c>
      <c r="C368" s="43" t="s">
        <v>367</v>
      </c>
      <c r="D368" s="44" t="n">
        <v>13713</v>
      </c>
      <c r="E368" s="43"/>
      <c r="F368" s="44" t="n">
        <v>14289</v>
      </c>
      <c r="G368" s="44"/>
      <c r="H368" s="44"/>
      <c r="I368" s="43" t="s">
        <v>172</v>
      </c>
      <c r="J368" s="43" t="s">
        <v>374</v>
      </c>
    </row>
    <row r="369" customFormat="false" ht="15" hidden="false" customHeight="false" outlineLevel="0" collapsed="false">
      <c r="A369" s="42" t="str">
        <f aca="false">B369&amp;"|"&amp;C369</f>
        <v>337|20-49</v>
      </c>
      <c r="B369" s="43" t="s">
        <v>394</v>
      </c>
      <c r="C369" s="43" t="s">
        <v>121</v>
      </c>
      <c r="D369" s="44" t="n">
        <v>1604</v>
      </c>
      <c r="E369" s="43"/>
      <c r="F369" s="44" t="n">
        <v>1670</v>
      </c>
      <c r="G369" s="44"/>
      <c r="H369" s="44"/>
      <c r="I369" s="43" t="s">
        <v>172</v>
      </c>
      <c r="J369" s="43" t="s">
        <v>374</v>
      </c>
    </row>
    <row r="370" customFormat="false" ht="15" hidden="false" customHeight="false" outlineLevel="0" collapsed="false">
      <c r="A370" s="42" t="str">
        <f aca="false">B370&amp;"|"&amp;C370</f>
        <v>337|50-99</v>
      </c>
      <c r="B370" s="43" t="s">
        <v>394</v>
      </c>
      <c r="C370" s="43" t="s">
        <v>122</v>
      </c>
      <c r="D370" s="44" t="n">
        <v>580</v>
      </c>
      <c r="E370" s="43"/>
      <c r="F370" s="44" t="n">
        <v>628</v>
      </c>
      <c r="G370" s="44"/>
      <c r="H370" s="44"/>
      <c r="I370" s="43" t="s">
        <v>172</v>
      </c>
      <c r="J370" s="43" t="s">
        <v>374</v>
      </c>
    </row>
    <row r="371" customFormat="false" ht="15" hidden="false" customHeight="false" outlineLevel="0" collapsed="false">
      <c r="A371" s="42" t="str">
        <f aca="false">B371&amp;"|"&amp;C371</f>
        <v>337|100-249</v>
      </c>
      <c r="B371" s="43" t="s">
        <v>394</v>
      </c>
      <c r="C371" s="43" t="s">
        <v>123</v>
      </c>
      <c r="D371" s="44" t="n">
        <v>369</v>
      </c>
      <c r="E371" s="43"/>
      <c r="F371" s="44" t="n">
        <v>453</v>
      </c>
      <c r="G371" s="44"/>
      <c r="H371" s="44"/>
      <c r="I371" s="43" t="s">
        <v>172</v>
      </c>
      <c r="J371" s="43" t="s">
        <v>374</v>
      </c>
    </row>
    <row r="372" customFormat="false" ht="15" hidden="false" customHeight="false" outlineLevel="0" collapsed="false">
      <c r="A372" s="42" t="str">
        <f aca="false">B372&amp;"|"&amp;C372</f>
        <v>337|250-499</v>
      </c>
      <c r="B372" s="43" t="s">
        <v>394</v>
      </c>
      <c r="C372" s="43" t="s">
        <v>124</v>
      </c>
      <c r="D372" s="44" t="n">
        <v>95</v>
      </c>
      <c r="E372" s="43"/>
      <c r="F372" s="44" t="n">
        <v>162</v>
      </c>
      <c r="G372" s="44"/>
      <c r="H372" s="44"/>
      <c r="I372" s="43" t="s">
        <v>172</v>
      </c>
      <c r="J372" s="43" t="s">
        <v>374</v>
      </c>
    </row>
    <row r="373" customFormat="false" ht="15" hidden="false" customHeight="false" outlineLevel="0" collapsed="false">
      <c r="A373" s="42" t="str">
        <f aca="false">B373&amp;"|"&amp;C373</f>
        <v>337|500+</v>
      </c>
      <c r="B373" s="43" t="s">
        <v>394</v>
      </c>
      <c r="C373" s="43" t="s">
        <v>125</v>
      </c>
      <c r="D373" s="44" t="n">
        <v>94</v>
      </c>
      <c r="E373" s="43"/>
      <c r="F373" s="44" t="n">
        <v>370</v>
      </c>
      <c r="G373" s="44"/>
      <c r="H373" s="44"/>
      <c r="I373" s="43" t="s">
        <v>172</v>
      </c>
      <c r="J373" s="43" t="s">
        <v>374</v>
      </c>
    </row>
    <row r="374" customFormat="false" ht="15" hidden="false" customHeight="false" outlineLevel="0" collapsed="false">
      <c r="A374" s="42" t="str">
        <f aca="false">B374&amp;"|"&amp;C374</f>
        <v>339|FY</v>
      </c>
      <c r="B374" s="43" t="s">
        <v>395</v>
      </c>
      <c r="C374" s="43" t="s">
        <v>367</v>
      </c>
      <c r="D374" s="44" t="n">
        <v>23535</v>
      </c>
      <c r="E374" s="43"/>
      <c r="F374" s="44" t="n">
        <v>25061</v>
      </c>
      <c r="G374" s="44"/>
      <c r="H374" s="44"/>
      <c r="I374" s="43" t="s">
        <v>172</v>
      </c>
      <c r="J374" s="43" t="s">
        <v>374</v>
      </c>
    </row>
    <row r="375" customFormat="false" ht="15" hidden="false" customHeight="false" outlineLevel="0" collapsed="false">
      <c r="A375" s="42" t="str">
        <f aca="false">B375&amp;"|"&amp;C375</f>
        <v>339|20-49</v>
      </c>
      <c r="B375" s="43" t="s">
        <v>395</v>
      </c>
      <c r="C375" s="43" t="s">
        <v>121</v>
      </c>
      <c r="D375" s="44" t="n">
        <v>1947</v>
      </c>
      <c r="E375" s="43"/>
      <c r="F375" s="44" t="n">
        <v>2077</v>
      </c>
      <c r="G375" s="44"/>
      <c r="H375" s="44"/>
      <c r="I375" s="43" t="s">
        <v>172</v>
      </c>
      <c r="J375" s="43" t="s">
        <v>374</v>
      </c>
    </row>
    <row r="376" customFormat="false" ht="15" hidden="false" customHeight="false" outlineLevel="0" collapsed="false">
      <c r="A376" s="42" t="str">
        <f aca="false">B376&amp;"|"&amp;C376</f>
        <v>339|50-99</v>
      </c>
      <c r="B376" s="43" t="s">
        <v>395</v>
      </c>
      <c r="C376" s="43" t="s">
        <v>122</v>
      </c>
      <c r="D376" s="44" t="n">
        <v>723</v>
      </c>
      <c r="E376" s="43"/>
      <c r="F376" s="44" t="n">
        <v>824</v>
      </c>
      <c r="G376" s="44"/>
      <c r="H376" s="44"/>
      <c r="I376" s="43" t="s">
        <v>172</v>
      </c>
      <c r="J376" s="43" t="s">
        <v>374</v>
      </c>
    </row>
    <row r="377" customFormat="false" ht="15" hidden="false" customHeight="false" outlineLevel="0" collapsed="false">
      <c r="A377" s="42" t="str">
        <f aca="false">B377&amp;"|"&amp;C377</f>
        <v>339|100-249</v>
      </c>
      <c r="B377" s="43" t="s">
        <v>395</v>
      </c>
      <c r="C377" s="43" t="s">
        <v>123</v>
      </c>
      <c r="D377" s="44" t="n">
        <v>475</v>
      </c>
      <c r="E377" s="43"/>
      <c r="F377" s="44" t="n">
        <v>675</v>
      </c>
      <c r="G377" s="44"/>
      <c r="H377" s="44"/>
      <c r="I377" s="43" t="s">
        <v>172</v>
      </c>
      <c r="J377" s="43" t="s">
        <v>374</v>
      </c>
    </row>
    <row r="378" customFormat="false" ht="15" hidden="false" customHeight="false" outlineLevel="0" collapsed="false">
      <c r="A378" s="42" t="str">
        <f aca="false">B378&amp;"|"&amp;C378</f>
        <v>339|250-499</v>
      </c>
      <c r="B378" s="43" t="s">
        <v>395</v>
      </c>
      <c r="C378" s="43" t="s">
        <v>124</v>
      </c>
      <c r="D378" s="44" t="n">
        <v>149</v>
      </c>
      <c r="E378" s="43"/>
      <c r="F378" s="44" t="n">
        <v>400</v>
      </c>
      <c r="G378" s="44"/>
      <c r="H378" s="44"/>
      <c r="I378" s="43" t="s">
        <v>172</v>
      </c>
      <c r="J378" s="43" t="s">
        <v>374</v>
      </c>
    </row>
    <row r="379" customFormat="false" ht="15" hidden="false" customHeight="false" outlineLevel="0" collapsed="false">
      <c r="A379" s="42" t="str">
        <f aca="false">B379&amp;"|"&amp;C379</f>
        <v>339|500+</v>
      </c>
      <c r="B379" s="43" t="s">
        <v>395</v>
      </c>
      <c r="C379" s="43" t="s">
        <v>125</v>
      </c>
      <c r="D379" s="44" t="n">
        <v>143</v>
      </c>
      <c r="E379" s="43"/>
      <c r="F379" s="44" t="n">
        <v>905</v>
      </c>
      <c r="G379" s="44"/>
      <c r="H379" s="44"/>
      <c r="I379" s="43" t="s">
        <v>172</v>
      </c>
      <c r="J379" s="43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4" customFormat="false" ht="23.85" hidden="false" customHeight="false" outlineLevel="0" collapsed="false">
      <c r="A4" s="5" t="s">
        <v>354</v>
      </c>
      <c r="B4" s="5" t="s">
        <v>398</v>
      </c>
      <c r="C4" s="5" t="s">
        <v>120</v>
      </c>
      <c r="D4" s="5" t="s">
        <v>399</v>
      </c>
      <c r="E4" s="5" t="s">
        <v>400</v>
      </c>
      <c r="F4" s="5" t="s">
        <v>401</v>
      </c>
      <c r="G4" s="5" t="s">
        <v>402</v>
      </c>
      <c r="H4" s="5" t="s">
        <v>403</v>
      </c>
    </row>
    <row r="5" customFormat="false" ht="15" hidden="false" customHeight="false" outlineLevel="0" collapsed="false">
      <c r="A5" s="42" t="str">
        <f aca="false">B5&amp;"|"&amp;E5</f>
        <v>000000|00-0000</v>
      </c>
      <c r="B5" s="43" t="s">
        <v>404</v>
      </c>
      <c r="C5" s="43" t="s">
        <v>405</v>
      </c>
      <c r="D5" s="43" t="s">
        <v>406</v>
      </c>
      <c r="E5" s="43" t="s">
        <v>407</v>
      </c>
      <c r="F5" s="43" t="s">
        <v>408</v>
      </c>
      <c r="G5" s="44" t="n">
        <v>155495730</v>
      </c>
      <c r="H5" s="43" t="n">
        <v>0</v>
      </c>
    </row>
    <row r="6" customFormat="false" ht="15" hidden="false" customHeight="false" outlineLevel="0" collapsed="false">
      <c r="A6" s="42" t="str">
        <f aca="false">B6&amp;"|"&amp;E6</f>
        <v>000000|11-2021</v>
      </c>
      <c r="B6" s="43" t="s">
        <v>404</v>
      </c>
      <c r="C6" s="43" t="s">
        <v>405</v>
      </c>
      <c r="D6" s="43" t="s">
        <v>406</v>
      </c>
      <c r="E6" s="43" t="s">
        <v>409</v>
      </c>
      <c r="F6" s="43" t="s">
        <v>410</v>
      </c>
      <c r="G6" s="44" t="n">
        <v>395240</v>
      </c>
      <c r="H6" s="43" t="n">
        <v>0.8</v>
      </c>
    </row>
    <row r="7" customFormat="false" ht="15" hidden="false" customHeight="false" outlineLevel="0" collapsed="false">
      <c r="A7" s="42" t="str">
        <f aca="false">B7&amp;"|"&amp;E7</f>
        <v>000000|11-2022</v>
      </c>
      <c r="B7" s="43" t="s">
        <v>404</v>
      </c>
      <c r="C7" s="43" t="s">
        <v>405</v>
      </c>
      <c r="D7" s="43" t="s">
        <v>406</v>
      </c>
      <c r="E7" s="43" t="s">
        <v>411</v>
      </c>
      <c r="F7" s="43" t="s">
        <v>412</v>
      </c>
      <c r="G7" s="44" t="n">
        <v>637080</v>
      </c>
      <c r="H7" s="43" t="n">
        <v>1.1</v>
      </c>
    </row>
    <row r="8" customFormat="false" ht="15" hidden="false" customHeight="false" outlineLevel="0" collapsed="false">
      <c r="A8" s="42" t="str">
        <f aca="false">B8&amp;"|"&amp;E8</f>
        <v>000000|13-1161</v>
      </c>
      <c r="B8" s="43" t="s">
        <v>404</v>
      </c>
      <c r="C8" s="43" t="s">
        <v>405</v>
      </c>
      <c r="D8" s="43" t="s">
        <v>406</v>
      </c>
      <c r="E8" s="43" t="s">
        <v>413</v>
      </c>
      <c r="F8" s="43" t="s">
        <v>414</v>
      </c>
      <c r="G8" s="44" t="n">
        <v>899580</v>
      </c>
      <c r="H8" s="43" t="n">
        <v>0.8</v>
      </c>
    </row>
    <row r="9" customFormat="false" ht="15" hidden="false" customHeight="false" outlineLevel="0" collapsed="false">
      <c r="A9" s="42" t="str">
        <f aca="false">B9&amp;"|"&amp;E9</f>
        <v>000000|15-0000</v>
      </c>
      <c r="B9" s="43" t="s">
        <v>404</v>
      </c>
      <c r="C9" s="43" t="s">
        <v>405</v>
      </c>
      <c r="D9" s="43" t="s">
        <v>406</v>
      </c>
      <c r="E9" s="43" t="s">
        <v>415</v>
      </c>
      <c r="F9" s="43" t="s">
        <v>416</v>
      </c>
      <c r="G9" s="44" t="n">
        <v>5260110</v>
      </c>
      <c r="H9" s="43" t="n">
        <v>0.3</v>
      </c>
    </row>
    <row r="10" customFormat="false" ht="15" hidden="false" customHeight="false" outlineLevel="0" collapsed="false">
      <c r="A10" s="42" t="str">
        <f aca="false">B10&amp;"|"&amp;E10</f>
        <v>000000|41-0000</v>
      </c>
      <c r="B10" s="43" t="s">
        <v>404</v>
      </c>
      <c r="C10" s="43" t="s">
        <v>405</v>
      </c>
      <c r="D10" s="43" t="s">
        <v>406</v>
      </c>
      <c r="E10" s="43" t="s">
        <v>417</v>
      </c>
      <c r="F10" s="43" t="s">
        <v>418</v>
      </c>
      <c r="G10" s="44" t="n">
        <v>13424300</v>
      </c>
      <c r="H10" s="43" t="n">
        <v>0.3</v>
      </c>
    </row>
    <row r="11" customFormat="false" ht="15" hidden="false" customHeight="false" outlineLevel="0" collapsed="false">
      <c r="A11" s="42" t="str">
        <f aca="false">B11&amp;"|"&amp;E11</f>
        <v>000000|41-4011</v>
      </c>
      <c r="B11" s="43" t="s">
        <v>404</v>
      </c>
      <c r="C11" s="43" t="s">
        <v>405</v>
      </c>
      <c r="D11" s="43" t="s">
        <v>406</v>
      </c>
      <c r="E11" s="43" t="s">
        <v>419</v>
      </c>
      <c r="F11" s="43" t="s">
        <v>420</v>
      </c>
      <c r="G11" s="44" t="n">
        <v>284800</v>
      </c>
      <c r="H11" s="43" t="n">
        <v>1.8</v>
      </c>
    </row>
    <row r="12" customFormat="false" ht="15" hidden="false" customHeight="false" outlineLevel="0" collapsed="false">
      <c r="A12" s="42" t="str">
        <f aca="false">B12&amp;"|"&amp;E12</f>
        <v>000000|41-4012</v>
      </c>
      <c r="B12" s="43" t="s">
        <v>404</v>
      </c>
      <c r="C12" s="43" t="s">
        <v>405</v>
      </c>
      <c r="D12" s="43" t="s">
        <v>406</v>
      </c>
      <c r="E12" s="43" t="s">
        <v>421</v>
      </c>
      <c r="F12" s="43" t="s">
        <v>422</v>
      </c>
      <c r="G12" s="44" t="n">
        <v>1238190</v>
      </c>
      <c r="H12" s="43" t="n">
        <v>0.6</v>
      </c>
    </row>
    <row r="13" customFormat="false" ht="15" hidden="false" customHeight="false" outlineLevel="0" collapsed="false">
      <c r="A13" s="42" t="str">
        <f aca="false">B13&amp;"|"&amp;E13</f>
        <v>000000|43-4051</v>
      </c>
      <c r="B13" s="43" t="s">
        <v>404</v>
      </c>
      <c r="C13" s="43" t="s">
        <v>405</v>
      </c>
      <c r="D13" s="43" t="s">
        <v>406</v>
      </c>
      <c r="E13" s="43" t="s">
        <v>423</v>
      </c>
      <c r="F13" s="43" t="s">
        <v>424</v>
      </c>
      <c r="G13" s="44" t="n">
        <v>2595750</v>
      </c>
      <c r="H13" s="43" t="n">
        <v>0.4</v>
      </c>
    </row>
    <row r="14" customFormat="false" ht="15" hidden="false" customHeight="false" outlineLevel="0" collapsed="false">
      <c r="A14" s="42" t="str">
        <f aca="false">B14&amp;"|"&amp;E14</f>
        <v>4230A1|00-0000</v>
      </c>
      <c r="B14" s="43" t="s">
        <v>425</v>
      </c>
      <c r="C14" s="43" t="s">
        <v>426</v>
      </c>
      <c r="D14" s="43" t="s">
        <v>427</v>
      </c>
      <c r="E14" s="43" t="s">
        <v>407</v>
      </c>
      <c r="F14" s="43" t="s">
        <v>408</v>
      </c>
      <c r="G14" s="44" t="n">
        <v>1503920</v>
      </c>
      <c r="H14" s="43" t="n">
        <v>0</v>
      </c>
    </row>
    <row r="15" customFormat="false" ht="15" hidden="false" customHeight="false" outlineLevel="0" collapsed="false">
      <c r="A15" s="42" t="str">
        <f aca="false">B15&amp;"|"&amp;E15</f>
        <v>4230A1|11-2021</v>
      </c>
      <c r="B15" s="43" t="s">
        <v>425</v>
      </c>
      <c r="C15" s="43" t="s">
        <v>426</v>
      </c>
      <c r="D15" s="43" t="s">
        <v>427</v>
      </c>
      <c r="E15" s="43" t="s">
        <v>409</v>
      </c>
      <c r="F15" s="43" t="s">
        <v>410</v>
      </c>
      <c r="G15" s="44" t="n">
        <v>7620</v>
      </c>
      <c r="H15" s="43" t="n">
        <v>6.3</v>
      </c>
    </row>
    <row r="16" customFormat="false" ht="15" hidden="false" customHeight="false" outlineLevel="0" collapsed="false">
      <c r="A16" s="42" t="str">
        <f aca="false">B16&amp;"|"&amp;E16</f>
        <v>4230A1|11-2022</v>
      </c>
      <c r="B16" s="43" t="s">
        <v>425</v>
      </c>
      <c r="C16" s="43" t="s">
        <v>426</v>
      </c>
      <c r="D16" s="43" t="s">
        <v>427</v>
      </c>
      <c r="E16" s="43" t="s">
        <v>411</v>
      </c>
      <c r="F16" s="43" t="s">
        <v>412</v>
      </c>
      <c r="G16" s="44" t="n">
        <v>28580</v>
      </c>
      <c r="H16" s="43" t="n">
        <v>3.3</v>
      </c>
    </row>
    <row r="17" customFormat="false" ht="15" hidden="false" customHeight="false" outlineLevel="0" collapsed="false">
      <c r="A17" s="42" t="str">
        <f aca="false">B17&amp;"|"&amp;E17</f>
        <v>4230A1|13-1161</v>
      </c>
      <c r="B17" s="43" t="s">
        <v>425</v>
      </c>
      <c r="C17" s="43" t="s">
        <v>426</v>
      </c>
      <c r="D17" s="43" t="s">
        <v>427</v>
      </c>
      <c r="E17" s="43" t="s">
        <v>413</v>
      </c>
      <c r="F17" s="43" t="s">
        <v>414</v>
      </c>
      <c r="G17" s="44" t="n">
        <v>13840</v>
      </c>
      <c r="H17" s="43" t="n">
        <v>4.1</v>
      </c>
    </row>
    <row r="18" customFormat="false" ht="15" hidden="false" customHeight="false" outlineLevel="0" collapsed="false">
      <c r="A18" s="42" t="str">
        <f aca="false">B18&amp;"|"&amp;E18</f>
        <v>4230A1|15-0000</v>
      </c>
      <c r="B18" s="43" t="s">
        <v>425</v>
      </c>
      <c r="C18" s="43" t="s">
        <v>426</v>
      </c>
      <c r="D18" s="43" t="s">
        <v>427</v>
      </c>
      <c r="E18" s="43" t="s">
        <v>415</v>
      </c>
      <c r="F18" s="43" t="s">
        <v>416</v>
      </c>
      <c r="G18" s="44" t="n">
        <v>37080</v>
      </c>
      <c r="H18" s="43" t="n">
        <v>3.8</v>
      </c>
    </row>
    <row r="19" customFormat="false" ht="15" hidden="false" customHeight="false" outlineLevel="0" collapsed="false">
      <c r="A19" s="42" t="str">
        <f aca="false">B19&amp;"|"&amp;E19</f>
        <v>4230A1|41-0000</v>
      </c>
      <c r="B19" s="43" t="s">
        <v>425</v>
      </c>
      <c r="C19" s="43" t="s">
        <v>426</v>
      </c>
      <c r="D19" s="43" t="s">
        <v>427</v>
      </c>
      <c r="E19" s="43" t="s">
        <v>417</v>
      </c>
      <c r="F19" s="43" t="s">
        <v>418</v>
      </c>
      <c r="G19" s="44" t="n">
        <v>322290</v>
      </c>
      <c r="H19" s="43" t="n">
        <v>1.2</v>
      </c>
    </row>
    <row r="20" customFormat="false" ht="15" hidden="false" customHeight="false" outlineLevel="0" collapsed="false">
      <c r="A20" s="42" t="str">
        <f aca="false">B20&amp;"|"&amp;E20</f>
        <v>4230A1|41-4011</v>
      </c>
      <c r="B20" s="43" t="s">
        <v>425</v>
      </c>
      <c r="C20" s="43" t="s">
        <v>426</v>
      </c>
      <c r="D20" s="43" t="s">
        <v>427</v>
      </c>
      <c r="E20" s="43" t="s">
        <v>419</v>
      </c>
      <c r="F20" s="43" t="s">
        <v>420</v>
      </c>
      <c r="G20" s="44" t="n">
        <v>12740</v>
      </c>
      <c r="H20" s="43" t="n">
        <v>8.4</v>
      </c>
    </row>
    <row r="21" customFormat="false" ht="15" hidden="false" customHeight="false" outlineLevel="0" collapsed="false">
      <c r="A21" s="42" t="str">
        <f aca="false">B21&amp;"|"&amp;E21</f>
        <v>4230A1|41-4012</v>
      </c>
      <c r="B21" s="43" t="s">
        <v>425</v>
      </c>
      <c r="C21" s="43" t="s">
        <v>426</v>
      </c>
      <c r="D21" s="43" t="s">
        <v>427</v>
      </c>
      <c r="E21" s="43" t="s">
        <v>421</v>
      </c>
      <c r="F21" s="43" t="s">
        <v>422</v>
      </c>
      <c r="G21" s="44" t="n">
        <v>225260</v>
      </c>
      <c r="H21" s="43" t="n">
        <v>1.3</v>
      </c>
    </row>
    <row r="22" customFormat="false" ht="15" hidden="false" customHeight="false" outlineLevel="0" collapsed="false">
      <c r="A22" s="42" t="str">
        <f aca="false">B22&amp;"|"&amp;E22</f>
        <v>4230A1|43-4051</v>
      </c>
      <c r="B22" s="43" t="s">
        <v>425</v>
      </c>
      <c r="C22" s="43" t="s">
        <v>426</v>
      </c>
      <c r="D22" s="43" t="s">
        <v>427</v>
      </c>
      <c r="E22" s="43" t="s">
        <v>423</v>
      </c>
      <c r="F22" s="43" t="s">
        <v>424</v>
      </c>
      <c r="G22" s="44" t="n">
        <v>41180</v>
      </c>
      <c r="H22" s="43" t="n">
        <v>3</v>
      </c>
    </row>
    <row r="23" customFormat="false" ht="15" hidden="false" customHeight="false" outlineLevel="0" collapsed="false">
      <c r="A23" s="42" t="str">
        <f aca="false">B23&amp;"|"&amp;E23</f>
        <v>423800|00-0000</v>
      </c>
      <c r="B23" s="43" t="s">
        <v>428</v>
      </c>
      <c r="C23" s="43" t="s">
        <v>138</v>
      </c>
      <c r="D23" s="43" t="s">
        <v>427</v>
      </c>
      <c r="E23" s="43" t="s">
        <v>407</v>
      </c>
      <c r="F23" s="43" t="s">
        <v>408</v>
      </c>
      <c r="G23" s="44" t="n">
        <v>774540</v>
      </c>
      <c r="H23" s="43" t="n">
        <v>0</v>
      </c>
    </row>
    <row r="24" customFormat="false" ht="15" hidden="false" customHeight="false" outlineLevel="0" collapsed="false">
      <c r="A24" s="42" t="str">
        <f aca="false">B24&amp;"|"&amp;E24</f>
        <v>423800|11-2021</v>
      </c>
      <c r="B24" s="43" t="s">
        <v>428</v>
      </c>
      <c r="C24" s="43" t="s">
        <v>138</v>
      </c>
      <c r="D24" s="43" t="s">
        <v>427</v>
      </c>
      <c r="E24" s="43" t="s">
        <v>409</v>
      </c>
      <c r="F24" s="43" t="s">
        <v>410</v>
      </c>
      <c r="G24" s="44" t="n">
        <v>2330</v>
      </c>
      <c r="H24" s="43" t="n">
        <v>6.8</v>
      </c>
    </row>
    <row r="25" customFormat="false" ht="15" hidden="false" customHeight="false" outlineLevel="0" collapsed="false">
      <c r="A25" s="42" t="str">
        <f aca="false">B25&amp;"|"&amp;E25</f>
        <v>423800|11-2022</v>
      </c>
      <c r="B25" s="43" t="s">
        <v>428</v>
      </c>
      <c r="C25" s="43" t="s">
        <v>138</v>
      </c>
      <c r="D25" s="43" t="s">
        <v>427</v>
      </c>
      <c r="E25" s="43" t="s">
        <v>411</v>
      </c>
      <c r="F25" s="43" t="s">
        <v>412</v>
      </c>
      <c r="G25" s="44" t="n">
        <v>14390</v>
      </c>
      <c r="H25" s="43" t="n">
        <v>3.1</v>
      </c>
    </row>
    <row r="26" customFormat="false" ht="15" hidden="false" customHeight="false" outlineLevel="0" collapsed="false">
      <c r="A26" s="42" t="str">
        <f aca="false">B26&amp;"|"&amp;E26</f>
        <v>423800|13-1161</v>
      </c>
      <c r="B26" s="43" t="s">
        <v>428</v>
      </c>
      <c r="C26" s="43" t="s">
        <v>138</v>
      </c>
      <c r="D26" s="43" t="s">
        <v>427</v>
      </c>
      <c r="E26" s="43" t="s">
        <v>413</v>
      </c>
      <c r="F26" s="43" t="s">
        <v>414</v>
      </c>
      <c r="G26" s="44" t="n">
        <v>5360</v>
      </c>
      <c r="H26" s="43" t="n">
        <v>4.6</v>
      </c>
    </row>
    <row r="27" customFormat="false" ht="15" hidden="false" customHeight="false" outlineLevel="0" collapsed="false">
      <c r="A27" s="42" t="str">
        <f aca="false">B27&amp;"|"&amp;E27</f>
        <v>423800|15-0000</v>
      </c>
      <c r="B27" s="43" t="s">
        <v>428</v>
      </c>
      <c r="C27" s="43" t="s">
        <v>138</v>
      </c>
      <c r="D27" s="43" t="s">
        <v>427</v>
      </c>
      <c r="E27" s="43" t="s">
        <v>415</v>
      </c>
      <c r="F27" s="43" t="s">
        <v>416</v>
      </c>
      <c r="G27" s="44" t="n">
        <v>15940</v>
      </c>
      <c r="H27" s="43" t="n">
        <v>3.9</v>
      </c>
    </row>
    <row r="28" customFormat="false" ht="15" hidden="false" customHeight="false" outlineLevel="0" collapsed="false">
      <c r="A28" s="42" t="str">
        <f aca="false">B28&amp;"|"&amp;E28</f>
        <v>423800|41-0000</v>
      </c>
      <c r="B28" s="43" t="s">
        <v>428</v>
      </c>
      <c r="C28" s="43" t="s">
        <v>138</v>
      </c>
      <c r="D28" s="43" t="s">
        <v>427</v>
      </c>
      <c r="E28" s="43" t="s">
        <v>417</v>
      </c>
      <c r="F28" s="43" t="s">
        <v>418</v>
      </c>
      <c r="G28" s="44" t="n">
        <v>178040</v>
      </c>
      <c r="H28" s="43" t="n">
        <v>1</v>
      </c>
    </row>
    <row r="29" customFormat="false" ht="15" hidden="false" customHeight="false" outlineLevel="0" collapsed="false">
      <c r="A29" s="42" t="str">
        <f aca="false">B29&amp;"|"&amp;E29</f>
        <v>423800|41-4011</v>
      </c>
      <c r="B29" s="43" t="s">
        <v>428</v>
      </c>
      <c r="C29" s="43" t="s">
        <v>138</v>
      </c>
      <c r="D29" s="43" t="s">
        <v>427</v>
      </c>
      <c r="E29" s="43" t="s">
        <v>419</v>
      </c>
      <c r="F29" s="43" t="s">
        <v>420</v>
      </c>
      <c r="G29" s="44" t="n">
        <v>5960</v>
      </c>
      <c r="H29" s="43" t="n">
        <v>8.3</v>
      </c>
    </row>
    <row r="30" customFormat="false" ht="15" hidden="false" customHeight="false" outlineLevel="0" collapsed="false">
      <c r="A30" s="42" t="str">
        <f aca="false">B30&amp;"|"&amp;E30</f>
        <v>423800|41-4012</v>
      </c>
      <c r="B30" s="43" t="s">
        <v>428</v>
      </c>
      <c r="C30" s="43" t="s">
        <v>138</v>
      </c>
      <c r="D30" s="43" t="s">
        <v>427</v>
      </c>
      <c r="E30" s="43" t="s">
        <v>421</v>
      </c>
      <c r="F30" s="43" t="s">
        <v>422</v>
      </c>
      <c r="G30" s="44" t="n">
        <v>112430</v>
      </c>
      <c r="H30" s="43" t="n">
        <v>1.7</v>
      </c>
    </row>
    <row r="31" customFormat="false" ht="15" hidden="false" customHeight="false" outlineLevel="0" collapsed="false">
      <c r="A31" s="42" t="str">
        <f aca="false">B31&amp;"|"&amp;E31</f>
        <v>423800|43-4051</v>
      </c>
      <c r="B31" s="43" t="s">
        <v>428</v>
      </c>
      <c r="C31" s="43" t="s">
        <v>138</v>
      </c>
      <c r="D31" s="43" t="s">
        <v>427</v>
      </c>
      <c r="E31" s="43" t="s">
        <v>423</v>
      </c>
      <c r="F31" s="43" t="s">
        <v>424</v>
      </c>
      <c r="G31" s="44" t="n">
        <v>23480</v>
      </c>
      <c r="H31" s="43" t="n">
        <v>3.4</v>
      </c>
    </row>
    <row r="32" customFormat="false" ht="15" hidden="false" customHeight="false" outlineLevel="0" collapsed="false">
      <c r="A32" s="42" t="str">
        <f aca="false">B32&amp;"|"&amp;E32</f>
        <v>326000|00-0000</v>
      </c>
      <c r="B32" s="43" t="s">
        <v>429</v>
      </c>
      <c r="C32" s="43" t="s">
        <v>430</v>
      </c>
      <c r="D32" s="43" t="s">
        <v>431</v>
      </c>
      <c r="E32" s="43" t="s">
        <v>407</v>
      </c>
      <c r="F32" s="43" t="s">
        <v>408</v>
      </c>
      <c r="G32" s="44" t="n">
        <v>705590</v>
      </c>
      <c r="H32" s="43" t="n">
        <v>0</v>
      </c>
    </row>
    <row r="33" customFormat="false" ht="15" hidden="false" customHeight="false" outlineLevel="0" collapsed="false">
      <c r="A33" s="42" t="str">
        <f aca="false">B33&amp;"|"&amp;E33</f>
        <v>326000|11-2021</v>
      </c>
      <c r="B33" s="43" t="s">
        <v>429</v>
      </c>
      <c r="C33" s="43" t="s">
        <v>430</v>
      </c>
      <c r="D33" s="43" t="s">
        <v>431</v>
      </c>
      <c r="E33" s="43" t="s">
        <v>409</v>
      </c>
      <c r="F33" s="43" t="s">
        <v>410</v>
      </c>
      <c r="G33" s="44" t="n">
        <v>830</v>
      </c>
      <c r="H33" s="43" t="n">
        <v>5.7</v>
      </c>
    </row>
    <row r="34" customFormat="false" ht="15" hidden="false" customHeight="false" outlineLevel="0" collapsed="false">
      <c r="A34" s="42" t="str">
        <f aca="false">B34&amp;"|"&amp;E34</f>
        <v>326000|11-2022</v>
      </c>
      <c r="B34" s="43" t="s">
        <v>429</v>
      </c>
      <c r="C34" s="43" t="s">
        <v>430</v>
      </c>
      <c r="D34" s="43" t="s">
        <v>431</v>
      </c>
      <c r="E34" s="43" t="s">
        <v>411</v>
      </c>
      <c r="F34" s="43" t="s">
        <v>412</v>
      </c>
      <c r="G34" s="44" t="n">
        <v>3000</v>
      </c>
      <c r="H34" s="43" t="n">
        <v>4.2</v>
      </c>
    </row>
    <row r="35" customFormat="false" ht="15" hidden="false" customHeight="false" outlineLevel="0" collapsed="false">
      <c r="A35" s="42" t="str">
        <f aca="false">B35&amp;"|"&amp;E35</f>
        <v>326000|13-1161</v>
      </c>
      <c r="B35" s="43" t="s">
        <v>429</v>
      </c>
      <c r="C35" s="43" t="s">
        <v>430</v>
      </c>
      <c r="D35" s="43" t="s">
        <v>431</v>
      </c>
      <c r="E35" s="43" t="s">
        <v>413</v>
      </c>
      <c r="F35" s="43" t="s">
        <v>414</v>
      </c>
      <c r="G35" s="44" t="n">
        <v>1760</v>
      </c>
      <c r="H35" s="43" t="n">
        <v>5</v>
      </c>
    </row>
    <row r="36" customFormat="false" ht="15" hidden="false" customHeight="false" outlineLevel="0" collapsed="false">
      <c r="A36" s="42" t="str">
        <f aca="false">B36&amp;"|"&amp;E36</f>
        <v>326000|15-0000</v>
      </c>
      <c r="B36" s="43" t="s">
        <v>429</v>
      </c>
      <c r="C36" s="43" t="s">
        <v>430</v>
      </c>
      <c r="D36" s="43" t="s">
        <v>431</v>
      </c>
      <c r="E36" s="43" t="s">
        <v>415</v>
      </c>
      <c r="F36" s="43" t="s">
        <v>416</v>
      </c>
      <c r="G36" s="44" t="n">
        <v>6070</v>
      </c>
      <c r="H36" s="43" t="n">
        <v>3.5</v>
      </c>
    </row>
    <row r="37" customFormat="false" ht="15" hidden="false" customHeight="false" outlineLevel="0" collapsed="false">
      <c r="A37" s="42" t="str">
        <f aca="false">B37&amp;"|"&amp;E37</f>
        <v>326000|41-0000</v>
      </c>
      <c r="B37" s="43" t="s">
        <v>429</v>
      </c>
      <c r="C37" s="43" t="s">
        <v>430</v>
      </c>
      <c r="D37" s="43" t="s">
        <v>431</v>
      </c>
      <c r="E37" s="43" t="s">
        <v>417</v>
      </c>
      <c r="F37" s="43" t="s">
        <v>418</v>
      </c>
      <c r="G37" s="44" t="n">
        <v>13730</v>
      </c>
      <c r="H37" s="43" t="n">
        <v>6.9</v>
      </c>
    </row>
    <row r="38" customFormat="false" ht="15" hidden="false" customHeight="false" outlineLevel="0" collapsed="false">
      <c r="A38" s="42" t="str">
        <f aca="false">B38&amp;"|"&amp;E38</f>
        <v>326000|41-4011</v>
      </c>
      <c r="B38" s="43" t="s">
        <v>429</v>
      </c>
      <c r="C38" s="43" t="s">
        <v>430</v>
      </c>
      <c r="D38" s="43" t="s">
        <v>431</v>
      </c>
      <c r="E38" s="43" t="s">
        <v>419</v>
      </c>
      <c r="F38" s="43" t="s">
        <v>420</v>
      </c>
      <c r="G38" s="44" t="n">
        <v>460</v>
      </c>
      <c r="H38" s="43" t="n">
        <v>13.6</v>
      </c>
    </row>
    <row r="39" customFormat="false" ht="15" hidden="false" customHeight="false" outlineLevel="0" collapsed="false">
      <c r="A39" s="42" t="str">
        <f aca="false">B39&amp;"|"&amp;E39</f>
        <v>326000|41-4012</v>
      </c>
      <c r="B39" s="43" t="s">
        <v>429</v>
      </c>
      <c r="C39" s="43" t="s">
        <v>430</v>
      </c>
      <c r="D39" s="43" t="s">
        <v>431</v>
      </c>
      <c r="E39" s="43" t="s">
        <v>421</v>
      </c>
      <c r="F39" s="43" t="s">
        <v>422</v>
      </c>
      <c r="G39" s="44" t="n">
        <v>12070</v>
      </c>
      <c r="H39" s="43" t="n">
        <v>7.4</v>
      </c>
    </row>
    <row r="40" customFormat="false" ht="15" hidden="false" customHeight="false" outlineLevel="0" collapsed="false">
      <c r="A40" s="42" t="str">
        <f aca="false">B40&amp;"|"&amp;E40</f>
        <v>326000|43-4051</v>
      </c>
      <c r="B40" s="43" t="s">
        <v>429</v>
      </c>
      <c r="C40" s="43" t="s">
        <v>430</v>
      </c>
      <c r="D40" s="43" t="s">
        <v>431</v>
      </c>
      <c r="E40" s="43" t="s">
        <v>423</v>
      </c>
      <c r="F40" s="43" t="s">
        <v>424</v>
      </c>
      <c r="G40" s="44" t="n">
        <v>7590</v>
      </c>
      <c r="H40" s="43" t="n">
        <v>3.9</v>
      </c>
    </row>
    <row r="41" customFormat="false" ht="15" hidden="false" customHeight="false" outlineLevel="0" collapsed="false">
      <c r="A41" s="42" t="str">
        <f aca="false">B41&amp;"|"&amp;E41</f>
        <v>332000|00-0000</v>
      </c>
      <c r="B41" s="43" t="s">
        <v>432</v>
      </c>
      <c r="C41" s="43" t="s">
        <v>433</v>
      </c>
      <c r="D41" s="43" t="s">
        <v>431</v>
      </c>
      <c r="E41" s="43" t="s">
        <v>407</v>
      </c>
      <c r="F41" s="43" t="s">
        <v>408</v>
      </c>
      <c r="G41" s="44" t="n">
        <v>1436510</v>
      </c>
      <c r="H41" s="43" t="n">
        <v>0</v>
      </c>
    </row>
    <row r="42" customFormat="false" ht="15" hidden="false" customHeight="false" outlineLevel="0" collapsed="false">
      <c r="A42" s="42" t="str">
        <f aca="false">B42&amp;"|"&amp;E42</f>
        <v>332000|11-2021</v>
      </c>
      <c r="B42" s="43" t="s">
        <v>432</v>
      </c>
      <c r="C42" s="43" t="s">
        <v>433</v>
      </c>
      <c r="D42" s="43" t="s">
        <v>431</v>
      </c>
      <c r="E42" s="43" t="s">
        <v>409</v>
      </c>
      <c r="F42" s="43" t="s">
        <v>410</v>
      </c>
      <c r="G42" s="44" t="n">
        <v>1600</v>
      </c>
      <c r="H42" s="43" t="n">
        <v>6.8</v>
      </c>
    </row>
    <row r="43" customFormat="false" ht="15" hidden="false" customHeight="false" outlineLevel="0" collapsed="false">
      <c r="A43" s="42" t="str">
        <f aca="false">B43&amp;"|"&amp;E43</f>
        <v>332000|11-2022</v>
      </c>
      <c r="B43" s="43" t="s">
        <v>432</v>
      </c>
      <c r="C43" s="43" t="s">
        <v>433</v>
      </c>
      <c r="D43" s="43" t="s">
        <v>431</v>
      </c>
      <c r="E43" s="43" t="s">
        <v>411</v>
      </c>
      <c r="F43" s="43" t="s">
        <v>412</v>
      </c>
      <c r="G43" s="44" t="n">
        <v>6220</v>
      </c>
      <c r="H43" s="43" t="n">
        <v>3.3</v>
      </c>
    </row>
    <row r="44" customFormat="false" ht="15" hidden="false" customHeight="false" outlineLevel="0" collapsed="false">
      <c r="A44" s="42" t="str">
        <f aca="false">B44&amp;"|"&amp;E44</f>
        <v>332000|13-1161</v>
      </c>
      <c r="B44" s="43" t="s">
        <v>432</v>
      </c>
      <c r="C44" s="43" t="s">
        <v>433</v>
      </c>
      <c r="D44" s="43" t="s">
        <v>431</v>
      </c>
      <c r="E44" s="43" t="s">
        <v>413</v>
      </c>
      <c r="F44" s="43" t="s">
        <v>414</v>
      </c>
      <c r="G44" s="44" t="n">
        <v>3380</v>
      </c>
      <c r="H44" s="43" t="n">
        <v>4.9</v>
      </c>
    </row>
    <row r="45" customFormat="false" ht="15" hidden="false" customHeight="false" outlineLevel="0" collapsed="false">
      <c r="A45" s="42" t="str">
        <f aca="false">B45&amp;"|"&amp;E45</f>
        <v>332000|15-0000</v>
      </c>
      <c r="B45" s="43" t="s">
        <v>432</v>
      </c>
      <c r="C45" s="43" t="s">
        <v>433</v>
      </c>
      <c r="D45" s="43" t="s">
        <v>431</v>
      </c>
      <c r="E45" s="43" t="s">
        <v>415</v>
      </c>
      <c r="F45" s="43" t="s">
        <v>416</v>
      </c>
      <c r="G45" s="44" t="n">
        <v>11610</v>
      </c>
      <c r="H45" s="43" t="n">
        <v>2.6</v>
      </c>
    </row>
    <row r="46" customFormat="false" ht="15" hidden="false" customHeight="false" outlineLevel="0" collapsed="false">
      <c r="A46" s="42" t="str">
        <f aca="false">B46&amp;"|"&amp;E46</f>
        <v>332000|41-0000</v>
      </c>
      <c r="B46" s="43" t="s">
        <v>432</v>
      </c>
      <c r="C46" s="43" t="s">
        <v>433</v>
      </c>
      <c r="D46" s="43" t="s">
        <v>431</v>
      </c>
      <c r="E46" s="43" t="s">
        <v>417</v>
      </c>
      <c r="F46" s="43" t="s">
        <v>418</v>
      </c>
      <c r="G46" s="44" t="n">
        <v>35660</v>
      </c>
      <c r="H46" s="43" t="n">
        <v>1.7</v>
      </c>
    </row>
    <row r="47" customFormat="false" ht="15" hidden="false" customHeight="false" outlineLevel="0" collapsed="false">
      <c r="A47" s="42" t="str">
        <f aca="false">B47&amp;"|"&amp;E47</f>
        <v>332000|41-4011</v>
      </c>
      <c r="B47" s="43" t="s">
        <v>432</v>
      </c>
      <c r="C47" s="43" t="s">
        <v>433</v>
      </c>
      <c r="D47" s="43" t="s">
        <v>431</v>
      </c>
      <c r="E47" s="43" t="s">
        <v>419</v>
      </c>
      <c r="F47" s="43" t="s">
        <v>420</v>
      </c>
      <c r="G47" s="44" t="n">
        <v>1290</v>
      </c>
      <c r="H47" s="43" t="n">
        <v>7.7</v>
      </c>
    </row>
    <row r="48" customFormat="false" ht="15" hidden="false" customHeight="false" outlineLevel="0" collapsed="false">
      <c r="A48" s="42" t="str">
        <f aca="false">B48&amp;"|"&amp;E48</f>
        <v>332000|41-4012</v>
      </c>
      <c r="B48" s="43" t="s">
        <v>432</v>
      </c>
      <c r="C48" s="43" t="s">
        <v>433</v>
      </c>
      <c r="D48" s="43" t="s">
        <v>431</v>
      </c>
      <c r="E48" s="43" t="s">
        <v>421</v>
      </c>
      <c r="F48" s="43" t="s">
        <v>422</v>
      </c>
      <c r="G48" s="44" t="n">
        <v>29360</v>
      </c>
      <c r="H48" s="43" t="n">
        <v>1.9</v>
      </c>
    </row>
    <row r="49" customFormat="false" ht="15" hidden="false" customHeight="false" outlineLevel="0" collapsed="false">
      <c r="A49" s="42" t="str">
        <f aca="false">B49&amp;"|"&amp;E49</f>
        <v>332000|43-4051</v>
      </c>
      <c r="B49" s="43" t="s">
        <v>432</v>
      </c>
      <c r="C49" s="43" t="s">
        <v>433</v>
      </c>
      <c r="D49" s="43" t="s">
        <v>431</v>
      </c>
      <c r="E49" s="43" t="s">
        <v>423</v>
      </c>
      <c r="F49" s="43" t="s">
        <v>424</v>
      </c>
      <c r="G49" s="44" t="n">
        <v>11660</v>
      </c>
      <c r="H49" s="43" t="n">
        <v>2.7</v>
      </c>
    </row>
    <row r="50" customFormat="false" ht="15" hidden="false" customHeight="false" outlineLevel="0" collapsed="false">
      <c r="A50" s="42" t="str">
        <f aca="false">B50&amp;"|"&amp;E50</f>
        <v>333000|00-0000</v>
      </c>
      <c r="B50" s="43" t="s">
        <v>434</v>
      </c>
      <c r="C50" s="43" t="s">
        <v>435</v>
      </c>
      <c r="D50" s="43" t="s">
        <v>431</v>
      </c>
      <c r="E50" s="43" t="s">
        <v>407</v>
      </c>
      <c r="F50" s="43" t="s">
        <v>408</v>
      </c>
      <c r="G50" s="44" t="n">
        <v>1092170</v>
      </c>
      <c r="H50" s="43" t="n">
        <v>0</v>
      </c>
    </row>
    <row r="51" customFormat="false" ht="15" hidden="false" customHeight="false" outlineLevel="0" collapsed="false">
      <c r="A51" s="42" t="str">
        <f aca="false">B51&amp;"|"&amp;E51</f>
        <v>333000|11-2021</v>
      </c>
      <c r="B51" s="43" t="s">
        <v>434</v>
      </c>
      <c r="C51" s="43" t="s">
        <v>435</v>
      </c>
      <c r="D51" s="43" t="s">
        <v>431</v>
      </c>
      <c r="E51" s="43" t="s">
        <v>409</v>
      </c>
      <c r="F51" s="43" t="s">
        <v>410</v>
      </c>
      <c r="G51" s="44" t="n">
        <v>2790</v>
      </c>
      <c r="H51" s="43" t="n">
        <v>2.8</v>
      </c>
    </row>
    <row r="52" customFormat="false" ht="15" hidden="false" customHeight="false" outlineLevel="0" collapsed="false">
      <c r="A52" s="42" t="str">
        <f aca="false">B52&amp;"|"&amp;E52</f>
        <v>333000|11-2022</v>
      </c>
      <c r="B52" s="43" t="s">
        <v>434</v>
      </c>
      <c r="C52" s="43" t="s">
        <v>435</v>
      </c>
      <c r="D52" s="43" t="s">
        <v>431</v>
      </c>
      <c r="E52" s="43" t="s">
        <v>411</v>
      </c>
      <c r="F52" s="43" t="s">
        <v>412</v>
      </c>
      <c r="G52" s="44" t="n">
        <v>9080</v>
      </c>
      <c r="H52" s="43" t="n">
        <v>2.8</v>
      </c>
    </row>
    <row r="53" customFormat="false" ht="15" hidden="false" customHeight="false" outlineLevel="0" collapsed="false">
      <c r="A53" s="42" t="str">
        <f aca="false">B53&amp;"|"&amp;E53</f>
        <v>333000|13-1161</v>
      </c>
      <c r="B53" s="43" t="s">
        <v>434</v>
      </c>
      <c r="C53" s="43" t="s">
        <v>435</v>
      </c>
      <c r="D53" s="43" t="s">
        <v>431</v>
      </c>
      <c r="E53" s="43" t="s">
        <v>413</v>
      </c>
      <c r="F53" s="43" t="s">
        <v>414</v>
      </c>
      <c r="G53" s="44" t="n">
        <v>5530</v>
      </c>
      <c r="H53" s="43" t="n">
        <v>2.7</v>
      </c>
    </row>
    <row r="54" customFormat="false" ht="15" hidden="false" customHeight="false" outlineLevel="0" collapsed="false">
      <c r="A54" s="42" t="str">
        <f aca="false">B54&amp;"|"&amp;E54</f>
        <v>333000|15-0000</v>
      </c>
      <c r="B54" s="43" t="s">
        <v>434</v>
      </c>
      <c r="C54" s="43" t="s">
        <v>435</v>
      </c>
      <c r="D54" s="43" t="s">
        <v>431</v>
      </c>
      <c r="E54" s="43" t="s">
        <v>415</v>
      </c>
      <c r="F54" s="43" t="s">
        <v>416</v>
      </c>
      <c r="G54" s="44" t="n">
        <v>29780</v>
      </c>
      <c r="H54" s="43" t="n">
        <v>1.6</v>
      </c>
    </row>
    <row r="55" customFormat="false" ht="15" hidden="false" customHeight="false" outlineLevel="0" collapsed="false">
      <c r="A55" s="42" t="str">
        <f aca="false">B55&amp;"|"&amp;E55</f>
        <v>333000|41-0000</v>
      </c>
      <c r="B55" s="43" t="s">
        <v>434</v>
      </c>
      <c r="C55" s="43" t="s">
        <v>435</v>
      </c>
      <c r="D55" s="43" t="s">
        <v>431</v>
      </c>
      <c r="E55" s="43" t="s">
        <v>417</v>
      </c>
      <c r="F55" s="43" t="s">
        <v>418</v>
      </c>
      <c r="G55" s="44" t="n">
        <v>38040</v>
      </c>
      <c r="H55" s="43" t="n">
        <v>1.7</v>
      </c>
    </row>
    <row r="56" customFormat="false" ht="15" hidden="false" customHeight="false" outlineLevel="0" collapsed="false">
      <c r="A56" s="42" t="str">
        <f aca="false">B56&amp;"|"&amp;E56</f>
        <v>333000|41-4011</v>
      </c>
      <c r="B56" s="43" t="s">
        <v>434</v>
      </c>
      <c r="C56" s="43" t="s">
        <v>435</v>
      </c>
      <c r="D56" s="43" t="s">
        <v>431</v>
      </c>
      <c r="E56" s="43" t="s">
        <v>419</v>
      </c>
      <c r="F56" s="43" t="s">
        <v>420</v>
      </c>
      <c r="G56" s="44" t="n">
        <v>2800</v>
      </c>
      <c r="H56" s="43" t="n">
        <v>5.5</v>
      </c>
    </row>
    <row r="57" customFormat="false" ht="15" hidden="false" customHeight="false" outlineLevel="0" collapsed="false">
      <c r="A57" s="42" t="str">
        <f aca="false">B57&amp;"|"&amp;E57</f>
        <v>333000|41-4012</v>
      </c>
      <c r="B57" s="43" t="s">
        <v>434</v>
      </c>
      <c r="C57" s="43" t="s">
        <v>435</v>
      </c>
      <c r="D57" s="43" t="s">
        <v>431</v>
      </c>
      <c r="E57" s="43" t="s">
        <v>421</v>
      </c>
      <c r="F57" s="43" t="s">
        <v>422</v>
      </c>
      <c r="G57" s="44" t="n">
        <v>27100</v>
      </c>
      <c r="H57" s="43" t="n">
        <v>2</v>
      </c>
    </row>
    <row r="58" customFormat="false" ht="15" hidden="false" customHeight="false" outlineLevel="0" collapsed="false">
      <c r="A58" s="42" t="str">
        <f aca="false">B58&amp;"|"&amp;E58</f>
        <v>333000|43-4051</v>
      </c>
      <c r="B58" s="43" t="s">
        <v>434</v>
      </c>
      <c r="C58" s="43" t="s">
        <v>435</v>
      </c>
      <c r="D58" s="43" t="s">
        <v>431</v>
      </c>
      <c r="E58" s="43" t="s">
        <v>423</v>
      </c>
      <c r="F58" s="43" t="s">
        <v>424</v>
      </c>
      <c r="G58" s="44" t="n">
        <v>11920</v>
      </c>
      <c r="H58" s="43" t="n">
        <v>3.7</v>
      </c>
    </row>
    <row r="59" customFormat="false" ht="15" hidden="false" customHeight="false" outlineLevel="0" collapsed="false">
      <c r="A59" s="42" t="str">
        <f aca="false">B59&amp;"|"&amp;E59</f>
        <v>335000|00-0000</v>
      </c>
      <c r="B59" s="43" t="s">
        <v>436</v>
      </c>
      <c r="C59" s="43" t="s">
        <v>437</v>
      </c>
      <c r="D59" s="43" t="s">
        <v>431</v>
      </c>
      <c r="E59" s="43" t="s">
        <v>407</v>
      </c>
      <c r="F59" s="43" t="s">
        <v>408</v>
      </c>
      <c r="G59" s="44" t="n">
        <v>425210</v>
      </c>
      <c r="H59" s="43" t="n">
        <v>0</v>
      </c>
    </row>
    <row r="60" customFormat="false" ht="15" hidden="false" customHeight="false" outlineLevel="0" collapsed="false">
      <c r="A60" s="42" t="str">
        <f aca="false">B60&amp;"|"&amp;E60</f>
        <v>335000|11-2021</v>
      </c>
      <c r="B60" s="43" t="s">
        <v>436</v>
      </c>
      <c r="C60" s="43" t="s">
        <v>437</v>
      </c>
      <c r="D60" s="43" t="s">
        <v>431</v>
      </c>
      <c r="E60" s="43" t="s">
        <v>409</v>
      </c>
      <c r="F60" s="43" t="s">
        <v>410</v>
      </c>
      <c r="G60" s="44" t="n">
        <v>1450</v>
      </c>
      <c r="H60" s="43" t="n">
        <v>5.9</v>
      </c>
    </row>
    <row r="61" customFormat="false" ht="15" hidden="false" customHeight="false" outlineLevel="0" collapsed="false">
      <c r="A61" s="42" t="str">
        <f aca="false">B61&amp;"|"&amp;E61</f>
        <v>335000|11-2022</v>
      </c>
      <c r="B61" s="43" t="s">
        <v>436</v>
      </c>
      <c r="C61" s="43" t="s">
        <v>437</v>
      </c>
      <c r="D61" s="43" t="s">
        <v>431</v>
      </c>
      <c r="E61" s="43" t="s">
        <v>411</v>
      </c>
      <c r="F61" s="43" t="s">
        <v>412</v>
      </c>
      <c r="G61" s="44" t="n">
        <v>3800</v>
      </c>
      <c r="H61" s="43" t="n">
        <v>4.6</v>
      </c>
    </row>
    <row r="62" customFormat="false" ht="15" hidden="false" customHeight="false" outlineLevel="0" collapsed="false">
      <c r="A62" s="42" t="str">
        <f aca="false">B62&amp;"|"&amp;E62</f>
        <v>335000|13-1161</v>
      </c>
      <c r="B62" s="43" t="s">
        <v>436</v>
      </c>
      <c r="C62" s="43" t="s">
        <v>437</v>
      </c>
      <c r="D62" s="43" t="s">
        <v>431</v>
      </c>
      <c r="E62" s="43" t="s">
        <v>413</v>
      </c>
      <c r="F62" s="43" t="s">
        <v>414</v>
      </c>
      <c r="G62" s="44" t="n">
        <v>2530</v>
      </c>
      <c r="H62" s="43" t="n">
        <v>4.1</v>
      </c>
    </row>
    <row r="63" customFormat="false" ht="15" hidden="false" customHeight="false" outlineLevel="0" collapsed="false">
      <c r="A63" s="42" t="str">
        <f aca="false">B63&amp;"|"&amp;E63</f>
        <v>335000|15-0000</v>
      </c>
      <c r="B63" s="43" t="s">
        <v>436</v>
      </c>
      <c r="C63" s="43" t="s">
        <v>437</v>
      </c>
      <c r="D63" s="43" t="s">
        <v>431</v>
      </c>
      <c r="E63" s="43" t="s">
        <v>415</v>
      </c>
      <c r="F63" s="43" t="s">
        <v>416</v>
      </c>
      <c r="G63" s="44" t="n">
        <v>8790</v>
      </c>
      <c r="H63" s="43" t="n">
        <v>3.8</v>
      </c>
    </row>
    <row r="64" customFormat="false" ht="15" hidden="false" customHeight="false" outlineLevel="0" collapsed="false">
      <c r="A64" s="42" t="str">
        <f aca="false">B64&amp;"|"&amp;E64</f>
        <v>335000|41-0000</v>
      </c>
      <c r="B64" s="43" t="s">
        <v>436</v>
      </c>
      <c r="C64" s="43" t="s">
        <v>437</v>
      </c>
      <c r="D64" s="43" t="s">
        <v>431</v>
      </c>
      <c r="E64" s="43" t="s">
        <v>417</v>
      </c>
      <c r="F64" s="43" t="s">
        <v>418</v>
      </c>
      <c r="G64" s="44" t="n">
        <v>12800</v>
      </c>
      <c r="H64" s="43" t="n">
        <v>3.2</v>
      </c>
    </row>
    <row r="65" customFormat="false" ht="15" hidden="false" customHeight="false" outlineLevel="0" collapsed="false">
      <c r="A65" s="42" t="str">
        <f aca="false">B65&amp;"|"&amp;E65</f>
        <v>335000|41-4011</v>
      </c>
      <c r="B65" s="43" t="s">
        <v>436</v>
      </c>
      <c r="C65" s="43" t="s">
        <v>437</v>
      </c>
      <c r="D65" s="43" t="s">
        <v>431</v>
      </c>
      <c r="E65" s="43" t="s">
        <v>419</v>
      </c>
      <c r="F65" s="43" t="s">
        <v>420</v>
      </c>
      <c r="G65" s="44" t="n">
        <v>1220</v>
      </c>
      <c r="H65" s="43" t="n">
        <v>10</v>
      </c>
    </row>
    <row r="66" customFormat="false" ht="15" hidden="false" customHeight="false" outlineLevel="0" collapsed="false">
      <c r="A66" s="42" t="str">
        <f aca="false">B66&amp;"|"&amp;E66</f>
        <v>335000|41-4012</v>
      </c>
      <c r="B66" s="43" t="s">
        <v>436</v>
      </c>
      <c r="C66" s="43" t="s">
        <v>437</v>
      </c>
      <c r="D66" s="43" t="s">
        <v>431</v>
      </c>
      <c r="E66" s="43" t="s">
        <v>421</v>
      </c>
      <c r="F66" s="43" t="s">
        <v>422</v>
      </c>
      <c r="G66" s="44" t="n">
        <v>9640</v>
      </c>
      <c r="H66" s="43" t="n">
        <v>3.8</v>
      </c>
    </row>
    <row r="67" customFormat="false" ht="15" hidden="false" customHeight="false" outlineLevel="0" collapsed="false">
      <c r="A67" s="42" t="str">
        <f aca="false">B67&amp;"|"&amp;E67</f>
        <v>335000|43-4051</v>
      </c>
      <c r="B67" s="43" t="s">
        <v>436</v>
      </c>
      <c r="C67" s="43" t="s">
        <v>437</v>
      </c>
      <c r="D67" s="43" t="s">
        <v>431</v>
      </c>
      <c r="E67" s="43" t="s">
        <v>423</v>
      </c>
      <c r="F67" s="43" t="s">
        <v>424</v>
      </c>
      <c r="G67" s="44" t="n">
        <v>5790</v>
      </c>
      <c r="H67" s="43" t="n">
        <v>4.1</v>
      </c>
    </row>
    <row r="68" customFormat="false" ht="15" hidden="false" customHeight="false" outlineLevel="0" collapsed="false">
      <c r="A68" s="42" t="str">
        <f aca="false">B68&amp;"|"&amp;E68</f>
        <v>541000|00-0000</v>
      </c>
      <c r="B68" s="43" t="s">
        <v>438</v>
      </c>
      <c r="C68" s="43" t="s">
        <v>439</v>
      </c>
      <c r="D68" s="43" t="s">
        <v>440</v>
      </c>
      <c r="E68" s="43" t="s">
        <v>407</v>
      </c>
      <c r="F68" s="43" t="s">
        <v>408</v>
      </c>
      <c r="G68" s="44" t="n">
        <v>10800470</v>
      </c>
      <c r="H68" s="43" t="n">
        <v>0</v>
      </c>
    </row>
    <row r="69" customFormat="false" ht="15" hidden="false" customHeight="false" outlineLevel="0" collapsed="false">
      <c r="A69" s="42" t="str">
        <f aca="false">B69&amp;"|"&amp;E69</f>
        <v>541000|11-2021</v>
      </c>
      <c r="B69" s="43" t="s">
        <v>438</v>
      </c>
      <c r="C69" s="43" t="s">
        <v>439</v>
      </c>
      <c r="D69" s="43" t="s">
        <v>440</v>
      </c>
      <c r="E69" s="43" t="s">
        <v>409</v>
      </c>
      <c r="F69" s="43" t="s">
        <v>410</v>
      </c>
      <c r="G69" s="44" t="n">
        <v>96660</v>
      </c>
      <c r="H69" s="43" t="n">
        <v>2.4</v>
      </c>
    </row>
    <row r="70" customFormat="false" ht="15" hidden="false" customHeight="false" outlineLevel="0" collapsed="false">
      <c r="A70" s="42" t="str">
        <f aca="false">B70&amp;"|"&amp;E70</f>
        <v>541000|11-2022</v>
      </c>
      <c r="B70" s="43" t="s">
        <v>438</v>
      </c>
      <c r="C70" s="43" t="s">
        <v>439</v>
      </c>
      <c r="D70" s="43" t="s">
        <v>440</v>
      </c>
      <c r="E70" s="43" t="s">
        <v>411</v>
      </c>
      <c r="F70" s="43" t="s">
        <v>412</v>
      </c>
      <c r="G70" s="44" t="n">
        <v>85240</v>
      </c>
      <c r="H70" s="43" t="n">
        <v>5.1</v>
      </c>
    </row>
    <row r="71" customFormat="false" ht="15" hidden="false" customHeight="false" outlineLevel="0" collapsed="false">
      <c r="A71" s="42" t="str">
        <f aca="false">B71&amp;"|"&amp;E71</f>
        <v>541000|13-1161</v>
      </c>
      <c r="B71" s="43" t="s">
        <v>438</v>
      </c>
      <c r="C71" s="43" t="s">
        <v>439</v>
      </c>
      <c r="D71" s="43" t="s">
        <v>440</v>
      </c>
      <c r="E71" s="43" t="s">
        <v>413</v>
      </c>
      <c r="F71" s="43" t="s">
        <v>414</v>
      </c>
      <c r="G71" s="44" t="n">
        <v>248820</v>
      </c>
      <c r="H71" s="43" t="n">
        <v>3</v>
      </c>
    </row>
    <row r="72" customFormat="false" ht="15" hidden="false" customHeight="false" outlineLevel="0" collapsed="false">
      <c r="A72" s="42" t="str">
        <f aca="false">B72&amp;"|"&amp;E72</f>
        <v>541000|15-0000</v>
      </c>
      <c r="B72" s="43" t="s">
        <v>438</v>
      </c>
      <c r="C72" s="43" t="s">
        <v>439</v>
      </c>
      <c r="D72" s="43" t="s">
        <v>440</v>
      </c>
      <c r="E72" s="43" t="s">
        <v>415</v>
      </c>
      <c r="F72" s="43" t="s">
        <v>416</v>
      </c>
      <c r="G72" s="44" t="n">
        <v>1831330</v>
      </c>
      <c r="H72" s="43" t="n">
        <v>0.5</v>
      </c>
    </row>
    <row r="73" customFormat="false" ht="15" hidden="false" customHeight="false" outlineLevel="0" collapsed="false">
      <c r="A73" s="42" t="str">
        <f aca="false">B73&amp;"|"&amp;E73</f>
        <v>541000|41-0000</v>
      </c>
      <c r="B73" s="43" t="s">
        <v>438</v>
      </c>
      <c r="C73" s="43" t="s">
        <v>439</v>
      </c>
      <c r="D73" s="43" t="s">
        <v>440</v>
      </c>
      <c r="E73" s="43" t="s">
        <v>417</v>
      </c>
      <c r="F73" s="43" t="s">
        <v>418</v>
      </c>
      <c r="G73" s="44" t="n">
        <v>492350</v>
      </c>
      <c r="H73" s="43" t="n">
        <v>1.4</v>
      </c>
    </row>
    <row r="74" customFormat="false" ht="15" hidden="false" customHeight="false" outlineLevel="0" collapsed="false">
      <c r="A74" s="42" t="str">
        <f aca="false">B74&amp;"|"&amp;E74</f>
        <v>541000|41-4011</v>
      </c>
      <c r="B74" s="43" t="s">
        <v>438</v>
      </c>
      <c r="C74" s="43" t="s">
        <v>439</v>
      </c>
      <c r="D74" s="43" t="s">
        <v>440</v>
      </c>
      <c r="E74" s="43" t="s">
        <v>419</v>
      </c>
      <c r="F74" s="43" t="s">
        <v>420</v>
      </c>
      <c r="G74" s="44" t="n">
        <v>35090</v>
      </c>
      <c r="H74" s="43" t="n">
        <v>5.2</v>
      </c>
    </row>
    <row r="75" customFormat="false" ht="15" hidden="false" customHeight="false" outlineLevel="0" collapsed="false">
      <c r="A75" s="42" t="str">
        <f aca="false">B75&amp;"|"&amp;E75</f>
        <v>541000|41-4012</v>
      </c>
      <c r="B75" s="43" t="s">
        <v>438</v>
      </c>
      <c r="C75" s="43" t="s">
        <v>439</v>
      </c>
      <c r="D75" s="43" t="s">
        <v>440</v>
      </c>
      <c r="E75" s="43" t="s">
        <v>421</v>
      </c>
      <c r="F75" s="43" t="s">
        <v>422</v>
      </c>
      <c r="G75" s="44" t="n">
        <v>21160</v>
      </c>
      <c r="H75" s="43" t="n">
        <v>6.1</v>
      </c>
    </row>
    <row r="76" customFormat="false" ht="15" hidden="false" customHeight="false" outlineLevel="0" collapsed="false">
      <c r="A76" s="42" t="str">
        <f aca="false">B76&amp;"|"&amp;E76</f>
        <v>541000|43-4051</v>
      </c>
      <c r="B76" s="43" t="s">
        <v>438</v>
      </c>
      <c r="C76" s="43" t="s">
        <v>439</v>
      </c>
      <c r="D76" s="43" t="s">
        <v>440</v>
      </c>
      <c r="E76" s="43" t="s">
        <v>423</v>
      </c>
      <c r="F76" s="43" t="s">
        <v>424</v>
      </c>
      <c r="G76" s="44" t="n">
        <v>183700</v>
      </c>
      <c r="H76" s="43" t="n">
        <v>2.2</v>
      </c>
    </row>
    <row r="77" customFormat="false" ht="15" hidden="false" customHeight="false" outlineLevel="0" collapsed="false">
      <c r="A77" s="42" t="str">
        <f aca="false">B77&amp;"|"&amp;E77</f>
        <v>541100|00-0000</v>
      </c>
      <c r="B77" s="43" t="s">
        <v>441</v>
      </c>
      <c r="C77" s="43" t="s">
        <v>336</v>
      </c>
      <c r="D77" s="43" t="s">
        <v>440</v>
      </c>
      <c r="E77" s="43" t="s">
        <v>407</v>
      </c>
      <c r="F77" s="43" t="s">
        <v>408</v>
      </c>
      <c r="G77" s="44" t="n">
        <v>1224710</v>
      </c>
      <c r="H77" s="43" t="n">
        <v>0</v>
      </c>
    </row>
    <row r="78" customFormat="false" ht="15" hidden="false" customHeight="false" outlineLevel="0" collapsed="false">
      <c r="A78" s="42" t="str">
        <f aca="false">B78&amp;"|"&amp;E78</f>
        <v>541100|11-2021</v>
      </c>
      <c r="B78" s="43" t="s">
        <v>441</v>
      </c>
      <c r="C78" s="43" t="s">
        <v>336</v>
      </c>
      <c r="D78" s="43" t="s">
        <v>440</v>
      </c>
      <c r="E78" s="43" t="s">
        <v>409</v>
      </c>
      <c r="F78" s="43" t="s">
        <v>410</v>
      </c>
      <c r="G78" s="44" t="n">
        <v>3260</v>
      </c>
      <c r="H78" s="43" t="n">
        <v>5.5</v>
      </c>
    </row>
    <row r="79" customFormat="false" ht="15" hidden="false" customHeight="false" outlineLevel="0" collapsed="false">
      <c r="A79" s="42" t="str">
        <f aca="false">B79&amp;"|"&amp;E79</f>
        <v>541100|11-2022</v>
      </c>
      <c r="B79" s="43" t="s">
        <v>441</v>
      </c>
      <c r="C79" s="43" t="s">
        <v>336</v>
      </c>
      <c r="D79" s="43" t="s">
        <v>440</v>
      </c>
      <c r="E79" s="43" t="s">
        <v>411</v>
      </c>
      <c r="F79" s="43" t="s">
        <v>412</v>
      </c>
      <c r="G79" s="44" t="n">
        <v>410</v>
      </c>
      <c r="H79" s="43" t="n">
        <v>13.5</v>
      </c>
    </row>
    <row r="80" customFormat="false" ht="15" hidden="false" customHeight="false" outlineLevel="0" collapsed="false">
      <c r="A80" s="42" t="str">
        <f aca="false">B80&amp;"|"&amp;E80</f>
        <v>541100|13-1161</v>
      </c>
      <c r="B80" s="43" t="s">
        <v>441</v>
      </c>
      <c r="C80" s="43" t="s">
        <v>336</v>
      </c>
      <c r="D80" s="43" t="s">
        <v>440</v>
      </c>
      <c r="E80" s="43" t="s">
        <v>413</v>
      </c>
      <c r="F80" s="43" t="s">
        <v>414</v>
      </c>
      <c r="G80" s="44" t="n">
        <v>8080</v>
      </c>
      <c r="H80" s="43" t="n">
        <v>6.8</v>
      </c>
    </row>
    <row r="81" customFormat="false" ht="15" hidden="false" customHeight="false" outlineLevel="0" collapsed="false">
      <c r="A81" s="42" t="str">
        <f aca="false">B81&amp;"|"&amp;E81</f>
        <v>541100|15-0000</v>
      </c>
      <c r="B81" s="43" t="s">
        <v>441</v>
      </c>
      <c r="C81" s="43" t="s">
        <v>336</v>
      </c>
      <c r="D81" s="43" t="s">
        <v>440</v>
      </c>
      <c r="E81" s="43" t="s">
        <v>415</v>
      </c>
      <c r="F81" s="43" t="s">
        <v>416</v>
      </c>
      <c r="G81" s="44" t="n">
        <v>21520</v>
      </c>
      <c r="H81" s="43" t="n">
        <v>3.8</v>
      </c>
    </row>
    <row r="82" customFormat="false" ht="15" hidden="false" customHeight="false" outlineLevel="0" collapsed="false">
      <c r="A82" s="42" t="str">
        <f aca="false">B82&amp;"|"&amp;E82</f>
        <v>541100|41-0000</v>
      </c>
      <c r="B82" s="43" t="s">
        <v>441</v>
      </c>
      <c r="C82" s="43" t="s">
        <v>336</v>
      </c>
      <c r="D82" s="43" t="s">
        <v>440</v>
      </c>
      <c r="E82" s="43" t="s">
        <v>417</v>
      </c>
      <c r="F82" s="43" t="s">
        <v>418</v>
      </c>
      <c r="G82" s="44" t="n">
        <v>3380</v>
      </c>
      <c r="H82" s="43" t="n">
        <v>14.2</v>
      </c>
    </row>
    <row r="83" customFormat="false" ht="15" hidden="false" customHeight="false" outlineLevel="0" collapsed="false">
      <c r="A83" s="42" t="str">
        <f aca="false">B83&amp;"|"&amp;E83</f>
        <v>541100|41-4012</v>
      </c>
      <c r="B83" s="43" t="s">
        <v>441</v>
      </c>
      <c r="C83" s="43" t="s">
        <v>336</v>
      </c>
      <c r="D83" s="43" t="s">
        <v>440</v>
      </c>
      <c r="E83" s="43" t="s">
        <v>421</v>
      </c>
      <c r="F83" s="43" t="s">
        <v>422</v>
      </c>
      <c r="G83" s="44"/>
      <c r="H83" s="43"/>
    </row>
    <row r="84" customFormat="false" ht="15" hidden="false" customHeight="false" outlineLevel="0" collapsed="false">
      <c r="A84" s="42" t="str">
        <f aca="false">B84&amp;"|"&amp;E84</f>
        <v>541100|43-4051</v>
      </c>
      <c r="B84" s="43" t="s">
        <v>441</v>
      </c>
      <c r="C84" s="43" t="s">
        <v>336</v>
      </c>
      <c r="D84" s="43" t="s">
        <v>440</v>
      </c>
      <c r="E84" s="43" t="s">
        <v>423</v>
      </c>
      <c r="F84" s="43" t="s">
        <v>424</v>
      </c>
      <c r="G84" s="44" t="n">
        <v>7170</v>
      </c>
      <c r="H84" s="43" t="n">
        <v>10</v>
      </c>
    </row>
    <row r="85" customFormat="false" ht="15" hidden="false" customHeight="false" outlineLevel="0" collapsed="false">
      <c r="A85" s="42" t="str">
        <f aca="false">B85&amp;"|"&amp;E85</f>
        <v>541200|00-0000</v>
      </c>
      <c r="B85" s="43" t="s">
        <v>442</v>
      </c>
      <c r="C85" s="43" t="s">
        <v>339</v>
      </c>
      <c r="D85" s="43" t="s">
        <v>440</v>
      </c>
      <c r="E85" s="43" t="s">
        <v>407</v>
      </c>
      <c r="F85" s="43" t="s">
        <v>408</v>
      </c>
      <c r="G85" s="44" t="n">
        <v>1091370</v>
      </c>
      <c r="H85" s="43" t="n">
        <v>0</v>
      </c>
    </row>
    <row r="86" customFormat="false" ht="15" hidden="false" customHeight="false" outlineLevel="0" collapsed="false">
      <c r="A86" s="42" t="str">
        <f aca="false">B86&amp;"|"&amp;E86</f>
        <v>541200|11-2021</v>
      </c>
      <c r="B86" s="43" t="s">
        <v>442</v>
      </c>
      <c r="C86" s="43" t="s">
        <v>339</v>
      </c>
      <c r="D86" s="43" t="s">
        <v>440</v>
      </c>
      <c r="E86" s="43" t="s">
        <v>409</v>
      </c>
      <c r="F86" s="43" t="s">
        <v>410</v>
      </c>
      <c r="G86" s="44" t="n">
        <v>4160</v>
      </c>
      <c r="H86" s="43" t="n">
        <v>7.4</v>
      </c>
    </row>
    <row r="87" customFormat="false" ht="15" hidden="false" customHeight="false" outlineLevel="0" collapsed="false">
      <c r="A87" s="42" t="str">
        <f aca="false">B87&amp;"|"&amp;E87</f>
        <v>541200|11-2022</v>
      </c>
      <c r="B87" s="43" t="s">
        <v>442</v>
      </c>
      <c r="C87" s="43" t="s">
        <v>339</v>
      </c>
      <c r="D87" s="43" t="s">
        <v>440</v>
      </c>
      <c r="E87" s="43" t="s">
        <v>411</v>
      </c>
      <c r="F87" s="43" t="s">
        <v>412</v>
      </c>
      <c r="G87" s="44" t="n">
        <v>5360</v>
      </c>
      <c r="H87" s="43" t="n">
        <v>6.7</v>
      </c>
    </row>
    <row r="88" customFormat="false" ht="15" hidden="false" customHeight="false" outlineLevel="0" collapsed="false">
      <c r="A88" s="42" t="str">
        <f aca="false">B88&amp;"|"&amp;E88</f>
        <v>541200|13-1161</v>
      </c>
      <c r="B88" s="43" t="s">
        <v>442</v>
      </c>
      <c r="C88" s="43" t="s">
        <v>339</v>
      </c>
      <c r="D88" s="43" t="s">
        <v>440</v>
      </c>
      <c r="E88" s="43" t="s">
        <v>413</v>
      </c>
      <c r="F88" s="43" t="s">
        <v>414</v>
      </c>
      <c r="G88" s="44" t="n">
        <v>6430</v>
      </c>
      <c r="H88" s="43" t="n">
        <v>5.4</v>
      </c>
    </row>
    <row r="89" customFormat="false" ht="15" hidden="false" customHeight="false" outlineLevel="0" collapsed="false">
      <c r="A89" s="42" t="str">
        <f aca="false">B89&amp;"|"&amp;E89</f>
        <v>541200|15-0000</v>
      </c>
      <c r="B89" s="43" t="s">
        <v>442</v>
      </c>
      <c r="C89" s="43" t="s">
        <v>339</v>
      </c>
      <c r="D89" s="43" t="s">
        <v>440</v>
      </c>
      <c r="E89" s="43" t="s">
        <v>415</v>
      </c>
      <c r="F89" s="43" t="s">
        <v>416</v>
      </c>
      <c r="G89" s="44" t="n">
        <v>53990</v>
      </c>
      <c r="H89" s="43" t="n">
        <v>2.8</v>
      </c>
    </row>
    <row r="90" customFormat="false" ht="15" hidden="false" customHeight="false" outlineLevel="0" collapsed="false">
      <c r="A90" s="42" t="str">
        <f aca="false">B90&amp;"|"&amp;E90</f>
        <v>541200|41-0000</v>
      </c>
      <c r="B90" s="43" t="s">
        <v>442</v>
      </c>
      <c r="C90" s="43" t="s">
        <v>339</v>
      </c>
      <c r="D90" s="43" t="s">
        <v>440</v>
      </c>
      <c r="E90" s="43" t="s">
        <v>417</v>
      </c>
      <c r="F90" s="43" t="s">
        <v>418</v>
      </c>
      <c r="G90" s="44" t="n">
        <v>37640</v>
      </c>
      <c r="H90" s="43" t="n">
        <v>7.3</v>
      </c>
    </row>
    <row r="91" customFormat="false" ht="15" hidden="false" customHeight="false" outlineLevel="0" collapsed="false">
      <c r="A91" s="42" t="str">
        <f aca="false">B91&amp;"|"&amp;E91</f>
        <v>541200|41-4011</v>
      </c>
      <c r="B91" s="43" t="s">
        <v>442</v>
      </c>
      <c r="C91" s="43" t="s">
        <v>339</v>
      </c>
      <c r="D91" s="43" t="s">
        <v>440</v>
      </c>
      <c r="E91" s="43" t="s">
        <v>419</v>
      </c>
      <c r="F91" s="43" t="s">
        <v>420</v>
      </c>
      <c r="G91" s="44" t="n">
        <v>320</v>
      </c>
      <c r="H91" s="43" t="n">
        <v>37.2</v>
      </c>
    </row>
    <row r="92" customFormat="false" ht="15" hidden="false" customHeight="false" outlineLevel="0" collapsed="false">
      <c r="A92" s="42" t="str">
        <f aca="false">B92&amp;"|"&amp;E92</f>
        <v>541200|41-4012</v>
      </c>
      <c r="B92" s="43" t="s">
        <v>442</v>
      </c>
      <c r="C92" s="43" t="s">
        <v>339</v>
      </c>
      <c r="D92" s="43" t="s">
        <v>440</v>
      </c>
      <c r="E92" s="43" t="s">
        <v>421</v>
      </c>
      <c r="F92" s="43" t="s">
        <v>422</v>
      </c>
      <c r="G92" s="44"/>
      <c r="H92" s="43"/>
    </row>
    <row r="93" customFormat="false" ht="15" hidden="false" customHeight="false" outlineLevel="0" collapsed="false">
      <c r="A93" s="42" t="str">
        <f aca="false">B93&amp;"|"&amp;E93</f>
        <v>541200|43-4051</v>
      </c>
      <c r="B93" s="43" t="s">
        <v>442</v>
      </c>
      <c r="C93" s="43" t="s">
        <v>339</v>
      </c>
      <c r="D93" s="43" t="s">
        <v>440</v>
      </c>
      <c r="E93" s="43" t="s">
        <v>423</v>
      </c>
      <c r="F93" s="43" t="s">
        <v>424</v>
      </c>
      <c r="G93" s="44" t="n">
        <v>18920</v>
      </c>
      <c r="H93" s="43" t="n">
        <v>4.8</v>
      </c>
    </row>
    <row r="94" customFormat="false" ht="15" hidden="false" customHeight="false" outlineLevel="0" collapsed="false">
      <c r="A94" s="42" t="str">
        <f aca="false">B94&amp;"|"&amp;E94</f>
        <v>541300|00-0000</v>
      </c>
      <c r="B94" s="43" t="s">
        <v>443</v>
      </c>
      <c r="C94" s="43" t="s">
        <v>444</v>
      </c>
      <c r="D94" s="43" t="s">
        <v>445</v>
      </c>
      <c r="E94" s="43" t="s">
        <v>407</v>
      </c>
      <c r="F94" s="43" t="s">
        <v>408</v>
      </c>
      <c r="G94" s="44" t="n">
        <v>1719390</v>
      </c>
      <c r="H94" s="43" t="n">
        <v>0</v>
      </c>
    </row>
    <row r="95" customFormat="false" ht="15" hidden="false" customHeight="false" outlineLevel="0" collapsed="false">
      <c r="A95" s="42" t="str">
        <f aca="false">B95&amp;"|"&amp;E95</f>
        <v>541300|11-2021</v>
      </c>
      <c r="B95" s="43" t="s">
        <v>443</v>
      </c>
      <c r="C95" s="43" t="s">
        <v>444</v>
      </c>
      <c r="D95" s="43" t="s">
        <v>445</v>
      </c>
      <c r="E95" s="43" t="s">
        <v>409</v>
      </c>
      <c r="F95" s="43" t="s">
        <v>410</v>
      </c>
      <c r="G95" s="44" t="n">
        <v>6380</v>
      </c>
      <c r="H95" s="43" t="n">
        <v>8.9</v>
      </c>
    </row>
    <row r="96" customFormat="false" ht="15" hidden="false" customHeight="false" outlineLevel="0" collapsed="false">
      <c r="A96" s="42" t="str">
        <f aca="false">B96&amp;"|"&amp;E96</f>
        <v>541300|11-2022</v>
      </c>
      <c r="B96" s="43" t="s">
        <v>443</v>
      </c>
      <c r="C96" s="43" t="s">
        <v>444</v>
      </c>
      <c r="D96" s="43" t="s">
        <v>445</v>
      </c>
      <c r="E96" s="43" t="s">
        <v>411</v>
      </c>
      <c r="F96" s="43" t="s">
        <v>412</v>
      </c>
      <c r="G96" s="44" t="n">
        <v>5230</v>
      </c>
      <c r="H96" s="43" t="n">
        <v>5.9</v>
      </c>
    </row>
    <row r="97" customFormat="false" ht="15" hidden="false" customHeight="false" outlineLevel="0" collapsed="false">
      <c r="A97" s="42" t="str">
        <f aca="false">B97&amp;"|"&amp;E97</f>
        <v>541300|13-1161</v>
      </c>
      <c r="B97" s="43" t="s">
        <v>443</v>
      </c>
      <c r="C97" s="43" t="s">
        <v>444</v>
      </c>
      <c r="D97" s="43" t="s">
        <v>445</v>
      </c>
      <c r="E97" s="43" t="s">
        <v>413</v>
      </c>
      <c r="F97" s="43" t="s">
        <v>414</v>
      </c>
      <c r="G97" s="44" t="n">
        <v>14890</v>
      </c>
      <c r="H97" s="43" t="n">
        <v>5.4</v>
      </c>
    </row>
    <row r="98" customFormat="false" ht="15" hidden="false" customHeight="false" outlineLevel="0" collapsed="false">
      <c r="A98" s="42" t="str">
        <f aca="false">B98&amp;"|"&amp;E98</f>
        <v>541300|15-0000</v>
      </c>
      <c r="B98" s="43" t="s">
        <v>443</v>
      </c>
      <c r="C98" s="43" t="s">
        <v>444</v>
      </c>
      <c r="D98" s="43" t="s">
        <v>445</v>
      </c>
      <c r="E98" s="43" t="s">
        <v>415</v>
      </c>
      <c r="F98" s="43" t="s">
        <v>416</v>
      </c>
      <c r="G98" s="44" t="n">
        <v>117050</v>
      </c>
      <c r="H98" s="43" t="n">
        <v>2.3</v>
      </c>
    </row>
    <row r="99" customFormat="false" ht="15" hidden="false" customHeight="false" outlineLevel="0" collapsed="false">
      <c r="A99" s="42" t="str">
        <f aca="false">B99&amp;"|"&amp;E99</f>
        <v>541300|41-0000</v>
      </c>
      <c r="B99" s="43" t="s">
        <v>443</v>
      </c>
      <c r="C99" s="43" t="s">
        <v>444</v>
      </c>
      <c r="D99" s="43" t="s">
        <v>445</v>
      </c>
      <c r="E99" s="43" t="s">
        <v>417</v>
      </c>
      <c r="F99" s="43" t="s">
        <v>418</v>
      </c>
      <c r="G99" s="44" t="n">
        <v>19650</v>
      </c>
      <c r="H99" s="43" t="n">
        <v>5.9</v>
      </c>
    </row>
    <row r="100" customFormat="false" ht="15" hidden="false" customHeight="false" outlineLevel="0" collapsed="false">
      <c r="A100" s="42" t="str">
        <f aca="false">B100&amp;"|"&amp;E100</f>
        <v>541300|41-4011</v>
      </c>
      <c r="B100" s="43" t="s">
        <v>443</v>
      </c>
      <c r="C100" s="43" t="s">
        <v>444</v>
      </c>
      <c r="D100" s="43" t="s">
        <v>445</v>
      </c>
      <c r="E100" s="43" t="s">
        <v>419</v>
      </c>
      <c r="F100" s="43" t="s">
        <v>420</v>
      </c>
      <c r="G100" s="44" t="n">
        <v>1830</v>
      </c>
      <c r="H100" s="43" t="n">
        <v>16.6</v>
      </c>
    </row>
    <row r="101" customFormat="false" ht="15" hidden="false" customHeight="false" outlineLevel="0" collapsed="false">
      <c r="A101" s="42" t="str">
        <f aca="false">B101&amp;"|"&amp;E101</f>
        <v>541300|41-4012</v>
      </c>
      <c r="B101" s="43" t="s">
        <v>443</v>
      </c>
      <c r="C101" s="43" t="s">
        <v>444</v>
      </c>
      <c r="D101" s="43" t="s">
        <v>445</v>
      </c>
      <c r="E101" s="43" t="s">
        <v>421</v>
      </c>
      <c r="F101" s="43" t="s">
        <v>422</v>
      </c>
      <c r="G101" s="44" t="n">
        <v>1170</v>
      </c>
      <c r="H101" s="43" t="n">
        <v>16.7</v>
      </c>
    </row>
    <row r="102" customFormat="false" ht="15" hidden="false" customHeight="false" outlineLevel="0" collapsed="false">
      <c r="A102" s="42" t="str">
        <f aca="false">B102&amp;"|"&amp;E102</f>
        <v>541300|43-4051</v>
      </c>
      <c r="B102" s="43" t="s">
        <v>443</v>
      </c>
      <c r="C102" s="43" t="s">
        <v>444</v>
      </c>
      <c r="D102" s="43" t="s">
        <v>445</v>
      </c>
      <c r="E102" s="43" t="s">
        <v>423</v>
      </c>
      <c r="F102" s="43" t="s">
        <v>424</v>
      </c>
      <c r="G102" s="44" t="n">
        <v>4710</v>
      </c>
      <c r="H102" s="43" t="n">
        <v>4.8</v>
      </c>
    </row>
    <row r="103" customFormat="false" ht="15" hidden="false" customHeight="false" outlineLevel="0" collapsed="false">
      <c r="A103" s="42" t="str">
        <f aca="false">B103&amp;"|"&amp;E103</f>
        <v>541500|00-0000</v>
      </c>
      <c r="B103" s="43" t="s">
        <v>446</v>
      </c>
      <c r="C103" s="43" t="s">
        <v>447</v>
      </c>
      <c r="D103" s="43" t="s">
        <v>445</v>
      </c>
      <c r="E103" s="43" t="s">
        <v>407</v>
      </c>
      <c r="F103" s="43" t="s">
        <v>408</v>
      </c>
      <c r="G103" s="44" t="n">
        <v>2445140</v>
      </c>
      <c r="H103" s="43" t="n">
        <v>0</v>
      </c>
    </row>
    <row r="104" customFormat="false" ht="15" hidden="false" customHeight="false" outlineLevel="0" collapsed="false">
      <c r="A104" s="42" t="str">
        <f aca="false">B104&amp;"|"&amp;E104</f>
        <v>541500|11-2021</v>
      </c>
      <c r="B104" s="43" t="s">
        <v>446</v>
      </c>
      <c r="C104" s="43" t="s">
        <v>447</v>
      </c>
      <c r="D104" s="43" t="s">
        <v>445</v>
      </c>
      <c r="E104" s="43" t="s">
        <v>409</v>
      </c>
      <c r="F104" s="43" t="s">
        <v>410</v>
      </c>
      <c r="G104" s="44" t="n">
        <v>25860</v>
      </c>
      <c r="H104" s="43" t="n">
        <v>4</v>
      </c>
    </row>
    <row r="105" customFormat="false" ht="15" hidden="false" customHeight="false" outlineLevel="0" collapsed="false">
      <c r="A105" s="42" t="str">
        <f aca="false">B105&amp;"|"&amp;E105</f>
        <v>541500|11-2022</v>
      </c>
      <c r="B105" s="43" t="s">
        <v>446</v>
      </c>
      <c r="C105" s="43" t="s">
        <v>447</v>
      </c>
      <c r="D105" s="43" t="s">
        <v>445</v>
      </c>
      <c r="E105" s="43" t="s">
        <v>411</v>
      </c>
      <c r="F105" s="43" t="s">
        <v>412</v>
      </c>
      <c r="G105" s="44" t="n">
        <v>37790</v>
      </c>
      <c r="H105" s="43" t="n">
        <v>9.3</v>
      </c>
    </row>
    <row r="106" customFormat="false" ht="15" hidden="false" customHeight="false" outlineLevel="0" collapsed="false">
      <c r="A106" s="42" t="str">
        <f aca="false">B106&amp;"|"&amp;E106</f>
        <v>541500|13-1161</v>
      </c>
      <c r="B106" s="43" t="s">
        <v>446</v>
      </c>
      <c r="C106" s="43" t="s">
        <v>447</v>
      </c>
      <c r="D106" s="43" t="s">
        <v>445</v>
      </c>
      <c r="E106" s="43" t="s">
        <v>413</v>
      </c>
      <c r="F106" s="43" t="s">
        <v>414</v>
      </c>
      <c r="G106" s="44" t="n">
        <v>46310</v>
      </c>
      <c r="H106" s="43" t="n">
        <v>5.3</v>
      </c>
    </row>
    <row r="107" customFormat="false" ht="15" hidden="false" customHeight="false" outlineLevel="0" collapsed="false">
      <c r="A107" s="42" t="str">
        <f aca="false">B107&amp;"|"&amp;E107</f>
        <v>541500|15-0000</v>
      </c>
      <c r="B107" s="43" t="s">
        <v>446</v>
      </c>
      <c r="C107" s="43" t="s">
        <v>447</v>
      </c>
      <c r="D107" s="43" t="s">
        <v>445</v>
      </c>
      <c r="E107" s="43" t="s">
        <v>415</v>
      </c>
      <c r="F107" s="43" t="s">
        <v>416</v>
      </c>
      <c r="G107" s="44" t="n">
        <v>1244050</v>
      </c>
      <c r="H107" s="43" t="n">
        <v>0.7</v>
      </c>
    </row>
    <row r="108" customFormat="false" ht="15" hidden="false" customHeight="false" outlineLevel="0" collapsed="false">
      <c r="A108" s="42" t="str">
        <f aca="false">B108&amp;"|"&amp;E108</f>
        <v>541500|41-0000</v>
      </c>
      <c r="B108" s="43" t="s">
        <v>446</v>
      </c>
      <c r="C108" s="43" t="s">
        <v>447</v>
      </c>
      <c r="D108" s="43" t="s">
        <v>445</v>
      </c>
      <c r="E108" s="43" t="s">
        <v>417</v>
      </c>
      <c r="F108" s="43" t="s">
        <v>418</v>
      </c>
      <c r="G108" s="44" t="n">
        <v>167450</v>
      </c>
      <c r="H108" s="43" t="n">
        <v>3.2</v>
      </c>
    </row>
    <row r="109" customFormat="false" ht="15" hidden="false" customHeight="false" outlineLevel="0" collapsed="false">
      <c r="A109" s="42" t="str">
        <f aca="false">B109&amp;"|"&amp;E109</f>
        <v>541500|41-4011</v>
      </c>
      <c r="B109" s="43" t="s">
        <v>446</v>
      </c>
      <c r="C109" s="43" t="s">
        <v>447</v>
      </c>
      <c r="D109" s="43" t="s">
        <v>445</v>
      </c>
      <c r="E109" s="43" t="s">
        <v>419</v>
      </c>
      <c r="F109" s="43" t="s">
        <v>420</v>
      </c>
      <c r="G109" s="44" t="n">
        <v>21640</v>
      </c>
      <c r="H109" s="43" t="n">
        <v>7.4</v>
      </c>
    </row>
    <row r="110" customFormat="false" ht="15" hidden="false" customHeight="false" outlineLevel="0" collapsed="false">
      <c r="A110" s="42" t="str">
        <f aca="false">B110&amp;"|"&amp;E110</f>
        <v>541500|41-4012</v>
      </c>
      <c r="B110" s="43" t="s">
        <v>446</v>
      </c>
      <c r="C110" s="43" t="s">
        <v>447</v>
      </c>
      <c r="D110" s="43" t="s">
        <v>445</v>
      </c>
      <c r="E110" s="43" t="s">
        <v>421</v>
      </c>
      <c r="F110" s="43" t="s">
        <v>422</v>
      </c>
      <c r="G110" s="44" t="n">
        <v>6050</v>
      </c>
      <c r="H110" s="43" t="n">
        <v>12.4</v>
      </c>
    </row>
    <row r="111" customFormat="false" ht="15" hidden="false" customHeight="false" outlineLevel="0" collapsed="false">
      <c r="A111" s="42" t="str">
        <f aca="false">B111&amp;"|"&amp;E111</f>
        <v>541500|43-4051</v>
      </c>
      <c r="B111" s="43" t="s">
        <v>446</v>
      </c>
      <c r="C111" s="43" t="s">
        <v>447</v>
      </c>
      <c r="D111" s="43" t="s">
        <v>445</v>
      </c>
      <c r="E111" s="43" t="s">
        <v>423</v>
      </c>
      <c r="F111" s="43" t="s">
        <v>424</v>
      </c>
      <c r="G111" s="44" t="n">
        <v>51130</v>
      </c>
      <c r="H111" s="43" t="n">
        <v>4.6</v>
      </c>
    </row>
    <row r="112" customFormat="false" ht="15" hidden="false" customHeight="false" outlineLevel="0" collapsed="false">
      <c r="A112" s="42" t="str">
        <f aca="false">B112&amp;"|"&amp;E112</f>
        <v>541600|00-0000</v>
      </c>
      <c r="B112" s="43" t="s">
        <v>448</v>
      </c>
      <c r="C112" s="43" t="s">
        <v>154</v>
      </c>
      <c r="D112" s="43" t="s">
        <v>445</v>
      </c>
      <c r="E112" s="43" t="s">
        <v>407</v>
      </c>
      <c r="F112" s="43" t="s">
        <v>408</v>
      </c>
      <c r="G112" s="44" t="n">
        <v>1872730</v>
      </c>
      <c r="H112" s="43" t="n">
        <v>0</v>
      </c>
    </row>
    <row r="113" customFormat="false" ht="15" hidden="false" customHeight="false" outlineLevel="0" collapsed="false">
      <c r="A113" s="42" t="str">
        <f aca="false">B113&amp;"|"&amp;E113</f>
        <v>541600|11-2021</v>
      </c>
      <c r="B113" s="43" t="s">
        <v>448</v>
      </c>
      <c r="C113" s="43" t="s">
        <v>154</v>
      </c>
      <c r="D113" s="43" t="s">
        <v>445</v>
      </c>
      <c r="E113" s="43" t="s">
        <v>409</v>
      </c>
      <c r="F113" s="43" t="s">
        <v>410</v>
      </c>
      <c r="G113" s="44" t="n">
        <v>28720</v>
      </c>
      <c r="H113" s="43" t="n">
        <v>4.8</v>
      </c>
    </row>
    <row r="114" customFormat="false" ht="15" hidden="false" customHeight="false" outlineLevel="0" collapsed="false">
      <c r="A114" s="42" t="str">
        <f aca="false">B114&amp;"|"&amp;E114</f>
        <v>541600|11-2022</v>
      </c>
      <c r="B114" s="43" t="s">
        <v>448</v>
      </c>
      <c r="C114" s="43" t="s">
        <v>154</v>
      </c>
      <c r="D114" s="43" t="s">
        <v>445</v>
      </c>
      <c r="E114" s="43" t="s">
        <v>411</v>
      </c>
      <c r="F114" s="43" t="s">
        <v>412</v>
      </c>
      <c r="G114" s="44" t="n">
        <v>18590</v>
      </c>
      <c r="H114" s="43" t="n">
        <v>6.1</v>
      </c>
    </row>
    <row r="115" customFormat="false" ht="15" hidden="false" customHeight="false" outlineLevel="0" collapsed="false">
      <c r="A115" s="42" t="str">
        <f aca="false">B115&amp;"|"&amp;E115</f>
        <v>541600|13-1161</v>
      </c>
      <c r="B115" s="43" t="s">
        <v>448</v>
      </c>
      <c r="C115" s="43" t="s">
        <v>154</v>
      </c>
      <c r="D115" s="43" t="s">
        <v>445</v>
      </c>
      <c r="E115" s="43" t="s">
        <v>413</v>
      </c>
      <c r="F115" s="43" t="s">
        <v>414</v>
      </c>
      <c r="G115" s="44" t="n">
        <v>104250</v>
      </c>
      <c r="H115" s="43" t="n">
        <v>4.5</v>
      </c>
    </row>
    <row r="116" customFormat="false" ht="15" hidden="false" customHeight="false" outlineLevel="0" collapsed="false">
      <c r="A116" s="42" t="str">
        <f aca="false">B116&amp;"|"&amp;E116</f>
        <v>541600|15-0000</v>
      </c>
      <c r="B116" s="43" t="s">
        <v>448</v>
      </c>
      <c r="C116" s="43" t="s">
        <v>154</v>
      </c>
      <c r="D116" s="43" t="s">
        <v>445</v>
      </c>
      <c r="E116" s="43" t="s">
        <v>415</v>
      </c>
      <c r="F116" s="43" t="s">
        <v>416</v>
      </c>
      <c r="G116" s="44" t="n">
        <v>190540</v>
      </c>
      <c r="H116" s="43" t="n">
        <v>3.3</v>
      </c>
    </row>
    <row r="117" customFormat="false" ht="15" hidden="false" customHeight="false" outlineLevel="0" collapsed="false">
      <c r="A117" s="42" t="str">
        <f aca="false">B117&amp;"|"&amp;E117</f>
        <v>541600|41-0000</v>
      </c>
      <c r="B117" s="43" t="s">
        <v>448</v>
      </c>
      <c r="C117" s="43" t="s">
        <v>154</v>
      </c>
      <c r="D117" s="43" t="s">
        <v>445</v>
      </c>
      <c r="E117" s="43" t="s">
        <v>417</v>
      </c>
      <c r="F117" s="43" t="s">
        <v>418</v>
      </c>
      <c r="G117" s="44" t="n">
        <v>120960</v>
      </c>
      <c r="H117" s="43" t="n">
        <v>3.8</v>
      </c>
    </row>
    <row r="118" customFormat="false" ht="15" hidden="false" customHeight="false" outlineLevel="0" collapsed="false">
      <c r="A118" s="42" t="str">
        <f aca="false">B118&amp;"|"&amp;E118</f>
        <v>541600|41-4011</v>
      </c>
      <c r="B118" s="43" t="s">
        <v>448</v>
      </c>
      <c r="C118" s="43" t="s">
        <v>154</v>
      </c>
      <c r="D118" s="43" t="s">
        <v>445</v>
      </c>
      <c r="E118" s="43" t="s">
        <v>419</v>
      </c>
      <c r="F118" s="43" t="s">
        <v>420</v>
      </c>
      <c r="G118" s="44" t="n">
        <v>2870</v>
      </c>
      <c r="H118" s="43" t="n">
        <v>24.8</v>
      </c>
    </row>
    <row r="119" customFormat="false" ht="15" hidden="false" customHeight="false" outlineLevel="0" collapsed="false">
      <c r="A119" s="42" t="str">
        <f aca="false">B119&amp;"|"&amp;E119</f>
        <v>541600|41-4012</v>
      </c>
      <c r="B119" s="43" t="s">
        <v>448</v>
      </c>
      <c r="C119" s="43" t="s">
        <v>154</v>
      </c>
      <c r="D119" s="43" t="s">
        <v>445</v>
      </c>
      <c r="E119" s="43" t="s">
        <v>421</v>
      </c>
      <c r="F119" s="43" t="s">
        <v>422</v>
      </c>
      <c r="G119" s="44" t="n">
        <v>4700</v>
      </c>
      <c r="H119" s="43" t="n">
        <v>27.6</v>
      </c>
    </row>
    <row r="120" customFormat="false" ht="15" hidden="false" customHeight="false" outlineLevel="0" collapsed="false">
      <c r="A120" s="42" t="str">
        <f aca="false">B120&amp;"|"&amp;E120</f>
        <v>541600|43-4051</v>
      </c>
      <c r="B120" s="43" t="s">
        <v>448</v>
      </c>
      <c r="C120" s="43" t="s">
        <v>154</v>
      </c>
      <c r="D120" s="43" t="s">
        <v>445</v>
      </c>
      <c r="E120" s="43" t="s">
        <v>423</v>
      </c>
      <c r="F120" s="43" t="s">
        <v>424</v>
      </c>
      <c r="G120" s="44" t="n">
        <v>55400</v>
      </c>
      <c r="H120" s="43" t="n">
        <v>4.9</v>
      </c>
    </row>
    <row r="121" customFormat="false" ht="15" hidden="false" customHeight="false" outlineLevel="0" collapsed="false">
      <c r="A121" s="42" t="str">
        <f aca="false">B121&amp;"|"&amp;E121</f>
        <v>541800|00-0000</v>
      </c>
      <c r="B121" s="43" t="s">
        <v>449</v>
      </c>
      <c r="C121" s="43" t="s">
        <v>450</v>
      </c>
      <c r="D121" s="43" t="s">
        <v>445</v>
      </c>
      <c r="E121" s="43" t="s">
        <v>407</v>
      </c>
      <c r="F121" s="43" t="s">
        <v>408</v>
      </c>
      <c r="G121" s="44" t="n">
        <v>481600</v>
      </c>
      <c r="H121" s="43" t="n">
        <v>0</v>
      </c>
    </row>
    <row r="122" customFormat="false" ht="15" hidden="false" customHeight="false" outlineLevel="0" collapsed="false">
      <c r="A122" s="42" t="str">
        <f aca="false">B122&amp;"|"&amp;E122</f>
        <v>541800|11-2021</v>
      </c>
      <c r="B122" s="43" t="s">
        <v>449</v>
      </c>
      <c r="C122" s="43" t="s">
        <v>450</v>
      </c>
      <c r="D122" s="43" t="s">
        <v>445</v>
      </c>
      <c r="E122" s="43" t="s">
        <v>409</v>
      </c>
      <c r="F122" s="43" t="s">
        <v>410</v>
      </c>
      <c r="G122" s="44" t="n">
        <v>14450</v>
      </c>
      <c r="H122" s="43" t="n">
        <v>3.8</v>
      </c>
    </row>
    <row r="123" customFormat="false" ht="15" hidden="false" customHeight="false" outlineLevel="0" collapsed="false">
      <c r="A123" s="42" t="str">
        <f aca="false">B123&amp;"|"&amp;E123</f>
        <v>541800|11-2022</v>
      </c>
      <c r="B123" s="43" t="s">
        <v>449</v>
      </c>
      <c r="C123" s="43" t="s">
        <v>450</v>
      </c>
      <c r="D123" s="43" t="s">
        <v>445</v>
      </c>
      <c r="E123" s="43" t="s">
        <v>411</v>
      </c>
      <c r="F123" s="43" t="s">
        <v>412</v>
      </c>
      <c r="G123" s="44" t="n">
        <v>7110</v>
      </c>
      <c r="H123" s="43" t="n">
        <v>6.8</v>
      </c>
    </row>
    <row r="124" customFormat="false" ht="15" hidden="false" customHeight="false" outlineLevel="0" collapsed="false">
      <c r="A124" s="42" t="str">
        <f aca="false">B124&amp;"|"&amp;E124</f>
        <v>541800|13-1161</v>
      </c>
      <c r="B124" s="43" t="s">
        <v>449</v>
      </c>
      <c r="C124" s="43" t="s">
        <v>450</v>
      </c>
      <c r="D124" s="43" t="s">
        <v>445</v>
      </c>
      <c r="E124" s="43" t="s">
        <v>413</v>
      </c>
      <c r="F124" s="43" t="s">
        <v>414</v>
      </c>
      <c r="G124" s="44" t="n">
        <v>41070</v>
      </c>
      <c r="H124" s="43" t="n">
        <v>3.3</v>
      </c>
    </row>
    <row r="125" customFormat="false" ht="15" hidden="false" customHeight="false" outlineLevel="0" collapsed="false">
      <c r="A125" s="42" t="str">
        <f aca="false">B125&amp;"|"&amp;E125</f>
        <v>541800|15-0000</v>
      </c>
      <c r="B125" s="43" t="s">
        <v>449</v>
      </c>
      <c r="C125" s="43" t="s">
        <v>450</v>
      </c>
      <c r="D125" s="43" t="s">
        <v>445</v>
      </c>
      <c r="E125" s="43" t="s">
        <v>415</v>
      </c>
      <c r="F125" s="43" t="s">
        <v>416</v>
      </c>
      <c r="G125" s="44" t="n">
        <v>25320</v>
      </c>
      <c r="H125" s="43" t="n">
        <v>4.2</v>
      </c>
    </row>
    <row r="126" customFormat="false" ht="15" hidden="false" customHeight="false" outlineLevel="0" collapsed="false">
      <c r="A126" s="42" t="str">
        <f aca="false">B126&amp;"|"&amp;E126</f>
        <v>541800|41-0000</v>
      </c>
      <c r="B126" s="43" t="s">
        <v>449</v>
      </c>
      <c r="C126" s="43" t="s">
        <v>450</v>
      </c>
      <c r="D126" s="43" t="s">
        <v>445</v>
      </c>
      <c r="E126" s="43" t="s">
        <v>417</v>
      </c>
      <c r="F126" s="43" t="s">
        <v>418</v>
      </c>
      <c r="G126" s="44" t="n">
        <v>94260</v>
      </c>
      <c r="H126" s="43" t="n">
        <v>2.4</v>
      </c>
    </row>
    <row r="127" customFormat="false" ht="15" hidden="false" customHeight="false" outlineLevel="0" collapsed="false">
      <c r="A127" s="42" t="str">
        <f aca="false">B127&amp;"|"&amp;E127</f>
        <v>541800|41-4011</v>
      </c>
      <c r="B127" s="43" t="s">
        <v>449</v>
      </c>
      <c r="C127" s="43" t="s">
        <v>450</v>
      </c>
      <c r="D127" s="43" t="s">
        <v>445</v>
      </c>
      <c r="E127" s="43" t="s">
        <v>419</v>
      </c>
      <c r="F127" s="43" t="s">
        <v>420</v>
      </c>
      <c r="G127" s="44"/>
      <c r="H127" s="43"/>
    </row>
    <row r="128" customFormat="false" ht="15" hidden="false" customHeight="false" outlineLevel="0" collapsed="false">
      <c r="A128" s="42" t="str">
        <f aca="false">B128&amp;"|"&amp;E128</f>
        <v>541800|41-4012</v>
      </c>
      <c r="B128" s="43" t="s">
        <v>449</v>
      </c>
      <c r="C128" s="43" t="s">
        <v>450</v>
      </c>
      <c r="D128" s="43" t="s">
        <v>445</v>
      </c>
      <c r="E128" s="43" t="s">
        <v>421</v>
      </c>
      <c r="F128" s="43" t="s">
        <v>422</v>
      </c>
      <c r="G128" s="44" t="n">
        <v>2830</v>
      </c>
      <c r="H128" s="43" t="n">
        <v>11</v>
      </c>
    </row>
    <row r="129" customFormat="false" ht="15" hidden="false" customHeight="false" outlineLevel="0" collapsed="false">
      <c r="A129" s="42" t="str">
        <f aca="false">B129&amp;"|"&amp;E129</f>
        <v>541800|43-4051</v>
      </c>
      <c r="B129" s="43" t="s">
        <v>449</v>
      </c>
      <c r="C129" s="43" t="s">
        <v>450</v>
      </c>
      <c r="D129" s="43" t="s">
        <v>445</v>
      </c>
      <c r="E129" s="43" t="s">
        <v>423</v>
      </c>
      <c r="F129" s="43" t="s">
        <v>424</v>
      </c>
      <c r="G129" s="44" t="n">
        <v>8440</v>
      </c>
      <c r="H129" s="43" t="n">
        <v>10.6</v>
      </c>
    </row>
    <row r="130" customFormat="false" ht="15" hidden="false" customHeight="false" outlineLevel="0" collapsed="false">
      <c r="A130" s="42" t="str">
        <f aca="false">B130&amp;"|"&amp;E130</f>
        <v>513200|00-0000</v>
      </c>
      <c r="B130" s="43" t="s">
        <v>451</v>
      </c>
      <c r="C130" s="43" t="s">
        <v>343</v>
      </c>
      <c r="D130" s="43" t="s">
        <v>452</v>
      </c>
      <c r="E130" s="43" t="s">
        <v>407</v>
      </c>
      <c r="F130" s="43" t="s">
        <v>408</v>
      </c>
      <c r="G130" s="44" t="n">
        <v>659550</v>
      </c>
      <c r="H130" s="43" t="n">
        <v>0</v>
      </c>
    </row>
    <row r="131" customFormat="false" ht="15" hidden="false" customHeight="false" outlineLevel="0" collapsed="false">
      <c r="A131" s="42" t="str">
        <f aca="false">B131&amp;"|"&amp;E131</f>
        <v>513200|11-2021</v>
      </c>
      <c r="B131" s="43" t="s">
        <v>451</v>
      </c>
      <c r="C131" s="43" t="s">
        <v>343</v>
      </c>
      <c r="D131" s="43" t="s">
        <v>452</v>
      </c>
      <c r="E131" s="43" t="s">
        <v>409</v>
      </c>
      <c r="F131" s="43" t="s">
        <v>410</v>
      </c>
      <c r="G131" s="44" t="n">
        <v>12990</v>
      </c>
      <c r="H131" s="43" t="n">
        <v>8.4</v>
      </c>
    </row>
    <row r="132" customFormat="false" ht="15" hidden="false" customHeight="false" outlineLevel="0" collapsed="false">
      <c r="A132" s="42" t="str">
        <f aca="false">B132&amp;"|"&amp;E132</f>
        <v>513200|11-2022</v>
      </c>
      <c r="B132" s="43" t="s">
        <v>451</v>
      </c>
      <c r="C132" s="43" t="s">
        <v>343</v>
      </c>
      <c r="D132" s="43" t="s">
        <v>452</v>
      </c>
      <c r="E132" s="43" t="s">
        <v>411</v>
      </c>
      <c r="F132" s="43" t="s">
        <v>412</v>
      </c>
      <c r="G132" s="44" t="n">
        <v>16330</v>
      </c>
      <c r="H132" s="43" t="n">
        <v>4.1</v>
      </c>
    </row>
    <row r="133" customFormat="false" ht="15" hidden="false" customHeight="false" outlineLevel="0" collapsed="false">
      <c r="A133" s="42" t="str">
        <f aca="false">B133&amp;"|"&amp;E133</f>
        <v>513200|13-1161</v>
      </c>
      <c r="B133" s="43" t="s">
        <v>451</v>
      </c>
      <c r="C133" s="43" t="s">
        <v>343</v>
      </c>
      <c r="D133" s="43" t="s">
        <v>452</v>
      </c>
      <c r="E133" s="43" t="s">
        <v>413</v>
      </c>
      <c r="F133" s="43" t="s">
        <v>414</v>
      </c>
      <c r="G133" s="44" t="n">
        <v>23490</v>
      </c>
      <c r="H133" s="43" t="n">
        <v>4.7</v>
      </c>
    </row>
    <row r="134" customFormat="false" ht="15" hidden="false" customHeight="false" outlineLevel="0" collapsed="false">
      <c r="A134" s="42" t="str">
        <f aca="false">B134&amp;"|"&amp;E134</f>
        <v>513200|15-0000</v>
      </c>
      <c r="B134" s="43" t="s">
        <v>451</v>
      </c>
      <c r="C134" s="43" t="s">
        <v>343</v>
      </c>
      <c r="D134" s="43" t="s">
        <v>452</v>
      </c>
      <c r="E134" s="43" t="s">
        <v>415</v>
      </c>
      <c r="F134" s="43" t="s">
        <v>416</v>
      </c>
      <c r="G134" s="44" t="n">
        <v>308280</v>
      </c>
      <c r="H134" s="43" t="n">
        <v>1.1</v>
      </c>
    </row>
    <row r="135" customFormat="false" ht="15" hidden="false" customHeight="false" outlineLevel="0" collapsed="false">
      <c r="A135" s="42" t="str">
        <f aca="false">B135&amp;"|"&amp;E135</f>
        <v>513200|41-0000</v>
      </c>
      <c r="B135" s="43" t="s">
        <v>451</v>
      </c>
      <c r="C135" s="43" t="s">
        <v>343</v>
      </c>
      <c r="D135" s="43" t="s">
        <v>452</v>
      </c>
      <c r="E135" s="43" t="s">
        <v>417</v>
      </c>
      <c r="F135" s="43" t="s">
        <v>418</v>
      </c>
      <c r="G135" s="44" t="n">
        <v>71350</v>
      </c>
      <c r="H135" s="43" t="n">
        <v>3</v>
      </c>
    </row>
    <row r="136" customFormat="false" ht="15" hidden="false" customHeight="false" outlineLevel="0" collapsed="false">
      <c r="A136" s="42" t="str">
        <f aca="false">B136&amp;"|"&amp;E136</f>
        <v>513200|41-4011</v>
      </c>
      <c r="B136" s="43" t="s">
        <v>451</v>
      </c>
      <c r="C136" s="43" t="s">
        <v>343</v>
      </c>
      <c r="D136" s="43" t="s">
        <v>452</v>
      </c>
      <c r="E136" s="43" t="s">
        <v>419</v>
      </c>
      <c r="F136" s="43" t="s">
        <v>420</v>
      </c>
      <c r="G136" s="44" t="n">
        <v>12800</v>
      </c>
      <c r="H136" s="43" t="n">
        <v>4.5</v>
      </c>
    </row>
    <row r="137" customFormat="false" ht="15" hidden="false" customHeight="false" outlineLevel="0" collapsed="false">
      <c r="A137" s="42" t="str">
        <f aca="false">B137&amp;"|"&amp;E137</f>
        <v>513200|41-4012</v>
      </c>
      <c r="B137" s="43" t="s">
        <v>451</v>
      </c>
      <c r="C137" s="43" t="s">
        <v>343</v>
      </c>
      <c r="D137" s="43" t="s">
        <v>452</v>
      </c>
      <c r="E137" s="43" t="s">
        <v>421</v>
      </c>
      <c r="F137" s="43" t="s">
        <v>422</v>
      </c>
      <c r="G137" s="44" t="n">
        <v>5500</v>
      </c>
      <c r="H137" s="43" t="n">
        <v>11.5</v>
      </c>
    </row>
    <row r="138" customFormat="false" ht="15" hidden="false" customHeight="false" outlineLevel="0" collapsed="false">
      <c r="A138" s="42" t="str">
        <f aca="false">B138&amp;"|"&amp;E138</f>
        <v>513200|43-4051</v>
      </c>
      <c r="B138" s="43" t="s">
        <v>451</v>
      </c>
      <c r="C138" s="43" t="s">
        <v>343</v>
      </c>
      <c r="D138" s="43" t="s">
        <v>452</v>
      </c>
      <c r="E138" s="43" t="s">
        <v>423</v>
      </c>
      <c r="F138" s="43" t="s">
        <v>424</v>
      </c>
      <c r="G138" s="44" t="n">
        <v>16710</v>
      </c>
      <c r="H138" s="43" t="n">
        <v>5.9</v>
      </c>
    </row>
    <row r="139" customFormat="false" ht="15" hidden="false" customHeight="false" outlineLevel="0" collapsed="false">
      <c r="A139" s="42" t="str">
        <f aca="false">B139&amp;"|"&amp;E139</f>
        <v>561300|00-0000</v>
      </c>
      <c r="B139" s="43" t="s">
        <v>453</v>
      </c>
      <c r="C139" s="43" t="s">
        <v>454</v>
      </c>
      <c r="D139" s="43" t="s">
        <v>440</v>
      </c>
      <c r="E139" s="43" t="s">
        <v>407</v>
      </c>
      <c r="F139" s="43" t="s">
        <v>408</v>
      </c>
      <c r="G139" s="44" t="n">
        <v>3301980</v>
      </c>
      <c r="H139" s="43" t="n">
        <v>0</v>
      </c>
    </row>
    <row r="140" customFormat="false" ht="15" hidden="false" customHeight="false" outlineLevel="0" collapsed="false">
      <c r="A140" s="42" t="str">
        <f aca="false">B140&amp;"|"&amp;E140</f>
        <v>561300|11-2021</v>
      </c>
      <c r="B140" s="43" t="s">
        <v>453</v>
      </c>
      <c r="C140" s="43" t="s">
        <v>454</v>
      </c>
      <c r="D140" s="43" t="s">
        <v>440</v>
      </c>
      <c r="E140" s="43" t="s">
        <v>409</v>
      </c>
      <c r="F140" s="43" t="s">
        <v>410</v>
      </c>
      <c r="G140" s="44" t="n">
        <v>7780</v>
      </c>
      <c r="H140" s="43" t="n">
        <v>4</v>
      </c>
    </row>
    <row r="141" customFormat="false" ht="15" hidden="false" customHeight="false" outlineLevel="0" collapsed="false">
      <c r="A141" s="42" t="str">
        <f aca="false">B141&amp;"|"&amp;E141</f>
        <v>561300|11-2022</v>
      </c>
      <c r="B141" s="43" t="s">
        <v>453</v>
      </c>
      <c r="C141" s="43" t="s">
        <v>454</v>
      </c>
      <c r="D141" s="43" t="s">
        <v>440</v>
      </c>
      <c r="E141" s="43" t="s">
        <v>411</v>
      </c>
      <c r="F141" s="43" t="s">
        <v>412</v>
      </c>
      <c r="G141" s="44" t="n">
        <v>10420</v>
      </c>
      <c r="H141" s="43" t="n">
        <v>3.9</v>
      </c>
    </row>
    <row r="142" customFormat="false" ht="15" hidden="false" customHeight="false" outlineLevel="0" collapsed="false">
      <c r="A142" s="42" t="str">
        <f aca="false">B142&amp;"|"&amp;E142</f>
        <v>561300|13-1161</v>
      </c>
      <c r="B142" s="43" t="s">
        <v>453</v>
      </c>
      <c r="C142" s="43" t="s">
        <v>454</v>
      </c>
      <c r="D142" s="43" t="s">
        <v>440</v>
      </c>
      <c r="E142" s="43" t="s">
        <v>413</v>
      </c>
      <c r="F142" s="43" t="s">
        <v>414</v>
      </c>
      <c r="G142" s="44" t="n">
        <v>16870</v>
      </c>
      <c r="H142" s="43" t="n">
        <v>4</v>
      </c>
    </row>
    <row r="143" customFormat="false" ht="15" hidden="false" customHeight="false" outlineLevel="0" collapsed="false">
      <c r="A143" s="42" t="str">
        <f aca="false">B143&amp;"|"&amp;E143</f>
        <v>561300|15-0000</v>
      </c>
      <c r="B143" s="43" t="s">
        <v>453</v>
      </c>
      <c r="C143" s="43" t="s">
        <v>454</v>
      </c>
      <c r="D143" s="43" t="s">
        <v>440</v>
      </c>
      <c r="E143" s="43" t="s">
        <v>415</v>
      </c>
      <c r="F143" s="43" t="s">
        <v>416</v>
      </c>
      <c r="G143" s="44" t="n">
        <v>149800</v>
      </c>
      <c r="H143" s="43" t="n">
        <v>2.6</v>
      </c>
    </row>
    <row r="144" customFormat="false" ht="15" hidden="false" customHeight="false" outlineLevel="0" collapsed="false">
      <c r="A144" s="42" t="str">
        <f aca="false">B144&amp;"|"&amp;E144</f>
        <v>561300|41-0000</v>
      </c>
      <c r="B144" s="43" t="s">
        <v>453</v>
      </c>
      <c r="C144" s="43" t="s">
        <v>454</v>
      </c>
      <c r="D144" s="43" t="s">
        <v>440</v>
      </c>
      <c r="E144" s="43" t="s">
        <v>417</v>
      </c>
      <c r="F144" s="43" t="s">
        <v>418</v>
      </c>
      <c r="G144" s="44" t="n">
        <v>100160</v>
      </c>
      <c r="H144" s="43" t="n">
        <v>3.1</v>
      </c>
    </row>
    <row r="145" customFormat="false" ht="15" hidden="false" customHeight="false" outlineLevel="0" collapsed="false">
      <c r="A145" s="42" t="str">
        <f aca="false">B145&amp;"|"&amp;E145</f>
        <v>561300|41-4011</v>
      </c>
      <c r="B145" s="43" t="s">
        <v>453</v>
      </c>
      <c r="C145" s="43" t="s">
        <v>454</v>
      </c>
      <c r="D145" s="43" t="s">
        <v>440</v>
      </c>
      <c r="E145" s="43" t="s">
        <v>419</v>
      </c>
      <c r="F145" s="43" t="s">
        <v>420</v>
      </c>
      <c r="G145" s="44" t="n">
        <v>1490</v>
      </c>
      <c r="H145" s="43" t="n">
        <v>18.2</v>
      </c>
    </row>
    <row r="146" customFormat="false" ht="15" hidden="false" customHeight="false" outlineLevel="0" collapsed="false">
      <c r="A146" s="42" t="str">
        <f aca="false">B146&amp;"|"&amp;E146</f>
        <v>561300|41-4012</v>
      </c>
      <c r="B146" s="43" t="s">
        <v>453</v>
      </c>
      <c r="C146" s="43" t="s">
        <v>454</v>
      </c>
      <c r="D146" s="43" t="s">
        <v>440</v>
      </c>
      <c r="E146" s="43" t="s">
        <v>421</v>
      </c>
      <c r="F146" s="43" t="s">
        <v>422</v>
      </c>
      <c r="G146" s="44" t="n">
        <v>7040</v>
      </c>
      <c r="H146" s="43" t="n">
        <v>10.5</v>
      </c>
    </row>
    <row r="147" customFormat="false" ht="15" hidden="false" customHeight="false" outlineLevel="0" collapsed="false">
      <c r="A147" s="42" t="str">
        <f aca="false">B147&amp;"|"&amp;E147</f>
        <v>561300|43-4051</v>
      </c>
      <c r="B147" s="43" t="s">
        <v>453</v>
      </c>
      <c r="C147" s="43" t="s">
        <v>454</v>
      </c>
      <c r="D147" s="43" t="s">
        <v>440</v>
      </c>
      <c r="E147" s="43" t="s">
        <v>423</v>
      </c>
      <c r="F147" s="43" t="s">
        <v>424</v>
      </c>
      <c r="G147" s="44" t="n">
        <v>69550</v>
      </c>
      <c r="H147" s="43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455</v>
      </c>
    </row>
    <row r="2" customFormat="false" ht="15" hidden="false" customHeight="false" outlineLevel="0" collapsed="false">
      <c r="A2" s="2" t="s">
        <v>456</v>
      </c>
    </row>
    <row r="4" customFormat="false" ht="15" hidden="false" customHeight="false" outlineLevel="0" collapsed="false">
      <c r="A4" s="5" t="s">
        <v>70</v>
      </c>
      <c r="B4" s="5" t="s">
        <v>457</v>
      </c>
      <c r="C4" s="5" t="s">
        <v>458</v>
      </c>
      <c r="D4" s="5" t="s">
        <v>459</v>
      </c>
      <c r="E4" s="5" t="s">
        <v>460</v>
      </c>
      <c r="F4" s="5" t="s">
        <v>461</v>
      </c>
    </row>
    <row r="5" customFormat="false" ht="30" hidden="false" customHeight="true" outlineLevel="0" collapsed="false">
      <c r="A5" s="4" t="s">
        <v>462</v>
      </c>
      <c r="B5" s="4" t="s">
        <v>463</v>
      </c>
      <c r="C5" s="4" t="s">
        <v>464</v>
      </c>
      <c r="D5" s="4" t="s">
        <v>465</v>
      </c>
      <c r="E5" s="4" t="s">
        <v>466</v>
      </c>
      <c r="F5" s="4" t="s">
        <v>467</v>
      </c>
    </row>
    <row r="6" customFormat="false" ht="30" hidden="false" customHeight="true" outlineLevel="0" collapsed="false">
      <c r="A6" s="4" t="s">
        <v>468</v>
      </c>
      <c r="B6" s="4" t="s">
        <v>469</v>
      </c>
      <c r="C6" s="4" t="s">
        <v>470</v>
      </c>
      <c r="D6" s="4" t="s">
        <v>471</v>
      </c>
      <c r="E6" s="4" t="s">
        <v>472</v>
      </c>
      <c r="F6" s="4" t="s">
        <v>473</v>
      </c>
    </row>
    <row r="7" customFormat="false" ht="30" hidden="false" customHeight="true" outlineLevel="0" collapsed="false">
      <c r="A7" s="4" t="s">
        <v>474</v>
      </c>
      <c r="B7" s="4" t="s">
        <v>475</v>
      </c>
      <c r="C7" s="4" t="s">
        <v>476</v>
      </c>
      <c r="D7" s="4" t="s">
        <v>477</v>
      </c>
      <c r="E7" s="4" t="s">
        <v>478</v>
      </c>
      <c r="F7" s="4" t="s">
        <v>479</v>
      </c>
    </row>
    <row r="8" customFormat="false" ht="30" hidden="false" customHeight="true" outlineLevel="0" collapsed="false">
      <c r="A8" s="4" t="s">
        <v>480</v>
      </c>
      <c r="B8" s="4" t="s">
        <v>481</v>
      </c>
      <c r="C8" s="4" t="s">
        <v>482</v>
      </c>
      <c r="D8" s="4" t="s">
        <v>483</v>
      </c>
      <c r="E8" s="4" t="s">
        <v>484</v>
      </c>
      <c r="F8" s="4" t="s">
        <v>485</v>
      </c>
    </row>
    <row r="9" customFormat="false" ht="30" hidden="false" customHeight="true" outlineLevel="0" collapsed="false">
      <c r="A9" s="4" t="s">
        <v>486</v>
      </c>
      <c r="B9" s="4" t="s">
        <v>487</v>
      </c>
      <c r="C9" s="4" t="s">
        <v>482</v>
      </c>
      <c r="D9" s="4" t="s">
        <v>488</v>
      </c>
      <c r="E9" s="4" t="s">
        <v>489</v>
      </c>
      <c r="F9" s="4" t="s">
        <v>490</v>
      </c>
    </row>
    <row r="10" customFormat="false" ht="30" hidden="false" customHeight="true" outlineLevel="0" collapsed="false">
      <c r="A10" s="4" t="s">
        <v>491</v>
      </c>
      <c r="B10" s="4" t="s">
        <v>492</v>
      </c>
      <c r="C10" s="4" t="s">
        <v>493</v>
      </c>
      <c r="D10" s="4" t="s">
        <v>494</v>
      </c>
      <c r="E10" s="4" t="s">
        <v>495</v>
      </c>
      <c r="F10" s="4" t="s">
        <v>496</v>
      </c>
    </row>
    <row r="11" customFormat="false" ht="30" hidden="false" customHeight="true" outlineLevel="0" collapsed="false">
      <c r="A11" s="4" t="s">
        <v>497</v>
      </c>
      <c r="B11" s="4" t="s">
        <v>498</v>
      </c>
      <c r="C11" s="4" t="s">
        <v>499</v>
      </c>
      <c r="D11" s="4" t="s">
        <v>500</v>
      </c>
      <c r="E11" s="4" t="s">
        <v>501</v>
      </c>
      <c r="F11" s="4" t="s">
        <v>502</v>
      </c>
    </row>
    <row r="12" customFormat="false" ht="30" hidden="false" customHeight="true" outlineLevel="0" collapsed="false">
      <c r="A12" s="4" t="s">
        <v>503</v>
      </c>
      <c r="B12" s="4" t="s">
        <v>504</v>
      </c>
      <c r="C12" s="4" t="s">
        <v>505</v>
      </c>
      <c r="D12" s="4" t="s">
        <v>506</v>
      </c>
      <c r="E12" s="4" t="s">
        <v>507</v>
      </c>
      <c r="F12" s="4" t="s">
        <v>508</v>
      </c>
    </row>
    <row r="13" customFormat="false" ht="30" hidden="false" customHeight="true" outlineLevel="0" collapsed="false">
      <c r="A13" s="4" t="s">
        <v>509</v>
      </c>
      <c r="B13" s="4" t="s">
        <v>510</v>
      </c>
      <c r="C13" s="4" t="s">
        <v>511</v>
      </c>
      <c r="D13" s="4" t="s">
        <v>494</v>
      </c>
      <c r="E13" s="4" t="s">
        <v>512</v>
      </c>
      <c r="F13" s="4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2026-10-19T19:57:16Z</dcterms:created>
  <dc:creator>openpyxl</dc:creator>
  <dc:description/>
  <dc:language>en-US</dc:language>
  <cp:lastModifiedBy/>
  <dcterms:modified xsi:type="dcterms:W3CDTF">2026-10-19T19:57:17Z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