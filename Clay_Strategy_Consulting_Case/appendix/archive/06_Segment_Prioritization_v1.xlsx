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ecutive_Summary" sheetId="2" state="visible" r:id="rId4"/>
    <sheet name="Weights" sheetId="3" state="visible" r:id="rId5"/>
    <sheet name="Inputs" sheetId="4" state="visible" r:id="rId6"/>
    <sheet name="Scorecard" sheetId="5" state="visible" r:id="rId7"/>
    <sheet name="Weight_Sensitivity" sheetId="6" state="visible" r:id="rId8"/>
    <sheet name="Random_Weights" sheetId="7" state="visible" r:id="rId9"/>
    <sheet name="Stress_Tests" sheetId="8" state="visible" r:id="rId10"/>
    <sheet name="Subsegment_Drilldown" sheetId="9" state="visible" r:id="rId11"/>
    <sheet name="Options_Tradeoffs" sheetId="10" state="visible" r:id="rId12"/>
    <sheet name="Change_Conditions" sheetId="11" state="visible" r:id="rId13"/>
    <sheet name="Sourc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<sst xmlns="http://schemas.openxmlformats.org/spreadsheetml/2006/main" count="967" uniqueCount="391">
  <si>
    <t xml:space="preserve">06 — Segment Prioritization: Which vertical deserves Clay's next GTM dollar?</t>
  </si>
  <si>
    <t xml:space="preserve">Independent portfolio case study by Zhuoran (Zora) Wang · Not commissioned by or affiliated with Clay Labs Inc. · Research reference date: 2026-10-18</t>
  </si>
  <si>
    <t xml:space="preserve">Decision</t>
  </si>
  <si>
    <t xml:space="preserve">Rank three candidate U.S. verticals for incremental go-to-market investment and choose how to enter: no vertical bet, full vertical build, or staged pilot.</t>
  </si>
  <si>
    <t xml:space="preserve">Framework</t>
  </si>
  <si>
    <t xml:space="preserve">Six criteria with the suggested weights (Market Attractiveness 20%, Customer Need 20%, Product-Market Fit 20%, Revenue Potential 15%, Competitive Position 15%, Ease of Execution 10%). The weights are analytical assumptions, not management preferences.</t>
  </si>
  <si>
    <t xml:space="preserve">Scoring rule</t>
  </si>
  <si>
    <t xml:space="preserve">Quantitative metrics → 1–5 by ratio-to-max: score = 1 + 4 × value ÷ max(value across segments). This preserves proportional gaps; a min-max alternative is tested on Stress_Tests. Judgment scores (PMF, and Competitive Position / Ease from Phase 2) carry written evidence.</t>
  </si>
  <si>
    <t xml:space="preserve">Inputs</t>
  </si>
  <si>
    <t xml:space="preserve">Copied from 02_Market_Sizing.xlsx and 04_Competitive_Analysis.xlsx (cell references noted) so this file recalculates on its own. Blue = input · black = formula · yellow = judgment score or assumption.</t>
  </si>
  <si>
    <t xml:space="preserve">Robustness</t>
  </si>
  <si>
    <t xml:space="preserve">Five alternative weight sets; break-even weight per criterion; 2 × 1,000 random weight vectors (seeded, stored as values); 11 input stress tests; scoring-rule test.</t>
  </si>
  <si>
    <t xml:space="preserve">Not a forecast</t>
  </si>
  <si>
    <t xml:space="preserve">Scores rank options under stated assumptions. Revenue figures are scenario outputs from Phase 1, not Clay forecasts. No Clay internal data or interviews were used.</t>
  </si>
  <si>
    <t xml:space="preserve">Tabs</t>
  </si>
  <si>
    <t xml:space="preserve">Executive_Summary → Weights → Inputs → Scorecard → Weight_Sensitivity → Random_Weights → Stress_Tests → Subsegment_Drilldown → Options_Tradeoffs → Change_Conditions → Sources</t>
  </si>
  <si>
    <t xml:space="preserve">Executive summary — Phase 3 segment prioritization</t>
  </si>
  <si>
    <t xml:space="preserve">All figures link to the analysis tabs.</t>
  </si>
  <si>
    <t xml:space="preserve">Metric</t>
  </si>
  <si>
    <t xml:space="preserve">A. Industrial Distribution</t>
  </si>
  <si>
    <t xml:space="preserve">B. Industrial Manufacturing</t>
  </si>
  <si>
    <t xml:space="preserve">C. B2B Prof. Services</t>
  </si>
  <si>
    <t xml:space="preserve">Note</t>
  </si>
  <si>
    <t xml:space="preserve">Market Attractiveness (weight 20%)</t>
  </si>
  <si>
    <t xml:space="preserve">Score 1–5</t>
  </si>
  <si>
    <t xml:space="preserve">Customer Need (weight 20%)</t>
  </si>
  <si>
    <t xml:space="preserve">Product-Market Fit (weight 20%)</t>
  </si>
  <si>
    <t xml:space="preserve">Revenue Potential (weight 15%)</t>
  </si>
  <si>
    <t xml:space="preserve">Competitive Position (weight 15%)</t>
  </si>
  <si>
    <t xml:space="preserve">Ease of Execution (weight 10%)</t>
  </si>
  <si>
    <t xml:space="preserve">Weighted total (base weights)</t>
  </si>
  <si>
    <t xml:space="preserve">Rank</t>
  </si>
  <si>
    <t xml:space="preserve">Wins across 6 named weight sets</t>
  </si>
  <si>
    <t xml:space="preserve">Weight_Sensitivity Block A</t>
  </si>
  <si>
    <t xml:space="preserve">Share of 1,000 flat random weightings won</t>
  </si>
  <si>
    <t xml:space="preserve">Any weighting equally likely</t>
  </si>
  <si>
    <t xml:space="preserve">Share of 1,000 weightings centered on base won</t>
  </si>
  <si>
    <t xml:space="preserve">Disagreement around base weights</t>
  </si>
  <si>
    <t xml:space="preserve">Wins across 12 input stress tests (incl. base)</t>
  </si>
  <si>
    <t xml:space="preserve">Stress_Tests</t>
  </si>
  <si>
    <t xml:space="preserve">Ease-of-Execution weight at which C overtakes A</t>
  </si>
  <si>
    <t xml:space="preserve">Base weight 10%; only criterion that can flip the result</t>
  </si>
  <si>
    <t xml:space="preserve">Distribution beachhead (highest-scoring sub-industry)</t>
  </si>
  <si>
    <t xml:space="preserve">Subsegment_Drilldown</t>
  </si>
  <si>
    <t xml:space="preserve">Recommendation [E] and rationale</t>
  </si>
  <si>
    <t xml:space="preserve">1. Prioritize U.S. industrial distribution, entering through a staged, partner-led pilot (Option 4) rather than a full vertical build. Beachhead: electrical distributors (NAICS 4236); expansion: PHVAC (4237), then machinery/MRO (4238).</t>
  </si>
  <si>
    <t xml:space="preserve">2. Why distribution: it wins on customer need (5.0), competitive position (4.0) and product fit (4.0), the three things a vertical program can't buy later. It ranks first in 5 of 6 named weight sets (all except 'Execution first'), ~74% of agnostic random weightings, ~99% of weightings near the brief's weights, and 11 of 12 input stress tests. The margin is thin only when several distribution downsides combine (T7: +0.05) or when headroom is ignored (T10: +0.04).</t>
  </si>
  <si>
    <t xml:space="preserve">3. Why not professional services: it is larger and much easier to sell, but Clay already serves it through the horizontal motion and agency ecosystem. A dedicated program mostly re-buys existing demand, and its differentiation vs Apollo and internal builds is weakest. It wins only if ease of execution carries ≳26% of the weight.</t>
  </si>
  <si>
    <t xml:space="preserve">4. Why not manufacturing: last under every weighting. Its selling runs through distributors and reps, so it is best reached indirectly through the distribution beachhead.</t>
  </si>
  <si>
    <t xml:space="preserve">5. The pilot must answer the one question the scores can't: can templates plus partners raise distribution's ease of execution from 2.0 toward ~3.5 (T1)? Phase 4 sizes whether the resulting economics pay back.</t>
  </si>
  <si>
    <t xml:space="preserve">Criteria weights — analytical assumptions, not management preferences</t>
  </si>
  <si>
    <t xml:space="preserve">Base = suggested weights from the project brief. Alternative sets are used on Weight_Sensitivity. Each column must sum to 100%.</t>
  </si>
  <si>
    <t xml:space="preserve">Criterion</t>
  </si>
  <si>
    <t xml:space="preserve">Base (brief)</t>
  </si>
  <si>
    <t xml:space="preserve">Equal</t>
  </si>
  <si>
    <t xml:space="preserve">Market-size first</t>
  </si>
  <si>
    <t xml:space="preserve">Execution first</t>
  </si>
  <si>
    <t xml:space="preserve">Differentiation first</t>
  </si>
  <si>
    <t xml:space="preserve">Near-term revenue</t>
  </si>
  <si>
    <t xml:space="preserve">What the criterion asks</t>
  </si>
  <si>
    <t xml:space="preserve">Market Attractiveness</t>
  </si>
  <si>
    <t xml:space="preserve">How large and reachable is the segment, and how much of it is still unpenetrated by Clay?</t>
  </si>
  <si>
    <t xml:space="preserve">Customer Need</t>
  </si>
  <si>
    <t xml:space="preserve">How intense is the GTM pain, and how badly do standard tools serve it?</t>
  </si>
  <si>
    <t xml:space="preserve">Product-Market Fit</t>
  </si>
  <si>
    <t xml:space="preserve">How well does Clay's current product solve the core jobs without major new build?</t>
  </si>
  <si>
    <t xml:space="preserve">Revenue Potential</t>
  </si>
  <si>
    <t xml:space="preserve">How much ARR could Clay realistically capture, and how large can each account become?</t>
  </si>
  <si>
    <t xml:space="preserve">Competitive Position</t>
  </si>
  <si>
    <t xml:space="preserve">Can Clay win against incumbents and alternatives, and keep winning?</t>
  </si>
  <si>
    <t xml:space="preserve">Ease of Execution</t>
  </si>
  <si>
    <t xml:space="preserve">How easily can customers adopt Clay and can Clay sell and deliver into the segment?</t>
  </si>
  <si>
    <t xml:space="preserve">Check: sum</t>
  </si>
  <si>
    <t xml:space="preserve">Sub-weights inside composite criteria</t>
  </si>
  <si>
    <t xml:space="preserve">Market Attractiveness: share on SAM size (rest on incremental headroom)</t>
  </si>
  <si>
    <t xml:space="preserve">Customer Need: share on sales intensity (rest on data-coverage gap)</t>
  </si>
  <si>
    <t xml:space="preserve">Revenue Potential: share on SOM ARR (rest on seller density / account expansion)</t>
  </si>
  <si>
    <t xml:space="preserve">Metric inputs carried from Phases 1–2</t>
  </si>
  <si>
    <t xml:space="preserve">Blue values are copied from the named source cells so this workbook recalculates independently. Change them only if the upstream workbooks change.</t>
  </si>
  <si>
    <t xml:space="preserve">ID</t>
  </si>
  <si>
    <t xml:space="preserve">Unit</t>
  </si>
  <si>
    <t xml:space="preserve">Class</t>
  </si>
  <si>
    <t xml:space="preserve">Source (file › tab › cells)</t>
  </si>
  <si>
    <t xml:space="preserve">M1</t>
  </si>
  <si>
    <t xml:space="preserve">SAM, Base case</t>
  </si>
  <si>
    <t xml:space="preserve">$ / yr</t>
  </si>
  <si>
    <t xml:space="preserve">C/D</t>
  </si>
  <si>
    <t xml:space="preserve">02_Market_Sizing › Executive_Summary › B10:D10</t>
  </si>
  <si>
    <t xml:space="preserve">M2</t>
  </si>
  <si>
    <t xml:space="preserve">Incremental headroom flag (5 = largely unpenetrated by Clay)</t>
  </si>
  <si>
    <t xml:space="preserve">1–5</t>
  </si>
  <si>
    <t xml:space="preserve">C</t>
  </si>
  <si>
    <t xml:space="preserve">04_Competitive_Analysis › Segment_Scoring › F6 row</t>
  </si>
  <si>
    <t xml:space="preserve">M3</t>
  </si>
  <si>
    <t xml:space="preserve">Sales intensity index (sales occupations share ÷ all industries)</t>
  </si>
  <si>
    <t xml:space="preserve">index</t>
  </si>
  <si>
    <t xml:space="preserve">C from A</t>
  </si>
  <si>
    <t xml:space="preserve">02_Market_Sizing › Segment_Profile › B22:D22</t>
  </si>
  <si>
    <t xml:space="preserve">M4</t>
  </si>
  <si>
    <t xml:space="preserve">Customer-persona LinkedIn coverage index vs Prof. services</t>
  </si>
  <si>
    <t xml:space="preserve">04_Competitive_Analysis › Summary › B9:D9</t>
  </si>
  <si>
    <t xml:space="preserve">M5</t>
  </si>
  <si>
    <t xml:space="preserve">Product-market fit (judgment; see Scorecard evidence)</t>
  </si>
  <si>
    <t xml:space="preserve">This workbook › Scorecard (pain-to-capability map in 05_Customer_Needs_Assessment §3)</t>
  </si>
  <si>
    <t xml:space="preserve">M6</t>
  </si>
  <si>
    <t xml:space="preserve">SOM — year-3 ARR potential, Base case</t>
  </si>
  <si>
    <t xml:space="preserve">D</t>
  </si>
  <si>
    <t xml:space="preserve">02_Market_Sizing › Executive_Summary › B11:D11</t>
  </si>
  <si>
    <t xml:space="preserve">M7</t>
  </si>
  <si>
    <t xml:space="preserve">Implied sales staff per 20+ firm (usage / expansion driver)</t>
  </si>
  <si>
    <t xml:space="preserve">people</t>
  </si>
  <si>
    <t xml:space="preserve">02_Market_Sizing › Segment_Profile › B19:D19</t>
  </si>
  <si>
    <t xml:space="preserve">M8</t>
  </si>
  <si>
    <t xml:space="preserve">Competitive position score</t>
  </si>
  <si>
    <t xml:space="preserve">04_Competitive_Analysis › Summary › B5:D5</t>
  </si>
  <si>
    <t xml:space="preserve">M9</t>
  </si>
  <si>
    <t xml:space="preserve">Adoption / execution fit score</t>
  </si>
  <si>
    <t xml:space="preserve">04_Competitive_Analysis › Summary › B6:D6</t>
  </si>
  <si>
    <t xml:space="preserve">M4 enters inversely: a lower coverage index means a larger data gap, so data-gap score = 1 + 4 × MIN(M4) ÷ M4. M2 headroom, M5, M8 and M9 are already on the 1–5 scale and enter directly.</t>
  </si>
  <si>
    <t xml:space="preserve">Scorecard — base weights, evidence for every score</t>
  </si>
  <si>
    <t xml:space="preserve">Scores 1–5 (5 = most attractive for Clay). Columns C–E = segments. Evidence for each criterion is in column G.</t>
  </si>
  <si>
    <t xml:space="preserve">Item</t>
  </si>
  <si>
    <t xml:space="preserve">Type</t>
  </si>
  <si>
    <t xml:space="preserve">Evidence (why these scores)</t>
  </si>
  <si>
    <t xml:space="preserve">Base case (suggested weights)</t>
  </si>
  <si>
    <t xml:space="preserve">M1 SAM, Base case</t>
  </si>
  <si>
    <t xml:space="preserve">input</t>
  </si>
  <si>
    <t xml:space="preserve">M2 Incremental headroom flag (5 = largely unpenetrated by Clay)</t>
  </si>
  <si>
    <t xml:space="preserve">M3 Sales intensity index (sales occupations share ÷ all industries)</t>
  </si>
  <si>
    <t xml:space="preserve">M4 Customer-persona LinkedIn coverage index vs Prof. services</t>
  </si>
  <si>
    <t xml:space="preserve">M5 Product-market fit (judgment; see Scorecard evidence)</t>
  </si>
  <si>
    <t xml:space="preserve">M6 SOM — year-3 ARR potential, Base case</t>
  </si>
  <si>
    <t xml:space="preserve">M7 Implied sales staff per 20+ firm (usage / expansion driver)</t>
  </si>
  <si>
    <t xml:space="preserve">M8 Competitive position score</t>
  </si>
  <si>
    <t xml:space="preserve">M9 Adoption / execution fit score</t>
  </si>
  <si>
    <t xml:space="preserve">Sub-weight: Market Attractiveness (share on SAM size)</t>
  </si>
  <si>
    <t xml:space="preserve">sub-weight</t>
  </si>
  <si>
    <t xml:space="preserve">Sub-weight: Customer Need (share on sales intensity)</t>
  </si>
  <si>
    <t xml:space="preserve">Sub-weight: Revenue Potential (share on SOM ARR)</t>
  </si>
  <si>
    <t xml:space="preserve">Score — Market Attractiveness</t>
  </si>
  <si>
    <t xml:space="preserve">Prof. services has the largest SAM ($148M vs $68–76M, 02_Market_Sizing) but the least incremental headroom: agencies and consultancies are already Clay customers and partners (S32, S34). The two industrial segments are largely unpenetrated: no industrial industry in the top 5 of Clay's detected users (S32); the Sep 2026 marketplace expansion skipped industrials (S09). The two effects nearly offset.</t>
  </si>
  <si>
    <t xml:space="preserve">Score — Customer Need</t>
  </si>
  <si>
    <t xml:space="preserve">Distribution: sales occupations are 22% of employment (2.5× average) and 39% of surveyed distributors prioritize new-customer growth (S25). Its customers' personas have ~0.62× the estimated LinkedIn coverage of prof.-services buyers, and Regency reports ZoomInfo and Apollo failed to find contractors (S07). Manufacturing sells indirectly (0.32× sales intensity) and has no data gap. Prof. services has a moderate sales function and no data gap.</t>
  </si>
  <si>
    <t xml:space="preserve">Score — Product-Market Fit</t>
  </si>
  <si>
    <t xml:space="preserve">Judgment from the pain-to-capability map (05 §3). Distribution has 4 strong fits (contractor sourcing via Google Maps and Shovels, territory scoring, CRM completeness, e-commerce vetting; all shown in the Regency case) but a gap on ERP-based cross-sell, so 4. Manufacturing: its core jobs (channel management, sourcing-platform demand such as Thomasnet with no API) are weak fits, so 2. Prof. services: account research, pursuit prep and targeted outbound are proven Clay use cases (OpenAI pre-call prep, agency usage), so 4.</t>
  </si>
  <si>
    <t xml:space="preserve">Score — Revenue Potential</t>
  </si>
  <si>
    <t xml:space="preserve">Half on Phase 1 SOM ARR (prof. services ~2.2× distribution) and half on seller density: ~28 sales staff per distributor vs ~9 in prof. services and ~4 in manufacturing (OEWS × Census). Clay's usage pricing scales with records and seats, and enterprise NRR is &gt;200% (S02).</t>
  </si>
  <si>
    <t xml:space="preserve">Score — Competitive Position</t>
  </si>
  <si>
    <t xml:space="preserve">Phase 2 Segment_Scoring: data-differentiation relevance, incumbent saturation, vertical-specialist threat. Distribution 4.0 (real data gap; thin incumbents: 68% of distributors use spreadsheets, S25). Prof. services 2.3 (well-covered personas, Apollo/ZoomInfo and internal builds entrenched).</t>
  </si>
  <si>
    <t xml:space="preserve">Score — Ease of Execution</t>
  </si>
  <si>
    <t xml:space="preserve">Phase 2 adoption fit: builder capacity (computer-occupation index 0.69 / 0.45 / 7.15) and existing references/partners (one distribution case study; no industrial partners found; prof. services has its own case-study filter). Prof. services is far easier to sell into and deliver.</t>
  </si>
  <si>
    <t xml:space="preserve">Weighted total score</t>
  </si>
  <si>
    <t xml:space="preserve">Winner / margin over runner-up</t>
  </si>
  <si>
    <t xml:space="preserve">Weighted contribution by criterion (base weights)</t>
  </si>
  <si>
    <t xml:space="preserve">Total (= weighted total above)</t>
  </si>
  <si>
    <t xml:space="preserve">Check: contribution total − weighted total (should be 0)</t>
  </si>
  <si>
    <t xml:space="preserve">Weight sensitivity — does the ranking survive different priorities?</t>
  </si>
  <si>
    <t xml:space="preserve">Block A: alternative weight sets. Block B: break-even weight per criterion (others rescaled proportionally). Block C: random-weight simulation summary (detail on Random_Weights).</t>
  </si>
  <si>
    <t xml:space="preserve">Weight set</t>
  </si>
  <si>
    <t xml:space="preserve">Winner</t>
  </si>
  <si>
    <t xml:space="preserve">Margin</t>
  </si>
  <si>
    <t xml:space="preserve">Ranking (1st &gt; 2nd &gt; 3rd)</t>
  </si>
  <si>
    <t xml:space="preserve">Block B — Break-even weight: how much weight on one criterion (others rescaled pro rata) flips the base winner (A) vs each rival?</t>
  </si>
  <si>
    <t xml:space="preserve">Base weight</t>
  </si>
  <si>
    <t xml:space="preserve">Score gap A − C (this criterion)</t>
  </si>
  <si>
    <t xml:space="preserve">A − C gap from other criteria (rescaled)</t>
  </si>
  <si>
    <t xml:space="preserve">Break-even weight vs C</t>
  </si>
  <si>
    <t xml:space="preserve">Break-even weight vs B</t>
  </si>
  <si>
    <t xml:space="preserve">Interpretation</t>
  </si>
  <si>
    <t xml:space="preserve">Reading: Ease of Execution is the only criterion whose weight can flip the result. Prof. services overtakes distribution once Ease carries roughly 26% or more of the total weight (base 10%). Manufacturing never overtakes distribution.</t>
  </si>
  <si>
    <t xml:space="preserve">Block C — Random-weight simulation (1,000 draws each; stored values, seed 42)</t>
  </si>
  <si>
    <t xml:space="preserve">Weight distribution</t>
  </si>
  <si>
    <t xml:space="preserve">A wins</t>
  </si>
  <si>
    <t xml:space="preserve">B wins</t>
  </si>
  <si>
    <t xml:space="preserve">C wins</t>
  </si>
  <si>
    <t xml:space="preserve">Draws</t>
  </si>
  <si>
    <t xml:space="preserve">What it represents</t>
  </si>
  <si>
    <t xml:space="preserve">Flat Dirichlet(1,…,1) — any weighting equally likely</t>
  </si>
  <si>
    <t xml:space="preserve">Agnostic: no view on which criteria matter</t>
  </si>
  <si>
    <t xml:space="preserve">Centered Dirichlet(30 × base weights)</t>
  </si>
  <si>
    <t xml:space="preserve">Reasonable disagreement around the brief's weights</t>
  </si>
  <si>
    <t xml:space="preserve">Random weight vectors — generated in Python (numpy, seed 42) and stored as values for reproducibility</t>
  </si>
  <si>
    <t xml:space="preserve">Columns A–F flat Dirichlet weights; G–I scores; D-col winner. Right block: centered Dirichlet. Scores use Scorecard criterion scores (live).</t>
  </si>
  <si>
    <t xml:space="preserve">Draw</t>
  </si>
  <si>
    <t xml:space="preserve">Flat score A</t>
  </si>
  <si>
    <t xml:space="preserve">Flat score B</t>
  </si>
  <si>
    <t xml:space="preserve">Flat winner</t>
  </si>
  <si>
    <t xml:space="preserve">w MA</t>
  </si>
  <si>
    <t xml:space="preserve">w Need</t>
  </si>
  <si>
    <t xml:space="preserve">w PMF</t>
  </si>
  <si>
    <t xml:space="preserve">w Rev</t>
  </si>
  <si>
    <t xml:space="preserve">w CP</t>
  </si>
  <si>
    <t xml:space="preserve">w Ease</t>
  </si>
  <si>
    <t xml:space="preserve">Flat score C</t>
  </si>
  <si>
    <t xml:space="preserve">Centered winner</t>
  </si>
  <si>
    <t xml:space="preserve">Centered score A</t>
  </si>
  <si>
    <t xml:space="preserve">Centered score B</t>
  </si>
  <si>
    <t xml:space="preserve">Centered score C</t>
  </si>
  <si>
    <t xml:space="preserve">Stress tests — uncertain inputs and scoring choices (base weights)</t>
  </si>
  <si>
    <t xml:space="preserve">Each test changes the yellow input(s) only; everything else is linked to Inputs. Summary at top; full blocks below (metric rows are shown so every change is visible).</t>
  </si>
  <si>
    <t xml:space="preserve">Test</t>
  </si>
  <si>
    <t xml:space="preserve">What changes</t>
  </si>
  <si>
    <t xml:space="preserve">T0 Base case</t>
  </si>
  <si>
    <t xml:space="preserve">Nothing (reproduces Scorecard)</t>
  </si>
  <si>
    <t xml:space="preserve">T1 Partner channel works</t>
  </si>
  <si>
    <t xml:space="preserve">Distribution ease of execution 2.0 → 3.5 (templates + partners close half the gap)</t>
  </si>
  <si>
    <t xml:space="preserve">T2 Prof. services headroom larger</t>
  </si>
  <si>
    <t xml:space="preserve">Prof. services headroom flag 2 → 4 (Clay less penetrated than assumed)</t>
  </si>
  <si>
    <t xml:space="preserve">T3 No data gap (H3 proxy wrong)</t>
  </si>
  <si>
    <t xml:space="preserve">Distribution persona coverage index 0.62 → 1.00 (standard databases cover contractors)</t>
  </si>
  <si>
    <t xml:space="preserve">T4 Seller density doesn't lift ACV</t>
  </si>
  <si>
    <t xml:space="preserve">Revenue Potential = 100% SOM ARR (no account-expansion credit)</t>
  </si>
  <si>
    <t xml:space="preserve">T5 ERP gap binds</t>
  </si>
  <si>
    <t xml:space="preserve">Distribution PMF 4 → 3</t>
  </si>
  <si>
    <t xml:space="preserve">T6 Apollo/HubSpot close local-data gap</t>
  </si>
  <si>
    <t xml:space="preserve">Distribution competitive position 4.0 → 3.0</t>
  </si>
  <si>
    <t xml:space="preserve">T7 Distribution combined downside</t>
  </si>
  <si>
    <t xml:space="preserve">T3 + T5 + T6 together</t>
  </si>
  <si>
    <t xml:space="preserve">T8 Prof. services best case</t>
  </si>
  <si>
    <t xml:space="preserve">PS headroom 4, competitive position 3.0, ease 5.0</t>
  </si>
  <si>
    <t xml:space="preserve">T9 Worst case for A + best case for C</t>
  </si>
  <si>
    <t xml:space="preserve">T7 + T8 together</t>
  </si>
  <si>
    <t xml:space="preserve">T10 Market size only (no headroom)</t>
  </si>
  <si>
    <t xml:space="preserve">Market Attractiveness = 100% SAM</t>
  </si>
  <si>
    <t xml:space="preserve">T11 Min-max normalization</t>
  </si>
  <si>
    <t xml:space="preserve">Quantitative metrics scaled min-max instead of ratio-to-max (exaggerates gaps)</t>
  </si>
  <si>
    <t xml:space="preserve">Detail blocks follow. In each block the winner formula reads segment names from row 4.</t>
  </si>
  <si>
    <t xml:space="preserve">T0 Base case — Nothing (reproduces Scorecard)</t>
  </si>
  <si>
    <t xml:space="preserve">T1 Partner channel works — Distribution ease of execution 2.0 → 3.5 (templates + partners close half the gap)</t>
  </si>
  <si>
    <t xml:space="preserve">T2 Prof. services headroom larger — Prof. services headroom flag 2 → 4 (Clay less penetrated than assumed)</t>
  </si>
  <si>
    <t xml:space="preserve">T3 No data gap (H3 proxy wrong) — Distribution persona coverage index 0.62 → 1.00 (standard databases cover contractors)</t>
  </si>
  <si>
    <t xml:space="preserve">T4 Seller density doesn't lift ACV — Revenue Potential = 100% SOM ARR (no account-expansion credit)</t>
  </si>
  <si>
    <t xml:space="preserve">T5 ERP gap binds — Distribution PMF 4 → 3</t>
  </si>
  <si>
    <t xml:space="preserve">T6 Apollo/HubSpot close local-data gap — Distribution competitive position 4.0 → 3.0</t>
  </si>
  <si>
    <t xml:space="preserve">T7 Distribution combined downside — T3 + T5 + T6 together</t>
  </si>
  <si>
    <t xml:space="preserve">T8 Prof. services best case — PS headroom 4, competitive position 3.0, ease 5.0</t>
  </si>
  <si>
    <t xml:space="preserve">T9 Worst case for A + best case for C — T7 + T8 together</t>
  </si>
  <si>
    <t xml:space="preserve">T10 Market size only (no headroom) — Market Attractiveness = 100% SAM</t>
  </si>
  <si>
    <t xml:space="preserve">T11 Min-max normalization — Quantitative metrics scaled min-max instead of ratio-to-max (exaggerates gaps)</t>
  </si>
  <si>
    <t xml:space="preserve">Within distribution — which sub-industry is the beachhead?</t>
  </si>
  <si>
    <t xml:space="preserve">Census 2022 inputs [A] (Raw: appendix/raw_census_ecnsize_2022_firm_size.csv); judgment scores [C] in yellow. Same ratio-to-max scoring rule.</t>
  </si>
  <si>
    <t xml:space="preserve">Weight</t>
  </si>
  <si>
    <t xml:space="preserve">4235 Metals &amp; minerals</t>
  </si>
  <si>
    <t xml:space="preserve">4236 Electrical &amp; electronic</t>
  </si>
  <si>
    <t xml:space="preserve">4237 Hardware, plumbing &amp; HVAC</t>
  </si>
  <si>
    <t xml:space="preserve">4238 Machinery, equipment &amp; supplies</t>
  </si>
  <si>
    <t xml:space="preserve">Basis</t>
  </si>
  <si>
    <t xml:space="preserve">Firms with 20+ employees (incl. imputed 4235 bands)</t>
  </si>
  <si>
    <t xml:space="preserve">02_Market_Sizing › Firm_Counts (before cross-industry de-dup)</t>
  </si>
  <si>
    <t xml:space="preserve">Establishments per firm (all full-year firms)</t>
  </si>
  <si>
    <t xml:space="preserve">Census EC2200SIZEEMPFIRM (S14)</t>
  </si>
  <si>
    <t xml:space="preserve">Avg receipts per firm, 20–99 employees ($M)</t>
  </si>
  <si>
    <t xml:space="preserve">Census (S14); 4235 uses 20–49 band only (50–99 suppressed)</t>
  </si>
  <si>
    <t xml:space="preserve">Customer-persona data-gap relevance (judgment, 1–5)</t>
  </si>
  <si>
    <t xml:space="preserve">4236/4237 sell to electrical and PHVAC contractors (est. ~19–22% LinkedIn use, 04 Persona_Coverage); 4238 mixes plant MRO (maintenance workers ~20%) with dealers; 4235 sells mainly to fabricators and manufacturers (white-collar purchasing)</t>
  </si>
  <si>
    <t xml:space="preserve">Published Clay reference in sub-industry (1 = none, 5 = yes)</t>
  </si>
  <si>
    <t xml:space="preserve">Regency Supply = commercial lighting &amp; electrical distributor (S07)</t>
  </si>
  <si>
    <t xml:space="preserve">Score (1–5)</t>
  </si>
  <si>
    <t xml:space="preserve">4235</t>
  </si>
  <si>
    <t xml:space="preserve">4236</t>
  </si>
  <si>
    <t xml:space="preserve">4237</t>
  </si>
  <si>
    <t xml:space="preserve">4238</t>
  </si>
  <si>
    <t xml:space="preserve">Rule</t>
  </si>
  <si>
    <t xml:space="preserve">Size</t>
  </si>
  <si>
    <t xml:space="preserve">1 + 4 × value ÷ max</t>
  </si>
  <si>
    <t xml:space="preserve">Branch / territory intensity</t>
  </si>
  <si>
    <t xml:space="preserve">Ability to pay</t>
  </si>
  <si>
    <t xml:space="preserve">Data-gap relevance (H3)</t>
  </si>
  <si>
    <t xml:space="preserve">Judgment score used directly</t>
  </si>
  <si>
    <t xml:space="preserve">Reference proof</t>
  </si>
  <si>
    <t xml:space="preserve">Weighted score</t>
  </si>
  <si>
    <t xml:space="preserve">Rank without the Regency reference (reference weight → 0, rescaled)</t>
  </si>
  <si>
    <t xml:space="preserve">Rank (no-reference variant)</t>
  </si>
  <si>
    <t xml:space="preserve">Reading: electrical distributors (4236) are the strongest beachhead. They combine contractor-facing buyers (largest data gap), multi-branch territories, healthy revenue per firm and the only published Clay proof point. PHVAC (4237) and machinery/MRO (4238) are the natural expansion waves. Without the Regency reference, 4236, 4237 and 4238 are close, so the beachhead choice partly rests on having a proof point to reuse. Metals service centers (4235) rank last because their buyers are white-collar purchasing teams already covered by standard data.</t>
  </si>
  <si>
    <t xml:space="preserve">Strategic options — what we recommend, what we reject, and why</t>
  </si>
  <si>
    <t xml:space="preserve">Options from 01_Project_Charter §4. Recommendation is labeled [E]; Phase 4 tests its economics and Phase 5 designs it.</t>
  </si>
  <si>
    <t xml:space="preserve">#</t>
  </si>
  <si>
    <t xml:space="preserve">Option</t>
  </si>
  <si>
    <t xml:space="preserve">Score evidence</t>
  </si>
  <si>
    <t xml:space="preserve">Main upside</t>
  </si>
  <si>
    <t xml:space="preserve">Main risk / trade-off</t>
  </si>
  <si>
    <t xml:space="preserve">Reversibility</t>
  </si>
  <si>
    <t xml:space="preserve">Verdict</t>
  </si>
  <si>
    <t xml:space="preserve">0</t>
  </si>
  <si>
    <t xml:space="preserve">No vertical bet: keep horizontal, persona-led growth</t>
  </si>
  <si>
    <t xml:space="preserve">Comparison baseline.</t>
  </si>
  <si>
    <t xml:space="preserve">Zero incremental cost; focus stays on Clay's fast-growing core.</t>
  </si>
  <si>
    <t xml:space="preserve">Distribution's need does not get served: Clay's detected base is ~40% software, there are no industrial partners, and the marketplace expansion skipped industrials. The gap persists or a specialist fills it.</t>
  </si>
  <si>
    <t xml:space="preserve">Fully</t>
  </si>
  <si>
    <t xml:space="preserve">Rejected for distribution; retained for prof. services, which the horizontal motion already serves</t>
  </si>
  <si>
    <t xml:space="preserve">1</t>
  </si>
  <si>
    <t xml:space="preserve">Full industrial-distribution vertical build (dedicated sales team, vertical marketing)</t>
  </si>
  <si>
    <t xml:space="preserve">Distribution ranks #1 (base 3.97 vs 3.41).</t>
  </si>
  <si>
    <t xml:space="preserve">Fastest capture if the thesis is right; first-mover in an under-served niche.</t>
  </si>
  <si>
    <t xml:space="preserve">Ease of execution is 2.0/5: committing a sales org before proving adoption and ACV risks a high-CAC, high-churn segment. Payback is unproven (Phase 4).</t>
  </si>
  <si>
    <t xml:space="preserve">Low (hiring, brand)</t>
  </si>
  <si>
    <t xml:space="preserve">Deferred: becomes the scale-up path if pilot Go criteria are met</t>
  </si>
  <si>
    <t xml:space="preserve">2</t>
  </si>
  <si>
    <t xml:space="preserve">Industrial-manufacturing vertical</t>
  </si>
  <si>
    <t xml:space="preserve">Ranks #3 under every named weight set and wins none of the 2,000 random weight draws.</t>
  </si>
  <si>
    <t xml:space="preserve">Large firm count (23.8K firms with 20+ employees).</t>
  </si>
  <si>
    <t xml:space="preserve">Direct sales intensity 0.32× average, no data gap, lowest builder capacity. Manufacturers' selling runs through distributors and reps.</t>
  </si>
  <si>
    <t xml:space="preserve">Medium</t>
  </si>
  <si>
    <t xml:space="preserve">Rejected as a stand-alone vertical; reach manufacturers indirectly through distributors (H10)</t>
  </si>
  <si>
    <t xml:space="preserve">3</t>
  </si>
  <si>
    <t xml:space="preserve">Dedicated B2B professional-services vertical program</t>
  </si>
  <si>
    <t xml:space="preserve">Ranks #2 (3.41); wins only if Ease of Execution weight exceeds ~26% or in combined stress tests.</t>
  </si>
  <si>
    <t xml:space="preserve">Largest SAM, easiest to adopt, existing proof points.</t>
  </si>
  <si>
    <t xml:space="preserve">Little incremental headroom: agencies and consultancies are already Clay customers and partners. A dedicated program mostly re-buys demand the horizontal motion already captures. Low differentiation vs Apollo and internal builds.</t>
  </si>
  <si>
    <t xml:space="preserve">High</t>
  </si>
  <si>
    <t xml:space="preserve">Rejected as a dedicated program; continue serving through the core motion</t>
  </si>
  <si>
    <t xml:space="preserve">4</t>
  </si>
  <si>
    <t xml:space="preserve">Staged, partner-led pilot in industrial distribution (beachhead: electrical 4236, then PHVAC 4237 and MRO/machinery 4238)</t>
  </si>
  <si>
    <t xml:space="preserve">Uses the #1 segment while directly testing its #1 weakness (ease of execution, T1).</t>
  </si>
  <si>
    <t xml:space="preserve">Captures distribution's need and competitive advantage with limited capital. Builds the templates and partner channel that the scores say are missing.</t>
  </si>
  <si>
    <t xml:space="preserve">Slower than a full build; pilot learnings may not generalize across sub-industries; needs clear Go/No-Go gates.</t>
  </si>
  <si>
    <t xml:space="preserve">RECOMMENDED [E], subject to Phase 4 unit economics and Phase 5 Go/No-Go design</t>
  </si>
  <si>
    <t xml:space="preserve">Key trade-off: choosing distribution trades a smaller, harder-to-serve market for a larger, more defensible advantage. Professional services offers the opposite: an easy, larger market with little incremental headroom and weak differentiation. The staged pilot is how Clay buys the information needed to resolve this trade-off before committing a sales organization.</t>
  </si>
  <si>
    <t xml:space="preserve">What would change the recommendation — signposts to monitor</t>
  </si>
  <si>
    <t xml:space="preserve">Each condition links to the stress test or break-even that shows its effect. Thresholds marked [D] are proposals to be finalized in Phase 5 Go/No-Go criteria.</t>
  </si>
  <si>
    <t xml:space="preserve">Condition (evidence that would change the call)</t>
  </si>
  <si>
    <t xml:space="preserve">How to observe it</t>
  </si>
  <si>
    <t xml:space="preserve">Linked test</t>
  </si>
  <si>
    <t xml:space="preserve">Effect on ranking</t>
  </si>
  <si>
    <t xml:space="preserve">Response</t>
  </si>
  <si>
    <t xml:space="preserve">Management weights near-term ease of execution at ≥ ~26% of the decision</t>
  </si>
  <si>
    <t xml:space="preserve">Executive priorities; capacity constraints in sales/partnerships</t>
  </si>
  <si>
    <t xml:space="preserve">Weight_Sensitivity Block B</t>
  </si>
  <si>
    <t xml:space="preserve">Prioritize prof. services through product-led packaging; keep a lighter distribution experiment</t>
  </si>
  <si>
    <t xml:space="preserve">Contractor contact match rates for Apollo/ZoomInfo come within ~10 pts of Clay's waterfall [D]</t>
  </si>
  <si>
    <t xml:space="preserve">Coverage test on ~200 licensed contractors (appendix/Interview_Guide.md)</t>
  </si>
  <si>
    <t xml:space="preserve">T3, T6, T7</t>
  </si>
  <si>
    <t xml:space="preserve">Drop the data-coverage message; re-score need and competitive position</t>
  </si>
  <si>
    <t xml:space="preserve">Partners plus templates can't get pilot accounts to self-operate within ~60 days [D]</t>
  </si>
  <si>
    <t xml:space="preserve">Pilot time-to-value and active-workflow metrics</t>
  </si>
  <si>
    <t xml:space="preserve">T1 (reverse)</t>
  </si>
  <si>
    <t xml:space="preserve">Ease stays ≤ 2; risk of churn</t>
  </si>
  <si>
    <t xml:space="preserve">Pause scale-up; consider a managed-service offer or stop</t>
  </si>
  <si>
    <t xml:space="preserve">Clay's penetration of prof. services proves low (headroom ≥ 4)</t>
  </si>
  <si>
    <t xml:space="preserve">Customer-base mix by NAICS (internal data); partner surveys</t>
  </si>
  <si>
    <t xml:space="preserve">T2, T8</t>
  </si>
  <si>
    <t xml:space="preserve">Re-open Option 3</t>
  </si>
  <si>
    <t xml:space="preserve">5</t>
  </si>
  <si>
    <t xml:space="preserve">Distributor ACV stays at the Growth entry floor (~$5.4K) despite seller density</t>
  </si>
  <si>
    <t xml:space="preserve">Pilot contract values and usage (Actions, Data Credits)</t>
  </si>
  <si>
    <t xml:space="preserve">T4</t>
  </si>
  <si>
    <t xml:space="preserve">Phase 4 payback likely fails; keep distribution self-serve only</t>
  </si>
  <si>
    <t xml:space="preserve">6</t>
  </si>
  <si>
    <t xml:space="preserve">Apollo or HubSpot ships native off-LinkedIn local data (maps, permits, licenses)</t>
  </si>
  <si>
    <t xml:space="preserve">Competitor release notes and changelogs</t>
  </si>
  <si>
    <t xml:space="preserve">T6</t>
  </si>
  <si>
    <t xml:space="preserve">Shift differentiation to workflows and templates; accelerate the partner moat</t>
  </si>
  <si>
    <t xml:space="preserve">7</t>
  </si>
  <si>
    <t xml:space="preserve">Distribution survey evidence fails to replicate (new-customer priority, CRM gaps)</t>
  </si>
  <si>
    <t xml:space="preserve">Interviews (appendix/Interview_Guide.md); larger industry surveys</t>
  </si>
  <si>
    <t xml:space="preserve">T3/T5</t>
  </si>
  <si>
    <t xml:space="preserve">Need and PMF scores fall</t>
  </si>
  <si>
    <t xml:space="preserve">Re-run Scorecard</t>
  </si>
  <si>
    <t xml:space="preserve">Robustness: distribution stays first under each single-input test that does not involve execution, including removing the data gap (T3). It loses first place only when several downside assumptions combine with a professional-services best case (T9), or when ease of execution dominates the weights.</t>
  </si>
  <si>
    <t xml:space="preserve">Sources and upstream files</t>
  </si>
  <si>
    <t xml:space="preserve">Full register: Research_Sources.csv</t>
  </si>
  <si>
    <t xml:space="preserve">ID / file</t>
  </si>
  <si>
    <t xml:space="preserve">Description</t>
  </si>
  <si>
    <t xml:space="preserve">Used for</t>
  </si>
  <si>
    <t xml:space="preserve">02_Market_Sizing.xlsx</t>
  </si>
  <si>
    <t xml:space="preserve">Phase 1 market sizing (Census 2022 firm counts; OEWS May 2025)</t>
  </si>
  <si>
    <t xml:space="preserve">M1, M3, M6, M7; sub-segment firm counts</t>
  </si>
  <si>
    <t xml:space="preserve">04_Competitive_Analysis.xlsx</t>
  </si>
  <si>
    <t xml:space="preserve">Phase 2 competitive analysis</t>
  </si>
  <si>
    <t xml:space="preserve">M2, M4, M8, M9</t>
  </si>
  <si>
    <t xml:space="preserve">05_Customer_Needs_Assessment.md</t>
  </si>
  <si>
    <t xml:space="preserve">Phase 2 needs and pain-to-capability map</t>
  </si>
  <si>
    <t xml:space="preserve">M5 product-market fit evidence</t>
  </si>
  <si>
    <t xml:space="preserve">S02</t>
  </si>
  <si>
    <t xml:space="preserve">Clay tender offer release: enterprise NRR &gt;200%</t>
  </si>
  <si>
    <t xml:space="preserve">Revenue Potential evidence</t>
  </si>
  <si>
    <t xml:space="preserve">S07</t>
  </si>
  <si>
    <t xml:space="preserve">Regency Supply case study (electrical distributor)</t>
  </si>
  <si>
    <t xml:space="preserve">Need, PMF, sub-segment reference proof</t>
  </si>
  <si>
    <t xml:space="preserve">S09</t>
  </si>
  <si>
    <t xml:space="preserve">Clay integrations roundup, Sep 2026 (industries added)</t>
  </si>
  <si>
    <t xml:space="preserve">Market Attractiveness (headroom)</t>
  </si>
  <si>
    <t xml:space="preserve">S14</t>
  </si>
  <si>
    <t xml:space="preserve">2022 Economic Census, Employment Size of Firms</t>
  </si>
  <si>
    <t xml:space="preserve">Sub-segment drilldown inputs</t>
  </si>
  <si>
    <t xml:space="preserve">S25</t>
  </si>
  <si>
    <t xml:space="preserve">Phocas State of Sales in Distribution 2026 (via DSG)</t>
  </si>
  <si>
    <t xml:space="preserve">Customer Need, Competitive Position evidence</t>
  </si>
  <si>
    <t xml:space="preserve">S32 / S34</t>
  </si>
  <si>
    <t xml:space="preserve">Bloomberry: Clay users and solution partners</t>
  </si>
  <si>
    <t xml:space="preserve">Headroom flag evidence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</si>
</sst>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General"/>
    <numFmt numFmtId="167" formatCode="0"/>
    <numFmt numFmtId="168" formatCode="0.0%;\(0.0%\);\-"/>
    <numFmt numFmtId="169" formatCode="\$#,##0;&quot;($&quot;#,##0\);\-"/>
    <numFmt numFmtId="170" formatCode="0.00\x"/>
    <numFmt numFmtId="171" formatCode="0.0"/>
    <numFmt numFmtId="172" formatCode="0.000000"/>
    <numFmt numFmtId="173" formatCode="0.000"/>
    <numFmt numFmtId="174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8ECF3"/>
        <bgColor rgb="FFFFF2CC"/>
      </patternFill>
    </fill>
    <fill>
      <patternFill patternType="solid">
        <fgColor rgb="FF1F2A44"/>
        <bgColor rgb="FF003366"/>
      </patternFill>
    </fill>
    <fill>
      <patternFill patternType="solid">
        <fgColor rgb="FFC6E0B4"/>
        <bgColor rgb="FFD9D9D9"/>
      </patternFill>
    </fill>
    <fill>
      <patternFill patternType="solid">
        <fgColor rgb="FFFFF2CC"/>
        <bgColor rgb="FFE8EC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E8EC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4472C4"/>
      <rgbColor rgb="FF4BACC6"/>
      <rgbColor rgb="FF9BBB59"/>
      <rgbColor rgb="FFFFC000"/>
      <rgbColor rgb="FFF79646"/>
      <rgbColor rgb="FFFF6600"/>
      <rgbColor rgb="FF8064A2"/>
      <rgbColor rgb="FFA6A6A6"/>
      <rgbColor rgb="FF003366"/>
      <rgbColor rgb="FF4F81BD"/>
      <rgbColor rgb="FF003300"/>
      <rgbColor rgb="FF333300"/>
      <rgbColor rgb="FF993300"/>
      <rgbColor rgb="FF993366"/>
      <rgbColor rgb="FF555555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Weighted score by criterion (base weights)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"Market Attractiveness"</c:f>
              <c:strCache>
                <c:ptCount val="1"/>
                <c:pt idx="0">
                  <c:v>Market Attractiveness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Scorecard!$C$4:$E$4</c:f>
              <c:multiLvlStrCache>
                <c:ptCount val="1"/>
                <c:lvl>
                  <c:pt idx="0">
                    <c:v>C. B2B Prof. Services</c:v>
                  </c:pt>
                </c:lvl>
                <c:lvl>
                  <c:pt idx="0">
                    <c:v>B. Industrial Manufacturing</c:v>
                  </c:pt>
                </c:lvl>
                <c:lvl>
                  <c:pt idx="0">
                    <c:v>A. Industrial Distribution</c:v>
                  </c:pt>
                </c:lvl>
              </c:multiLvlStrCache>
            </c:multiLvlStrRef>
          </c:cat>
          <c:val>
            <c:numRef>
              <c:f>Scorecard!$C$29:$E$29</c:f>
              <c:numCache>
                <c:formatCode>0.00</c:formatCode>
                <c:ptCount val="3"/>
                <c:pt idx="0">
                  <c:v>0.783942645630288</c:v>
                </c:pt>
                <c:pt idx="1">
                  <c:v>0.804665590420606</c:v>
                </c:pt>
                <c:pt idx="2">
                  <c:v>0.7</c:v>
                </c:pt>
              </c:numCache>
            </c:numRef>
          </c:val>
        </c:ser>
        <c:ser>
          <c:idx val="1"/>
          <c:order val="1"/>
          <c:tx>
            <c:strRef>
              <c:f>"Customer Need"</c:f>
              <c:strCache>
                <c:ptCount val="1"/>
                <c:pt idx="0">
                  <c:v>Customer Need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Scorecard!$C$4:$E$4</c:f>
              <c:multiLvlStrCache>
                <c:ptCount val="1"/>
                <c:lvl>
                  <c:pt idx="0">
                    <c:v>C. B2B Prof. Services</c:v>
                  </c:pt>
                </c:lvl>
                <c:lvl>
                  <c:pt idx="0">
                    <c:v>B. Industrial Manufacturing</c:v>
                  </c:pt>
                </c:lvl>
                <c:lvl>
                  <c:pt idx="0">
                    <c:v>A. Industrial Distribution</c:v>
                  </c:pt>
                </c:lvl>
              </c:multiLvlStrCache>
            </c:multiLvlStrRef>
          </c:cat>
          <c:val>
            <c:numRef>
              <c:f>Scorecard!$C$30:$E$30</c:f>
              <c:numCache>
                <c:formatCode>0.00</c:formatCode>
                <c:ptCount val="3"/>
                <c:pt idx="0">
                  <c:v>1</c:v>
                </c:pt>
                <c:pt idx="1">
                  <c:v>0.505963910537695</c:v>
                </c:pt>
                <c:pt idx="2">
                  <c:v>0.560916387173882</c:v>
                </c:pt>
              </c:numCache>
            </c:numRef>
          </c:val>
        </c:ser>
        <c:ser>
          <c:idx val="2"/>
          <c:order val="2"/>
          <c:tx>
            <c:strRef>
              <c:f>"Product-Market Fit"</c:f>
              <c:strCache>
                <c:ptCount val="1"/>
                <c:pt idx="0">
                  <c:v>Product-Market Fit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Scorecard!$C$4:$E$4</c:f>
              <c:multiLvlStrCache>
                <c:ptCount val="1"/>
                <c:lvl>
                  <c:pt idx="0">
                    <c:v>C. B2B Prof. Services</c:v>
                  </c:pt>
                </c:lvl>
                <c:lvl>
                  <c:pt idx="0">
                    <c:v>B. Industrial Manufacturing</c:v>
                  </c:pt>
                </c:lvl>
                <c:lvl>
                  <c:pt idx="0">
                    <c:v>A. Industrial Distribution</c:v>
                  </c:pt>
                </c:lvl>
              </c:multiLvlStrCache>
            </c:multiLvlStrRef>
          </c:cat>
          <c:val>
            <c:numRef>
              <c:f>Scorecard!$C$31:$E$31</c:f>
              <c:numCache>
                <c:formatCode>0.00</c:formatCode>
                <c:ptCount val="3"/>
                <c:pt idx="0">
                  <c:v>0.8</c:v>
                </c:pt>
                <c:pt idx="1">
                  <c:v>0.4</c:v>
                </c:pt>
                <c:pt idx="2">
                  <c:v>0.8</c:v>
                </c:pt>
              </c:numCache>
            </c:numRef>
          </c:val>
        </c:ser>
        <c:ser>
          <c:idx val="3"/>
          <c:order val="3"/>
          <c:tx>
            <c:strRef>
              <c:f>"Revenue Potential"</c:f>
              <c:strCache>
                <c:ptCount val="1"/>
                <c:pt idx="0">
                  <c:v>Revenue Potential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Scorecard!$C$4:$E$4</c:f>
              <c:multiLvlStrCache>
                <c:ptCount val="1"/>
                <c:lvl>
                  <c:pt idx="0">
                    <c:v>C. B2B Prof. Services</c:v>
                  </c:pt>
                </c:lvl>
                <c:lvl>
                  <c:pt idx="0">
                    <c:v>B. Industrial Manufacturing</c:v>
                  </c:pt>
                </c:lvl>
                <c:lvl>
                  <c:pt idx="0">
                    <c:v>A. Industrial Distribution</c:v>
                  </c:pt>
                </c:lvl>
              </c:multiLvlStrCache>
            </c:multiLvlStrRef>
          </c:cat>
          <c:val>
            <c:numRef>
              <c:f>Scorecard!$C$32:$E$32</c:f>
              <c:numCache>
                <c:formatCode>0.00</c:formatCode>
                <c:ptCount val="3"/>
                <c:pt idx="0">
                  <c:v>0.583837411979465</c:v>
                </c:pt>
                <c:pt idx="1">
                  <c:v>0.343840771544494</c:v>
                </c:pt>
                <c:pt idx="2">
                  <c:v>0.550938628158845</c:v>
                </c:pt>
              </c:numCache>
            </c:numRef>
          </c:val>
        </c:ser>
        <c:ser>
          <c:idx val="4"/>
          <c:order val="4"/>
          <c:tx>
            <c:strRef>
              <c:f>"Competitive Position"</c:f>
              <c:strCache>
                <c:ptCount val="1"/>
                <c:pt idx="0">
                  <c:v>Competitive Position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Scorecard!$C$4:$E$4</c:f>
              <c:multiLvlStrCache>
                <c:ptCount val="1"/>
                <c:lvl>
                  <c:pt idx="0">
                    <c:v>C. B2B Prof. Services</c:v>
                  </c:pt>
                </c:lvl>
                <c:lvl>
                  <c:pt idx="0">
                    <c:v>B. Industrial Manufacturing</c:v>
                  </c:pt>
                </c:lvl>
                <c:lvl>
                  <c:pt idx="0">
                    <c:v>A. Industrial Distribution</c:v>
                  </c:pt>
                </c:lvl>
              </c:multiLvlStrCache>
            </c:multiLvlStrRef>
          </c:cat>
          <c:val>
            <c:numRef>
              <c:f>Scorecard!$C$33:$E$33</c:f>
              <c:numCache>
                <c:formatCode>0.00</c:formatCode>
                <c:ptCount val="3"/>
                <c:pt idx="0">
                  <c:v>0.6</c:v>
                </c:pt>
                <c:pt idx="1">
                  <c:v>0.499995</c:v>
                </c:pt>
                <c:pt idx="2">
                  <c:v>0.349995</c:v>
                </c:pt>
              </c:numCache>
            </c:numRef>
          </c:val>
        </c:ser>
        <c:ser>
          <c:idx val="5"/>
          <c:order val="5"/>
          <c:tx>
            <c:strRef>
              <c:f>"Ease of Execution"</c:f>
              <c:strCache>
                <c:ptCount val="1"/>
                <c:pt idx="0">
                  <c:v>Ease of Execution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Scorecard!$C$4:$E$4</c:f>
              <c:multiLvlStrCache>
                <c:ptCount val="1"/>
                <c:lvl>
                  <c:pt idx="0">
                    <c:v>C. B2B Prof. Services</c:v>
                  </c:pt>
                </c:lvl>
                <c:lvl>
                  <c:pt idx="0">
                    <c:v>B. Industrial Manufacturing</c:v>
                  </c:pt>
                </c:lvl>
                <c:lvl>
                  <c:pt idx="0">
                    <c:v>A. Industrial Distribution</c:v>
                  </c:pt>
                </c:lvl>
              </c:multiLvlStrCache>
            </c:multiLvlStrRef>
          </c:cat>
          <c:val>
            <c:numRef>
              <c:f>Scorecard!$C$34:$E$34</c:f>
              <c:numCache>
                <c:formatCode>0.00</c:formatCode>
                <c:ptCount val="3"/>
                <c:pt idx="0">
                  <c:v>0.2</c:v>
                </c:pt>
                <c:pt idx="1">
                  <c:v>0.15</c:v>
                </c:pt>
                <c:pt idx="2">
                  <c:v>0.45</c:v>
                </c:pt>
              </c:numCache>
            </c:numRef>
          </c:val>
        </c:ser>
        <c:gapWidth val="150"/>
        <c:overlap val="100"/>
        <c:axId val="67743147"/>
        <c:axId val="41797259"/>
      </c:barChart>
      <c:catAx>
        <c:axId val="677431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797259"/>
        <c:crosses val="autoZero"/>
        <c:auto val="1"/>
        <c:lblAlgn val="ctr"/>
        <c:lblOffset val="100"/>
        <c:noMultiLvlLbl val="0"/>
      </c:catAx>
      <c:valAx>
        <c:axId val="417972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Weighted score (sum = total, max 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7431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34</xdr:row>
      <xdr:rowOff>92160</xdr:rowOff>
    </xdr:from>
    <xdr:to>
      <xdr:col>4</xdr:col>
      <xdr:colOff>1082520</xdr:colOff>
      <xdr:row>51</xdr:row>
      <xdr:rowOff>93240</xdr:rowOff>
    </xdr:to>
    <xdr:graphicFrame>
      <xdr:nvGraphicFramePr>
        <xdr:cNvPr id="0" name="Chart 1"/>
        <xdr:cNvGraphicFramePr/>
      </xdr:nvGraphicFramePr>
      <xdr:xfrm>
        <a:off x="0" y="130683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4" t="s">
        <v>3</v>
      </c>
    </row>
    <row r="5" customFormat="false" ht="43.5" hidden="false" customHeight="true" outlineLevel="0" collapsed="false">
      <c r="A5" s="3" t="s">
        <v>4</v>
      </c>
      <c r="B5" s="4" t="s">
        <v>5</v>
      </c>
    </row>
    <row r="6" customFormat="false" ht="43.5" hidden="false" customHeight="true" outlineLevel="0" collapsed="false">
      <c r="A6" s="3" t="s">
        <v>6</v>
      </c>
      <c r="B6" s="4" t="s">
        <v>7</v>
      </c>
    </row>
    <row r="7" customFormat="false" ht="43.5" hidden="false" customHeight="true" outlineLevel="0" collapsed="false">
      <c r="A7" s="3" t="s">
        <v>8</v>
      </c>
      <c r="B7" s="4" t="s">
        <v>9</v>
      </c>
    </row>
    <row r="8" customFormat="false" ht="43.5" hidden="false" customHeight="true" outlineLevel="0" collapsed="false">
      <c r="A8" s="3" t="s">
        <v>10</v>
      </c>
      <c r="B8" s="4" t="s">
        <v>11</v>
      </c>
    </row>
    <row r="9" customFormat="false" ht="43.5" hidden="false" customHeight="true" outlineLevel="0" collapsed="false">
      <c r="A9" s="3" t="s">
        <v>12</v>
      </c>
      <c r="B9" s="4" t="s">
        <v>13</v>
      </c>
    </row>
    <row r="10" customFormat="false" ht="43.5" hidden="false" customHeight="true" outlineLevel="0" collapsed="false">
      <c r="A10" s="3" t="s">
        <v>14</v>
      </c>
      <c r="B10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8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30" hidden="false" customHeight="tru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</row>
    <row r="5" customFormat="false" ht="15" hidden="false" customHeight="false" outlineLevel="0" collapsed="false">
      <c r="A5" s="4" t="s">
        <v>23</v>
      </c>
      <c r="B5" s="6" t="n">
        <f aca="false">Scorecard!C18</f>
        <v>3.91971322815144</v>
      </c>
      <c r="C5" s="6" t="n">
        <f aca="false">Scorecard!D18</f>
        <v>4.02332795210303</v>
      </c>
      <c r="D5" s="6" t="n">
        <f aca="false">Scorecard!E18</f>
        <v>3.5</v>
      </c>
      <c r="E5" s="4" t="s">
        <v>24</v>
      </c>
    </row>
    <row r="6" customFormat="false" ht="15" hidden="false" customHeight="false" outlineLevel="0" collapsed="false">
      <c r="A6" s="4" t="s">
        <v>25</v>
      </c>
      <c r="B6" s="6" t="n">
        <f aca="false">Scorecard!C19</f>
        <v>5</v>
      </c>
      <c r="C6" s="6" t="n">
        <f aca="false">Scorecard!D19</f>
        <v>2.52981955268848</v>
      </c>
      <c r="D6" s="6" t="n">
        <f aca="false">Scorecard!E19</f>
        <v>2.80458193586941</v>
      </c>
      <c r="E6" s="4" t="s">
        <v>24</v>
      </c>
    </row>
    <row r="7" customFormat="false" ht="15" hidden="false" customHeight="false" outlineLevel="0" collapsed="false">
      <c r="A7" s="4" t="s">
        <v>26</v>
      </c>
      <c r="B7" s="6" t="n">
        <f aca="false">Scorecard!C20</f>
        <v>4</v>
      </c>
      <c r="C7" s="6" t="n">
        <f aca="false">Scorecard!D20</f>
        <v>2</v>
      </c>
      <c r="D7" s="6" t="n">
        <f aca="false">Scorecard!E20</f>
        <v>4</v>
      </c>
      <c r="E7" s="4" t="s">
        <v>24</v>
      </c>
    </row>
    <row r="8" customFormat="false" ht="15" hidden="false" customHeight="false" outlineLevel="0" collapsed="false">
      <c r="A8" s="4" t="s">
        <v>27</v>
      </c>
      <c r="B8" s="6" t="n">
        <f aca="false">Scorecard!C21</f>
        <v>3.89224941319643</v>
      </c>
      <c r="C8" s="6" t="n">
        <f aca="false">Scorecard!D21</f>
        <v>2.29227181029663</v>
      </c>
      <c r="D8" s="6" t="n">
        <f aca="false">Scorecard!E21</f>
        <v>3.67292418772563</v>
      </c>
      <c r="E8" s="4" t="s">
        <v>24</v>
      </c>
    </row>
    <row r="9" customFormat="false" ht="15" hidden="false" customHeight="false" outlineLevel="0" collapsed="false">
      <c r="A9" s="4" t="s">
        <v>28</v>
      </c>
      <c r="B9" s="6" t="n">
        <f aca="false">Scorecard!C22</f>
        <v>4</v>
      </c>
      <c r="C9" s="6" t="n">
        <f aca="false">Scorecard!D22</f>
        <v>3.3333</v>
      </c>
      <c r="D9" s="6" t="n">
        <f aca="false">Scorecard!E22</f>
        <v>2.3333</v>
      </c>
      <c r="E9" s="4" t="s">
        <v>24</v>
      </c>
    </row>
    <row r="10" customFormat="false" ht="15" hidden="false" customHeight="false" outlineLevel="0" collapsed="false">
      <c r="A10" s="4" t="s">
        <v>29</v>
      </c>
      <c r="B10" s="6" t="n">
        <f aca="false">Scorecard!C23</f>
        <v>2</v>
      </c>
      <c r="C10" s="6" t="n">
        <f aca="false">Scorecard!D23</f>
        <v>1.5</v>
      </c>
      <c r="D10" s="6" t="n">
        <f aca="false">Scorecard!E23</f>
        <v>4.5</v>
      </c>
      <c r="E10" s="4" t="s">
        <v>24</v>
      </c>
    </row>
    <row r="11" customFormat="false" ht="15" hidden="false" customHeight="false" outlineLevel="0" collapsed="false">
      <c r="A11" s="7" t="s">
        <v>30</v>
      </c>
      <c r="B11" s="8" t="n">
        <f aca="false">Scorecard!C24</f>
        <v>3.96778005760975</v>
      </c>
      <c r="C11" s="8" t="n">
        <f aca="false">Scorecard!D24</f>
        <v>2.7044652725028</v>
      </c>
      <c r="D11" s="8" t="n">
        <f aca="false">Scorecard!E24</f>
        <v>3.41185001533273</v>
      </c>
      <c r="E11" s="9"/>
    </row>
    <row r="12" customFormat="false" ht="15" hidden="false" customHeight="false" outlineLevel="0" collapsed="false">
      <c r="A12" s="10" t="s">
        <v>31</v>
      </c>
      <c r="B12" s="11" t="n">
        <f aca="false">Scorecard!C25</f>
        <v>1</v>
      </c>
      <c r="C12" s="11" t="n">
        <f aca="false">Scorecard!D25</f>
        <v>3</v>
      </c>
      <c r="D12" s="11" t="n">
        <f aca="false">Scorecard!E25</f>
        <v>2</v>
      </c>
    </row>
    <row r="14" customFormat="false" ht="15" hidden="false" customHeight="false" outlineLevel="0" collapsed="false">
      <c r="A14" s="3" t="s">
        <v>10</v>
      </c>
      <c r="B14" s="12"/>
      <c r="C14" s="12"/>
      <c r="D14" s="12"/>
      <c r="E14" s="12"/>
    </row>
    <row r="15" customFormat="false" ht="15" hidden="false" customHeight="false" outlineLevel="0" collapsed="false">
      <c r="A15" s="4" t="s">
        <v>32</v>
      </c>
      <c r="B15" s="13" t="n">
        <f aca="false">COUNTIF(Weight_Sensitivity!$E$5:$E$10,"A. Industrial Distribution")</f>
        <v>5</v>
      </c>
      <c r="C15" s="13" t="n">
        <f aca="false">COUNTIF(Weight_Sensitivity!$E$5:$E$10,"B. Industrial Manufacturing")</f>
        <v>0</v>
      </c>
      <c r="D15" s="13" t="n">
        <f aca="false">COUNTIF(Weight_Sensitivity!$E$5:$E$10,"C. B2B Prof. Services")</f>
        <v>1</v>
      </c>
      <c r="E15" s="4" t="s">
        <v>33</v>
      </c>
    </row>
    <row r="16" customFormat="false" ht="15" hidden="false" customHeight="false" outlineLevel="0" collapsed="false">
      <c r="A16" s="4" t="s">
        <v>34</v>
      </c>
      <c r="B16" s="14" t="n">
        <f aca="false">Weight_Sensitivity!B26</f>
        <v>0.74</v>
      </c>
      <c r="C16" s="14" t="n">
        <f aca="false">Weight_Sensitivity!C26</f>
        <v>0</v>
      </c>
      <c r="D16" s="14" t="n">
        <f aca="false">Weight_Sensitivity!D26</f>
        <v>0.26</v>
      </c>
      <c r="E16" s="4" t="s">
        <v>35</v>
      </c>
    </row>
    <row r="17" customFormat="false" ht="15" hidden="false" customHeight="false" outlineLevel="0" collapsed="false">
      <c r="A17" s="4" t="s">
        <v>36</v>
      </c>
      <c r="B17" s="14" t="n">
        <f aca="false">Weight_Sensitivity!B27</f>
        <v>0.989</v>
      </c>
      <c r="C17" s="14" t="n">
        <f aca="false">Weight_Sensitivity!C27</f>
        <v>0</v>
      </c>
      <c r="D17" s="14" t="n">
        <f aca="false">Weight_Sensitivity!D27</f>
        <v>0.011</v>
      </c>
      <c r="E17" s="4" t="s">
        <v>37</v>
      </c>
    </row>
    <row r="18" customFormat="false" ht="15" hidden="false" customHeight="false" outlineLevel="0" collapsed="false">
      <c r="A18" s="4" t="s">
        <v>38</v>
      </c>
      <c r="B18" s="13" t="n">
        <f aca="false">COUNTIF(Stress_Tests!$F$5:$F$16,"A. Industrial Distribution")</f>
        <v>11</v>
      </c>
      <c r="C18" s="13" t="n">
        <f aca="false">COUNTIF(Stress_Tests!$F$5:$F$16,"B. Industrial Manufacturing")</f>
        <v>0</v>
      </c>
      <c r="D18" s="13" t="n">
        <f aca="false">COUNTIF(Stress_Tests!$F$5:$F$16,"C. B2B Prof. Services")</f>
        <v>1</v>
      </c>
      <c r="E18" s="4" t="s">
        <v>39</v>
      </c>
    </row>
    <row r="19" customFormat="false" ht="15" hidden="false" customHeight="false" outlineLevel="0" collapsed="false">
      <c r="A19" s="4" t="s">
        <v>40</v>
      </c>
      <c r="B19" s="14" t="n">
        <f aca="false">Weight_Sensitivity!E20</f>
        <v>0.263726600781906</v>
      </c>
      <c r="E19" s="4" t="s">
        <v>41</v>
      </c>
    </row>
    <row r="20" customFormat="false" ht="15" hidden="false" customHeight="false" outlineLevel="0" collapsed="false">
      <c r="A20" s="4" t="s">
        <v>42</v>
      </c>
      <c r="B20" s="15" t="str">
        <f aca="false">INDEX(Subsegment_Drilldown!$C$4:$F$4,MATCH(1,Subsegment_Drilldown!$C$18:$F$18,0))</f>
        <v>4236 Electrical &amp; electronic</v>
      </c>
      <c r="C20" s="15"/>
      <c r="D20" s="15"/>
      <c r="E20" s="4" t="s">
        <v>43</v>
      </c>
    </row>
    <row r="22" customFormat="false" ht="15" hidden="false" customHeight="false" outlineLevel="0" collapsed="false">
      <c r="A22" s="3" t="s">
        <v>44</v>
      </c>
      <c r="B22" s="12"/>
      <c r="C22" s="12"/>
      <c r="D22" s="12"/>
      <c r="E22" s="12"/>
    </row>
    <row r="23" customFormat="false" ht="43.5" hidden="false" customHeight="true" outlineLevel="0" collapsed="false">
      <c r="A23" s="4" t="s">
        <v>45</v>
      </c>
      <c r="B23" s="4"/>
      <c r="C23" s="4"/>
      <c r="D23" s="4"/>
      <c r="E23" s="4"/>
    </row>
    <row r="24" customFormat="false" ht="43.5" hidden="false" customHeight="true" outlineLevel="0" collapsed="false">
      <c r="A24" s="4" t="s">
        <v>46</v>
      </c>
      <c r="B24" s="4"/>
      <c r="C24" s="4"/>
      <c r="D24" s="4"/>
      <c r="E24" s="4"/>
    </row>
    <row r="25" customFormat="false" ht="43.5" hidden="false" customHeight="true" outlineLevel="0" collapsed="false">
      <c r="A25" s="4" t="s">
        <v>47</v>
      </c>
      <c r="B25" s="4"/>
      <c r="C25" s="4"/>
      <c r="D25" s="4"/>
      <c r="E25" s="4"/>
    </row>
    <row r="26" customFormat="false" ht="43.5" hidden="false" customHeight="true" outlineLevel="0" collapsed="false">
      <c r="A26" s="4" t="s">
        <v>48</v>
      </c>
      <c r="B26" s="4"/>
      <c r="C26" s="4"/>
      <c r="D26" s="4"/>
      <c r="E26" s="4"/>
    </row>
    <row r="27" customFormat="false" ht="43.5" hidden="false" customHeight="true" outlineLevel="0" collapsed="false">
      <c r="A27" s="4" t="s">
        <v>49</v>
      </c>
      <c r="B27" s="4"/>
      <c r="C27" s="4"/>
      <c r="D27" s="4"/>
      <c r="E27" s="4"/>
    </row>
  </sheetData>
  <mergeCells count="6">
    <mergeCell ref="B20:D20"/>
    <mergeCell ref="A23:E23"/>
    <mergeCell ref="A24:E24"/>
    <mergeCell ref="A25:E25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4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30" hidden="false" customHeight="true" outlineLevel="0" collapsed="false">
      <c r="A4" s="5" t="s">
        <v>52</v>
      </c>
      <c r="B4" s="5" t="s">
        <v>53</v>
      </c>
      <c r="C4" s="5" t="s">
        <v>54</v>
      </c>
      <c r="D4" s="5" t="s">
        <v>55</v>
      </c>
      <c r="E4" s="5" t="s">
        <v>56</v>
      </c>
      <c r="F4" s="5" t="s">
        <v>57</v>
      </c>
      <c r="G4" s="5" t="s">
        <v>58</v>
      </c>
      <c r="H4" s="5" t="s">
        <v>59</v>
      </c>
    </row>
    <row r="5" customFormat="false" ht="23.85" hidden="false" customHeight="false" outlineLevel="0" collapsed="false">
      <c r="A5" s="10" t="s">
        <v>60</v>
      </c>
      <c r="B5" s="16" t="n">
        <v>0.2</v>
      </c>
      <c r="C5" s="17" t="n">
        <v>0.166666666666667</v>
      </c>
      <c r="D5" s="17" t="n">
        <v>0.3</v>
      </c>
      <c r="E5" s="17" t="n">
        <v>0.15</v>
      </c>
      <c r="F5" s="17" t="n">
        <v>0.15</v>
      </c>
      <c r="G5" s="17" t="n">
        <v>0.15</v>
      </c>
      <c r="H5" s="4" t="s">
        <v>61</v>
      </c>
    </row>
    <row r="6" customFormat="false" ht="15" hidden="false" customHeight="false" outlineLevel="0" collapsed="false">
      <c r="A6" s="10" t="s">
        <v>62</v>
      </c>
      <c r="B6" s="16" t="n">
        <v>0.2</v>
      </c>
      <c r="C6" s="17" t="n">
        <v>0.166666666666667</v>
      </c>
      <c r="D6" s="17" t="n">
        <v>0.15</v>
      </c>
      <c r="E6" s="17" t="n">
        <v>0.15</v>
      </c>
      <c r="F6" s="17" t="n">
        <v>0.2</v>
      </c>
      <c r="G6" s="17" t="n">
        <v>0.1</v>
      </c>
      <c r="H6" s="4" t="s">
        <v>63</v>
      </c>
    </row>
    <row r="7" customFormat="false" ht="15" hidden="false" customHeight="false" outlineLevel="0" collapsed="false">
      <c r="A7" s="10" t="s">
        <v>64</v>
      </c>
      <c r="B7" s="16" t="n">
        <v>0.2</v>
      </c>
      <c r="C7" s="17" t="n">
        <v>0.166666666666667</v>
      </c>
      <c r="D7" s="17" t="n">
        <v>0.15</v>
      </c>
      <c r="E7" s="17" t="n">
        <v>0.2</v>
      </c>
      <c r="F7" s="17" t="n">
        <v>0.15</v>
      </c>
      <c r="G7" s="17" t="n">
        <v>0.2</v>
      </c>
      <c r="H7" s="4" t="s">
        <v>65</v>
      </c>
    </row>
    <row r="8" customFormat="false" ht="23.85" hidden="false" customHeight="false" outlineLevel="0" collapsed="false">
      <c r="A8" s="10" t="s">
        <v>66</v>
      </c>
      <c r="B8" s="16" t="n">
        <v>0.15</v>
      </c>
      <c r="C8" s="17" t="n">
        <v>0.166666666666667</v>
      </c>
      <c r="D8" s="17" t="n">
        <v>0.25</v>
      </c>
      <c r="E8" s="17" t="n">
        <v>0.1</v>
      </c>
      <c r="F8" s="17" t="n">
        <v>0.1</v>
      </c>
      <c r="G8" s="17" t="n">
        <v>0.3</v>
      </c>
      <c r="H8" s="4" t="s">
        <v>67</v>
      </c>
    </row>
    <row r="9" customFormat="false" ht="15" hidden="false" customHeight="false" outlineLevel="0" collapsed="false">
      <c r="A9" s="10" t="s">
        <v>68</v>
      </c>
      <c r="B9" s="16" t="n">
        <v>0.15</v>
      </c>
      <c r="C9" s="17" t="n">
        <v>0.166666666666667</v>
      </c>
      <c r="D9" s="17" t="n">
        <v>0.1</v>
      </c>
      <c r="E9" s="17" t="n">
        <v>0.1</v>
      </c>
      <c r="F9" s="17" t="n">
        <v>0.3</v>
      </c>
      <c r="G9" s="17" t="n">
        <v>0.1</v>
      </c>
      <c r="H9" s="4" t="s">
        <v>69</v>
      </c>
    </row>
    <row r="10" customFormat="false" ht="15" hidden="false" customHeight="false" outlineLevel="0" collapsed="false">
      <c r="A10" s="10" t="s">
        <v>70</v>
      </c>
      <c r="B10" s="16" t="n">
        <v>0.1</v>
      </c>
      <c r="C10" s="17" t="n">
        <v>0.166666666666667</v>
      </c>
      <c r="D10" s="17" t="n">
        <v>0.05</v>
      </c>
      <c r="E10" s="17" t="n">
        <v>0.3</v>
      </c>
      <c r="F10" s="17" t="n">
        <v>0.1</v>
      </c>
      <c r="G10" s="17" t="n">
        <v>0.15</v>
      </c>
      <c r="H10" s="4" t="s">
        <v>71</v>
      </c>
    </row>
    <row r="11" customFormat="false" ht="15" hidden="false" customHeight="false" outlineLevel="0" collapsed="false">
      <c r="A11" s="3" t="s">
        <v>72</v>
      </c>
      <c r="B11" s="18" t="n">
        <f aca="false">SUM(B5:B10)</f>
        <v>1</v>
      </c>
      <c r="C11" s="18" t="n">
        <f aca="false">SUM(C5:C10)</f>
        <v>1</v>
      </c>
      <c r="D11" s="18" t="n">
        <f aca="false">SUM(D5:D10)</f>
        <v>1</v>
      </c>
      <c r="E11" s="18" t="n">
        <f aca="false">SUM(E5:E10)</f>
        <v>1</v>
      </c>
      <c r="F11" s="18" t="n">
        <f aca="false">SUM(F5:F10)</f>
        <v>1</v>
      </c>
      <c r="G11" s="18" t="n">
        <f aca="false">SUM(G5:G10)</f>
        <v>1</v>
      </c>
    </row>
    <row r="13" customFormat="false" ht="23.85" hidden="false" customHeight="false" outlineLevel="0" collapsed="false">
      <c r="A13" s="3" t="s">
        <v>73</v>
      </c>
    </row>
    <row r="14" customFormat="false" ht="15" hidden="false" customHeight="true" outlineLevel="0" collapsed="false">
      <c r="A14" s="4" t="s">
        <v>74</v>
      </c>
      <c r="B14" s="4"/>
      <c r="C14" s="4"/>
      <c r="D14" s="4"/>
      <c r="E14" s="4"/>
      <c r="F14" s="4"/>
      <c r="G14" s="16" t="n">
        <v>0.5</v>
      </c>
    </row>
    <row r="15" customFormat="false" ht="15" hidden="false" customHeight="true" outlineLevel="0" collapsed="false">
      <c r="A15" s="4" t="s">
        <v>75</v>
      </c>
      <c r="B15" s="4"/>
      <c r="C15" s="4"/>
      <c r="D15" s="4"/>
      <c r="E15" s="4"/>
      <c r="F15" s="4"/>
      <c r="G15" s="16" t="n">
        <v>0.5</v>
      </c>
    </row>
    <row r="16" customFormat="false" ht="15" hidden="false" customHeight="true" outlineLevel="0" collapsed="false">
      <c r="A16" s="4" t="s">
        <v>76</v>
      </c>
      <c r="B16" s="4"/>
      <c r="C16" s="4"/>
      <c r="D16" s="4"/>
      <c r="E16" s="4"/>
      <c r="F16" s="4"/>
      <c r="G16" s="16" t="n">
        <v>0.5</v>
      </c>
    </row>
  </sheetData>
  <mergeCells count="3">
    <mergeCell ref="A14:F14"/>
    <mergeCell ref="A15:F15"/>
    <mergeCell ref="A16:F16"/>
  </mergeCells>
  <conditionalFormatting sqref="B11:G11">
    <cfRule type="expression" priority="2" aboveAverage="0" equalAverage="0" bottom="0" percent="0" rank="0" text="" dxfId="0">
      <formula>ABS(B11-1)&gt;0.0001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30" hidden="false" customHeight="true" outlineLevel="0" collapsed="false">
      <c r="A4" s="5" t="s">
        <v>79</v>
      </c>
      <c r="B4" s="5" t="s">
        <v>18</v>
      </c>
      <c r="C4" s="5" t="s">
        <v>52</v>
      </c>
      <c r="D4" s="5" t="s">
        <v>19</v>
      </c>
      <c r="E4" s="5" t="s">
        <v>20</v>
      </c>
      <c r="F4" s="5" t="s">
        <v>21</v>
      </c>
      <c r="G4" s="5" t="s">
        <v>80</v>
      </c>
      <c r="H4" s="5" t="s">
        <v>81</v>
      </c>
      <c r="I4" s="5" t="s">
        <v>82</v>
      </c>
    </row>
    <row r="5" customFormat="false" ht="30" hidden="false" customHeight="true" outlineLevel="0" collapsed="false">
      <c r="A5" s="10" t="s">
        <v>83</v>
      </c>
      <c r="B5" s="4" t="s">
        <v>84</v>
      </c>
      <c r="C5" s="4" t="s">
        <v>60</v>
      </c>
      <c r="D5" s="19" t="n">
        <v>68163346.58</v>
      </c>
      <c r="E5" s="19" t="n">
        <v>75842616.73</v>
      </c>
      <c r="F5" s="19" t="n">
        <v>148227391.96</v>
      </c>
      <c r="G5" s="4" t="s">
        <v>85</v>
      </c>
      <c r="H5" s="4" t="s">
        <v>86</v>
      </c>
      <c r="I5" s="4" t="s">
        <v>87</v>
      </c>
    </row>
    <row r="6" customFormat="false" ht="30" hidden="false" customHeight="true" outlineLevel="0" collapsed="false">
      <c r="A6" s="10" t="s">
        <v>88</v>
      </c>
      <c r="B6" s="4" t="s">
        <v>89</v>
      </c>
      <c r="C6" s="4" t="s">
        <v>60</v>
      </c>
      <c r="D6" s="20" t="n">
        <v>5</v>
      </c>
      <c r="E6" s="20" t="n">
        <v>5</v>
      </c>
      <c r="F6" s="20" t="n">
        <v>2</v>
      </c>
      <c r="G6" s="4" t="s">
        <v>90</v>
      </c>
      <c r="H6" s="4" t="s">
        <v>91</v>
      </c>
      <c r="I6" s="4" t="s">
        <v>92</v>
      </c>
    </row>
    <row r="7" customFormat="false" ht="30" hidden="false" customHeight="true" outlineLevel="0" collapsed="false">
      <c r="A7" s="10" t="s">
        <v>93</v>
      </c>
      <c r="B7" s="4" t="s">
        <v>94</v>
      </c>
      <c r="C7" s="4" t="s">
        <v>62</v>
      </c>
      <c r="D7" s="21" t="n">
        <v>2.54356</v>
      </c>
      <c r="E7" s="21" t="n">
        <v>0.31725</v>
      </c>
      <c r="F7" s="21" t="n">
        <v>0.71487</v>
      </c>
      <c r="G7" s="4" t="s">
        <v>95</v>
      </c>
      <c r="H7" s="4" t="s">
        <v>96</v>
      </c>
      <c r="I7" s="4" t="s">
        <v>97</v>
      </c>
    </row>
    <row r="8" customFormat="false" ht="30" hidden="false" customHeight="true" outlineLevel="0" collapsed="false">
      <c r="A8" s="10" t="s">
        <v>98</v>
      </c>
      <c r="B8" s="4" t="s">
        <v>99</v>
      </c>
      <c r="C8" s="4" t="s">
        <v>62</v>
      </c>
      <c r="D8" s="21" t="n">
        <v>0.62124</v>
      </c>
      <c r="E8" s="21" t="n">
        <v>0.97041</v>
      </c>
      <c r="F8" s="21" t="n">
        <v>1</v>
      </c>
      <c r="G8" s="4" t="s">
        <v>95</v>
      </c>
      <c r="H8" s="4" t="s">
        <v>91</v>
      </c>
      <c r="I8" s="4" t="s">
        <v>100</v>
      </c>
    </row>
    <row r="9" customFormat="false" ht="30" hidden="false" customHeight="true" outlineLevel="0" collapsed="false">
      <c r="A9" s="10" t="s">
        <v>101</v>
      </c>
      <c r="B9" s="4" t="s">
        <v>102</v>
      </c>
      <c r="C9" s="4" t="s">
        <v>64</v>
      </c>
      <c r="D9" s="20" t="n">
        <v>4</v>
      </c>
      <c r="E9" s="20" t="n">
        <v>2</v>
      </c>
      <c r="F9" s="20" t="n">
        <v>4</v>
      </c>
      <c r="G9" s="4" t="s">
        <v>90</v>
      </c>
      <c r="H9" s="4" t="s">
        <v>91</v>
      </c>
      <c r="I9" s="4" t="s">
        <v>103</v>
      </c>
    </row>
    <row r="10" customFormat="false" ht="30" hidden="false" customHeight="true" outlineLevel="0" collapsed="false">
      <c r="A10" s="10" t="s">
        <v>104</v>
      </c>
      <c r="B10" s="4" t="s">
        <v>105</v>
      </c>
      <c r="C10" s="4" t="s">
        <v>66</v>
      </c>
      <c r="D10" s="19" t="n">
        <v>1864123.57</v>
      </c>
      <c r="E10" s="19" t="n">
        <v>2149272.49</v>
      </c>
      <c r="F10" s="19" t="n">
        <v>4178480.91</v>
      </c>
      <c r="G10" s="4" t="s">
        <v>85</v>
      </c>
      <c r="H10" s="4" t="s">
        <v>106</v>
      </c>
      <c r="I10" s="4" t="s">
        <v>107</v>
      </c>
    </row>
    <row r="11" customFormat="false" ht="30" hidden="false" customHeight="true" outlineLevel="0" collapsed="false">
      <c r="A11" s="10" t="s">
        <v>108</v>
      </c>
      <c r="B11" s="4" t="s">
        <v>109</v>
      </c>
      <c r="C11" s="4" t="s">
        <v>66</v>
      </c>
      <c r="D11" s="22" t="n">
        <v>27.7</v>
      </c>
      <c r="E11" s="22" t="n">
        <v>3.65</v>
      </c>
      <c r="F11" s="22" t="n">
        <v>9.32</v>
      </c>
      <c r="G11" s="4" t="s">
        <v>110</v>
      </c>
      <c r="H11" s="4" t="s">
        <v>96</v>
      </c>
      <c r="I11" s="4" t="s">
        <v>111</v>
      </c>
    </row>
    <row r="12" customFormat="false" ht="30" hidden="false" customHeight="true" outlineLevel="0" collapsed="false">
      <c r="A12" s="10" t="s">
        <v>112</v>
      </c>
      <c r="B12" s="4" t="s">
        <v>113</v>
      </c>
      <c r="C12" s="4" t="s">
        <v>68</v>
      </c>
      <c r="D12" s="20" t="n">
        <v>4</v>
      </c>
      <c r="E12" s="20" t="n">
        <v>3.3333</v>
      </c>
      <c r="F12" s="20" t="n">
        <v>2.3333</v>
      </c>
      <c r="G12" s="4" t="s">
        <v>90</v>
      </c>
      <c r="H12" s="4" t="s">
        <v>91</v>
      </c>
      <c r="I12" s="4" t="s">
        <v>114</v>
      </c>
    </row>
    <row r="13" customFormat="false" ht="30" hidden="false" customHeight="true" outlineLevel="0" collapsed="false">
      <c r="A13" s="10" t="s">
        <v>115</v>
      </c>
      <c r="B13" s="4" t="s">
        <v>116</v>
      </c>
      <c r="C13" s="4" t="s">
        <v>70</v>
      </c>
      <c r="D13" s="20" t="n">
        <v>2</v>
      </c>
      <c r="E13" s="20" t="n">
        <v>1.5</v>
      </c>
      <c r="F13" s="20" t="n">
        <v>4.5</v>
      </c>
      <c r="G13" s="4" t="s">
        <v>90</v>
      </c>
      <c r="H13" s="4" t="s">
        <v>91</v>
      </c>
      <c r="I13" s="4" t="s">
        <v>117</v>
      </c>
    </row>
    <row r="15" customFormat="false" ht="36" hidden="false" customHeight="true" outlineLevel="0" collapsed="false">
      <c r="A15" s="23" t="s">
        <v>118</v>
      </c>
      <c r="B15" s="23"/>
      <c r="C15" s="23"/>
      <c r="D15" s="23"/>
      <c r="E15" s="23"/>
      <c r="F15" s="23"/>
      <c r="G15" s="23"/>
      <c r="H15" s="23"/>
      <c r="I15" s="23"/>
    </row>
  </sheetData>
  <mergeCells count="1"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1"/>
    <col collapsed="false" customWidth="true" hidden="false" outlineLevel="0" max="5" min="3" style="0" width="17"/>
    <col collapsed="false" customWidth="true" hidden="false" outlineLevel="0" max="6" min="6" style="0" width="2"/>
    <col collapsed="false" customWidth="true" hidden="false" outlineLevel="0" max="7" min="7" style="0" width="110"/>
  </cols>
  <sheetData>
    <row r="1" customFormat="false" ht="17.3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4" customFormat="false" ht="30" hidden="false" customHeight="true" outlineLevel="0" collapsed="false">
      <c r="A4" s="5" t="s">
        <v>121</v>
      </c>
      <c r="B4" s="5" t="s">
        <v>122</v>
      </c>
      <c r="C4" s="24" t="s">
        <v>19</v>
      </c>
      <c r="D4" s="5" t="s">
        <v>20</v>
      </c>
      <c r="E4" s="5" t="s">
        <v>21</v>
      </c>
      <c r="F4" s="5"/>
      <c r="G4" s="5" t="s">
        <v>123</v>
      </c>
    </row>
    <row r="5" customFormat="false" ht="15" hidden="false" customHeight="false" outlineLevel="0" collapsed="false">
      <c r="A5" s="3" t="s">
        <v>124</v>
      </c>
      <c r="B5" s="12"/>
      <c r="C5" s="12"/>
      <c r="D5" s="12"/>
      <c r="E5" s="12"/>
    </row>
    <row r="6" customFormat="false" ht="15" hidden="false" customHeight="false" outlineLevel="0" collapsed="false">
      <c r="A6" s="4" t="s">
        <v>125</v>
      </c>
      <c r="B6" s="4" t="s">
        <v>126</v>
      </c>
      <c r="C6" s="25" t="n">
        <f aca="false">Inputs!D5</f>
        <v>68163346.58</v>
      </c>
      <c r="D6" s="25" t="n">
        <f aca="false">Inputs!E5</f>
        <v>75842616.73</v>
      </c>
      <c r="E6" s="25" t="n">
        <f aca="false">Inputs!F5</f>
        <v>148227391.96</v>
      </c>
    </row>
    <row r="7" customFormat="false" ht="23.85" hidden="false" customHeight="false" outlineLevel="0" collapsed="false">
      <c r="A7" s="4" t="s">
        <v>127</v>
      </c>
      <c r="B7" s="4" t="s">
        <v>126</v>
      </c>
      <c r="C7" s="6" t="n">
        <f aca="false">Inputs!D6</f>
        <v>5</v>
      </c>
      <c r="D7" s="6" t="n">
        <f aca="false">Inputs!E6</f>
        <v>5</v>
      </c>
      <c r="E7" s="6" t="n">
        <f aca="false">Inputs!F6</f>
        <v>2</v>
      </c>
    </row>
    <row r="8" customFormat="false" ht="23.85" hidden="false" customHeight="false" outlineLevel="0" collapsed="false">
      <c r="A8" s="4" t="s">
        <v>128</v>
      </c>
      <c r="B8" s="4" t="s">
        <v>126</v>
      </c>
      <c r="C8" s="26" t="n">
        <f aca="false">Inputs!D7</f>
        <v>2.54356</v>
      </c>
      <c r="D8" s="26" t="n">
        <f aca="false">Inputs!E7</f>
        <v>0.31725</v>
      </c>
      <c r="E8" s="26" t="n">
        <f aca="false">Inputs!F7</f>
        <v>0.71487</v>
      </c>
    </row>
    <row r="9" customFormat="false" ht="23.85" hidden="false" customHeight="false" outlineLevel="0" collapsed="false">
      <c r="A9" s="4" t="s">
        <v>129</v>
      </c>
      <c r="B9" s="4" t="s">
        <v>126</v>
      </c>
      <c r="C9" s="26" t="n">
        <f aca="false">Inputs!D8</f>
        <v>0.62124</v>
      </c>
      <c r="D9" s="26" t="n">
        <f aca="false">Inputs!E8</f>
        <v>0.97041</v>
      </c>
      <c r="E9" s="26" t="n">
        <f aca="false">Inputs!F8</f>
        <v>1</v>
      </c>
    </row>
    <row r="10" customFormat="false" ht="15" hidden="false" customHeight="false" outlineLevel="0" collapsed="false">
      <c r="A10" s="4" t="s">
        <v>130</v>
      </c>
      <c r="B10" s="4" t="s">
        <v>126</v>
      </c>
      <c r="C10" s="6" t="n">
        <f aca="false">Inputs!D9</f>
        <v>4</v>
      </c>
      <c r="D10" s="6" t="n">
        <f aca="false">Inputs!E9</f>
        <v>2</v>
      </c>
      <c r="E10" s="6" t="n">
        <f aca="false">Inputs!F9</f>
        <v>4</v>
      </c>
    </row>
    <row r="11" customFormat="false" ht="15" hidden="false" customHeight="false" outlineLevel="0" collapsed="false">
      <c r="A11" s="4" t="s">
        <v>131</v>
      </c>
      <c r="B11" s="4" t="s">
        <v>126</v>
      </c>
      <c r="C11" s="25" t="n">
        <f aca="false">Inputs!D10</f>
        <v>1864123.57</v>
      </c>
      <c r="D11" s="25" t="n">
        <f aca="false">Inputs!E10</f>
        <v>2149272.49</v>
      </c>
      <c r="E11" s="25" t="n">
        <f aca="false">Inputs!F10</f>
        <v>4178480.91</v>
      </c>
    </row>
    <row r="12" customFormat="false" ht="15" hidden="false" customHeight="false" outlineLevel="0" collapsed="false">
      <c r="A12" s="4" t="s">
        <v>132</v>
      </c>
      <c r="B12" s="4" t="s">
        <v>126</v>
      </c>
      <c r="C12" s="27" t="n">
        <f aca="false">Inputs!D11</f>
        <v>27.7</v>
      </c>
      <c r="D12" s="27" t="n">
        <f aca="false">Inputs!E11</f>
        <v>3.65</v>
      </c>
      <c r="E12" s="27" t="n">
        <f aca="false">Inputs!F11</f>
        <v>9.32</v>
      </c>
    </row>
    <row r="13" customFormat="false" ht="15" hidden="false" customHeight="false" outlineLevel="0" collapsed="false">
      <c r="A13" s="4" t="s">
        <v>133</v>
      </c>
      <c r="B13" s="4" t="s">
        <v>126</v>
      </c>
      <c r="C13" s="6" t="n">
        <f aca="false">Inputs!D12</f>
        <v>4</v>
      </c>
      <c r="D13" s="6" t="n">
        <f aca="false">Inputs!E12</f>
        <v>3.3333</v>
      </c>
      <c r="E13" s="6" t="n">
        <f aca="false">Inputs!F12</f>
        <v>2.3333</v>
      </c>
    </row>
    <row r="14" customFormat="false" ht="15" hidden="false" customHeight="false" outlineLevel="0" collapsed="false">
      <c r="A14" s="4" t="s">
        <v>134</v>
      </c>
      <c r="B14" s="4" t="s">
        <v>126</v>
      </c>
      <c r="C14" s="6" t="n">
        <f aca="false">Inputs!D13</f>
        <v>2</v>
      </c>
      <c r="D14" s="6" t="n">
        <f aca="false">Inputs!E13</f>
        <v>1.5</v>
      </c>
      <c r="E14" s="6" t="n">
        <f aca="false">Inputs!F13</f>
        <v>4.5</v>
      </c>
    </row>
    <row r="15" customFormat="false" ht="15" hidden="false" customHeight="false" outlineLevel="0" collapsed="false">
      <c r="A15" s="4" t="s">
        <v>135</v>
      </c>
      <c r="B15" s="4" t="s">
        <v>136</v>
      </c>
      <c r="C15" s="14" t="n">
        <f aca="false">Weights!$G$14</f>
        <v>0.5</v>
      </c>
    </row>
    <row r="16" customFormat="false" ht="15" hidden="false" customHeight="false" outlineLevel="0" collapsed="false">
      <c r="A16" s="4" t="s">
        <v>137</v>
      </c>
      <c r="B16" s="4" t="s">
        <v>136</v>
      </c>
      <c r="C16" s="14" t="n">
        <f aca="false">Weights!$G$15</f>
        <v>0.5</v>
      </c>
    </row>
    <row r="17" customFormat="false" ht="15" hidden="false" customHeight="false" outlineLevel="0" collapsed="false">
      <c r="A17" s="4" t="s">
        <v>138</v>
      </c>
      <c r="B17" s="4" t="s">
        <v>136</v>
      </c>
      <c r="C17" s="14" t="n">
        <f aca="false">Weights!$G$16</f>
        <v>0.5</v>
      </c>
    </row>
    <row r="18" customFormat="false" ht="91.5" hidden="false" customHeight="true" outlineLevel="0" collapsed="false">
      <c r="A18" s="10" t="s">
        <v>139</v>
      </c>
      <c r="B18" s="4" t="s">
        <v>90</v>
      </c>
      <c r="C18" s="28" t="n">
        <f aca="false">$C$15*(1+4*C6/MAX($C$6:$E$6))+(1-$C$15)*C7</f>
        <v>3.91971322815144</v>
      </c>
      <c r="D18" s="28" t="n">
        <f aca="false">$C$15*(1+4*D6/MAX($C$6:$E$6))+(1-$C$15)*D7</f>
        <v>4.02332795210303</v>
      </c>
      <c r="E18" s="28" t="n">
        <f aca="false">$C$15*(1+4*E6/MAX($C$6:$E$6))+(1-$C$15)*E7</f>
        <v>3.5</v>
      </c>
      <c r="G18" s="4" t="s">
        <v>140</v>
      </c>
    </row>
    <row r="19" customFormat="false" ht="91.5" hidden="false" customHeight="true" outlineLevel="0" collapsed="false">
      <c r="A19" s="10" t="s">
        <v>141</v>
      </c>
      <c r="B19" s="4" t="s">
        <v>90</v>
      </c>
      <c r="C19" s="28" t="n">
        <f aca="false">$C$16*(1+4*C8/MAX($C$8:$E$8))+(1-$C$16)*(1+4*MIN($C$9:$E$9)/C9)</f>
        <v>5</v>
      </c>
      <c r="D19" s="28" t="n">
        <f aca="false">$C$16*(1+4*D8/MAX($C$8:$E$8))+(1-$C$16)*(1+4*MIN($C$9:$E$9)/D9)</f>
        <v>2.52981955268848</v>
      </c>
      <c r="E19" s="28" t="n">
        <f aca="false">$C$16*(1+4*E8/MAX($C$8:$E$8))+(1-$C$16)*(1+4*MIN($C$9:$E$9)/E9)</f>
        <v>2.80458193586941</v>
      </c>
      <c r="G19" s="4" t="s">
        <v>142</v>
      </c>
    </row>
    <row r="20" customFormat="false" ht="91.5" hidden="false" customHeight="true" outlineLevel="0" collapsed="false">
      <c r="A20" s="10" t="s">
        <v>143</v>
      </c>
      <c r="B20" s="4" t="s">
        <v>90</v>
      </c>
      <c r="C20" s="28" t="n">
        <f aca="false">C10</f>
        <v>4</v>
      </c>
      <c r="D20" s="28" t="n">
        <f aca="false">D10</f>
        <v>2</v>
      </c>
      <c r="E20" s="28" t="n">
        <f aca="false">E10</f>
        <v>4</v>
      </c>
      <c r="G20" s="4" t="s">
        <v>144</v>
      </c>
    </row>
    <row r="21" customFormat="false" ht="91.5" hidden="false" customHeight="true" outlineLevel="0" collapsed="false">
      <c r="A21" s="10" t="s">
        <v>145</v>
      </c>
      <c r="B21" s="4" t="s">
        <v>90</v>
      </c>
      <c r="C21" s="28" t="n">
        <f aca="false">$C$17*(1+4*C11/MAX($C$11:$E$11))+(1-$C$17)*(1+4*C12/MAX($C$12:$E$12))</f>
        <v>3.89224941319643</v>
      </c>
      <c r="D21" s="28" t="n">
        <f aca="false">$C$17*(1+4*D11/MAX($C$11:$E$11))+(1-$C$17)*(1+4*D12/MAX($C$12:$E$12))</f>
        <v>2.29227181029663</v>
      </c>
      <c r="E21" s="28" t="n">
        <f aca="false">$C$17*(1+4*E11/MAX($C$11:$E$11))+(1-$C$17)*(1+4*E12/MAX($C$12:$E$12))</f>
        <v>3.67292418772563</v>
      </c>
      <c r="G21" s="4" t="s">
        <v>146</v>
      </c>
    </row>
    <row r="22" customFormat="false" ht="91.5" hidden="false" customHeight="true" outlineLevel="0" collapsed="false">
      <c r="A22" s="10" t="s">
        <v>147</v>
      </c>
      <c r="B22" s="4" t="s">
        <v>90</v>
      </c>
      <c r="C22" s="28" t="n">
        <f aca="false">C13</f>
        <v>4</v>
      </c>
      <c r="D22" s="28" t="n">
        <f aca="false">D13</f>
        <v>3.3333</v>
      </c>
      <c r="E22" s="28" t="n">
        <f aca="false">E13</f>
        <v>2.3333</v>
      </c>
      <c r="G22" s="4" t="s">
        <v>148</v>
      </c>
    </row>
    <row r="23" customFormat="false" ht="91.5" hidden="false" customHeight="true" outlineLevel="0" collapsed="false">
      <c r="A23" s="10" t="s">
        <v>149</v>
      </c>
      <c r="B23" s="4" t="s">
        <v>90</v>
      </c>
      <c r="C23" s="28" t="n">
        <f aca="false">C14</f>
        <v>2</v>
      </c>
      <c r="D23" s="28" t="n">
        <f aca="false">D14</f>
        <v>1.5</v>
      </c>
      <c r="E23" s="28" t="n">
        <f aca="false">E14</f>
        <v>4.5</v>
      </c>
      <c r="G23" s="4" t="s">
        <v>150</v>
      </c>
    </row>
    <row r="24" customFormat="false" ht="15" hidden="false" customHeight="false" outlineLevel="0" collapsed="false">
      <c r="A24" s="7" t="s">
        <v>151</v>
      </c>
      <c r="B24" s="9" t="s">
        <v>90</v>
      </c>
      <c r="C24" s="29" t="n">
        <f aca="false">SUMPRODUCT(Weights!$B$5:$B$10,C18:C23)</f>
        <v>3.96778005760975</v>
      </c>
      <c r="D24" s="29" t="n">
        <f aca="false">SUMPRODUCT(Weights!$B$5:$B$10,D18:D23)</f>
        <v>2.7044652725028</v>
      </c>
      <c r="E24" s="29" t="n">
        <f aca="false">SUMPRODUCT(Weights!$B$5:$B$10,E18:E23)</f>
        <v>3.41185001533273</v>
      </c>
    </row>
    <row r="25" customFormat="false" ht="15" hidden="false" customHeight="false" outlineLevel="0" collapsed="false">
      <c r="A25" s="10" t="s">
        <v>31</v>
      </c>
      <c r="C25" s="30" t="n">
        <f aca="false">RANK(C24,$C$24:$E$24)</f>
        <v>1</v>
      </c>
      <c r="D25" s="30" t="n">
        <f aca="false">RANK(D24,$C$24:$E$24)</f>
        <v>3</v>
      </c>
      <c r="E25" s="30" t="n">
        <f aca="false">RANK(E24,$C$24:$E$24)</f>
        <v>2</v>
      </c>
    </row>
    <row r="26" customFormat="false" ht="23.85" hidden="false" customHeight="false" outlineLevel="0" collapsed="false">
      <c r="A26" s="10" t="s">
        <v>152</v>
      </c>
      <c r="C26" s="30" t="str">
        <f aca="false">INDEX($C$4:$E$4,MATCH(MAX(C24:E24),C24:E24,0))</f>
        <v>A. Industrial Distribution</v>
      </c>
      <c r="D26" s="28" t="n">
        <f aca="false">MAX(C24:E24)-LARGE(C24:E24,2)</f>
        <v>0.555930042277025</v>
      </c>
      <c r="E26" s="4"/>
    </row>
    <row r="28" customFormat="false" ht="15" hidden="false" customHeight="false" outlineLevel="0" collapsed="false">
      <c r="A28" s="3" t="s">
        <v>153</v>
      </c>
      <c r="B28" s="12"/>
      <c r="C28" s="12"/>
      <c r="D28" s="12"/>
      <c r="E28" s="12"/>
    </row>
    <row r="29" customFormat="false" ht="15" hidden="false" customHeight="false" outlineLevel="0" collapsed="false">
      <c r="A29" s="4" t="s">
        <v>60</v>
      </c>
      <c r="B29" s="14" t="n">
        <f aca="false">Weights!$B$5</f>
        <v>0.2</v>
      </c>
      <c r="C29" s="28" t="n">
        <f aca="false">$B29*C18</f>
        <v>0.783942645630288</v>
      </c>
      <c r="D29" s="28" t="n">
        <f aca="false">$B29*D18</f>
        <v>0.804665590420606</v>
      </c>
      <c r="E29" s="28" t="n">
        <f aca="false">$B29*E18</f>
        <v>0.7</v>
      </c>
    </row>
    <row r="30" customFormat="false" ht="15" hidden="false" customHeight="false" outlineLevel="0" collapsed="false">
      <c r="A30" s="4" t="s">
        <v>62</v>
      </c>
      <c r="B30" s="14" t="n">
        <f aca="false">Weights!$B$6</f>
        <v>0.2</v>
      </c>
      <c r="C30" s="28" t="n">
        <f aca="false">$B30*C19</f>
        <v>1</v>
      </c>
      <c r="D30" s="28" t="n">
        <f aca="false">$B30*D19</f>
        <v>0.505963910537695</v>
      </c>
      <c r="E30" s="28" t="n">
        <f aca="false">$B30*E19</f>
        <v>0.560916387173882</v>
      </c>
    </row>
    <row r="31" customFormat="false" ht="15" hidden="false" customHeight="false" outlineLevel="0" collapsed="false">
      <c r="A31" s="4" t="s">
        <v>64</v>
      </c>
      <c r="B31" s="14" t="n">
        <f aca="false">Weights!$B$7</f>
        <v>0.2</v>
      </c>
      <c r="C31" s="28" t="n">
        <f aca="false">$B31*C20</f>
        <v>0.8</v>
      </c>
      <c r="D31" s="28" t="n">
        <f aca="false">$B31*D20</f>
        <v>0.4</v>
      </c>
      <c r="E31" s="28" t="n">
        <f aca="false">$B31*E20</f>
        <v>0.8</v>
      </c>
    </row>
    <row r="32" customFormat="false" ht="15" hidden="false" customHeight="false" outlineLevel="0" collapsed="false">
      <c r="A32" s="4" t="s">
        <v>66</v>
      </c>
      <c r="B32" s="14" t="n">
        <f aca="false">Weights!$B$8</f>
        <v>0.15</v>
      </c>
      <c r="C32" s="28" t="n">
        <f aca="false">$B32*C21</f>
        <v>0.583837411979465</v>
      </c>
      <c r="D32" s="28" t="n">
        <f aca="false">$B32*D21</f>
        <v>0.343840771544494</v>
      </c>
      <c r="E32" s="28" t="n">
        <f aca="false">$B32*E21</f>
        <v>0.550938628158845</v>
      </c>
    </row>
    <row r="33" customFormat="false" ht="15" hidden="false" customHeight="false" outlineLevel="0" collapsed="false">
      <c r="A33" s="4" t="s">
        <v>68</v>
      </c>
      <c r="B33" s="14" t="n">
        <f aca="false">Weights!$B$9</f>
        <v>0.15</v>
      </c>
      <c r="C33" s="28" t="n">
        <f aca="false">$B33*C22</f>
        <v>0.6</v>
      </c>
      <c r="D33" s="28" t="n">
        <f aca="false">$B33*D22</f>
        <v>0.499995</v>
      </c>
      <c r="E33" s="28" t="n">
        <f aca="false">$B33*E22</f>
        <v>0.349995</v>
      </c>
    </row>
    <row r="34" customFormat="false" ht="15" hidden="false" customHeight="false" outlineLevel="0" collapsed="false">
      <c r="A34" s="4" t="s">
        <v>70</v>
      </c>
      <c r="B34" s="14" t="n">
        <f aca="false">Weights!$B$10</f>
        <v>0.1</v>
      </c>
      <c r="C34" s="28" t="n">
        <f aca="false">$B34*C23</f>
        <v>0.2</v>
      </c>
      <c r="D34" s="28" t="n">
        <f aca="false">$B34*D23</f>
        <v>0.15</v>
      </c>
      <c r="E34" s="28" t="n">
        <f aca="false">$B34*E23</f>
        <v>0.45</v>
      </c>
    </row>
    <row r="35" customFormat="false" ht="15" hidden="false" customHeight="false" outlineLevel="0" collapsed="false">
      <c r="A35" s="10" t="s">
        <v>154</v>
      </c>
      <c r="C35" s="31" t="n">
        <f aca="false">SUM(C29:C34)</f>
        <v>3.96778005760975</v>
      </c>
      <c r="D35" s="31" t="n">
        <f aca="false">SUM(D29:D34)</f>
        <v>2.7044652725028</v>
      </c>
      <c r="E35" s="31" t="n">
        <f aca="false">SUM(E29:E34)</f>
        <v>3.41185001533273</v>
      </c>
    </row>
    <row r="36" customFormat="false" ht="15" hidden="false" customHeight="false" outlineLevel="0" collapsed="false">
      <c r="A36" s="4" t="s">
        <v>155</v>
      </c>
      <c r="C36" s="32" t="n">
        <f aca="false">ROUND(SUM(C35:E35)-SUM(C24:E24),6)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7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4" customFormat="false" ht="30" hidden="false" customHeight="true" outlineLevel="0" collapsed="false">
      <c r="A4" s="5" t="s">
        <v>158</v>
      </c>
      <c r="B4" s="5" t="s">
        <v>19</v>
      </c>
      <c r="C4" s="5" t="s">
        <v>20</v>
      </c>
      <c r="D4" s="5" t="s">
        <v>21</v>
      </c>
      <c r="E4" s="5" t="s">
        <v>159</v>
      </c>
      <c r="F4" s="5" t="s">
        <v>160</v>
      </c>
      <c r="G4" s="5" t="s">
        <v>161</v>
      </c>
    </row>
    <row r="5" customFormat="false" ht="23.85" hidden="false" customHeight="false" outlineLevel="0" collapsed="false">
      <c r="A5" s="10" t="s">
        <v>53</v>
      </c>
      <c r="B5" s="28" t="n">
        <f aca="false">SUMPRODUCT(Weights!$B$5:$B$10,Scorecard!C$18:C$23)</f>
        <v>3.96778005760975</v>
      </c>
      <c r="C5" s="28" t="n">
        <f aca="false">SUMPRODUCT(Weights!$B$5:$B$10,Scorecard!D$18:D$23)</f>
        <v>2.7044652725028</v>
      </c>
      <c r="D5" s="28" t="n">
        <f aca="false">SUMPRODUCT(Weights!$B$5:$B$10,Scorecard!E$18:E$23)</f>
        <v>3.41185001533273</v>
      </c>
      <c r="E5" s="30" t="str">
        <f aca="false">INDEX($B$4:$D$4,MATCH(MAX(B5:D5),B5:D5,0))</f>
        <v>A. Industrial Distribution</v>
      </c>
      <c r="F5" s="28" t="n">
        <f aca="false">MAX(B5:D5)-LARGE(B5:D5,2)</f>
        <v>0.555930042277025</v>
      </c>
      <c r="G5" s="4" t="str">
        <f aca="false">INDEX($B$4:$D$4,MATCH(LARGE(B5:D5,1),B5:D5,0))&amp;"  &gt;  "&amp;INDEX($B$4:$D$4,MATCH(LARGE(B5:D5,2),B5:D5,0))&amp;"  &gt;  "&amp;INDEX($B$4:$D$4,MATCH(LARGE(B5:D5,3),B5:D5,0))</f>
        <v>A. Industrial Distribution  &gt;  C. B2B Prof. Services  &gt;  B. Industrial Manufacturing</v>
      </c>
    </row>
    <row r="6" customFormat="false" ht="23.85" hidden="false" customHeight="false" outlineLevel="0" collapsed="false">
      <c r="A6" s="10" t="s">
        <v>54</v>
      </c>
      <c r="B6" s="28" t="n">
        <f aca="false">SUMPRODUCT(Weights!$C$5:$C$10,Scorecard!C$18:C$23)</f>
        <v>3.80199377355798</v>
      </c>
      <c r="C6" s="28" t="n">
        <f aca="false">SUMPRODUCT(Weights!$C$5:$C$10,Scorecard!D$18:D$23)</f>
        <v>2.61311988584802</v>
      </c>
      <c r="D6" s="28" t="n">
        <f aca="false">SUMPRODUCT(Weights!$C$5:$C$10,Scorecard!E$18:E$23)</f>
        <v>3.46846768726584</v>
      </c>
      <c r="E6" s="30" t="str">
        <f aca="false">INDEX($B$4:$D$4,MATCH(MAX(B6:D6),B6:D6,0))</f>
        <v>A. Industrial Distribution</v>
      </c>
      <c r="F6" s="28" t="n">
        <f aca="false">MAX(B6:D6)-LARGE(B6:D6,2)</f>
        <v>0.333526086292138</v>
      </c>
      <c r="G6" s="4" t="str">
        <f aca="false">INDEX($B$4:$D$4,MATCH(LARGE(B6:D6,1),B6:D6,0))&amp;"  &gt;  "&amp;INDEX($B$4:$D$4,MATCH(LARGE(B6:D6,2),B6:D6,0))&amp;"  &gt;  "&amp;INDEX($B$4:$D$4,MATCH(LARGE(B6:D6,3),B6:D6,0))</f>
        <v>A. Industrial Distribution  &gt;  C. B2B Prof. Services  &gt;  B. Industrial Manufacturing</v>
      </c>
    </row>
    <row r="7" customFormat="false" ht="23.85" hidden="false" customHeight="false" outlineLevel="0" collapsed="false">
      <c r="A7" s="10" t="s">
        <v>55</v>
      </c>
      <c r="B7" s="28" t="n">
        <f aca="false">SUMPRODUCT(Weights!$D$5:$D$10,Scorecard!C$18:C$23)</f>
        <v>3.99897632174454</v>
      </c>
      <c r="C7" s="28" t="n">
        <f aca="false">SUMPRODUCT(Weights!$D$5:$D$10,Scorecard!D$18:D$23)</f>
        <v>2.86786927110834</v>
      </c>
      <c r="D7" s="28" t="n">
        <f aca="false">SUMPRODUCT(Weights!$D$5:$D$10,Scorecard!E$18:E$23)</f>
        <v>3.44724833731182</v>
      </c>
      <c r="E7" s="30" t="str">
        <f aca="false">INDEX($B$4:$D$4,MATCH(MAX(B7:D7),B7:D7,0))</f>
        <v>A. Industrial Distribution</v>
      </c>
      <c r="F7" s="28" t="n">
        <f aca="false">MAX(B7:D7)-LARGE(B7:D7,2)</f>
        <v>0.55172798443272</v>
      </c>
      <c r="G7" s="4" t="str">
        <f aca="false">INDEX($B$4:$D$4,MATCH(LARGE(B7:D7,1),B7:D7,0))&amp;"  &gt;  "&amp;INDEX($B$4:$D$4,MATCH(LARGE(B7:D7,2),B7:D7,0))&amp;"  &gt;  "&amp;INDEX($B$4:$D$4,MATCH(LARGE(B7:D7,3),B7:D7,0))</f>
        <v>A. Industrial Distribution  &gt;  C. B2B Prof. Services  &gt;  B. Industrial Manufacturing</v>
      </c>
    </row>
    <row r="8" customFormat="false" ht="23.85" hidden="false" customHeight="false" outlineLevel="0" collapsed="false">
      <c r="A8" s="10" t="s">
        <v>56</v>
      </c>
      <c r="B8" s="28" t="n">
        <f aca="false">SUMPRODUCT(Weights!$E$5:$E$10,Scorecard!C$18:C$23)</f>
        <v>3.52718192554236</v>
      </c>
      <c r="C8" s="28" t="n">
        <f aca="false">SUMPRODUCT(Weights!$E$5:$E$10,Scorecard!D$18:D$23)</f>
        <v>2.39552930674839</v>
      </c>
      <c r="D8" s="28" t="n">
        <f aca="false">SUMPRODUCT(Weights!$E$5:$E$10,Scorecard!E$18:E$23)</f>
        <v>3.69630970915298</v>
      </c>
      <c r="E8" s="30" t="str">
        <f aca="false">INDEX($B$4:$D$4,MATCH(MAX(B8:D8),B8:D8,0))</f>
        <v>C. B2B Prof. Services</v>
      </c>
      <c r="F8" s="28" t="n">
        <f aca="false">MAX(B8:D8)-LARGE(B8:D8,2)</f>
        <v>0.169127783610616</v>
      </c>
      <c r="G8" s="4" t="str">
        <f aca="false">INDEX($B$4:$D$4,MATCH(LARGE(B8:D8,1),B8:D8,0))&amp;"  &gt;  "&amp;INDEX($B$4:$D$4,MATCH(LARGE(B8:D8,2),B8:D8,0))&amp;"  &gt;  "&amp;INDEX($B$4:$D$4,MATCH(LARGE(B8:D8,3),B8:D8,0))</f>
        <v>C. B2B Prof. Services  &gt;  A. Industrial Distribution  &gt;  B. Industrial Manufacturing</v>
      </c>
    </row>
    <row r="9" customFormat="false" ht="23.85" hidden="false" customHeight="false" outlineLevel="0" collapsed="false">
      <c r="A9" s="10" t="s">
        <v>57</v>
      </c>
      <c r="B9" s="28" t="n">
        <f aca="false">SUMPRODUCT(Weights!$F$5:$F$10,Scorecard!C$18:C$23)</f>
        <v>3.97718192554236</v>
      </c>
      <c r="C9" s="28" t="n">
        <f aca="false">SUMPRODUCT(Weights!$F$5:$F$10,Scorecard!D$18:D$23)</f>
        <v>2.78868028438281</v>
      </c>
      <c r="D9" s="28" t="n">
        <f aca="false">SUMPRODUCT(Weights!$F$5:$F$10,Scorecard!E$18:E$23)</f>
        <v>3.20319880594645</v>
      </c>
      <c r="E9" s="30" t="str">
        <f aca="false">INDEX($B$4:$D$4,MATCH(MAX(B9:D9),B9:D9,0))</f>
        <v>A. Industrial Distribution</v>
      </c>
      <c r="F9" s="28" t="n">
        <f aca="false">MAX(B9:D9)-LARGE(B9:D9,2)</f>
        <v>0.773983119595914</v>
      </c>
      <c r="G9" s="4" t="str">
        <f aca="false">INDEX($B$4:$D$4,MATCH(LARGE(B9:D9,1),B9:D9,0))&amp;"  &gt;  "&amp;INDEX($B$4:$D$4,MATCH(LARGE(B9:D9,2),B9:D9,0))&amp;"  &gt;  "&amp;INDEX($B$4:$D$4,MATCH(LARGE(B9:D9,3),B9:D9,0))</f>
        <v>A. Industrial Distribution  &gt;  C. B2B Prof. Services  &gt;  B. Industrial Manufacturing</v>
      </c>
    </row>
    <row r="10" customFormat="false" ht="23.85" hidden="false" customHeight="false" outlineLevel="0" collapsed="false">
      <c r="A10" s="10" t="s">
        <v>58</v>
      </c>
      <c r="B10" s="28" t="n">
        <f aca="false">SUMPRODUCT(Weights!$G$5:$G$10,Scorecard!C$18:C$23)</f>
        <v>3.75563180818165</v>
      </c>
      <c r="C10" s="28" t="n">
        <f aca="false">SUMPRODUCT(Weights!$G$5:$G$10,Scorecard!D$18:D$23)</f>
        <v>2.50249269117329</v>
      </c>
      <c r="D10" s="28" t="n">
        <f aca="false">SUMPRODUCT(Weights!$G$5:$G$10,Scorecard!E$18:E$23)</f>
        <v>3.61566544990463</v>
      </c>
      <c r="E10" s="30" t="str">
        <f aca="false">INDEX($B$4:$D$4,MATCH(MAX(B10:D10),B10:D10,0))</f>
        <v>A. Industrial Distribution</v>
      </c>
      <c r="F10" s="28" t="n">
        <f aca="false">MAX(B10:D10)-LARGE(B10:D10,2)</f>
        <v>0.139966358277015</v>
      </c>
      <c r="G10" s="4" t="str">
        <f aca="false">INDEX($B$4:$D$4,MATCH(LARGE(B10:D10,1),B10:D10,0))&amp;"  &gt;  "&amp;INDEX($B$4:$D$4,MATCH(LARGE(B10:D10,2),B10:D10,0))&amp;"  &gt;  "&amp;INDEX($B$4:$D$4,MATCH(LARGE(B10:D10,3),B10:D10,0))</f>
        <v>A. Industrial Distribution  &gt;  C. B2B Prof. Services  &gt;  B. Industrial Manufacturing</v>
      </c>
    </row>
    <row r="13" customFormat="false" ht="15" hidden="false" customHeight="true" outlineLevel="0" collapsed="false">
      <c r="A13" s="33" t="s">
        <v>162</v>
      </c>
      <c r="B13" s="33"/>
      <c r="C13" s="33"/>
      <c r="D13" s="33"/>
      <c r="E13" s="33"/>
      <c r="F13" s="33"/>
      <c r="G13" s="33"/>
    </row>
    <row r="14" customFormat="false" ht="30" hidden="false" customHeight="true" outlineLevel="0" collapsed="false">
      <c r="A14" s="5" t="s">
        <v>52</v>
      </c>
      <c r="B14" s="5" t="s">
        <v>163</v>
      </c>
      <c r="C14" s="5" t="s">
        <v>164</v>
      </c>
      <c r="D14" s="5" t="s">
        <v>165</v>
      </c>
      <c r="E14" s="5" t="s">
        <v>166</v>
      </c>
      <c r="F14" s="5" t="s">
        <v>167</v>
      </c>
      <c r="G14" s="5" t="s">
        <v>168</v>
      </c>
    </row>
    <row r="15" customFormat="false" ht="15" hidden="false" customHeight="false" outlineLevel="0" collapsed="false">
      <c r="A15" s="10" t="s">
        <v>60</v>
      </c>
      <c r="B15" s="14" t="n">
        <f aca="false">Weights!$B$5</f>
        <v>0.2</v>
      </c>
      <c r="C15" s="28" t="n">
        <f aca="false">Scorecard!C18-Scorecard!E18</f>
        <v>0.419713228151437</v>
      </c>
      <c r="D15" s="28" t="n">
        <f aca="false">(SUMPRODUCT(Weights!$B$5:$B$10,Scorecard!$C$18:$C$23)-SUMPRODUCT(Weights!$B$5:$B$10,Scorecard!$E$18:$E$23)-B15*C15)/(1-B15)</f>
        <v>0.589984245808422</v>
      </c>
      <c r="E15" s="34" t="str">
        <f aca="false">IF(AND(D15&gt;0,C15&lt;0),D15/(D15-C15),"No flip")</f>
        <v>No flip</v>
      </c>
      <c r="F15" s="35" t="n">
        <f aca="false">IF(AND(((SUMPRODUCT(Weights!$B$5:$B$10,Scorecard!$C$18:$C$23)-SUMPRODUCT(Weights!$B$5:$B$10,Scorecard!$D$18:$D$23)-B15*(Scorecard!C18-Scorecard!D18))/(1-B15))&gt;0,(Scorecard!C18-Scorecard!D18)&lt;0),((SUMPRODUCT(Weights!$B$5:$B$10,Scorecard!$C$18:$C$23)-SUMPRODUCT(Weights!$B$5:$B$10,Scorecard!$D$18:$D$23)-B15*(Scorecard!C18-Scorecard!D18))/(1-B15))/(((SUMPRODUCT(Weights!$B$5:$B$10,Scorecard!$C$18:$C$23)-SUMPRODUCT(Weights!$B$5:$B$10,Scorecard!$D$18:$D$23)-B15*(Scorecard!C18-Scorecard!D18))/(1-B15))-(Scorecard!C18-Scorecard!D18)),"No flip")</f>
        <v>0.939359141336875</v>
      </c>
      <c r="G15" s="4" t="str">
        <f aca="false">IF(ISNUMBER(E15),"C overtakes A if this weight exceeds "&amp;TEXT(E15,"0%")&amp;" (base "&amp;TEXT(B15,"0%")&amp;")","A stays ahead of C at any weight on this criterion")</f>
        <v>A stays ahead of C at any weight on this criterion</v>
      </c>
    </row>
    <row r="16" customFormat="false" ht="15" hidden="false" customHeight="false" outlineLevel="0" collapsed="false">
      <c r="A16" s="10" t="s">
        <v>62</v>
      </c>
      <c r="B16" s="14" t="n">
        <f aca="false">Weights!$B$6</f>
        <v>0.2</v>
      </c>
      <c r="C16" s="28" t="n">
        <f aca="false">Scorecard!C19-Scorecard!E19</f>
        <v>2.19541806413059</v>
      </c>
      <c r="D16" s="28" t="n">
        <f aca="false">(SUMPRODUCT(Weights!$B$5:$B$10,Scorecard!$C$18:$C$23)-SUMPRODUCT(Weights!$B$5:$B$10,Scorecard!$E$18:$E$23)-B16*C16)/(1-B16)</f>
        <v>0.146058036813634</v>
      </c>
      <c r="E16" s="34" t="str">
        <f aca="false">IF(AND(D16&gt;0,C16&lt;0),D16/(D16-C16),"No flip")</f>
        <v>No flip</v>
      </c>
      <c r="F16" s="35" t="str">
        <f aca="false">IF(AND(((SUMPRODUCT(Weights!$B$5:$B$10,Scorecard!$C$18:$C$23)-SUMPRODUCT(Weights!$B$5:$B$10,Scorecard!$D$18:$D$23)-B16*(Scorecard!C19-Scorecard!D19))/(1-B16))&gt;0,(Scorecard!C19-Scorecard!D19)&lt;0),((SUMPRODUCT(Weights!$B$5:$B$10,Scorecard!$C$18:$C$23)-SUMPRODUCT(Weights!$B$5:$B$10,Scorecard!$D$18:$D$23)-B16*(Scorecard!C19-Scorecard!D19))/(1-B16))/(((SUMPRODUCT(Weights!$B$5:$B$10,Scorecard!$C$18:$C$23)-SUMPRODUCT(Weights!$B$5:$B$10,Scorecard!$D$18:$D$23)-B16*(Scorecard!C19-Scorecard!D19))/(1-B16))-(Scorecard!C19-Scorecard!D19)),"No flip")</f>
        <v>No flip</v>
      </c>
      <c r="G16" s="4" t="str">
        <f aca="false">IF(ISNUMBER(E16),"C overtakes A if this weight exceeds "&amp;TEXT(E16,"0%")&amp;" (base "&amp;TEXT(B16,"0%")&amp;")","A stays ahead of C at any weight on this criterion")</f>
        <v>A stays ahead of C at any weight on this criterion</v>
      </c>
    </row>
    <row r="17" customFormat="false" ht="15" hidden="false" customHeight="false" outlineLevel="0" collapsed="false">
      <c r="A17" s="10" t="s">
        <v>64</v>
      </c>
      <c r="B17" s="14" t="n">
        <f aca="false">Weights!$B$7</f>
        <v>0.2</v>
      </c>
      <c r="C17" s="28" t="n">
        <f aca="false">Scorecard!C20-Scorecard!E20</f>
        <v>0</v>
      </c>
      <c r="D17" s="28" t="n">
        <f aca="false">(SUMPRODUCT(Weights!$B$5:$B$10,Scorecard!$C$18:$C$23)-SUMPRODUCT(Weights!$B$5:$B$10,Scorecard!$E$18:$E$23)-B17*C17)/(1-B17)</f>
        <v>0.694912552846281</v>
      </c>
      <c r="E17" s="34" t="str">
        <f aca="false">IF(AND(D17&gt;0,C17&lt;0),D17/(D17-C17),"No flip")</f>
        <v>No flip</v>
      </c>
      <c r="F17" s="35" t="str">
        <f aca="false">IF(AND(((SUMPRODUCT(Weights!$B$5:$B$10,Scorecard!$C$18:$C$23)-SUMPRODUCT(Weights!$B$5:$B$10,Scorecard!$D$18:$D$23)-B17*(Scorecard!C20-Scorecard!D20))/(1-B17))&gt;0,(Scorecard!C20-Scorecard!D20)&lt;0),((SUMPRODUCT(Weights!$B$5:$B$10,Scorecard!$C$18:$C$23)-SUMPRODUCT(Weights!$B$5:$B$10,Scorecard!$D$18:$D$23)-B17*(Scorecard!C20-Scorecard!D20))/(1-B17))/(((SUMPRODUCT(Weights!$B$5:$B$10,Scorecard!$C$18:$C$23)-SUMPRODUCT(Weights!$B$5:$B$10,Scorecard!$D$18:$D$23)-B17*(Scorecard!C20-Scorecard!D20))/(1-B17))-(Scorecard!C20-Scorecard!D20)),"No flip")</f>
        <v>No flip</v>
      </c>
      <c r="G17" s="4" t="str">
        <f aca="false">IF(ISNUMBER(E17),"C overtakes A if this weight exceeds "&amp;TEXT(E17,"0%")&amp;" (base "&amp;TEXT(B17,"0%")&amp;")","A stays ahead of C at any weight on this criterion")</f>
        <v>A stays ahead of C at any weight on this criterion</v>
      </c>
    </row>
    <row r="18" customFormat="false" ht="15" hidden="false" customHeight="false" outlineLevel="0" collapsed="false">
      <c r="A18" s="10" t="s">
        <v>66</v>
      </c>
      <c r="B18" s="14" t="n">
        <f aca="false">Weights!$B$8</f>
        <v>0.15</v>
      </c>
      <c r="C18" s="28" t="n">
        <f aca="false">Scorecard!C21-Scorecard!E21</f>
        <v>0.219325225470802</v>
      </c>
      <c r="D18" s="28" t="n">
        <f aca="false">(SUMPRODUCT(Weights!$B$5:$B$10,Scorecard!$C$18:$C$23)-SUMPRODUCT(Weights!$B$5:$B$10,Scorecard!$E$18:$E$23)-B18*C18)/(1-B18)</f>
        <v>0.615330892301653</v>
      </c>
      <c r="E18" s="34" t="str">
        <f aca="false">IF(AND(D18&gt;0,C18&lt;0),D18/(D18-C18),"No flip")</f>
        <v>No flip</v>
      </c>
      <c r="F18" s="35" t="str">
        <f aca="false">IF(AND(((SUMPRODUCT(Weights!$B$5:$B$10,Scorecard!$C$18:$C$23)-SUMPRODUCT(Weights!$B$5:$B$10,Scorecard!$D$18:$D$23)-B18*(Scorecard!C21-Scorecard!D21))/(1-B18))&gt;0,(Scorecard!C21-Scorecard!D21)&lt;0),((SUMPRODUCT(Weights!$B$5:$B$10,Scorecard!$C$18:$C$23)-SUMPRODUCT(Weights!$B$5:$B$10,Scorecard!$D$18:$D$23)-B18*(Scorecard!C21-Scorecard!D21))/(1-B18))/(((SUMPRODUCT(Weights!$B$5:$B$10,Scorecard!$C$18:$C$23)-SUMPRODUCT(Weights!$B$5:$B$10,Scorecard!$D$18:$D$23)-B18*(Scorecard!C21-Scorecard!D21))/(1-B18))-(Scorecard!C21-Scorecard!D21)),"No flip")</f>
        <v>No flip</v>
      </c>
      <c r="G18" s="4" t="str">
        <f aca="false">IF(ISNUMBER(E18),"C overtakes A if this weight exceeds "&amp;TEXT(E18,"0%")&amp;" (base "&amp;TEXT(B18,"0%")&amp;")","A stays ahead of C at any weight on this criterion")</f>
        <v>A stays ahead of C at any weight on this criterion</v>
      </c>
    </row>
    <row r="19" customFormat="false" ht="15" hidden="false" customHeight="false" outlineLevel="0" collapsed="false">
      <c r="A19" s="10" t="s">
        <v>68</v>
      </c>
      <c r="B19" s="14" t="n">
        <f aca="false">Weights!$B$9</f>
        <v>0.15</v>
      </c>
      <c r="C19" s="28" t="n">
        <f aca="false">Scorecard!C22-Scorecard!E22</f>
        <v>1.6667</v>
      </c>
      <c r="D19" s="28" t="n">
        <f aca="false">(SUMPRODUCT(Weights!$B$5:$B$10,Scorecard!$C$18:$C$23)-SUMPRODUCT(Weights!$B$5:$B$10,Scorecard!$E$18:$E$23)-B19*C19)/(1-B19)</f>
        <v>0.359911814443559</v>
      </c>
      <c r="E19" s="34" t="str">
        <f aca="false">IF(AND(D19&gt;0,C19&lt;0),D19/(D19-C19),"No flip")</f>
        <v>No flip</v>
      </c>
      <c r="F19" s="35" t="str">
        <f aca="false">IF(AND(((SUMPRODUCT(Weights!$B$5:$B$10,Scorecard!$C$18:$C$23)-SUMPRODUCT(Weights!$B$5:$B$10,Scorecard!$D$18:$D$23)-B19*(Scorecard!C22-Scorecard!D22))/(1-B19))&gt;0,(Scorecard!C22-Scorecard!D22)&lt;0),((SUMPRODUCT(Weights!$B$5:$B$10,Scorecard!$C$18:$C$23)-SUMPRODUCT(Weights!$B$5:$B$10,Scorecard!$D$18:$D$23)-B19*(Scorecard!C22-Scorecard!D22))/(1-B19))/(((SUMPRODUCT(Weights!$B$5:$B$10,Scorecard!$C$18:$C$23)-SUMPRODUCT(Weights!$B$5:$B$10,Scorecard!$D$18:$D$23)-B19*(Scorecard!C22-Scorecard!D22))/(1-B19))-(Scorecard!C22-Scorecard!D22)),"No flip")</f>
        <v>No flip</v>
      </c>
      <c r="G19" s="4" t="str">
        <f aca="false">IF(ISNUMBER(E19),"C overtakes A if this weight exceeds "&amp;TEXT(E19,"0%")&amp;" (base "&amp;TEXT(B19,"0%")&amp;")","A stays ahead of C at any weight on this criterion")</f>
        <v>A stays ahead of C at any weight on this criterion</v>
      </c>
    </row>
    <row r="20" customFormat="false" ht="15" hidden="false" customHeight="false" outlineLevel="0" collapsed="false">
      <c r="A20" s="10" t="s">
        <v>70</v>
      </c>
      <c r="B20" s="14" t="n">
        <f aca="false">Weights!$B$10</f>
        <v>0.1</v>
      </c>
      <c r="C20" s="28" t="n">
        <f aca="false">Scorecard!C23-Scorecard!E23</f>
        <v>-2.5</v>
      </c>
      <c r="D20" s="28" t="n">
        <f aca="false">(SUMPRODUCT(Weights!$B$5:$B$10,Scorecard!$C$18:$C$23)-SUMPRODUCT(Weights!$B$5:$B$10,Scorecard!$E$18:$E$23)-B20*C20)/(1-B20)</f>
        <v>0.89547782475225</v>
      </c>
      <c r="E20" s="34" t="n">
        <f aca="false">IF(AND(D20&gt;0,C20&lt;0),D20/(D20-C20),"No flip")</f>
        <v>0.263726600781906</v>
      </c>
      <c r="F20" s="35" t="str">
        <f aca="false">IF(AND(((SUMPRODUCT(Weights!$B$5:$B$10,Scorecard!$C$18:$C$23)-SUMPRODUCT(Weights!$B$5:$B$10,Scorecard!$D$18:$D$23)-B20*(Scorecard!C23-Scorecard!D23))/(1-B20))&gt;0,(Scorecard!C23-Scorecard!D23)&lt;0),((SUMPRODUCT(Weights!$B$5:$B$10,Scorecard!$C$18:$C$23)-SUMPRODUCT(Weights!$B$5:$B$10,Scorecard!$D$18:$D$23)-B20*(Scorecard!C23-Scorecard!D23))/(1-B20))/(((SUMPRODUCT(Weights!$B$5:$B$10,Scorecard!$C$18:$C$23)-SUMPRODUCT(Weights!$B$5:$B$10,Scorecard!$D$18:$D$23)-B20*(Scorecard!C23-Scorecard!D23))/(1-B20))-(Scorecard!C23-Scorecard!D23)),"No flip")</f>
        <v>No flip</v>
      </c>
      <c r="G20" s="4" t="str">
        <f aca="false">IF(ISNUMBER(E20),"C overtakes A if this weight exceeds "&amp;TEXT(E20,"0%")&amp;" (base "&amp;TEXT(B20,"0%")&amp;")","A stays ahead of C at any weight on this criterion")</f>
        <v>C overtakes A if this weight exceeds 26% (base 10%)</v>
      </c>
    </row>
    <row r="22" customFormat="false" ht="36" hidden="false" customHeight="true" outlineLevel="0" collapsed="false">
      <c r="A22" s="23" t="s">
        <v>169</v>
      </c>
      <c r="B22" s="23"/>
      <c r="C22" s="23"/>
      <c r="D22" s="23"/>
      <c r="E22" s="23"/>
      <c r="F22" s="23"/>
      <c r="G22" s="23"/>
    </row>
    <row r="24" customFormat="false" ht="35.05" hidden="false" customHeight="false" outlineLevel="0" collapsed="false">
      <c r="A24" s="36" t="s">
        <v>170</v>
      </c>
    </row>
    <row r="25" customFormat="false" ht="30" hidden="false" customHeight="true" outlineLevel="0" collapsed="false">
      <c r="A25" s="5" t="s">
        <v>171</v>
      </c>
      <c r="B25" s="5" t="s">
        <v>172</v>
      </c>
      <c r="C25" s="5" t="s">
        <v>173</v>
      </c>
      <c r="D25" s="5" t="s">
        <v>174</v>
      </c>
      <c r="E25" s="5" t="s">
        <v>175</v>
      </c>
      <c r="F25" s="5"/>
      <c r="G25" s="5" t="s">
        <v>176</v>
      </c>
    </row>
    <row r="26" customFormat="false" ht="23.85" hidden="false" customHeight="false" outlineLevel="0" collapsed="false">
      <c r="A26" s="10" t="s">
        <v>177</v>
      </c>
      <c r="B26" s="35" t="n">
        <f aca="false">COUNTIF(Random_Weights!D$6:D$1005,"A. Distribution")/COUNTA(Random_Weights!D$6:D$1005)</f>
        <v>0.74</v>
      </c>
      <c r="C26" s="35" t="n">
        <f aca="false">COUNTIF(Random_Weights!D$6:D$1005,"B. Manufacturing")/COUNTA(Random_Weights!D$6:D$1005)</f>
        <v>0</v>
      </c>
      <c r="D26" s="35" t="n">
        <f aca="false">COUNTIF(Random_Weights!D$6:D$1005,"C. Prof. services")/COUNTA(Random_Weights!D$6:D$1005)</f>
        <v>0.26</v>
      </c>
      <c r="E26" s="37" t="n">
        <f aca="false">COUNTA(Random_Weights!D$6:D$1005)</f>
        <v>1000</v>
      </c>
      <c r="G26" s="4" t="s">
        <v>178</v>
      </c>
    </row>
    <row r="27" customFormat="false" ht="23.85" hidden="false" customHeight="false" outlineLevel="0" collapsed="false">
      <c r="A27" s="10" t="s">
        <v>179</v>
      </c>
      <c r="B27" s="35" t="n">
        <f aca="false">COUNTIF(Random_Weights!M$6:M$1005,"A. Distribution")/COUNTA(Random_Weights!M$6:M$1005)</f>
        <v>0.989</v>
      </c>
      <c r="C27" s="35" t="n">
        <f aca="false">COUNTIF(Random_Weights!M$6:M$1005,"B. Manufacturing")/COUNTA(Random_Weights!M$6:M$1005)</f>
        <v>0</v>
      </c>
      <c r="D27" s="35" t="n">
        <f aca="false">COUNTIF(Random_Weights!M$6:M$1005,"C. Prof. services")/COUNTA(Random_Weights!M$6:M$1005)</f>
        <v>0.011</v>
      </c>
      <c r="E27" s="37" t="n">
        <f aca="false">COUNTA(Random_Weights!M$6:M$1005)</f>
        <v>1000</v>
      </c>
      <c r="G27" s="4" t="s">
        <v>180</v>
      </c>
    </row>
  </sheetData>
  <mergeCells count="2">
    <mergeCell ref="A13:G13"/>
    <mergeCell ref="A22:G22"/>
  </mergeCells>
  <conditionalFormatting sqref="B5:D10">
    <cfRule type="colorScale" priority="2">
      <colorScale>
        <cfvo type="min" val="0"/>
        <cfvo type="max" val="0"/>
        <color rgb="FFFFFFFF"/>
        <color rgb="FFC6E0B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V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9"/>
    <col collapsed="false" customWidth="true" hidden="false" outlineLevel="0" max="4" min="4" style="0" width="18"/>
    <col collapsed="false" customWidth="true" hidden="false" outlineLevel="0" max="10" min="5" style="0" width="8"/>
    <col collapsed="false" customWidth="true" hidden="false" outlineLevel="0" max="11" min="11" style="0" width="3"/>
    <col collapsed="false" customWidth="true" hidden="false" outlineLevel="0" max="12" min="12" style="0" width="9"/>
    <col collapsed="false" customWidth="true" hidden="false" outlineLevel="0" max="13" min="13" style="0" width="18"/>
    <col collapsed="false" customWidth="true" hidden="false" outlineLevel="0" max="19" min="14" style="0" width="8"/>
    <col collapsed="false" customWidth="true" hidden="false" outlineLevel="0" max="22" min="20" style="0" width="9"/>
  </cols>
  <sheetData>
    <row r="1" customFormat="false" ht="17.35" hidden="false" customHeight="false" outlineLevel="0" collapsed="false">
      <c r="A1" s="1" t="s">
        <v>181</v>
      </c>
    </row>
    <row r="2" customFormat="false" ht="15" hidden="false" customHeight="false" outlineLevel="0" collapsed="false">
      <c r="A2" s="2" t="s">
        <v>182</v>
      </c>
    </row>
    <row r="5" customFormat="false" ht="30" hidden="false" customHeight="true" outlineLevel="0" collapsed="false">
      <c r="A5" s="5" t="s">
        <v>183</v>
      </c>
      <c r="B5" s="5" t="s">
        <v>184</v>
      </c>
      <c r="C5" s="5" t="s">
        <v>185</v>
      </c>
      <c r="D5" s="5" t="s">
        <v>186</v>
      </c>
      <c r="E5" s="5" t="s">
        <v>187</v>
      </c>
      <c r="F5" s="5" t="s">
        <v>188</v>
      </c>
      <c r="G5" s="5" t="s">
        <v>189</v>
      </c>
      <c r="H5" s="5" t="s">
        <v>190</v>
      </c>
      <c r="I5" s="5" t="s">
        <v>191</v>
      </c>
      <c r="J5" s="5" t="s">
        <v>192</v>
      </c>
      <c r="K5" s="5" t="s">
        <v>193</v>
      </c>
      <c r="L5" s="5"/>
      <c r="M5" s="5" t="s">
        <v>194</v>
      </c>
      <c r="N5" s="5" t="s">
        <v>187</v>
      </c>
      <c r="O5" s="5" t="s">
        <v>188</v>
      </c>
      <c r="P5" s="5" t="s">
        <v>189</v>
      </c>
      <c r="Q5" s="5" t="s">
        <v>190</v>
      </c>
      <c r="R5" s="5" t="s">
        <v>191</v>
      </c>
      <c r="S5" s="5" t="s">
        <v>192</v>
      </c>
      <c r="T5" s="5" t="s">
        <v>195</v>
      </c>
      <c r="U5" s="5" t="s">
        <v>196</v>
      </c>
      <c r="V5" s="5" t="s">
        <v>197</v>
      </c>
    </row>
    <row r="6" customFormat="false" ht="15" hidden="false" customHeight="false" outlineLevel="0" collapsed="false">
      <c r="A6" s="0" t="n">
        <v>1</v>
      </c>
      <c r="B6" s="38" t="n">
        <f aca="false">E6*Scorecard!$C$18+F6*Scorecard!$C$19+G6*Scorecard!$C$20+H6*Scorecard!$C$21+I6*Scorecard!$C$22+J6*Scorecard!$C$23</f>
        <v>3.91141536637238</v>
      </c>
      <c r="C6" s="38" t="n">
        <f aca="false">E6*Scorecard!$D$18+F6*Scorecard!$D$19+G6*Scorecard!$D$20+H6*Scorecard!$D$21+I6*Scorecard!$D$22+J6*Scorecard!$D$23</f>
        <v>2.62309057166802</v>
      </c>
      <c r="D6" s="0" t="str">
        <f aca="false">IF(AND(B6&gt;=C6,B6&gt;=K6),"A. Distribution",IF(C6&gt;=K6,"B. Manufacturing","C. Prof. services"))</f>
        <v>A. Distribution</v>
      </c>
      <c r="E6" s="39" t="n">
        <v>0.268805318640603</v>
      </c>
      <c r="F6" s="39" t="n">
        <v>0.261200381615328</v>
      </c>
      <c r="G6" s="39" t="n">
        <v>0.266630956812743</v>
      </c>
      <c r="H6" s="39" t="n">
        <v>0.0312827236011505</v>
      </c>
      <c r="I6" s="39" t="n">
        <v>0.00966423326580694</v>
      </c>
      <c r="J6" s="39" t="n">
        <v>0.162416386064368</v>
      </c>
      <c r="K6" s="38" t="n">
        <f aca="false">E6*Scorecard!$E$18+F6*Scorecard!$E$19+G6*Scorecard!$E$20+H6*Scorecard!$E$21+I6*Scorecard!$E$22+J6*Scorecard!$E$23</f>
        <v>3.60822267935499</v>
      </c>
      <c r="M6" s="0" t="str">
        <f aca="false">IF(AND(T6&gt;=U6,T6&gt;=V6),"A. Distribution",IF(U6&gt;=V6,"B. Manufacturing","C. Prof. services"))</f>
        <v>A. Distribution</v>
      </c>
      <c r="N6" s="39" t="n">
        <v>0.186651607690674</v>
      </c>
      <c r="O6" s="39" t="n">
        <v>0.140559220656875</v>
      </c>
      <c r="P6" s="39" t="n">
        <v>0.290406325370195</v>
      </c>
      <c r="Q6" s="39" t="n">
        <v>0.237902642958709</v>
      </c>
      <c r="R6" s="39" t="n">
        <v>0.0652316812467792</v>
      </c>
      <c r="S6" s="39" t="n">
        <v>0.0792485220767678</v>
      </c>
      <c r="T6" s="38" t="n">
        <f aca="false">N6*Scorecard!$C$18+O6*Scorecard!$C$19+P6*Scorecard!$C$20+Q6*Scorecard!$C$21+R6*Scorecard!$C$22+S6*Scorecard!$C$23</f>
        <v>3.94144237208059</v>
      </c>
      <c r="U6" s="38" t="n">
        <f aca="false">N6*Scorecard!$D$18+O6*Scorecard!$D$19+P6*Scorecard!$D$20+Q6*Scorecard!$D$21+R6*Scorecard!$D$22+S6*Scorecard!$D$23</f>
        <v>2.56900981426002</v>
      </c>
      <c r="V6" s="38" t="n">
        <f aca="false">N6*Scorecard!$E$18+O6*Scorecard!$E$19+P6*Scorecard!$E$20+Q6*Scorecard!$E$21+R6*Scorecard!$E$22+S6*Scorecard!$E$23</f>
        <v>3.59173758241776</v>
      </c>
    </row>
    <row r="7" customFormat="false" ht="15" hidden="false" customHeight="false" outlineLevel="0" collapsed="false">
      <c r="A7" s="0" t="n">
        <v>2</v>
      </c>
      <c r="B7" s="38" t="n">
        <f aca="false">E7*Scorecard!$C$18+F7*Scorecard!$C$19+G7*Scorecard!$C$20+H7*Scorecard!$C$21+I7*Scorecard!$C$22+J7*Scorecard!$C$23</f>
        <v>4.10561953180242</v>
      </c>
      <c r="C7" s="38" t="n">
        <f aca="false">E7*Scorecard!$D$18+F7*Scorecard!$D$19+G7*Scorecard!$D$20+H7*Scorecard!$D$21+I7*Scorecard!$D$22+J7*Scorecard!$D$23</f>
        <v>2.63983595369641</v>
      </c>
      <c r="D7" s="0" t="str">
        <f aca="false">IF(AND(B7&gt;=C7,B7&gt;=K7),"A. Distribution",IF(C7&gt;=K7,"B. Manufacturing","C. Prof. services"))</f>
        <v>A. Distribution</v>
      </c>
      <c r="E7" s="39" t="n">
        <v>0.206752091024055</v>
      </c>
      <c r="F7" s="39" t="n">
        <v>0.458136687515776</v>
      </c>
      <c r="G7" s="39" t="n">
        <v>0.0116274454603834</v>
      </c>
      <c r="H7" s="39" t="n">
        <v>0.153464308819361</v>
      </c>
      <c r="I7" s="39" t="n">
        <v>0.0103285529687244</v>
      </c>
      <c r="J7" s="39" t="n">
        <v>0.159690914211701</v>
      </c>
      <c r="K7" s="38" t="n">
        <f aca="false">E7*Scorecard!$E$18+F7*Scorecard!$E$19+G7*Scorecard!$E$20+H7*Scorecard!$E$21+I7*Scorecard!$E$22+J7*Scorecard!$E$23</f>
        <v>3.36139547680132</v>
      </c>
      <c r="M7" s="0" t="str">
        <f aca="false">IF(AND(T7&gt;=U7,T7&gt;=V7),"A. Distribution",IF(U7&gt;=V7,"B. Manufacturing","C. Prof. services"))</f>
        <v>A. Distribution</v>
      </c>
      <c r="N7" s="39" t="n">
        <v>0.102208687498775</v>
      </c>
      <c r="O7" s="39" t="n">
        <v>0.227109106605815</v>
      </c>
      <c r="P7" s="39" t="n">
        <v>0.328270738780231</v>
      </c>
      <c r="Q7" s="39" t="n">
        <v>0.136087741408314</v>
      </c>
      <c r="R7" s="39" t="n">
        <v>0.103459035059014</v>
      </c>
      <c r="S7" s="39" t="n">
        <v>0.102864690647851</v>
      </c>
      <c r="T7" s="38" t="n">
        <f aca="false">N7*Scorecard!$C$18+O7*Scorecard!$C$19+P7*Scorecard!$C$20+Q7*Scorecard!$C$21+R7*Scorecard!$C$22+S7*Scorecard!$C$23</f>
        <v>3.99851018574244</v>
      </c>
      <c r="U7" s="38" t="n">
        <f aca="false">N7*Scorecard!$D$18+O7*Scorecard!$D$19+P7*Scorecard!$D$20+Q7*Scorecard!$D$21+R7*Scorecard!$D$22+S7*Scorecard!$D$23</f>
        <v>2.45341273629825</v>
      </c>
      <c r="V7" s="38" t="n">
        <f aca="false">N7*Scorecard!$E$18+O7*Scorecard!$E$19+P7*Scorecard!$E$20+Q7*Scorecard!$E$21+R7*Scorecard!$E$22+S7*Scorecard!$E$23</f>
        <v>3.51189149071482</v>
      </c>
    </row>
    <row r="8" customFormat="false" ht="15" hidden="false" customHeight="false" outlineLevel="0" collapsed="false">
      <c r="A8" s="0" t="n">
        <v>3</v>
      </c>
      <c r="B8" s="38" t="n">
        <f aca="false">E8*Scorecard!$C$18+F8*Scorecard!$C$19+G8*Scorecard!$C$20+H8*Scorecard!$C$21+I8*Scorecard!$C$22+J8*Scorecard!$C$23</f>
        <v>3.89795371481178</v>
      </c>
      <c r="C8" s="38" t="n">
        <f aca="false">E8*Scorecard!$D$18+F8*Scorecard!$D$19+G8*Scorecard!$D$20+H8*Scorecard!$D$21+I8*Scorecard!$D$22+J8*Scorecard!$D$23</f>
        <v>2.95068043786377</v>
      </c>
      <c r="D8" s="0" t="str">
        <f aca="false">IF(AND(B8&gt;=C8,B8&gt;=K8),"A. Distribution",IF(C8&gt;=K8,"B. Manufacturing","C. Prof. services"))</f>
        <v>A. Distribution</v>
      </c>
      <c r="E8" s="39" t="n">
        <v>0.442756494746504</v>
      </c>
      <c r="F8" s="39" t="n">
        <v>0.0989415410584627</v>
      </c>
      <c r="G8" s="39" t="n">
        <v>0.314956354193686</v>
      </c>
      <c r="H8" s="39" t="n">
        <v>0.0393248028666904</v>
      </c>
      <c r="I8" s="39" t="n">
        <v>0.0234192741428176</v>
      </c>
      <c r="J8" s="39" t="n">
        <v>0.0806015329918394</v>
      </c>
      <c r="K8" s="38" t="n">
        <f aca="false">E8*Scorecard!$E$18+F8*Scorecard!$E$19+G8*Scorecard!$E$20+H8*Scorecard!$E$21+I8*Scorecard!$E$22+J8*Scorecard!$E$23</f>
        <v>3.64875091759448</v>
      </c>
      <c r="M8" s="0" t="str">
        <f aca="false">IF(AND(T8&gt;=U8,T8&gt;=V8),"A. Distribution",IF(U8&gt;=V8,"B. Manufacturing","C. Prof. services"))</f>
        <v>A. Distribution</v>
      </c>
      <c r="N8" s="39" t="n">
        <v>0.262329532989321</v>
      </c>
      <c r="O8" s="39" t="n">
        <v>0.263046406876872</v>
      </c>
      <c r="P8" s="39" t="n">
        <v>0.154498204205437</v>
      </c>
      <c r="Q8" s="39" t="n">
        <v>0.0979618681305932</v>
      </c>
      <c r="R8" s="39" t="n">
        <v>0.151289263972385</v>
      </c>
      <c r="S8" s="39" t="n">
        <v>0.0708747238253923</v>
      </c>
      <c r="T8" s="38" t="n">
        <f aca="false">N8*Scorecard!$C$18+O8*Scorecard!$C$19+P8*Scorecard!$C$20+Q8*Scorecard!$C$21+R8*Scorecard!$C$22+S8*Scorecard!$C$23</f>
        <v>4.08967991908639</v>
      </c>
      <c r="U8" s="38" t="n">
        <f aca="false">N8*Scorecard!$D$18+O8*Scorecard!$D$19+P8*Scorecard!$D$20+Q8*Scorecard!$D$21+R8*Scorecard!$D$22+S8*Scorecard!$D$23</f>
        <v>2.8650539126675</v>
      </c>
      <c r="V8" s="38" t="n">
        <f aca="false">N8*Scorecard!$E$18+O8*Scorecard!$E$19+P8*Scorecard!$E$20+Q8*Scorecard!$E$21+R8*Scorecard!$E$22+S8*Scorecard!$E$23</f>
        <v>3.30562739507928</v>
      </c>
    </row>
    <row r="9" customFormat="false" ht="15" hidden="false" customHeight="false" outlineLevel="0" collapsed="false">
      <c r="A9" s="0" t="n">
        <v>4</v>
      </c>
      <c r="B9" s="38" t="n">
        <f aca="false">E9*Scorecard!$C$18+F9*Scorecard!$C$19+G9*Scorecard!$C$20+H9*Scorecard!$C$21+I9*Scorecard!$C$22+J9*Scorecard!$C$23</f>
        <v>3.63460562946423</v>
      </c>
      <c r="C9" s="38" t="n">
        <f aca="false">E9*Scorecard!$D$18+F9*Scorecard!$D$19+G9*Scorecard!$D$20+H9*Scorecard!$D$21+I9*Scorecard!$D$22+J9*Scorecard!$D$23</f>
        <v>2.67426672934599</v>
      </c>
      <c r="D9" s="0" t="str">
        <f aca="false">IF(AND(B9&gt;=C9,B9&gt;=K9),"A. Distribution",IF(C9&gt;=K9,"B. Manufacturing","C. Prof. services"))</f>
        <v>A. Distribution</v>
      </c>
      <c r="E9" s="39" t="n">
        <v>0.154045811226669</v>
      </c>
      <c r="F9" s="39" t="n">
        <v>0.0705933325547207</v>
      </c>
      <c r="G9" s="39" t="n">
        <v>0.213220966553555</v>
      </c>
      <c r="H9" s="39" t="n">
        <v>0.0382168567705697</v>
      </c>
      <c r="I9" s="39" t="n">
        <v>0.314172046170738</v>
      </c>
      <c r="J9" s="39" t="n">
        <v>0.209750986723748</v>
      </c>
      <c r="K9" s="38" t="n">
        <f aca="false">E9*Scorecard!$E$18+F9*Scorecard!$E$19+G9*Scorecard!$E$20+H9*Scorecard!$E$21+I9*Scorecard!$E$22+J9*Scorecard!$E$23</f>
        <v>3.40733368398187</v>
      </c>
      <c r="M9" s="0" t="str">
        <f aca="false">IF(AND(T9&gt;=U9,T9&gt;=V9),"A. Distribution",IF(U9&gt;=V9,"B. Manufacturing","C. Prof. services"))</f>
        <v>A. Distribution</v>
      </c>
      <c r="N9" s="39" t="n">
        <v>0.317416216442998</v>
      </c>
      <c r="O9" s="39" t="n">
        <v>0.170633236699722</v>
      </c>
      <c r="P9" s="39" t="n">
        <v>0.203848815573734</v>
      </c>
      <c r="Q9" s="39" t="n">
        <v>0.173617577861309</v>
      </c>
      <c r="R9" s="39" t="n">
        <v>0.0683658042588498</v>
      </c>
      <c r="S9" s="39" t="n">
        <v>0.066118349163387</v>
      </c>
      <c r="T9" s="38" t="n">
        <f aca="false">N9*Scorecard!$C$18+O9*Scorecard!$C$19+P9*Scorecard!$C$20+Q9*Scorecard!$C$21+R9*Scorecard!$C$22+S9*Scorecard!$C$23</f>
        <v>3.99420481912839</v>
      </c>
      <c r="U9" s="38" t="n">
        <f aca="false">N9*Scorecard!$D$18+O9*Scorecard!$D$19+P9*Scorecard!$D$20+Q9*Scorecard!$D$21+R9*Scorecard!$D$22+S9*Scorecard!$D$23</f>
        <v>2.84147840433941</v>
      </c>
      <c r="V9" s="38" t="n">
        <f aca="false">N9*Scorecard!$E$18+O9*Scorecard!$E$19+P9*Scorecard!$E$20+Q9*Scorecard!$E$21+R9*Scorecard!$E$22+S9*Scorecard!$E$23</f>
        <v>3.49964161660596</v>
      </c>
    </row>
    <row r="10" customFormat="false" ht="15" hidden="false" customHeight="false" outlineLevel="0" collapsed="false">
      <c r="A10" s="0" t="n">
        <v>5</v>
      </c>
      <c r="B10" s="38" t="n">
        <f aca="false">E10*Scorecard!$C$18+F10*Scorecard!$C$19+G10*Scorecard!$C$20+H10*Scorecard!$C$21+I10*Scorecard!$C$22+J10*Scorecard!$C$23</f>
        <v>3.58897263489382</v>
      </c>
      <c r="C10" s="38" t="n">
        <f aca="false">E10*Scorecard!$D$18+F10*Scorecard!$D$19+G10*Scorecard!$D$20+H10*Scorecard!$D$21+I10*Scorecard!$D$22+J10*Scorecard!$D$23</f>
        <v>2.59445063441891</v>
      </c>
      <c r="D10" s="0" t="str">
        <f aca="false">IF(AND(B10&gt;=C10,B10&gt;=K10),"A. Distribution",IF(C10&gt;=K10,"B. Manufacturing","C. Prof. services"))</f>
        <v>C. Prof. services</v>
      </c>
      <c r="E10" s="39" t="n">
        <v>0.265694653903008</v>
      </c>
      <c r="F10" s="39" t="n">
        <v>0.168981942653046</v>
      </c>
      <c r="G10" s="39" t="n">
        <v>0.183661671736973</v>
      </c>
      <c r="H10" s="39" t="n">
        <v>0.0312276700420217</v>
      </c>
      <c r="I10" s="39" t="n">
        <v>0.0727776907007553</v>
      </c>
      <c r="J10" s="39" t="n">
        <v>0.277656370964197</v>
      </c>
      <c r="K10" s="38" t="n">
        <f aca="false">E10*Scorecard!$E$18+F10*Scorecard!$E$19+G10*Scorecard!$E$20+H10*Scorecard!$E$21+I10*Scorecard!$E$22+J10*Scorecard!$E$23</f>
        <v>3.67246439913589</v>
      </c>
      <c r="M10" s="0" t="str">
        <f aca="false">IF(AND(T10&gt;=U10,T10&gt;=V10),"A. Distribution",IF(U10&gt;=V10,"B. Manufacturing","C. Prof. services"))</f>
        <v>A. Distribution</v>
      </c>
      <c r="N10" s="39" t="n">
        <v>0.2903475642628</v>
      </c>
      <c r="O10" s="39" t="n">
        <v>0.201027615295089</v>
      </c>
      <c r="P10" s="39" t="n">
        <v>0.122500794485571</v>
      </c>
      <c r="Q10" s="39" t="n">
        <v>0.146030249714561</v>
      </c>
      <c r="R10" s="39" t="n">
        <v>0.180413825292446</v>
      </c>
      <c r="S10" s="39" t="n">
        <v>0.0596799509495325</v>
      </c>
      <c r="T10" s="38" t="n">
        <f aca="false">N10*Scorecard!$C$18+O10*Scorecard!$C$19+P10*Scorecard!$C$20+Q10*Scorecard!$C$21+R10*Scorecard!$C$22+S10*Scorecard!$C$23</f>
        <v>4.04262179964946</v>
      </c>
      <c r="U10" s="38" t="n">
        <f aca="false">N10*Scorecard!$D$18+O10*Scorecard!$D$19+P10*Scorecard!$D$20+Q10*Scorecard!$D$21+R10*Scorecard!$D$22+S10*Scorecard!$D$23</f>
        <v>2.94736300704142</v>
      </c>
      <c r="V10" s="38" t="n">
        <f aca="false">N10*Scorecard!$E$18+O10*Scorecard!$E$19+P10*Scorecard!$E$20+Q10*Scorecard!$E$21+R10*Scorecard!$E$22+S10*Scorecard!$E$23</f>
        <v>3.29589546547358</v>
      </c>
    </row>
    <row r="11" customFormat="false" ht="15" hidden="false" customHeight="false" outlineLevel="0" collapsed="false">
      <c r="A11" s="0" t="n">
        <v>6</v>
      </c>
      <c r="B11" s="38" t="n">
        <f aca="false">E11*Scorecard!$C$18+F11*Scorecard!$C$19+G11*Scorecard!$C$20+H11*Scorecard!$C$21+I11*Scorecard!$C$22+J11*Scorecard!$C$23</f>
        <v>3.97953793697797</v>
      </c>
      <c r="C11" s="38" t="n">
        <f aca="false">E11*Scorecard!$D$18+F11*Scorecard!$D$19+G11*Scorecard!$D$20+H11*Scorecard!$D$21+I11*Scorecard!$D$22+J11*Scorecard!$D$23</f>
        <v>2.49156759960899</v>
      </c>
      <c r="D11" s="0" t="str">
        <f aca="false">IF(AND(B11&gt;=C11,B11&gt;=K11),"A. Distribution",IF(C11&gt;=K11,"B. Manufacturing","C. Prof. services"))</f>
        <v>A. Distribution</v>
      </c>
      <c r="E11" s="39" t="n">
        <v>0.104993300164804</v>
      </c>
      <c r="F11" s="39" t="n">
        <v>0.341497297053609</v>
      </c>
      <c r="G11" s="39" t="n">
        <v>0.191382947183517</v>
      </c>
      <c r="H11" s="39" t="n">
        <v>0.0642714725004383</v>
      </c>
      <c r="I11" s="39" t="n">
        <v>0.12455273406612</v>
      </c>
      <c r="J11" s="39" t="n">
        <v>0.173302249031512</v>
      </c>
      <c r="K11" s="38" t="n">
        <f aca="false">E11*Scorecard!$E$18+F11*Scorecard!$E$19+G11*Scorecard!$E$20+H11*Scorecard!$E$21+I11*Scorecard!$E$22+J11*Scorecard!$E$23</f>
        <v>3.39730875074155</v>
      </c>
      <c r="M11" s="0" t="str">
        <f aca="false">IF(AND(T11&gt;=U11,T11&gt;=V11),"A. Distribution",IF(U11&gt;=V11,"B. Manufacturing","C. Prof. services"))</f>
        <v>A. Distribution</v>
      </c>
      <c r="N11" s="39" t="n">
        <v>0.206832107075533</v>
      </c>
      <c r="O11" s="39" t="n">
        <v>0.19502687578398</v>
      </c>
      <c r="P11" s="39" t="n">
        <v>0.0897925902633787</v>
      </c>
      <c r="Q11" s="39" t="n">
        <v>0.0998581587474711</v>
      </c>
      <c r="R11" s="39" t="n">
        <v>0.220657790780568</v>
      </c>
      <c r="S11" s="39" t="n">
        <v>0.187832477349069</v>
      </c>
      <c r="T11" s="38" t="n">
        <f aca="false">N11*Scorecard!$C$18+O11*Scorecard!$C$19+P11*Scorecard!$C$20+Q11*Scorecard!$C$21+R11*Scorecard!$C$22+S11*Scorecard!$C$23</f>
        <v>3.79199626369195</v>
      </c>
      <c r="U11" s="38" t="n">
        <f aca="false">N11*Scorecard!$D$18+O11*Scorecard!$D$19+P11*Scorecard!$D$20+Q11*Scorecard!$D$21+R11*Scorecard!$D$22+S11*Scorecard!$D$23</f>
        <v>2.7512907543316</v>
      </c>
      <c r="V11" s="38" t="n">
        <f aca="false">N11*Scorecard!$E$18+O11*Scorecard!$E$19+P11*Scorecard!$E$20+Q11*Scorecard!$E$21+R11*Scorecard!$E$22+S11*Scorecard!$E$23</f>
        <v>3.35693000655512</v>
      </c>
    </row>
    <row r="12" customFormat="false" ht="15" hidden="false" customHeight="false" outlineLevel="0" collapsed="false">
      <c r="A12" s="0" t="n">
        <v>7</v>
      </c>
      <c r="B12" s="38" t="n">
        <f aca="false">E12*Scorecard!$C$18+F12*Scorecard!$C$19+G12*Scorecard!$C$20+H12*Scorecard!$C$21+I12*Scorecard!$C$22+J12*Scorecard!$C$23</f>
        <v>3.44824291111294</v>
      </c>
      <c r="C12" s="38" t="n">
        <f aca="false">E12*Scorecard!$D$18+F12*Scorecard!$D$19+G12*Scorecard!$D$20+H12*Scorecard!$D$21+I12*Scorecard!$D$22+J12*Scorecard!$D$23</f>
        <v>2.44584936006673</v>
      </c>
      <c r="D12" s="0" t="str">
        <f aca="false">IF(AND(B12&gt;=C12,B12&gt;=K12),"A. Distribution",IF(C12&gt;=K12,"B. Manufacturing","C. Prof. services"))</f>
        <v>C. Prof. services</v>
      </c>
      <c r="E12" s="39" t="n">
        <v>0.0753001189654096</v>
      </c>
      <c r="F12" s="39" t="n">
        <v>0.0704991311174176</v>
      </c>
      <c r="G12" s="39" t="n">
        <v>0.192483881880431</v>
      </c>
      <c r="H12" s="39" t="n">
        <v>0.0650319680012504</v>
      </c>
      <c r="I12" s="39" t="n">
        <v>0.29208320812559</v>
      </c>
      <c r="J12" s="39" t="n">
        <v>0.304601691909902</v>
      </c>
      <c r="K12" s="38" t="n">
        <f aca="false">E12*Scorecard!$E$18+F12*Scorecard!$E$19+G12*Scorecard!$E$20+H12*Scorecard!$E$21+I12*Scorecard!$E$22+J12*Scorecard!$E$23</f>
        <v>3.52228938488824</v>
      </c>
      <c r="M12" s="0" t="str">
        <f aca="false">IF(AND(T12&gt;=U12,T12&gt;=V12),"A. Distribution",IF(U12&gt;=V12,"B. Manufacturing","C. Prof. services"))</f>
        <v>A. Distribution</v>
      </c>
      <c r="N12" s="39" t="n">
        <v>0.30896045783383</v>
      </c>
      <c r="O12" s="39" t="n">
        <v>0.169516855302257</v>
      </c>
      <c r="P12" s="39" t="n">
        <v>0.0764042097630125</v>
      </c>
      <c r="Q12" s="39" t="n">
        <v>0.111919013211734</v>
      </c>
      <c r="R12" s="39" t="n">
        <v>0.0820795828889356</v>
      </c>
      <c r="S12" s="39" t="n">
        <v>0.251119881000231</v>
      </c>
      <c r="T12" s="38" t="n">
        <f aca="false">N12*Scorecard!$C$18+O12*Scorecard!$C$19+P12*Scorecard!$C$20+Q12*Scorecard!$C$21+R12*Scorecard!$C$22+S12*Scorecard!$C$23</f>
        <v>3.63041231616542</v>
      </c>
      <c r="U12" s="38" t="n">
        <f aca="false">N12*Scorecard!$D$18+O12*Scorecard!$D$19+P12*Scorecard!$D$20+Q12*Scorecard!$D$21+R12*Scorecard!$D$22+S12*Scorecard!$D$23</f>
        <v>2.73152921484284</v>
      </c>
      <c r="V12" s="38" t="n">
        <f aca="false">N12*Scorecard!$E$18+O12*Scorecard!$E$19+P12*Scorecard!$E$20+Q12*Scorecard!$E$21+R12*Scorecard!$E$22+S12*Scorecard!$E$23</f>
        <v>3.59502815762411</v>
      </c>
    </row>
    <row r="13" customFormat="false" ht="15" hidden="false" customHeight="false" outlineLevel="0" collapsed="false">
      <c r="A13" s="0" t="n">
        <v>8</v>
      </c>
      <c r="B13" s="38" t="n">
        <f aca="false">E13*Scorecard!$C$18+F13*Scorecard!$C$19+G13*Scorecard!$C$20+H13*Scorecard!$C$21+I13*Scorecard!$C$22+J13*Scorecard!$C$23</f>
        <v>3.85735055586114</v>
      </c>
      <c r="C13" s="38" t="n">
        <f aca="false">E13*Scorecard!$D$18+F13*Scorecard!$D$19+G13*Scorecard!$D$20+H13*Scorecard!$D$21+I13*Scorecard!$D$22+J13*Scorecard!$D$23</f>
        <v>2.78927975462112</v>
      </c>
      <c r="D13" s="0" t="str">
        <f aca="false">IF(AND(B13&gt;=C13,B13&gt;=K13),"A. Distribution",IF(C13&gt;=K13,"B. Manufacturing","C. Prof. services"))</f>
        <v>A. Distribution</v>
      </c>
      <c r="E13" s="39" t="n">
        <v>0.214771720961513</v>
      </c>
      <c r="F13" s="39" t="n">
        <v>0.0144679189849192</v>
      </c>
      <c r="G13" s="39" t="n">
        <v>0.224674351701755</v>
      </c>
      <c r="H13" s="39" t="n">
        <v>0.268312961041939</v>
      </c>
      <c r="I13" s="39" t="n">
        <v>0.222291469327802</v>
      </c>
      <c r="J13" s="39" t="n">
        <v>0.0554815779820725</v>
      </c>
      <c r="K13" s="38" t="n">
        <f aca="false">E13*Scorecard!$E$18+F13*Scorecard!$E$19+G13*Scorecard!$E$20+H13*Scorecard!$E$21+I13*Scorecard!$E$22+J13*Scorecard!$E$23</f>
        <v>3.44480784520015</v>
      </c>
      <c r="M13" s="0" t="str">
        <f aca="false">IF(AND(T13&gt;=U13,T13&gt;=V13),"A. Distribution",IF(U13&gt;=V13,"B. Manufacturing","C. Prof. services"))</f>
        <v>A. Distribution</v>
      </c>
      <c r="N13" s="39" t="n">
        <v>0.0879488219480297</v>
      </c>
      <c r="O13" s="39" t="n">
        <v>0.121689661144296</v>
      </c>
      <c r="P13" s="39" t="n">
        <v>0.218964841539714</v>
      </c>
      <c r="Q13" s="39" t="n">
        <v>0.148224867903524</v>
      </c>
      <c r="R13" s="39" t="n">
        <v>0.288672559243832</v>
      </c>
      <c r="S13" s="39" t="n">
        <v>0.134499248220605</v>
      </c>
      <c r="T13" s="38" t="n">
        <f aca="false">N13*Scorecard!$C$18+O13*Scorecard!$C$19+P13*Scorecard!$C$20+Q13*Scorecard!$C$21+R13*Scorecard!$C$22+S13*Scorecard!$C$23</f>
        <v>3.82965872120551</v>
      </c>
      <c r="U13" s="38" t="n">
        <f aca="false">N13*Scorecard!$D$18+O13*Scorecard!$D$19+P13*Scorecard!$D$20+Q13*Scorecard!$D$21+R13*Scorecard!$D$22+S13*Scorecard!$D$23</f>
        <v>2.6033823212389</v>
      </c>
      <c r="V13" s="38" t="n">
        <f aca="false">N13*Scorecard!$E$18+O13*Scorecard!$E$19+P13*Scorecard!$E$20+Q13*Scorecard!$E$21+R13*Scorecard!$E$22+S13*Scorecard!$E$23</f>
        <v>3.34819387042597</v>
      </c>
    </row>
    <row r="14" customFormat="false" ht="15" hidden="false" customHeight="false" outlineLevel="0" collapsed="false">
      <c r="A14" s="0" t="n">
        <v>9</v>
      </c>
      <c r="B14" s="38" t="n">
        <f aca="false">E14*Scorecard!$C$18+F14*Scorecard!$C$19+G14*Scorecard!$C$20+H14*Scorecard!$C$21+I14*Scorecard!$C$22+J14*Scorecard!$C$23</f>
        <v>2.93694675258345</v>
      </c>
      <c r="C14" s="38" t="n">
        <f aca="false">E14*Scorecard!$D$18+F14*Scorecard!$D$19+G14*Scorecard!$D$20+H14*Scorecard!$D$21+I14*Scorecard!$D$22+J14*Scorecard!$D$23</f>
        <v>2.13177395169057</v>
      </c>
      <c r="D14" s="0" t="str">
        <f aca="false">IF(AND(B14&gt;=C14,B14&gt;=K14),"A. Distribution",IF(C14&gt;=K14,"B. Manufacturing","C. Prof. services"))</f>
        <v>C. Prof. services</v>
      </c>
      <c r="E14" s="39" t="n">
        <v>0.136883796981285</v>
      </c>
      <c r="F14" s="39" t="n">
        <v>0.0706886942676835</v>
      </c>
      <c r="G14" s="39" t="n">
        <v>0.151141019566057</v>
      </c>
      <c r="H14" s="39" t="n">
        <v>0.00901640327720572</v>
      </c>
      <c r="I14" s="39" t="n">
        <v>0.0713798555266419</v>
      </c>
      <c r="J14" s="39" t="n">
        <v>0.560890230381127</v>
      </c>
      <c r="K14" s="38" t="n">
        <f aca="false">E14*Scorecard!$E$18+F14*Scorecard!$E$19+G14*Scorecard!$E$20+H14*Scorecard!$E$21+I14*Scorecard!$E$22+J14*Scorecard!$E$23</f>
        <v>4.00558282201059</v>
      </c>
      <c r="M14" s="0" t="str">
        <f aca="false">IF(AND(T14&gt;=U14,T14&gt;=V14),"A. Distribution",IF(U14&gt;=V14,"B. Manufacturing","C. Prof. services"))</f>
        <v>A. Distribution</v>
      </c>
      <c r="N14" s="39" t="n">
        <v>0.173818452632298</v>
      </c>
      <c r="O14" s="39" t="n">
        <v>0.298028195266113</v>
      </c>
      <c r="P14" s="39" t="n">
        <v>0.156265793792641</v>
      </c>
      <c r="Q14" s="39" t="n">
        <v>0.275321671664467</v>
      </c>
      <c r="R14" s="39" t="n">
        <v>0.0879542294676643</v>
      </c>
      <c r="S14" s="39" t="n">
        <v>0.0086116571768172</v>
      </c>
      <c r="T14" s="38" t="n">
        <f aca="false">N14*Scorecard!$C$18+O14*Scorecard!$C$19+P14*Scorecard!$C$20+Q14*Scorecard!$C$21+R14*Scorecard!$C$22+S14*Scorecard!$C$23</f>
        <v>4.23718348678133</v>
      </c>
      <c r="U14" s="38" t="n">
        <f aca="false">N14*Scorecard!$D$18+O14*Scorecard!$D$19+P14*Scorecard!$D$20+Q14*Scorecard!$D$21+R14*Scorecard!$D$22+S14*Scorecard!$D$23</f>
        <v>2.70302520785877</v>
      </c>
      <c r="V14" s="38" t="n">
        <f aca="false">N14*Scorecard!$E$18+O14*Scorecard!$E$19+P14*Scorecard!$E$20+Q14*Scorecard!$E$21+R14*Scorecard!$E$22+S14*Scorecard!$E$23</f>
        <v>3.32448394038076</v>
      </c>
    </row>
    <row r="15" customFormat="false" ht="15" hidden="false" customHeight="false" outlineLevel="0" collapsed="false">
      <c r="A15" s="0" t="n">
        <v>10</v>
      </c>
      <c r="B15" s="38" t="n">
        <f aca="false">E15*Scorecard!$C$18+F15*Scorecard!$C$19+G15*Scorecard!$C$20+H15*Scorecard!$C$21+I15*Scorecard!$C$22+J15*Scorecard!$C$23</f>
        <v>3.98963829892677</v>
      </c>
      <c r="C15" s="38" t="n">
        <f aca="false">E15*Scorecard!$D$18+F15*Scorecard!$D$19+G15*Scorecard!$D$20+H15*Scorecard!$D$21+I15*Scorecard!$D$22+J15*Scorecard!$D$23</f>
        <v>3.55554949157896</v>
      </c>
      <c r="D15" s="0" t="str">
        <f aca="false">IF(AND(B15&gt;=C15,B15&gt;=K15),"A. Distribution",IF(C15&gt;=K15,"B. Manufacturing","C. Prof. services"))</f>
        <v>A. Distribution</v>
      </c>
      <c r="E15" s="39" t="n">
        <v>0.697088304625191</v>
      </c>
      <c r="F15" s="39" t="n">
        <v>0.0983132570541952</v>
      </c>
      <c r="G15" s="39" t="n">
        <v>0.0495527606283289</v>
      </c>
      <c r="H15" s="39" t="n">
        <v>0.0693914277729568</v>
      </c>
      <c r="I15" s="39" t="n">
        <v>0.0630387392223263</v>
      </c>
      <c r="J15" s="39" t="n">
        <v>0.0226155106970023</v>
      </c>
      <c r="K15" s="38" t="n">
        <f aca="false">E15*Scorecard!$E$18+F15*Scorecard!$E$19+G15*Scorecard!$E$20+H15*Scorecard!$E$21+I15*Scorecard!$E$22+J15*Scorecard!$E$23</f>
        <v>3.41747523534424</v>
      </c>
      <c r="M15" s="0" t="str">
        <f aca="false">IF(AND(T15&gt;=U15,T15&gt;=V15),"A. Distribution",IF(U15&gt;=V15,"B. Manufacturing","C. Prof. services"))</f>
        <v>A. Distribution</v>
      </c>
      <c r="N15" s="39" t="n">
        <v>0.178950789388611</v>
      </c>
      <c r="O15" s="39" t="n">
        <v>0.0680432631681764</v>
      </c>
      <c r="P15" s="39" t="n">
        <v>0.262057980678304</v>
      </c>
      <c r="Q15" s="39" t="n">
        <v>0.144688311614507</v>
      </c>
      <c r="R15" s="39" t="n">
        <v>0.271737198500763</v>
      </c>
      <c r="S15" s="39" t="n">
        <v>0.0745224566496381</v>
      </c>
      <c r="T15" s="38" t="n">
        <f aca="false">N15*Scorecard!$C$18+O15*Scorecard!$C$19+P15*Scorecard!$C$20+Q15*Scorecard!$C$21+R15*Scorecard!$C$22+S15*Scorecard!$C$23</f>
        <v>3.88904071818906</v>
      </c>
      <c r="U15" s="38" t="n">
        <f aca="false">N15*Scorecard!$D$18+O15*Scorecard!$D$19+P15*Scorecard!$D$20+Q15*Scorecard!$D$21+R15*Scorecard!$D$22+S15*Scorecard!$D$23</f>
        <v>2.76546107867669</v>
      </c>
      <c r="V15" s="38" t="n">
        <f aca="false">N15*Scorecard!$E$18+O15*Scorecard!$E$19+P15*Scorecard!$E$20+Q15*Scorecard!$E$21+R15*Scorecard!$E$22+S15*Scorecard!$E$23</f>
        <v>3.36621725190774</v>
      </c>
    </row>
    <row r="16" customFormat="false" ht="15" hidden="false" customHeight="false" outlineLevel="0" collapsed="false">
      <c r="A16" s="0" t="n">
        <v>11</v>
      </c>
      <c r="B16" s="38" t="n">
        <f aca="false">E16*Scorecard!$C$18+F16*Scorecard!$C$19+G16*Scorecard!$C$20+H16*Scorecard!$C$21+I16*Scorecard!$C$22+J16*Scorecard!$C$23</f>
        <v>3.80250805360489</v>
      </c>
      <c r="C16" s="38" t="n">
        <f aca="false">E16*Scorecard!$D$18+F16*Scorecard!$D$19+G16*Scorecard!$D$20+H16*Scorecard!$D$21+I16*Scorecard!$D$22+J16*Scorecard!$D$23</f>
        <v>2.49577721361353</v>
      </c>
      <c r="D16" s="0" t="str">
        <f aca="false">IF(AND(B16&gt;=C16,B16&gt;=K16),"A. Distribution",IF(C16&gt;=K16,"B. Manufacturing","C. Prof. services"))</f>
        <v>A. Distribution</v>
      </c>
      <c r="E16" s="39" t="n">
        <v>0.0831511007419642</v>
      </c>
      <c r="F16" s="39" t="n">
        <v>0.105603888382137</v>
      </c>
      <c r="G16" s="39" t="n">
        <v>0.115732557923705</v>
      </c>
      <c r="H16" s="39" t="n">
        <v>0.407562406765879</v>
      </c>
      <c r="I16" s="39" t="n">
        <v>0.161697639768852</v>
      </c>
      <c r="J16" s="39" t="n">
        <v>0.126252406417463</v>
      </c>
      <c r="K16" s="38" t="n">
        <f aca="false">E16*Scorecard!$E$18+F16*Scorecard!$E$19+G16*Scorecard!$E$20+H16*Scorecard!$E$21+I16*Scorecard!$E$22+J16*Scorecard!$E$23</f>
        <v>3.49250459557512</v>
      </c>
      <c r="M16" s="0" t="str">
        <f aca="false">IF(AND(T16&gt;=U16,T16&gt;=V16),"A. Distribution",IF(U16&gt;=V16,"B. Manufacturing","C. Prof. services"))</f>
        <v>A. Distribution</v>
      </c>
      <c r="N16" s="39" t="n">
        <v>0.103278806189777</v>
      </c>
      <c r="O16" s="39" t="n">
        <v>0.237339556173921</v>
      </c>
      <c r="P16" s="39" t="n">
        <v>0.156958739612779</v>
      </c>
      <c r="Q16" s="39" t="n">
        <v>0.207591809659228</v>
      </c>
      <c r="R16" s="39" t="n">
        <v>0.0951172386301575</v>
      </c>
      <c r="S16" s="39" t="n">
        <v>0.199713849734137</v>
      </c>
      <c r="T16" s="38" t="n">
        <f aca="false">N16*Scorecard!$C$18+O16*Scorecard!$C$19+P16*Scorecard!$C$20+Q16*Scorecard!$C$21+R16*Scorecard!$C$22+S16*Scorecard!$C$23</f>
        <v>3.8072517954499</v>
      </c>
      <c r="U16" s="38" t="n">
        <f aca="false">N16*Scorecard!$D$18+O16*Scorecard!$D$19+P16*Scorecard!$D$20+Q16*Scorecard!$D$21+R16*Scorecard!$D$22+S16*Scorecard!$D$23</f>
        <v>2.42235015632133</v>
      </c>
      <c r="V16" s="38" t="n">
        <f aca="false">N16*Scorecard!$E$18+O16*Scorecard!$E$19+P16*Scorecard!$E$20+Q16*Scorecard!$E$21+R16*Scorecard!$E$22+S16*Scorecard!$E$23</f>
        <v>3.53806736759846</v>
      </c>
    </row>
    <row r="17" customFormat="false" ht="15" hidden="false" customHeight="false" outlineLevel="0" collapsed="false">
      <c r="A17" s="0" t="n">
        <v>12</v>
      </c>
      <c r="B17" s="38" t="n">
        <f aca="false">E17*Scorecard!$C$18+F17*Scorecard!$C$19+G17*Scorecard!$C$20+H17*Scorecard!$C$21+I17*Scorecard!$C$22+J17*Scorecard!$C$23</f>
        <v>3.45236602115313</v>
      </c>
      <c r="C17" s="38" t="n">
        <f aca="false">E17*Scorecard!$D$18+F17*Scorecard!$D$19+G17*Scorecard!$D$20+H17*Scorecard!$D$21+I17*Scorecard!$D$22+J17*Scorecard!$D$23</f>
        <v>2.58311182171103</v>
      </c>
      <c r="D17" s="0" t="str">
        <f aca="false">IF(AND(B17&gt;=C17,B17&gt;=K17),"A. Distribution",IF(C17&gt;=K17,"B. Manufacturing","C. Prof. services"))</f>
        <v>C. Prof. services</v>
      </c>
      <c r="E17" s="39" t="n">
        <v>0.218925787308602</v>
      </c>
      <c r="F17" s="39" t="n">
        <v>0.12431230057688</v>
      </c>
      <c r="G17" s="39" t="n">
        <v>0.00932641039584411</v>
      </c>
      <c r="H17" s="39" t="n">
        <v>0.200696432949809</v>
      </c>
      <c r="I17" s="39" t="n">
        <v>0.130366930635561</v>
      </c>
      <c r="J17" s="39" t="n">
        <v>0.316372138133305</v>
      </c>
      <c r="K17" s="38" t="n">
        <f aca="false">E17*Scorecard!$E$18+F17*Scorecard!$E$19+G17*Scorecard!$E$20+H17*Scorecard!$E$21+I17*Scorecard!$E$22+J17*Scorecard!$E$23</f>
        <v>3.6171924935912</v>
      </c>
      <c r="M17" s="0" t="str">
        <f aca="false">IF(AND(T17&gt;=U17,T17&gt;=V17),"A. Distribution",IF(U17&gt;=V17,"B. Manufacturing","C. Prof. services"))</f>
        <v>A. Distribution</v>
      </c>
      <c r="N17" s="39" t="n">
        <v>0.169280915172033</v>
      </c>
      <c r="O17" s="39" t="n">
        <v>0.155182834006925</v>
      </c>
      <c r="P17" s="39" t="n">
        <v>0.273694635042967</v>
      </c>
      <c r="Q17" s="39" t="n">
        <v>0.18650244601567</v>
      </c>
      <c r="R17" s="39" t="n">
        <v>0.0848144383758951</v>
      </c>
      <c r="S17" s="39" t="n">
        <v>0.13052473138651</v>
      </c>
      <c r="T17" s="38" t="n">
        <f aca="false">N17*Scorecard!$C$18+O17*Scorecard!$C$19+P17*Scorecard!$C$20+Q17*Scorecard!$C$21+R17*Scorecard!$C$22+S17*Scorecard!$C$23</f>
        <v>3.86044660502068</v>
      </c>
      <c r="U17" s="38" t="n">
        <f aca="false">N17*Scorecard!$D$18+O17*Scorecard!$D$19+P17*Scorecard!$D$20+Q17*Scorecard!$D$21+R17*Scorecard!$D$22+S17*Scorecard!$D$23</f>
        <v>2.52705983963871</v>
      </c>
      <c r="V17" s="38" t="n">
        <f aca="false">N17*Scorecard!$E$18+O17*Scorecard!$E$19+P17*Scorecard!$E$20+Q17*Scorecard!$E$21+R17*Scorecard!$E$22+S17*Scorecard!$E$23</f>
        <v>3.59275288162955</v>
      </c>
    </row>
    <row r="18" customFormat="false" ht="15" hidden="false" customHeight="false" outlineLevel="0" collapsed="false">
      <c r="A18" s="0" t="n">
        <v>13</v>
      </c>
      <c r="B18" s="38" t="n">
        <f aca="false">E18*Scorecard!$C$18+F18*Scorecard!$C$19+G18*Scorecard!$C$20+H18*Scorecard!$C$21+I18*Scorecard!$C$22+J18*Scorecard!$C$23</f>
        <v>3.76561116001051</v>
      </c>
      <c r="C18" s="38" t="n">
        <f aca="false">E18*Scorecard!$D$18+F18*Scorecard!$D$19+G18*Scorecard!$D$20+H18*Scorecard!$D$21+I18*Scorecard!$D$22+J18*Scorecard!$D$23</f>
        <v>3.12436064047877</v>
      </c>
      <c r="D18" s="0" t="str">
        <f aca="false">IF(AND(B18&gt;=C18,B18&gt;=K18),"A. Distribution",IF(C18&gt;=K18,"B. Manufacturing","C. Prof. services"))</f>
        <v>A. Distribution</v>
      </c>
      <c r="E18" s="39" t="n">
        <v>0.302274701293575</v>
      </c>
      <c r="F18" s="39" t="n">
        <v>0.0494950313176287</v>
      </c>
      <c r="G18" s="39" t="n">
        <v>0.00741537113714786</v>
      </c>
      <c r="H18" s="39" t="n">
        <v>0.137845240096909</v>
      </c>
      <c r="I18" s="39" t="n">
        <v>0.380588503244614</v>
      </c>
      <c r="J18" s="39" t="n">
        <v>0.122381152910126</v>
      </c>
      <c r="K18" s="38" t="n">
        <f aca="false">E18*Scorecard!$E$18+F18*Scorecard!$E$19+G18*Scorecard!$E$20+H18*Scorecard!$E$21+I18*Scorecard!$E$22+J18*Scorecard!$E$23</f>
        <v>3.17147326905582</v>
      </c>
      <c r="M18" s="0" t="str">
        <f aca="false">IF(AND(T18&gt;=U18,T18&gt;=V18),"A. Distribution",IF(U18&gt;=V18,"B. Manufacturing","C. Prof. services"))</f>
        <v>A. Distribution</v>
      </c>
      <c r="N18" s="39" t="n">
        <v>0.211323951332665</v>
      </c>
      <c r="O18" s="39" t="n">
        <v>0.155406781256268</v>
      </c>
      <c r="P18" s="39" t="n">
        <v>0.222997622614295</v>
      </c>
      <c r="Q18" s="39" t="n">
        <v>0.219975324440383</v>
      </c>
      <c r="R18" s="39" t="n">
        <v>0.115828292707355</v>
      </c>
      <c r="S18" s="39" t="n">
        <v>0.0744680276490344</v>
      </c>
      <c r="T18" s="38" t="n">
        <f aca="false">N18*Scorecard!$C$18+O18*Scorecard!$C$19+P18*Scorecard!$C$20+Q18*Scorecard!$C$21+R18*Scorecard!$C$22+S18*Scorecard!$C$23</f>
        <v>3.96580173780066</v>
      </c>
      <c r="U18" s="38" t="n">
        <f aca="false">N18*Scorecard!$D$18+O18*Scorecard!$D$19+P18*Scorecard!$D$20+Q18*Scorecard!$D$21+R18*Scorecard!$D$22+S18*Scorecard!$D$23</f>
        <v>2.69140764414717</v>
      </c>
      <c r="V18" s="38" t="n">
        <f aca="false">N18*Scorecard!$E$18+O18*Scorecard!$E$19+P18*Scorecard!$E$20+Q18*Scorecard!$E$21+R18*Scorecard!$E$22+S18*Scorecard!$E$23</f>
        <v>3.48079634117905</v>
      </c>
    </row>
    <row r="19" customFormat="false" ht="15" hidden="false" customHeight="false" outlineLevel="0" collapsed="false">
      <c r="A19" s="0" t="n">
        <v>14</v>
      </c>
      <c r="B19" s="38" t="n">
        <f aca="false">E19*Scorecard!$C$18+F19*Scorecard!$C$19+G19*Scorecard!$C$20+H19*Scorecard!$C$21+I19*Scorecard!$C$22+J19*Scorecard!$C$23</f>
        <v>4.05580825201719</v>
      </c>
      <c r="C19" s="38" t="n">
        <f aca="false">E19*Scorecard!$D$18+F19*Scorecard!$D$19+G19*Scorecard!$D$20+H19*Scorecard!$D$21+I19*Scorecard!$D$22+J19*Scorecard!$D$23</f>
        <v>3.02924379851107</v>
      </c>
      <c r="D19" s="0" t="str">
        <f aca="false">IF(AND(B19&gt;=C19,B19&gt;=K19),"A. Distribution",IF(C19&gt;=K19,"B. Manufacturing","C. Prof. services"))</f>
        <v>A. Distribution</v>
      </c>
      <c r="E19" s="39" t="n">
        <v>0.447335677308954</v>
      </c>
      <c r="F19" s="39" t="n">
        <v>0.158075734158754</v>
      </c>
      <c r="G19" s="39" t="n">
        <v>0.275838653953323</v>
      </c>
      <c r="H19" s="39" t="n">
        <v>0.0606224302773839</v>
      </c>
      <c r="I19" s="39" t="n">
        <v>0.0282173831806412</v>
      </c>
      <c r="J19" s="39" t="n">
        <v>0.0299101211209454</v>
      </c>
      <c r="K19" s="38" t="n">
        <f aca="false">E19*Scorecard!$E$18+F19*Scorecard!$E$19+G19*Scorecard!$E$20+H19*Scorecard!$E$21+I19*Scorecard!$E$22+J19*Scorecard!$E$23</f>
        <v>3.53546259061972</v>
      </c>
      <c r="M19" s="0" t="str">
        <f aca="false">IF(AND(T19&gt;=U19,T19&gt;=V19),"A. Distribution",IF(U19&gt;=V19,"B. Manufacturing","C. Prof. services"))</f>
        <v>A. Distribution</v>
      </c>
      <c r="N19" s="39" t="n">
        <v>0.217420907420785</v>
      </c>
      <c r="O19" s="39" t="n">
        <v>0.164389390120694</v>
      </c>
      <c r="P19" s="39" t="n">
        <v>0.221139180262512</v>
      </c>
      <c r="Q19" s="39" t="n">
        <v>0.154110858213654</v>
      </c>
      <c r="R19" s="39" t="n">
        <v>0.149800478595627</v>
      </c>
      <c r="S19" s="39" t="n">
        <v>0.0931391853867289</v>
      </c>
      <c r="T19" s="38" t="n">
        <f aca="false">N19*Scorecard!$C$18+O19*Scorecard!$C$19+P19*Scorecard!$C$20+Q19*Scorecard!$C$21+R19*Scorecard!$C$22+S19*Scorecard!$C$23</f>
        <v>3.94404946115271</v>
      </c>
      <c r="U19" s="38" t="n">
        <f aca="false">N19*Scorecard!$D$18+O19*Scorecard!$D$19+P19*Scorecard!$D$20+Q19*Scorecard!$D$21+R19*Scorecard!$D$22+S19*Scorecard!$D$23</f>
        <v>2.72521215743121</v>
      </c>
      <c r="V19" s="38" t="n">
        <f aca="false">N19*Scorecard!$E$18+O19*Scorecard!$E$19+P19*Scorecard!$E$20+Q19*Scorecard!$E$21+R19*Scorecard!$E$22+S19*Scorecard!$E$23</f>
        <v>3.44126670067542</v>
      </c>
    </row>
    <row r="20" customFormat="false" ht="15" hidden="false" customHeight="false" outlineLevel="0" collapsed="false">
      <c r="A20" s="0" t="n">
        <v>15</v>
      </c>
      <c r="B20" s="38" t="n">
        <f aca="false">E20*Scorecard!$C$18+F20*Scorecard!$C$19+G20*Scorecard!$C$20+H20*Scorecard!$C$21+I20*Scorecard!$C$22+J20*Scorecard!$C$23</f>
        <v>3.48805426855834</v>
      </c>
      <c r="C20" s="38" t="n">
        <f aca="false">E20*Scorecard!$D$18+F20*Scorecard!$D$19+G20*Scorecard!$D$20+H20*Scorecard!$D$21+I20*Scorecard!$D$22+J20*Scorecard!$D$23</f>
        <v>2.12177796717811</v>
      </c>
      <c r="D20" s="0" t="str">
        <f aca="false">IF(AND(B20&gt;=C20,B20&gt;=K20),"A. Distribution",IF(C20&gt;=K20,"B. Manufacturing","C. Prof. services"))</f>
        <v>C. Prof. services</v>
      </c>
      <c r="E20" s="39" t="n">
        <v>0.032165466002998</v>
      </c>
      <c r="F20" s="39" t="n">
        <v>0.0149435053324573</v>
      </c>
      <c r="G20" s="39" t="n">
        <v>0.469187052440312</v>
      </c>
      <c r="H20" s="39" t="n">
        <v>0.122617490267871</v>
      </c>
      <c r="I20" s="39" t="n">
        <v>0.105539151548868</v>
      </c>
      <c r="J20" s="39" t="n">
        <v>0.255547334407493</v>
      </c>
      <c r="K20" s="38" t="n">
        <f aca="false">E20*Scorecard!$E$18+F20*Scorecard!$E$19+G20*Scorecard!$E$20+H20*Scorecard!$E$21+I20*Scorecard!$E$22+J20*Scorecard!$E$23</f>
        <v>3.87781987887149</v>
      </c>
      <c r="M20" s="0" t="str">
        <f aca="false">IF(AND(T20&gt;=U20,T20&gt;=V20),"A. Distribution",IF(U20&gt;=V20,"B. Manufacturing","C. Prof. services"))</f>
        <v>A. Distribution</v>
      </c>
      <c r="N20" s="39" t="n">
        <v>0.102090074126626</v>
      </c>
      <c r="O20" s="39" t="n">
        <v>0.254477695062224</v>
      </c>
      <c r="P20" s="39" t="n">
        <v>0.132368194235153</v>
      </c>
      <c r="Q20" s="39" t="n">
        <v>0.236580031786584</v>
      </c>
      <c r="R20" s="39" t="n">
        <v>0.0766210894787378</v>
      </c>
      <c r="S20" s="39" t="n">
        <v>0.197862915310675</v>
      </c>
      <c r="T20" s="38" t="n">
        <f aca="false">N20*Scorecard!$C$18+O20*Scorecard!$C$19+P20*Scorecard!$C$20+Q20*Scorecard!$C$21+R20*Scorecard!$C$22+S20*Scorecard!$C$23</f>
        <v>3.82506374470045</v>
      </c>
      <c r="U20" s="38" t="n">
        <f aca="false">N20*Scorecard!$D$18+O20*Scorecard!$D$19+P20*Scorecard!$D$20+Q20*Scorecard!$D$21+R20*Scorecard!$D$22+S20*Scorecard!$D$23</f>
        <v>2.4137620742967</v>
      </c>
      <c r="V20" s="38" t="n">
        <f aca="false">N20*Scorecard!$E$18+O20*Scorecard!$E$19+P20*Scorecard!$E$20+Q20*Scorecard!$E$21+R20*Scorecard!$E$22+S20*Scorecard!$E$23</f>
        <v>3.53859521109762</v>
      </c>
    </row>
    <row r="21" customFormat="false" ht="15" hidden="false" customHeight="false" outlineLevel="0" collapsed="false">
      <c r="A21" s="0" t="n">
        <v>16</v>
      </c>
      <c r="B21" s="38" t="n">
        <f aca="false">E21*Scorecard!$C$18+F21*Scorecard!$C$19+G21*Scorecard!$C$20+H21*Scorecard!$C$21+I21*Scorecard!$C$22+J21*Scorecard!$C$23</f>
        <v>4.18072572805593</v>
      </c>
      <c r="C21" s="38" t="n">
        <f aca="false">E21*Scorecard!$D$18+F21*Scorecard!$D$19+G21*Scorecard!$D$20+H21*Scorecard!$D$21+I21*Scorecard!$D$22+J21*Scorecard!$D$23</f>
        <v>2.33496994268021</v>
      </c>
      <c r="D21" s="0" t="str">
        <f aca="false">IF(AND(B21&gt;=C21,B21&gt;=K21),"A. Distribution",IF(C21&gt;=K21,"B. Manufacturing","C. Prof. services"))</f>
        <v>A. Distribution</v>
      </c>
      <c r="E21" s="39" t="n">
        <v>0.0420035739745422</v>
      </c>
      <c r="F21" s="39" t="n">
        <v>0.430267706071402</v>
      </c>
      <c r="G21" s="39" t="n">
        <v>0.289782177788576</v>
      </c>
      <c r="H21" s="39" t="n">
        <v>0.073848116858759</v>
      </c>
      <c r="I21" s="39" t="n">
        <v>0.0449921909421793</v>
      </c>
      <c r="J21" s="39" t="n">
        <v>0.119106234364541</v>
      </c>
      <c r="K21" s="38" t="n">
        <f aca="false">E21*Scorecard!$E$18+F21*Scorecard!$E$19+G21*Scorecard!$E$20+H21*Scorecard!$E$21+I21*Scorecard!$E$22+J21*Scorecard!$E$23</f>
        <v>3.42505912449537</v>
      </c>
      <c r="M21" s="0" t="str">
        <f aca="false">IF(AND(T21&gt;=U21,T21&gt;=V21),"A. Distribution",IF(U21&gt;=V21,"B. Manufacturing","C. Prof. services"))</f>
        <v>A. Distribution</v>
      </c>
      <c r="N21" s="39" t="n">
        <v>0.194163851766989</v>
      </c>
      <c r="O21" s="39" t="n">
        <v>0.323479549112034</v>
      </c>
      <c r="P21" s="39" t="n">
        <v>0.238432033552079</v>
      </c>
      <c r="Q21" s="39" t="n">
        <v>0.0852500212923562</v>
      </c>
      <c r="R21" s="39" t="n">
        <v>0.0876369088759765</v>
      </c>
      <c r="S21" s="39" t="n">
        <v>0.0710376354005665</v>
      </c>
      <c r="T21" s="38" t="n">
        <f aca="false">N21*Scorecard!$C$18+O21*Scorecard!$C$19+P21*Scorecard!$C$20+Q21*Scorecard!$C$21+R21*Scorecard!$C$22+S21*Scorecard!$C$23</f>
        <v>4.15662974962358</v>
      </c>
      <c r="U21" s="38" t="n">
        <f aca="false">N21*Scorecard!$D$18+O21*Scorecard!$D$19+P21*Scorecard!$D$20+Q21*Scorecard!$D$21+R21*Scorecard!$D$22+S21*Scorecard!$D$23</f>
        <v>2.67048658953754</v>
      </c>
      <c r="V21" s="38" t="n">
        <f aca="false">N21*Scorecard!$E$18+O21*Scorecard!$E$19+P21*Scorecard!$E$20+Q21*Scorecard!$E$21+R21*Scorecard!$E$22+S21*Scorecard!$E$23</f>
        <v>3.37779593944725</v>
      </c>
    </row>
    <row r="22" customFormat="false" ht="15" hidden="false" customHeight="false" outlineLevel="0" collapsed="false">
      <c r="A22" s="0" t="n">
        <v>17</v>
      </c>
      <c r="B22" s="38" t="n">
        <f aca="false">E22*Scorecard!$C$18+F22*Scorecard!$C$19+G22*Scorecard!$C$20+H22*Scorecard!$C$21+I22*Scorecard!$C$22+J22*Scorecard!$C$23</f>
        <v>3.1205254997165</v>
      </c>
      <c r="C22" s="38" t="n">
        <f aca="false">E22*Scorecard!$D$18+F22*Scorecard!$D$19+G22*Scorecard!$D$20+H22*Scorecard!$D$21+I22*Scorecard!$D$22+J22*Scorecard!$D$23</f>
        <v>2.15482408109909</v>
      </c>
      <c r="D22" s="0" t="str">
        <f aca="false">IF(AND(B22&gt;=C22,B22&gt;=K22),"A. Distribution",IF(C22&gt;=K22,"B. Manufacturing","C. Prof. services"))</f>
        <v>C. Prof. services</v>
      </c>
      <c r="E22" s="39" t="n">
        <v>0.0421778773983996</v>
      </c>
      <c r="F22" s="39" t="n">
        <v>0.0104795736672638</v>
      </c>
      <c r="G22" s="39" t="n">
        <v>0.0696749756851718</v>
      </c>
      <c r="H22" s="39" t="n">
        <v>0.311580838509748</v>
      </c>
      <c r="I22" s="39" t="n">
        <v>0.139589369666993</v>
      </c>
      <c r="J22" s="39" t="n">
        <v>0.426497365072424</v>
      </c>
      <c r="K22" s="38" t="n">
        <f aca="false">E22*Scorecard!$E$18+F22*Scorecard!$E$19+G22*Scorecard!$E$20+H22*Scorecard!$E$21+I22*Scorecard!$E$22+J22*Scorecard!$E$23</f>
        <v>3.8450681139021</v>
      </c>
      <c r="M22" s="0" t="str">
        <f aca="false">IF(AND(T22&gt;=U22,T22&gt;=V22),"A. Distribution",IF(U22&gt;=V22,"B. Manufacturing","C. Prof. services"))</f>
        <v>A. Distribution</v>
      </c>
      <c r="N22" s="39" t="n">
        <v>0.163921466041149</v>
      </c>
      <c r="O22" s="39" t="n">
        <v>0.192363790358455</v>
      </c>
      <c r="P22" s="39" t="n">
        <v>0.224245497874335</v>
      </c>
      <c r="Q22" s="39" t="n">
        <v>0.133122420230902</v>
      </c>
      <c r="R22" s="39" t="n">
        <v>0.165324535093128</v>
      </c>
      <c r="S22" s="39" t="n">
        <v>0.121022290402032</v>
      </c>
      <c r="T22" s="38" t="n">
        <f aca="false">N22*Scorecard!$C$18+O22*Scorecard!$C$19+P22*Scorecard!$C$20+Q22*Scorecard!$C$21+R22*Scorecard!$C$22+S22*Scorecard!$C$23</f>
        <v>3.92281446531267</v>
      </c>
      <c r="U22" s="38" t="n">
        <f aca="false">N22*Scorecard!$D$18+O22*Scorecard!$D$19+P22*Scorecard!$D$20+Q22*Scorecard!$D$21+R22*Scorecard!$D$22+S22*Scorecard!$D$23</f>
        <v>2.63240896974255</v>
      </c>
      <c r="V22" s="38" t="n">
        <f aca="false">N22*Scorecard!$E$18+O22*Scorecard!$E$19+P22*Scorecard!$E$20+Q22*Scorecard!$E$21+R22*Scorecard!$E$22+S22*Scorecard!$E$23</f>
        <v>3.42950773593265</v>
      </c>
    </row>
    <row r="23" customFormat="false" ht="15" hidden="false" customHeight="false" outlineLevel="0" collapsed="false">
      <c r="A23" s="0" t="n">
        <v>18</v>
      </c>
      <c r="B23" s="38" t="n">
        <f aca="false">E23*Scorecard!$C$18+F23*Scorecard!$C$19+G23*Scorecard!$C$20+H23*Scorecard!$C$21+I23*Scorecard!$C$22+J23*Scorecard!$C$23</f>
        <v>4.01597036064541</v>
      </c>
      <c r="C23" s="38" t="n">
        <f aca="false">E23*Scorecard!$D$18+F23*Scorecard!$D$19+G23*Scorecard!$D$20+H23*Scorecard!$D$21+I23*Scorecard!$D$22+J23*Scorecard!$D$23</f>
        <v>2.8593971840796</v>
      </c>
      <c r="D23" s="0" t="str">
        <f aca="false">IF(AND(B23&gt;=C23,B23&gt;=K23),"A. Distribution",IF(C23&gt;=K23,"B. Manufacturing","C. Prof. services"))</f>
        <v>A. Distribution</v>
      </c>
      <c r="E23" s="39" t="n">
        <v>0.28462504280055</v>
      </c>
      <c r="F23" s="39" t="n">
        <v>0.155480385337681</v>
      </c>
      <c r="G23" s="39" t="n">
        <v>0.257388045621171</v>
      </c>
      <c r="H23" s="39" t="n">
        <v>0.101104089484023</v>
      </c>
      <c r="I23" s="39" t="n">
        <v>0.148520249832369</v>
      </c>
      <c r="J23" s="39" t="n">
        <v>0.0528821869242065</v>
      </c>
      <c r="K23" s="38" t="n">
        <f aca="false">E23*Scorecard!$E$18+F23*Scorecard!$E$19+G23*Scorecard!$E$20+H23*Scorecard!$E$21+I23*Scorecard!$E$22+J23*Scorecard!$E$23</f>
        <v>3.41765710822332</v>
      </c>
      <c r="M23" s="0" t="str">
        <f aca="false">IF(AND(T23&gt;=U23,T23&gt;=V23),"A. Distribution",IF(U23&gt;=V23,"B. Manufacturing","C. Prof. services"))</f>
        <v>A. Distribution</v>
      </c>
      <c r="N23" s="39" t="n">
        <v>0.151639842160208</v>
      </c>
      <c r="O23" s="39" t="n">
        <v>0.215003010092352</v>
      </c>
      <c r="P23" s="39" t="n">
        <v>0.234489457256114</v>
      </c>
      <c r="Q23" s="39" t="n">
        <v>0.152939976708578</v>
      </c>
      <c r="R23" s="39" t="n">
        <v>0.157026880328791</v>
      </c>
      <c r="S23" s="39" t="n">
        <v>0.0889008334539582</v>
      </c>
      <c r="T23" s="38" t="n">
        <f aca="false">N23*Scorecard!$C$18+O23*Scorecard!$C$19+P23*Scorecard!$C$20+Q23*Scorecard!$C$21+R23*Scorecard!$C$22+S23*Scorecard!$C$23</f>
        <v>4.00854729753769</v>
      </c>
      <c r="U23" s="38" t="n">
        <f aca="false">N23*Scorecard!$D$18+O23*Scorecard!$D$19+P23*Scorecard!$D$20+Q23*Scorecard!$D$21+R23*Scorecard!$D$22+S23*Scorecard!$D$23</f>
        <v>2.63034349660378</v>
      </c>
      <c r="V23" s="38" t="n">
        <f aca="false">N23*Scorecard!$E$18+O23*Scorecard!$E$19+P23*Scorecard!$E$20+Q23*Scorecard!$E$21+R23*Scorecard!$E$22+S23*Scorecard!$E$23</f>
        <v>3.39987234498485</v>
      </c>
    </row>
    <row r="24" customFormat="false" ht="15" hidden="false" customHeight="false" outlineLevel="0" collapsed="false">
      <c r="A24" s="0" t="n">
        <v>19</v>
      </c>
      <c r="B24" s="38" t="n">
        <f aca="false">E24*Scorecard!$C$18+F24*Scorecard!$C$19+G24*Scorecard!$C$20+H24*Scorecard!$C$21+I24*Scorecard!$C$22+J24*Scorecard!$C$23</f>
        <v>4.04334734251505</v>
      </c>
      <c r="C24" s="38" t="n">
        <f aca="false">E24*Scorecard!$D$18+F24*Scorecard!$D$19+G24*Scorecard!$D$20+H24*Scorecard!$D$21+I24*Scorecard!$D$22+J24*Scorecard!$D$23</f>
        <v>2.39407666817801</v>
      </c>
      <c r="D24" s="0" t="str">
        <f aca="false">IF(AND(B24&gt;=C24,B24&gt;=K24),"A. Distribution",IF(C24&gt;=K24,"B. Manufacturing","C. Prof. services"))</f>
        <v>A. Distribution</v>
      </c>
      <c r="E24" s="39" t="n">
        <v>0.0551785502577999</v>
      </c>
      <c r="F24" s="39" t="n">
        <v>0.540293080639717</v>
      </c>
      <c r="G24" s="39" t="n">
        <v>0.0353415567955994</v>
      </c>
      <c r="H24" s="39" t="n">
        <v>0.0473307399269781</v>
      </c>
      <c r="I24" s="39" t="n">
        <v>0.0781482146558023</v>
      </c>
      <c r="J24" s="39" t="n">
        <v>0.243707857724103</v>
      </c>
      <c r="K24" s="38" t="n">
        <f aca="false">E24*Scorecard!$E$18+F24*Scorecard!$E$19+G24*Scorecard!$E$20+H24*Scorecard!$E$21+I24*Scorecard!$E$22+J24*Scorecard!$E$23</f>
        <v>3.30265817563768</v>
      </c>
      <c r="M24" s="0" t="str">
        <f aca="false">IF(AND(T24&gt;=U24,T24&gt;=V24),"A. Distribution",IF(U24&gt;=V24,"B. Manufacturing","C. Prof. services"))</f>
        <v>A. Distribution</v>
      </c>
      <c r="N24" s="39" t="n">
        <v>0.336338408418777</v>
      </c>
      <c r="O24" s="39" t="n">
        <v>0.215165106497526</v>
      </c>
      <c r="P24" s="39" t="n">
        <v>0.164278981983533</v>
      </c>
      <c r="Q24" s="39" t="n">
        <v>0.161281855775316</v>
      </c>
      <c r="R24" s="39" t="n">
        <v>0.082414859753112</v>
      </c>
      <c r="S24" s="39" t="n">
        <v>0.0405207875717366</v>
      </c>
      <c r="T24" s="38" t="n">
        <f aca="false">N24*Scorecard!$C$18+O24*Scorecard!$C$19+P24*Scorecard!$C$20+Q24*Scorecard!$C$21+R24*Scorecard!$C$22+S24*Scorecard!$C$23</f>
        <v>4.08974179169287</v>
      </c>
      <c r="U24" s="38" t="n">
        <f aca="false">N24*Scorecard!$D$18+O24*Scorecard!$D$19+P24*Scorecard!$D$20+Q24*Scorecard!$D$21+R24*Scorecard!$D$22+S24*Scorecard!$D$23</f>
        <v>2.93128306227665</v>
      </c>
      <c r="V24" s="38" t="n">
        <f aca="false">N24*Scorecard!$E$18+O24*Scorecard!$E$19+P24*Scorecard!$E$20+Q24*Scorecard!$E$21+R24*Scorecard!$E$22+S24*Scorecard!$E$23</f>
        <v>3.40476669376542</v>
      </c>
    </row>
    <row r="25" customFormat="false" ht="15" hidden="false" customHeight="false" outlineLevel="0" collapsed="false">
      <c r="A25" s="0" t="n">
        <v>20</v>
      </c>
      <c r="B25" s="38" t="n">
        <f aca="false">E25*Scorecard!$C$18+F25*Scorecard!$C$19+G25*Scorecard!$C$20+H25*Scorecard!$C$21+I25*Scorecard!$C$22+J25*Scorecard!$C$23</f>
        <v>4.02332067558044</v>
      </c>
      <c r="C25" s="38" t="n">
        <f aca="false">E25*Scorecard!$D$18+F25*Scorecard!$D$19+G25*Scorecard!$D$20+H25*Scorecard!$D$21+I25*Scorecard!$D$22+J25*Scorecard!$D$23</f>
        <v>2.50907284690631</v>
      </c>
      <c r="D25" s="0" t="str">
        <f aca="false">IF(AND(B25&gt;=C25,B25&gt;=K25),"A. Distribution",IF(C25&gt;=K25,"B. Manufacturing","C. Prof. services"))</f>
        <v>A. Distribution</v>
      </c>
      <c r="E25" s="39" t="n">
        <v>0.0673783553486623</v>
      </c>
      <c r="F25" s="39" t="n">
        <v>0.111442676919822</v>
      </c>
      <c r="G25" s="39" t="n">
        <v>0.351639945798284</v>
      </c>
      <c r="H25" s="39" t="n">
        <v>0.251011999424148</v>
      </c>
      <c r="I25" s="39" t="n">
        <v>0.19069416227744</v>
      </c>
      <c r="J25" s="39" t="n">
        <v>0.0278328602316439</v>
      </c>
      <c r="K25" s="38" t="n">
        <f aca="false">E25*Scorecard!$E$18+F25*Scorecard!$E$19+G25*Scorecard!$E$20+H25*Scorecard!$E$21+I25*Scorecard!$E$22+J25*Scorecard!$E$23</f>
        <v>3.44707674946639</v>
      </c>
      <c r="M25" s="0" t="str">
        <f aca="false">IF(AND(T25&gt;=U25,T25&gt;=V25),"A. Distribution",IF(U25&gt;=V25,"B. Manufacturing","C. Prof. services"))</f>
        <v>A. Distribution</v>
      </c>
      <c r="N25" s="39" t="n">
        <v>0.255398494941482</v>
      </c>
      <c r="O25" s="39" t="n">
        <v>0.315233950685961</v>
      </c>
      <c r="P25" s="39" t="n">
        <v>0.156846862305065</v>
      </c>
      <c r="Q25" s="39" t="n">
        <v>0.20020901357249</v>
      </c>
      <c r="R25" s="39" t="n">
        <v>0.0508544270646606</v>
      </c>
      <c r="S25" s="39" t="n">
        <v>0.0214572514303404</v>
      </c>
      <c r="T25" s="38" t="n">
        <f aca="false">N25*Scorecard!$C$18+O25*Scorecard!$C$19+P25*Scorecard!$C$20+Q25*Scorecard!$C$21+R25*Scorecard!$C$22+S25*Scorecard!$C$23</f>
        <v>4.23024168843565</v>
      </c>
      <c r="U25" s="38" t="n">
        <f aca="false">N25*Scorecard!$D$18+O25*Scorecard!$D$19+P25*Scorecard!$D$20+Q25*Scorecard!$D$21+R25*Scorecard!$D$22+S25*Scorecard!$D$23</f>
        <v>2.79936305720948</v>
      </c>
      <c r="V25" s="38" t="n">
        <f aca="false">N25*Scorecard!$E$18+O25*Scorecard!$E$19+P25*Scorecard!$E$20+Q25*Scorecard!$E$21+R25*Scorecard!$E$22+S25*Scorecard!$E$23</f>
        <v>3.35595041983964</v>
      </c>
    </row>
    <row r="26" customFormat="false" ht="15" hidden="false" customHeight="false" outlineLevel="0" collapsed="false">
      <c r="A26" s="0" t="n">
        <v>21</v>
      </c>
      <c r="B26" s="38" t="n">
        <f aca="false">E26*Scorecard!$C$18+F26*Scorecard!$C$19+G26*Scorecard!$C$20+H26*Scorecard!$C$21+I26*Scorecard!$C$22+J26*Scorecard!$C$23</f>
        <v>3.51971005135316</v>
      </c>
      <c r="C26" s="38" t="n">
        <f aca="false">E26*Scorecard!$D$18+F26*Scorecard!$D$19+G26*Scorecard!$D$20+H26*Scorecard!$D$21+I26*Scorecard!$D$22+J26*Scorecard!$D$23</f>
        <v>2.76145175011208</v>
      </c>
      <c r="D26" s="0" t="str">
        <f aca="false">IF(AND(B26&gt;=C26,B26&gt;=K26),"A. Distribution",IF(C26&gt;=K26,"B. Manufacturing","C. Prof. services"))</f>
        <v>C. Prof. services</v>
      </c>
      <c r="E26" s="39" t="n">
        <v>0.377266843484312</v>
      </c>
      <c r="F26" s="39" t="n">
        <v>0.144153848570571</v>
      </c>
      <c r="G26" s="39" t="n">
        <v>0.039255994322922</v>
      </c>
      <c r="H26" s="39" t="n">
        <v>0.126691968510989</v>
      </c>
      <c r="I26" s="39" t="n">
        <v>0.0223797819721063</v>
      </c>
      <c r="J26" s="39" t="n">
        <v>0.290251563139099</v>
      </c>
      <c r="K26" s="38" t="n">
        <f aca="false">E26*Scorecard!$E$18+F26*Scorecard!$E$19+G26*Scorecard!$E$20+H26*Scorecard!$E$21+I26*Scorecard!$E$22+J26*Scorecard!$E$23</f>
        <v>3.70542998410991</v>
      </c>
      <c r="M26" s="0" t="str">
        <f aca="false">IF(AND(T26&gt;=U26,T26&gt;=V26),"A. Distribution",IF(U26&gt;=V26,"B. Manufacturing","C. Prof. services"))</f>
        <v>A. Distribution</v>
      </c>
      <c r="N26" s="39" t="n">
        <v>0.252610023850587</v>
      </c>
      <c r="O26" s="39" t="n">
        <v>0.194757525324691</v>
      </c>
      <c r="P26" s="39" t="n">
        <v>0.1600294382612</v>
      </c>
      <c r="Q26" s="39" t="n">
        <v>0.243087715401552</v>
      </c>
      <c r="R26" s="39" t="n">
        <v>0.110462583108785</v>
      </c>
      <c r="S26" s="39" t="n">
        <v>0.0390527140531856</v>
      </c>
      <c r="T26" s="38" t="n">
        <f aca="false">N26*Scorecard!$C$18+O26*Scorecard!$C$19+P26*Scorecard!$C$20+Q26*Scorecard!$C$21+R26*Scorecard!$C$22+S26*Scorecard!$C$23</f>
        <v>4.07017800988751</v>
      </c>
      <c r="U26" s="38" t="n">
        <f aca="false">N26*Scorecard!$D$18+O26*Scorecard!$D$19+P26*Scorecard!$D$20+Q26*Scorecard!$D$21+R26*Scorecard!$D$22+S26*Scorecard!$D$23</f>
        <v>2.81310035886218</v>
      </c>
      <c r="V26" s="38" t="n">
        <f aca="false">N26*Scorecard!$E$18+O26*Scorecard!$E$19+P26*Scorecard!$E$20+Q26*Scorecard!$E$21+R26*Scorecard!$E$22+S26*Scorecard!$E$23</f>
        <v>3.3967885819665</v>
      </c>
    </row>
    <row r="27" customFormat="false" ht="15" hidden="false" customHeight="false" outlineLevel="0" collapsed="false">
      <c r="A27" s="0" t="n">
        <v>22</v>
      </c>
      <c r="B27" s="38" t="n">
        <f aca="false">E27*Scorecard!$C$18+F27*Scorecard!$C$19+G27*Scorecard!$C$20+H27*Scorecard!$C$21+I27*Scorecard!$C$22+J27*Scorecard!$C$23</f>
        <v>3.51807753368974</v>
      </c>
      <c r="C27" s="38" t="n">
        <f aca="false">E27*Scorecard!$D$18+F27*Scorecard!$D$19+G27*Scorecard!$D$20+H27*Scorecard!$D$21+I27*Scorecard!$D$22+J27*Scorecard!$D$23</f>
        <v>2.51327904755621</v>
      </c>
      <c r="D27" s="0" t="str">
        <f aca="false">IF(AND(B27&gt;=C27,B27&gt;=K27),"A. Distribution",IF(C27&gt;=K27,"B. Manufacturing","C. Prof. services"))</f>
        <v>C. Prof. services</v>
      </c>
      <c r="E27" s="39" t="n">
        <v>0.153333879130841</v>
      </c>
      <c r="F27" s="39" t="n">
        <v>0.0464415449111866</v>
      </c>
      <c r="G27" s="39" t="n">
        <v>0.0072339294492217</v>
      </c>
      <c r="H27" s="39" t="n">
        <v>0.430694348023913</v>
      </c>
      <c r="I27" s="39" t="n">
        <v>0.127473418325606</v>
      </c>
      <c r="J27" s="39" t="n">
        <v>0.234822880159232</v>
      </c>
      <c r="K27" s="38" t="n">
        <f aca="false">E27*Scorecard!$E$18+F27*Scorecard!$E$19+G27*Scorecard!$E$20+H27*Scorecard!$E$21+I27*Scorecard!$E$22+J27*Scorecard!$E$23</f>
        <v>3.63189778875604</v>
      </c>
      <c r="M27" s="0" t="str">
        <f aca="false">IF(AND(T27&gt;=U27,T27&gt;=V27),"A. Distribution",IF(U27&gt;=V27,"B. Manufacturing","C. Prof. services"))</f>
        <v>A. Distribution</v>
      </c>
      <c r="N27" s="39" t="n">
        <v>0.0946778939739894</v>
      </c>
      <c r="O27" s="39" t="n">
        <v>0.187394188497347</v>
      </c>
      <c r="P27" s="39" t="n">
        <v>0.201479326776207</v>
      </c>
      <c r="Q27" s="39" t="n">
        <v>0.124303759124552</v>
      </c>
      <c r="R27" s="39" t="n">
        <v>0.209166142852753</v>
      </c>
      <c r="S27" s="39" t="n">
        <v>0.182978688775152</v>
      </c>
      <c r="T27" s="38" t="n">
        <f aca="false">N27*Scorecard!$C$18+O27*Scorecard!$C$19+P27*Scorecard!$C$20+Q27*Scorecard!$C$21+R27*Scorecard!$C$22+S27*Scorecard!$C$23</f>
        <v>3.80044162548689</v>
      </c>
      <c r="U27" s="38" t="n">
        <f aca="false">N27*Scorecard!$D$18+O27*Scorecard!$D$19+P27*Scorecard!$D$20+Q27*Scorecard!$D$21+R27*Scorecard!$D$22+S27*Scorecard!$D$23</f>
        <v>2.51457189303391</v>
      </c>
      <c r="V27" s="38" t="n">
        <f aca="false">N27*Scorecard!$E$18+O27*Scorecard!$E$19+P27*Scorecard!$E$20+Q27*Scorecard!$E$21+R27*Scorecard!$E$22+S27*Scorecard!$E$23</f>
        <v>3.43086203608066</v>
      </c>
    </row>
    <row r="28" customFormat="false" ht="15" hidden="false" customHeight="false" outlineLevel="0" collapsed="false">
      <c r="A28" s="0" t="n">
        <v>23</v>
      </c>
      <c r="B28" s="38" t="n">
        <f aca="false">E28*Scorecard!$C$18+F28*Scorecard!$C$19+G28*Scorecard!$C$20+H28*Scorecard!$C$21+I28*Scorecard!$C$22+J28*Scorecard!$C$23</f>
        <v>4.02947158054449</v>
      </c>
      <c r="C28" s="38" t="n">
        <f aca="false">E28*Scorecard!$D$18+F28*Scorecard!$D$19+G28*Scorecard!$D$20+H28*Scorecard!$D$21+I28*Scorecard!$D$22+J28*Scorecard!$D$23</f>
        <v>2.86478425441631</v>
      </c>
      <c r="D28" s="0" t="str">
        <f aca="false">IF(AND(B28&gt;=C28,B28&gt;=K28),"A. Distribution",IF(C28&gt;=K28,"B. Manufacturing","C. Prof. services"))</f>
        <v>A. Distribution</v>
      </c>
      <c r="E28" s="39" t="n">
        <v>0.035748562702659</v>
      </c>
      <c r="F28" s="39" t="n">
        <v>0.169869019466361</v>
      </c>
      <c r="G28" s="39" t="n">
        <v>0.166309366174608</v>
      </c>
      <c r="H28" s="39" t="n">
        <v>0.00943704595673597</v>
      </c>
      <c r="I28" s="39" t="n">
        <v>0.550380778207278</v>
      </c>
      <c r="J28" s="39" t="n">
        <v>0.0682552274923581</v>
      </c>
      <c r="K28" s="38" t="n">
        <f aca="false">E28*Scorecard!$E$18+F28*Scorecard!$E$19+G28*Scorecard!$E$20+H28*Scorecard!$E$21+I28*Scorecard!$E$22+J28*Scorecard!$E$23</f>
        <v>2.89278256547877</v>
      </c>
      <c r="M28" s="0" t="str">
        <f aca="false">IF(AND(T28&gt;=U28,T28&gt;=V28),"A. Distribution",IF(U28&gt;=V28,"B. Manufacturing","C. Prof. services"))</f>
        <v>A. Distribution</v>
      </c>
      <c r="N28" s="39" t="n">
        <v>0.174929544736163</v>
      </c>
      <c r="O28" s="39" t="n">
        <v>0.0899195835864449</v>
      </c>
      <c r="P28" s="39" t="n">
        <v>0.22720812033511</v>
      </c>
      <c r="Q28" s="39" t="n">
        <v>0.250295246566927</v>
      </c>
      <c r="R28" s="39" t="n">
        <v>0.126600749859097</v>
      </c>
      <c r="S28" s="39" t="n">
        <v>0.131046754916259</v>
      </c>
      <c r="T28" s="38" t="n">
        <f aca="false">N28*Scorecard!$C$18+O28*Scorecard!$C$19+P28*Scorecard!$C$20+Q28*Scorecard!$C$21+R28*Scorecard!$C$22+S28*Scorecard!$C$23</f>
        <v>3.78681208561439</v>
      </c>
      <c r="U28" s="38" t="n">
        <f aca="false">N28*Scorecard!$D$18+O28*Scorecard!$D$19+P28*Scorecard!$D$20+Q28*Scorecard!$D$21+R28*Scorecard!$D$22+S28*Scorecard!$D$23</f>
        <v>2.5780086382188</v>
      </c>
      <c r="V28" s="38" t="n">
        <f aca="false">N28*Scorecard!$E$18+O28*Scorecard!$E$19+P28*Scorecard!$E$20+Q28*Scorecard!$E$21+R28*Scorecard!$E$22+S28*Scorecard!$E$23</f>
        <v>3.57769611968226</v>
      </c>
    </row>
    <row r="29" customFormat="false" ht="15" hidden="false" customHeight="false" outlineLevel="0" collapsed="false">
      <c r="A29" s="0" t="n">
        <v>24</v>
      </c>
      <c r="B29" s="38" t="n">
        <f aca="false">E29*Scorecard!$C$18+F29*Scorecard!$C$19+G29*Scorecard!$C$20+H29*Scorecard!$C$21+I29*Scorecard!$C$22+J29*Scorecard!$C$23</f>
        <v>3.83451748404366</v>
      </c>
      <c r="C29" s="38" t="n">
        <f aca="false">E29*Scorecard!$D$18+F29*Scorecard!$D$19+G29*Scorecard!$D$20+H29*Scorecard!$D$21+I29*Scorecard!$D$22+J29*Scorecard!$D$23</f>
        <v>2.99452620119731</v>
      </c>
      <c r="D29" s="0" t="str">
        <f aca="false">IF(AND(B29&gt;=C29,B29&gt;=K29),"A. Distribution",IF(C29&gt;=K29,"B. Manufacturing","C. Prof. services"))</f>
        <v>A. Distribution</v>
      </c>
      <c r="E29" s="39" t="n">
        <v>0.280193765507553</v>
      </c>
      <c r="F29" s="39" t="n">
        <v>0.0488517370236549</v>
      </c>
      <c r="G29" s="39" t="n">
        <v>0.197216202058498</v>
      </c>
      <c r="H29" s="39" t="n">
        <v>0.0573800876487633</v>
      </c>
      <c r="I29" s="39" t="n">
        <v>0.323530376791378</v>
      </c>
      <c r="J29" s="39" t="n">
        <v>0.0928278309701527</v>
      </c>
      <c r="K29" s="38" t="n">
        <f aca="false">E29*Scorecard!$E$18+F29*Scorecard!$E$19+G29*Scorecard!$E$20+H29*Scorecard!$E$21+I29*Scorecard!$E$22+J29*Scorecard!$E$23</f>
        <v>3.28992306605478</v>
      </c>
      <c r="M29" s="0" t="str">
        <f aca="false">IF(AND(T29&gt;=U29,T29&gt;=V29),"A. Distribution",IF(U29&gt;=V29,"B. Manufacturing","C. Prof. services"))</f>
        <v>A. Distribution</v>
      </c>
      <c r="N29" s="39" t="n">
        <v>0.0940370920370558</v>
      </c>
      <c r="O29" s="39" t="n">
        <v>0.169781371685647</v>
      </c>
      <c r="P29" s="39" t="n">
        <v>0.190024928058298</v>
      </c>
      <c r="Q29" s="39" t="n">
        <v>0.129494701894571</v>
      </c>
      <c r="R29" s="39" t="n">
        <v>0.258624444142112</v>
      </c>
      <c r="S29" s="39" t="n">
        <v>0.158037462182316</v>
      </c>
      <c r="T29" s="38" t="n">
        <f aca="false">N29*Scorecard!$C$18+O29*Scorecard!$C$19+P29*Scorecard!$C$20+Q29*Scorecard!$C$21+R29*Scorecard!$C$22+S29*Scorecard!$C$23</f>
        <v>3.83220338265024</v>
      </c>
      <c r="U29" s="38" t="n">
        <f aca="false">N29*Scorecard!$D$18+O29*Scorecard!$D$19+P29*Scorecard!$D$20+Q29*Scorecard!$D$21+R29*Scorecard!$D$22+S29*Scorecard!$D$23</f>
        <v>2.58387425848445</v>
      </c>
      <c r="V29" s="38" t="n">
        <f aca="false">N29*Scorecard!$E$18+O29*Scorecard!$E$19+P29*Scorecard!$E$20+Q29*Scorecard!$E$21+R29*Scorecard!$E$22+S29*Scorecard!$E$23</f>
        <v>3.35563652054769</v>
      </c>
    </row>
    <row r="30" customFormat="false" ht="15" hidden="false" customHeight="false" outlineLevel="0" collapsed="false">
      <c r="A30" s="0" t="n">
        <v>25</v>
      </c>
      <c r="B30" s="38" t="n">
        <f aca="false">E30*Scorecard!$C$18+F30*Scorecard!$C$19+G30*Scorecard!$C$20+H30*Scorecard!$C$21+I30*Scorecard!$C$22+J30*Scorecard!$C$23</f>
        <v>4.112510253544</v>
      </c>
      <c r="C30" s="38" t="n">
        <f aca="false">E30*Scorecard!$D$18+F30*Scorecard!$D$19+G30*Scorecard!$D$20+H30*Scorecard!$D$21+I30*Scorecard!$D$22+J30*Scorecard!$D$23</f>
        <v>2.8810724331984</v>
      </c>
      <c r="D30" s="0" t="str">
        <f aca="false">IF(AND(B30&gt;=C30,B30&gt;=K30),"A. Distribution",IF(C30&gt;=K30,"B. Manufacturing","C. Prof. services"))</f>
        <v>A. Distribution</v>
      </c>
      <c r="E30" s="39" t="n">
        <v>0.245408577670798</v>
      </c>
      <c r="F30" s="39" t="n">
        <v>0.166337461349175</v>
      </c>
      <c r="G30" s="39" t="n">
        <v>0.237348860788456</v>
      </c>
      <c r="H30" s="39" t="n">
        <v>0.148770529879001</v>
      </c>
      <c r="I30" s="39" t="n">
        <v>0.193087553599321</v>
      </c>
      <c r="J30" s="39" t="n">
        <v>0.00904701671324871</v>
      </c>
      <c r="K30" s="38" t="n">
        <f aca="false">E30*Scorecard!$E$18+F30*Scorecard!$E$19+G30*Scorecard!$E$20+H30*Scorecard!$E$21+I30*Scorecard!$E$22+J30*Scorecard!$E$23</f>
        <v>3.31249814599615</v>
      </c>
      <c r="M30" s="0" t="str">
        <f aca="false">IF(AND(T30&gt;=U30,T30&gt;=V30),"A. Distribution",IF(U30&gt;=V30,"B. Manufacturing","C. Prof. services"))</f>
        <v>A. Distribution</v>
      </c>
      <c r="N30" s="39" t="n">
        <v>0.242020657552645</v>
      </c>
      <c r="O30" s="39" t="n">
        <v>0.274401186823565</v>
      </c>
      <c r="P30" s="39" t="n">
        <v>0.202423974468075</v>
      </c>
      <c r="Q30" s="39" t="n">
        <v>0.131272055542434</v>
      </c>
      <c r="R30" s="39" t="n">
        <v>0.10837628129969</v>
      </c>
      <c r="S30" s="39" t="n">
        <v>0.0415058443135908</v>
      </c>
      <c r="T30" s="38" t="n">
        <f aca="false">N30*Scorecard!$C$18+O30*Scorecard!$C$19+P30*Scorecard!$C$20+Q30*Scorecard!$C$21+R30*Scorecard!$C$22+S30*Scorecard!$C$23</f>
        <v>4.15781379986521</v>
      </c>
      <c r="U30" s="38" t="n">
        <f aca="false">N30*Scorecard!$D$18+O30*Scorecard!$D$19+P30*Scorecard!$D$20+Q30*Scorecard!$D$21+R30*Scorecard!$D$22+S30*Scorecard!$D$23</f>
        <v>2.7971825704875</v>
      </c>
      <c r="V30" s="38" t="n">
        <f aca="false">N30*Scorecard!$E$18+O30*Scorecard!$E$19+P30*Scorecard!$E$20+Q30*Scorecard!$E$21+R30*Scorecard!$E$22+S30*Scorecard!$E$23</f>
        <v>3.34815179559505</v>
      </c>
    </row>
    <row r="31" customFormat="false" ht="15" hidden="false" customHeight="false" outlineLevel="0" collapsed="false">
      <c r="A31" s="0" t="n">
        <v>26</v>
      </c>
      <c r="B31" s="38" t="n">
        <f aca="false">E31*Scorecard!$C$18+F31*Scorecard!$C$19+G31*Scorecard!$C$20+H31*Scorecard!$C$21+I31*Scorecard!$C$22+J31*Scorecard!$C$23</f>
        <v>3.67794158170127</v>
      </c>
      <c r="C31" s="38" t="n">
        <f aca="false">E31*Scorecard!$D$18+F31*Scorecard!$D$19+G31*Scorecard!$D$20+H31*Scorecard!$D$21+I31*Scorecard!$D$22+J31*Scorecard!$D$23</f>
        <v>2.39587140690128</v>
      </c>
      <c r="D31" s="0" t="str">
        <f aca="false">IF(AND(B31&gt;=C31,B31&gt;=K31),"A. Distribution",IF(C31&gt;=K31,"B. Manufacturing","C. Prof. services"))</f>
        <v>A. Distribution</v>
      </c>
      <c r="E31" s="39" t="n">
        <v>0.143862036120063</v>
      </c>
      <c r="F31" s="39" t="n">
        <v>0.22742745491623</v>
      </c>
      <c r="G31" s="39" t="n">
        <v>0.052647274635091</v>
      </c>
      <c r="H31" s="39" t="n">
        <v>0.308482801276877</v>
      </c>
      <c r="I31" s="39" t="n">
        <v>0.0152322071082772</v>
      </c>
      <c r="J31" s="39" t="n">
        <v>0.252348225943462</v>
      </c>
      <c r="K31" s="38" t="n">
        <f aca="false">E31*Scorecard!$E$18+F31*Scorecard!$E$19+G31*Scorecard!$E$20+H31*Scorecard!$E$21+I31*Scorecard!$E$22+J31*Scorecard!$E$23</f>
        <v>3.65608742463792</v>
      </c>
      <c r="M31" s="0" t="str">
        <f aca="false">IF(AND(T31&gt;=U31,T31&gt;=V31),"A. Distribution",IF(U31&gt;=V31,"B. Manufacturing","C. Prof. services"))</f>
        <v>A. Distribution</v>
      </c>
      <c r="N31" s="39" t="n">
        <v>0.251165333797842</v>
      </c>
      <c r="O31" s="39" t="n">
        <v>0.297628660195719</v>
      </c>
      <c r="P31" s="39" t="n">
        <v>0.14380746489735</v>
      </c>
      <c r="Q31" s="39" t="n">
        <v>0.107533203653063</v>
      </c>
      <c r="R31" s="39" t="n">
        <v>0.137894440143611</v>
      </c>
      <c r="S31" s="39" t="n">
        <v>0.0619708973124152</v>
      </c>
      <c r="T31" s="38" t="n">
        <f aca="false">N31*Scorecard!$C$18+O31*Scorecard!$C$19+P31*Scorecard!$C$20+Q31*Scorecard!$C$21+R31*Scorecard!$C$22+S31*Scorecard!$C$23</f>
        <v>4.14193484592551</v>
      </c>
      <c r="U31" s="38" t="n">
        <f aca="false">N31*Scorecard!$D$18+O31*Scorecard!$D$19+P31*Scorecard!$D$20+Q31*Scorecard!$D$21+R31*Scorecard!$D$22+S31*Scorecard!$D$23</f>
        <v>2.85017745657057</v>
      </c>
      <c r="V31" s="38" t="n">
        <f aca="false">N31*Scorecard!$E$18+O31*Scorecard!$E$19+P31*Scorecard!$E$20+Q31*Scorecard!$E$21+R31*Scorecard!$E$22+S31*Scorecard!$E$23</f>
        <v>3.28461193163769</v>
      </c>
    </row>
    <row r="32" customFormat="false" ht="15" hidden="false" customHeight="false" outlineLevel="0" collapsed="false">
      <c r="A32" s="0" t="n">
        <v>27</v>
      </c>
      <c r="B32" s="38" t="n">
        <f aca="false">E32*Scorecard!$C$18+F32*Scorecard!$C$19+G32*Scorecard!$C$20+H32*Scorecard!$C$21+I32*Scorecard!$C$22+J32*Scorecard!$C$23</f>
        <v>3.59860637619354</v>
      </c>
      <c r="C32" s="38" t="n">
        <f aca="false">E32*Scorecard!$D$18+F32*Scorecard!$D$19+G32*Scorecard!$D$20+H32*Scorecard!$D$21+I32*Scorecard!$D$22+J32*Scorecard!$D$23</f>
        <v>2.13876947482731</v>
      </c>
      <c r="D32" s="0" t="str">
        <f aca="false">IF(AND(B32&gt;=C32,B32&gt;=K32),"A. Distribution",IF(C32&gt;=K32,"B. Manufacturing","C. Prof. services"))</f>
        <v>C. Prof. services</v>
      </c>
      <c r="E32" s="39" t="n">
        <v>0.0710180883907535</v>
      </c>
      <c r="F32" s="39" t="n">
        <v>0.130331421683151</v>
      </c>
      <c r="G32" s="39" t="n">
        <v>0.475006366645553</v>
      </c>
      <c r="H32" s="39" t="n">
        <v>0.0247395537330614</v>
      </c>
      <c r="I32" s="39" t="n">
        <v>0.0372258040485465</v>
      </c>
      <c r="J32" s="39" t="n">
        <v>0.261678765498934</v>
      </c>
      <c r="K32" s="38" t="n">
        <f aca="false">E32*Scorecard!$E$18+F32*Scorecard!$E$19+G32*Scorecard!$E$20+H32*Scorecard!$E$21+I32*Scorecard!$E$22+J32*Scorecard!$E$23</f>
        <v>3.86939384550997</v>
      </c>
      <c r="M32" s="0" t="str">
        <f aca="false">IF(AND(T32&gt;=U32,T32&gt;=V32),"A. Distribution",IF(U32&gt;=V32,"B. Manufacturing","C. Prof. services"))</f>
        <v>A. Distribution</v>
      </c>
      <c r="N32" s="39" t="n">
        <v>0.139793444807355</v>
      </c>
      <c r="O32" s="39" t="n">
        <v>0.122049791668585</v>
      </c>
      <c r="P32" s="39" t="n">
        <v>0.44890102643171</v>
      </c>
      <c r="Q32" s="39" t="n">
        <v>0.0658930615307517</v>
      </c>
      <c r="R32" s="39" t="n">
        <v>0.187531165241069</v>
      </c>
      <c r="S32" s="39" t="n">
        <v>0.0358315103205297</v>
      </c>
      <c r="T32" s="38" t="n">
        <f aca="false">N32*Scorecard!$C$18+O32*Scorecard!$C$19+P32*Scorecard!$C$20+Q32*Scorecard!$C$21+R32*Scorecard!$C$22+S32*Scorecard!$C$23</f>
        <v>4.03206319057213</v>
      </c>
      <c r="U32" s="38" t="n">
        <f aca="false">N32*Scorecard!$D$18+O32*Scorecard!$D$19+P32*Scorecard!$D$20+Q32*Scorecard!$D$21+R32*Scorecard!$D$22+S32*Scorecard!$D$23</f>
        <v>2.5988905822623</v>
      </c>
      <c r="V32" s="38" t="n">
        <f aca="false">N32*Scorecard!$E$18+O32*Scorecard!$E$19+P32*Scorecard!$E$20+Q32*Scorecard!$E$21+R32*Scorecard!$E$22+S32*Scorecard!$E$23</f>
        <v>3.46800828734188</v>
      </c>
    </row>
    <row r="33" customFormat="false" ht="15" hidden="false" customHeight="false" outlineLevel="0" collapsed="false">
      <c r="A33" s="0" t="n">
        <v>28</v>
      </c>
      <c r="B33" s="38" t="n">
        <f aca="false">E33*Scorecard!$C$18+F33*Scorecard!$C$19+G33*Scorecard!$C$20+H33*Scorecard!$C$21+I33*Scorecard!$C$22+J33*Scorecard!$C$23</f>
        <v>3.87539461493431</v>
      </c>
      <c r="C33" s="38" t="n">
        <f aca="false">E33*Scorecard!$D$18+F33*Scorecard!$D$19+G33*Scorecard!$D$20+H33*Scorecard!$D$21+I33*Scorecard!$D$22+J33*Scorecard!$D$23</f>
        <v>2.99821191951069</v>
      </c>
      <c r="D33" s="0" t="str">
        <f aca="false">IF(AND(B33&gt;=C33,B33&gt;=K33),"A. Distribution",IF(C33&gt;=K33,"B. Manufacturing","C. Prof. services"))</f>
        <v>A. Distribution</v>
      </c>
      <c r="E33" s="39" t="n">
        <v>0.20805914923404</v>
      </c>
      <c r="F33" s="39" t="n">
        <v>0.0609892481323993</v>
      </c>
      <c r="G33" s="39" t="n">
        <v>0.0938993572313922</v>
      </c>
      <c r="H33" s="39" t="n">
        <v>0.158811806980811</v>
      </c>
      <c r="I33" s="39" t="n">
        <v>0.402351353241852</v>
      </c>
      <c r="J33" s="39" t="n">
        <v>0.0758890851795048</v>
      </c>
      <c r="K33" s="38" t="n">
        <f aca="false">E33*Scorecard!$E$18+F33*Scorecard!$E$19+G33*Scorecard!$E$20+H33*Scorecard!$E$21+I33*Scorecard!$E$22+J33*Scorecard!$E$23</f>
        <v>3.13846481782232</v>
      </c>
      <c r="M33" s="0" t="str">
        <f aca="false">IF(AND(T33&gt;=U33,T33&gt;=V33),"A. Distribution",IF(U33&gt;=V33,"B. Manufacturing","C. Prof. services"))</f>
        <v>A. Distribution</v>
      </c>
      <c r="N33" s="39" t="n">
        <v>0.24332162951158</v>
      </c>
      <c r="O33" s="39" t="n">
        <v>0.219266059849518</v>
      </c>
      <c r="P33" s="39" t="n">
        <v>0.135997668431088</v>
      </c>
      <c r="Q33" s="39" t="n">
        <v>0.250967543892285</v>
      </c>
      <c r="R33" s="39" t="n">
        <v>0.107887347201754</v>
      </c>
      <c r="S33" s="39" t="n">
        <v>0.042559751113776</v>
      </c>
      <c r="T33" s="38" t="n">
        <f aca="false">N33*Scorecard!$C$18+O33*Scorecard!$C$19+P33*Scorecard!$C$20+Q33*Scorecard!$C$21+R33*Scorecard!$C$22+S33*Scorecard!$C$23</f>
        <v>4.08756914934451</v>
      </c>
      <c r="U33" s="38" t="n">
        <f aca="false">N33*Scorecard!$D$18+O33*Scorecard!$D$19+P33*Scorecard!$D$20+Q33*Scorecard!$D$21+R33*Scorecard!$D$22+S33*Scorecard!$D$23</f>
        <v>2.80440796293758</v>
      </c>
      <c r="V33" s="38" t="n">
        <f aca="false">N33*Scorecard!$E$18+O33*Scorecard!$E$19+P33*Scorecard!$E$20+Q33*Scorecard!$E$21+R33*Scorecard!$E$22+S33*Scorecard!$E$23</f>
        <v>3.37560319715201</v>
      </c>
    </row>
    <row r="34" customFormat="false" ht="15" hidden="false" customHeight="false" outlineLevel="0" collapsed="false">
      <c r="A34" s="0" t="n">
        <v>29</v>
      </c>
      <c r="B34" s="38" t="n">
        <f aca="false">E34*Scorecard!$C$18+F34*Scorecard!$C$19+G34*Scorecard!$C$20+H34*Scorecard!$C$21+I34*Scorecard!$C$22+J34*Scorecard!$C$23</f>
        <v>3.5202781592119</v>
      </c>
      <c r="C34" s="38" t="n">
        <f aca="false">E34*Scorecard!$D$18+F34*Scorecard!$D$19+G34*Scorecard!$D$20+H34*Scorecard!$D$21+I34*Scorecard!$D$22+J34*Scorecard!$D$23</f>
        <v>2.44590721195662</v>
      </c>
      <c r="D34" s="0" t="str">
        <f aca="false">IF(AND(B34&gt;=C34,B34&gt;=K34),"A. Distribution",IF(C34&gt;=K34,"B. Manufacturing","C. Prof. services"))</f>
        <v>C. Prof. services</v>
      </c>
      <c r="E34" s="39" t="n">
        <v>0.140298578073553</v>
      </c>
      <c r="F34" s="39" t="n">
        <v>0.0649509417764472</v>
      </c>
      <c r="G34" s="39" t="n">
        <v>0.0558063208222569</v>
      </c>
      <c r="H34" s="39" t="n">
        <v>0.391251714811788</v>
      </c>
      <c r="I34" s="39" t="n">
        <v>0.102066914127351</v>
      </c>
      <c r="J34" s="39" t="n">
        <v>0.245625530388603</v>
      </c>
      <c r="K34" s="38" t="n">
        <f aca="false">E34*Scorecard!$E$18+F34*Scorecard!$E$19+G34*Scorecard!$E$20+H34*Scorecard!$E$21+I34*Scorecard!$E$22+J34*Scorecard!$E$23</f>
        <v>3.6769360488738</v>
      </c>
      <c r="M34" s="0" t="str">
        <f aca="false">IF(AND(T34&gt;=U34,T34&gt;=V34),"A. Distribution",IF(U34&gt;=V34,"B. Manufacturing","C. Prof. services"))</f>
        <v>A. Distribution</v>
      </c>
      <c r="N34" s="39" t="n">
        <v>0.294802506357733</v>
      </c>
      <c r="O34" s="39" t="n">
        <v>0.190064914613919</v>
      </c>
      <c r="P34" s="39" t="n">
        <v>0.15890661552679</v>
      </c>
      <c r="Q34" s="39" t="n">
        <v>0.234838193705751</v>
      </c>
      <c r="R34" s="39" t="n">
        <v>0.0909350869479936</v>
      </c>
      <c r="S34" s="39" t="n">
        <v>0.0304526828478124</v>
      </c>
      <c r="T34" s="38" t="n">
        <f aca="false">N34*Scorecard!$C$18+O34*Scorecard!$C$19+P34*Scorecard!$C$20+Q34*Scorecard!$C$21+R34*Scorecard!$C$22+S34*Scorecard!$C$23</f>
        <v>4.08018685417428</v>
      </c>
      <c r="U34" s="38" t="n">
        <f aca="false">N34*Scorecard!$D$18+O34*Scorecard!$D$19+P34*Scorecard!$D$20+Q34*Scorecard!$D$21+R34*Scorecard!$D$22+S34*Scorecard!$D$23</f>
        <v>2.87183625351118</v>
      </c>
      <c r="V34" s="38" t="n">
        <f aca="false">N34*Scorecard!$E$18+O34*Scorecard!$E$19+P34*Scorecard!$E$20+Q34*Scorecard!$E$21+R34*Scorecard!$E$22+S34*Scorecard!$E$23</f>
        <v>3.41224665358255</v>
      </c>
    </row>
    <row r="35" customFormat="false" ht="15" hidden="false" customHeight="false" outlineLevel="0" collapsed="false">
      <c r="A35" s="0" t="n">
        <v>30</v>
      </c>
      <c r="B35" s="38" t="n">
        <f aca="false">E35*Scorecard!$C$18+F35*Scorecard!$C$19+G35*Scorecard!$C$20+H35*Scorecard!$C$21+I35*Scorecard!$C$22+J35*Scorecard!$C$23</f>
        <v>3.54390265592682</v>
      </c>
      <c r="C35" s="38" t="n">
        <f aca="false">E35*Scorecard!$D$18+F35*Scorecard!$D$19+G35*Scorecard!$D$20+H35*Scorecard!$D$21+I35*Scorecard!$D$22+J35*Scorecard!$D$23</f>
        <v>2.34692711418211</v>
      </c>
      <c r="D35" s="0" t="str">
        <f aca="false">IF(AND(B35&gt;=C35,B35&gt;=K35),"A. Distribution",IF(C35&gt;=K35,"B. Manufacturing","C. Prof. services"))</f>
        <v>C. Prof. services</v>
      </c>
      <c r="E35" s="39" t="n">
        <v>0.0583597627572147</v>
      </c>
      <c r="F35" s="39" t="n">
        <v>0.035866770712323</v>
      </c>
      <c r="G35" s="39" t="n">
        <v>0.220251343437909</v>
      </c>
      <c r="H35" s="39" t="n">
        <v>0.273278967798896</v>
      </c>
      <c r="I35" s="39" t="n">
        <v>0.18332684095042</v>
      </c>
      <c r="J35" s="39" t="n">
        <v>0.228916314343237</v>
      </c>
      <c r="K35" s="38" t="n">
        <f aca="false">E35*Scorecard!$E$18+F35*Scorecard!$E$19+G35*Scorecard!$E$20+H35*Scorecard!$E$21+I35*Scorecard!$E$22+J35*Scorecard!$E$23</f>
        <v>3.64746870399908</v>
      </c>
      <c r="M35" s="0" t="str">
        <f aca="false">IF(AND(T35&gt;=U35,T35&gt;=V35),"A. Distribution",IF(U35&gt;=V35,"B. Manufacturing","C. Prof. services"))</f>
        <v>A. Distribution</v>
      </c>
      <c r="N35" s="39" t="n">
        <v>0.265636786469382</v>
      </c>
      <c r="O35" s="39" t="n">
        <v>0.318518827893559</v>
      </c>
      <c r="P35" s="39" t="n">
        <v>0.155072631767022</v>
      </c>
      <c r="Q35" s="39" t="n">
        <v>0.0207212720214403</v>
      </c>
      <c r="R35" s="39" t="n">
        <v>0.113008868038384</v>
      </c>
      <c r="S35" s="39" t="n">
        <v>0.127041613810213</v>
      </c>
      <c r="T35" s="38" t="n">
        <f aca="false">N35*Scorecard!$C$18+O35*Scorecard!$C$19+P35*Scorecard!$C$20+Q35*Scorecard!$C$21+R35*Scorecard!$C$22+S35*Scorecard!$C$23</f>
        <v>4.04087575098366</v>
      </c>
      <c r="U35" s="38" t="n">
        <f aca="false">N35*Scorecard!$D$18+O35*Scorecard!$D$19+P35*Scorecard!$D$20+Q35*Scorecard!$D$21+R35*Scorecard!$D$22+S35*Scorecard!$D$23</f>
        <v>2.79943799862357</v>
      </c>
      <c r="V35" s="38" t="n">
        <f aca="false">N35*Scorecard!$E$18+O35*Scorecard!$E$19+P35*Scorecard!$E$20+Q35*Scorecard!$E$21+R35*Scorecard!$E$22+S35*Scorecard!$E$23</f>
        <v>3.35480994580341</v>
      </c>
    </row>
    <row r="36" customFormat="false" ht="15" hidden="false" customHeight="false" outlineLevel="0" collapsed="false">
      <c r="A36" s="0" t="n">
        <v>31</v>
      </c>
      <c r="B36" s="38" t="n">
        <f aca="false">E36*Scorecard!$C$18+F36*Scorecard!$C$19+G36*Scorecard!$C$20+H36*Scorecard!$C$21+I36*Scorecard!$C$22+J36*Scorecard!$C$23</f>
        <v>4.06603262939135</v>
      </c>
      <c r="C36" s="38" t="n">
        <f aca="false">E36*Scorecard!$D$18+F36*Scorecard!$D$19+G36*Scorecard!$D$20+H36*Scorecard!$D$21+I36*Scorecard!$D$22+J36*Scorecard!$D$23</f>
        <v>2.54179645325467</v>
      </c>
      <c r="D36" s="0" t="str">
        <f aca="false">IF(AND(B36&gt;=C36,B36&gt;=K36),"A. Distribution",IF(C36&gt;=K36,"B. Manufacturing","C. Prof. services"))</f>
        <v>A. Distribution</v>
      </c>
      <c r="E36" s="39" t="n">
        <v>0.128285624836315</v>
      </c>
      <c r="F36" s="39" t="n">
        <v>0.137490227218827</v>
      </c>
      <c r="G36" s="39" t="n">
        <v>0.28389132629773</v>
      </c>
      <c r="H36" s="39" t="n">
        <v>0.355508297602889</v>
      </c>
      <c r="I36" s="39" t="n">
        <v>0.0833986583169645</v>
      </c>
      <c r="J36" s="39" t="n">
        <v>0.0114258657272752</v>
      </c>
      <c r="K36" s="38" t="n">
        <f aca="false">E36*Scorecard!$E$18+F36*Scorecard!$E$19+G36*Scorecard!$E$20+H36*Scorecard!$E$21+I36*Scorecard!$E$22+J36*Scorecard!$E$23</f>
        <v>3.52193311016105</v>
      </c>
      <c r="M36" s="0" t="str">
        <f aca="false">IF(AND(T36&gt;=U36,T36&gt;=V36),"A. Distribution",IF(U36&gt;=V36,"B. Manufacturing","C. Prof. services"))</f>
        <v>A. Distribution</v>
      </c>
      <c r="N36" s="39" t="n">
        <v>0.273727070928284</v>
      </c>
      <c r="O36" s="39" t="n">
        <v>0.112707619301655</v>
      </c>
      <c r="P36" s="39" t="n">
        <v>0.155187905599695</v>
      </c>
      <c r="Q36" s="39" t="n">
        <v>0.146343870621266</v>
      </c>
      <c r="R36" s="39" t="n">
        <v>0.187768650024844</v>
      </c>
      <c r="S36" s="39" t="n">
        <v>0.124264883524257</v>
      </c>
      <c r="T36" s="38" t="n">
        <f aca="false">N36*Scorecard!$C$18+O36*Scorecard!$C$19+P36*Scorecard!$C$20+Q36*Scorecard!$C$21+R36*Scorecard!$C$22+S36*Scorecard!$C$23</f>
        <v>3.8264325514262</v>
      </c>
      <c r="U36" s="38" t="n">
        <f aca="false">N36*Scorecard!$D$18+O36*Scorecard!$D$19+P36*Scorecard!$D$20+Q36*Scorecard!$D$21+R36*Scorecard!$D$22+S36*Scorecard!$D$23</f>
        <v>2.84454602160776</v>
      </c>
      <c r="V36" s="38" t="n">
        <f aca="false">N36*Scorecard!$E$18+O36*Scorecard!$E$19+P36*Scorecard!$E$20+Q36*Scorecard!$E$21+R36*Scorecard!$E$22+S36*Scorecard!$E$23</f>
        <v>3.4297166328684</v>
      </c>
    </row>
    <row r="37" customFormat="false" ht="15" hidden="false" customHeight="false" outlineLevel="0" collapsed="false">
      <c r="A37" s="0" t="n">
        <v>32</v>
      </c>
      <c r="B37" s="38" t="n">
        <f aca="false">E37*Scorecard!$C$18+F37*Scorecard!$C$19+G37*Scorecard!$C$20+H37*Scorecard!$C$21+I37*Scorecard!$C$22+J37*Scorecard!$C$23</f>
        <v>3.78662745386479</v>
      </c>
      <c r="C37" s="38" t="n">
        <f aca="false">E37*Scorecard!$D$18+F37*Scorecard!$D$19+G37*Scorecard!$D$20+H37*Scorecard!$D$21+I37*Scorecard!$D$22+J37*Scorecard!$D$23</f>
        <v>2.47025859501884</v>
      </c>
      <c r="D37" s="0" t="str">
        <f aca="false">IF(AND(B37&gt;=C37,B37&gt;=K37),"A. Distribution",IF(C37&gt;=K37,"B. Manufacturing","C. Prof. services"))</f>
        <v>A. Distribution</v>
      </c>
      <c r="E37" s="39" t="n">
        <v>0.202724493226111</v>
      </c>
      <c r="F37" s="39" t="n">
        <v>0.122205580704655</v>
      </c>
      <c r="G37" s="39" t="n">
        <v>0.352447290281932</v>
      </c>
      <c r="H37" s="39" t="n">
        <v>0.150840751765581</v>
      </c>
      <c r="I37" s="39" t="n">
        <v>0.0202574579279872</v>
      </c>
      <c r="J37" s="39" t="n">
        <v>0.151524426093735</v>
      </c>
      <c r="K37" s="38" t="n">
        <f aca="false">E37*Scorecard!$E$18+F37*Scorecard!$E$19+G37*Scorecard!$E$20+H37*Scorecard!$E$21+I37*Scorecard!$E$22+J37*Scorecard!$E$23</f>
        <v>3.74521374118552</v>
      </c>
      <c r="M37" s="0" t="str">
        <f aca="false">IF(AND(T37&gt;=U37,T37&gt;=V37),"A. Distribution",IF(U37&gt;=V37,"B. Manufacturing","C. Prof. services"))</f>
        <v>A. Distribution</v>
      </c>
      <c r="N37" s="39" t="n">
        <v>0.190169508329264</v>
      </c>
      <c r="O37" s="39" t="n">
        <v>0.240459841389526</v>
      </c>
      <c r="P37" s="39" t="n">
        <v>0.150877274951057</v>
      </c>
      <c r="Q37" s="39" t="n">
        <v>0.221390992865138</v>
      </c>
      <c r="R37" s="39" t="n">
        <v>0.0868511302899842</v>
      </c>
      <c r="S37" s="39" t="n">
        <v>0.11025125217503</v>
      </c>
      <c r="T37" s="38" t="n">
        <f aca="false">N37*Scorecard!$C$18+O37*Scorecard!$C$19+P37*Scorecard!$C$20+Q37*Scorecard!$C$21+R37*Scorecard!$C$22+S37*Scorecard!$C$23</f>
        <v>3.98083423171744</v>
      </c>
      <c r="U37" s="38" t="n">
        <f aca="false">N37*Scorecard!$D$18+O37*Scorecard!$D$19+P37*Scorecard!$D$20+Q37*Scorecard!$D$21+R37*Scorecard!$D$22+S37*Scorecard!$D$23</f>
        <v>2.63755493964101</v>
      </c>
      <c r="V37" s="38" t="n">
        <f aca="false">N37*Scorecard!$E$18+O37*Scorecard!$E$19+P37*Scorecard!$E$20+Q37*Scorecard!$E$21+R37*Scorecard!$E$22+S37*Scorecard!$E$23</f>
        <v>3.45542441615196</v>
      </c>
    </row>
    <row r="38" customFormat="false" ht="15" hidden="false" customHeight="false" outlineLevel="0" collapsed="false">
      <c r="A38" s="0" t="n">
        <v>33</v>
      </c>
      <c r="B38" s="38" t="n">
        <f aca="false">E38*Scorecard!$C$18+F38*Scorecard!$C$19+G38*Scorecard!$C$20+H38*Scorecard!$C$21+I38*Scorecard!$C$22+J38*Scorecard!$C$23</f>
        <v>3.83886388675824</v>
      </c>
      <c r="C38" s="38" t="n">
        <f aca="false">E38*Scorecard!$D$18+F38*Scorecard!$D$19+G38*Scorecard!$D$20+H38*Scorecard!$D$21+I38*Scorecard!$D$22+J38*Scorecard!$D$23</f>
        <v>2.51846160428442</v>
      </c>
      <c r="D38" s="0" t="str">
        <f aca="false">IF(AND(B38&gt;=C38,B38&gt;=K38),"A. Distribution",IF(C38&gt;=K38,"B. Manufacturing","C. Prof. services"))</f>
        <v>A. Distribution</v>
      </c>
      <c r="E38" s="39" t="n">
        <v>0.112277332527039</v>
      </c>
      <c r="F38" s="39" t="n">
        <v>0.0225824056009105</v>
      </c>
      <c r="G38" s="39" t="n">
        <v>0.053712016846963</v>
      </c>
      <c r="H38" s="39" t="n">
        <v>0.681778426541759</v>
      </c>
      <c r="I38" s="39" t="n">
        <v>0.0790287641171178</v>
      </c>
      <c r="J38" s="39" t="n">
        <v>0.0506210543662115</v>
      </c>
      <c r="K38" s="38" t="n">
        <f aca="false">E38*Scorecard!$E$18+F38*Scorecard!$E$19+G38*Scorecard!$E$20+H38*Scorecard!$E$21+I38*Scorecard!$E$22+J38*Scorecard!$E$23</f>
        <v>3.58746597152645</v>
      </c>
      <c r="M38" s="0" t="str">
        <f aca="false">IF(AND(T38&gt;=U38,T38&gt;=V38),"A. Distribution",IF(U38&gt;=V38,"B. Manufacturing","C. Prof. services"))</f>
        <v>A. Distribution</v>
      </c>
      <c r="N38" s="39" t="n">
        <v>0.1666713321245</v>
      </c>
      <c r="O38" s="39" t="n">
        <v>0.189662467962852</v>
      </c>
      <c r="P38" s="39" t="n">
        <v>0.201966926385176</v>
      </c>
      <c r="Q38" s="39" t="n">
        <v>0.116409126385414</v>
      </c>
      <c r="R38" s="39" t="n">
        <v>0.249612430051189</v>
      </c>
      <c r="S38" s="39" t="n">
        <v>0.0756777170908698</v>
      </c>
      <c r="T38" s="38" t="n">
        <f aca="false">N38*Scorecard!$C$18+O38*Scorecard!$C$19+P38*Scorecard!$C$20+Q38*Scorecard!$C$21+R38*Scorecard!$C$22+S38*Scorecard!$C$23</f>
        <v>4.01238237888782</v>
      </c>
      <c r="U38" s="38" t="n">
        <f aca="false">N38*Scorecard!$D$18+O38*Scorecard!$D$19+P38*Scorecard!$D$20+Q38*Scorecard!$D$21+R38*Scorecard!$D$22+S38*Scorecard!$D$23</f>
        <v>2.76671014958515</v>
      </c>
      <c r="V38" s="38" t="n">
        <f aca="false">N38*Scorecard!$E$18+O38*Scorecard!$E$19+P38*Scorecard!$E$20+Q38*Scorecard!$E$21+R38*Scorecard!$E$22+S38*Scorecard!$E$23</f>
        <v>3.27367360545783</v>
      </c>
    </row>
    <row r="39" customFormat="false" ht="15" hidden="false" customHeight="false" outlineLevel="0" collapsed="false">
      <c r="A39" s="0" t="n">
        <v>34</v>
      </c>
      <c r="B39" s="38" t="n">
        <f aca="false">E39*Scorecard!$C$18+F39*Scorecard!$C$19+G39*Scorecard!$C$20+H39*Scorecard!$C$21+I39*Scorecard!$C$22+J39*Scorecard!$C$23</f>
        <v>4.26727317642042</v>
      </c>
      <c r="C39" s="38" t="n">
        <f aca="false">E39*Scorecard!$D$18+F39*Scorecard!$D$19+G39*Scorecard!$D$20+H39*Scorecard!$D$21+I39*Scorecard!$D$22+J39*Scorecard!$D$23</f>
        <v>2.43436392497646</v>
      </c>
      <c r="D39" s="0" t="str">
        <f aca="false">IF(AND(B39&gt;=C39,B39&gt;=K39),"A. Distribution",IF(C39&gt;=K39,"B. Manufacturing","C. Prof. services"))</f>
        <v>A. Distribution</v>
      </c>
      <c r="E39" s="39" t="n">
        <v>0.104639444687332</v>
      </c>
      <c r="F39" s="39" t="n">
        <v>0.487106288904741</v>
      </c>
      <c r="G39" s="39" t="n">
        <v>0.256549605454933</v>
      </c>
      <c r="H39" s="39" t="n">
        <v>0.0465829146498716</v>
      </c>
      <c r="I39" s="39" t="n">
        <v>0.0019154398662211</v>
      </c>
      <c r="J39" s="39" t="n">
        <v>0.103206306436902</v>
      </c>
      <c r="K39" s="38" t="n">
        <f aca="false">E39*Scorecard!$E$18+F39*Scorecard!$E$19+G39*Scorecard!$E$20+H39*Scorecard!$E$21+I39*Scorecard!$E$22+J39*Scorecard!$E$23</f>
        <v>3.3985591656942</v>
      </c>
      <c r="M39" s="0" t="str">
        <f aca="false">IF(AND(T39&gt;=U39,T39&gt;=V39),"A. Distribution",IF(U39&gt;=V39,"B. Manufacturing","C. Prof. services"))</f>
        <v>A. Distribution</v>
      </c>
      <c r="N39" s="39" t="n">
        <v>0.151465139090797</v>
      </c>
      <c r="O39" s="39" t="n">
        <v>0.192069206176841</v>
      </c>
      <c r="P39" s="39" t="n">
        <v>0.371377785229664</v>
      </c>
      <c r="Q39" s="39" t="n">
        <v>0.149889875664343</v>
      </c>
      <c r="R39" s="39" t="n">
        <v>0.116681927337725</v>
      </c>
      <c r="S39" s="39" t="n">
        <v>0.0185160665006306</v>
      </c>
      <c r="T39" s="38" t="n">
        <f aca="false">N39*Scorecard!$C$18+O39*Scorecard!$C$19+P39*Scorecard!$C$20+Q39*Scorecard!$C$21+R39*Scorecard!$C$22+S39*Scorecard!$C$23</f>
        <v>4.12672570405164</v>
      </c>
      <c r="U39" s="38" t="n">
        <f aca="false">N39*Scorecard!$D$18+O39*Scorecard!$D$19+P39*Scorecard!$D$20+Q39*Scorecard!$D$21+R39*Scorecard!$D$22+S39*Scorecard!$D$23</f>
        <v>2.59834823636805</v>
      </c>
      <c r="V39" s="38" t="n">
        <f aca="false">N39*Scorecard!$E$18+O39*Scorecard!$E$19+P39*Scorecard!$E$20+Q39*Scorecard!$E$21+R39*Scorecard!$E$22+S39*Scorecard!$E$23</f>
        <v>3.46042334394949</v>
      </c>
    </row>
    <row r="40" customFormat="false" ht="15" hidden="false" customHeight="false" outlineLevel="0" collapsed="false">
      <c r="A40" s="0" t="n">
        <v>35</v>
      </c>
      <c r="B40" s="38" t="n">
        <f aca="false">E40*Scorecard!$C$18+F40*Scorecard!$C$19+G40*Scorecard!$C$20+H40*Scorecard!$C$21+I40*Scorecard!$C$22+J40*Scorecard!$C$23</f>
        <v>3.45502858177754</v>
      </c>
      <c r="C40" s="38" t="n">
        <f aca="false">E40*Scorecard!$D$18+F40*Scorecard!$D$19+G40*Scorecard!$D$20+H40*Scorecard!$D$21+I40*Scorecard!$D$22+J40*Scorecard!$D$23</f>
        <v>2.22066432146117</v>
      </c>
      <c r="D40" s="0" t="str">
        <f aca="false">IF(AND(B40&gt;=C40,B40&gt;=K40),"A. Distribution",IF(C40&gt;=K40,"B. Manufacturing","C. Prof. services"))</f>
        <v>C. Prof. services</v>
      </c>
      <c r="E40" s="39" t="n">
        <v>0.0218412215349347</v>
      </c>
      <c r="F40" s="39" t="n">
        <v>0.299786307222023</v>
      </c>
      <c r="G40" s="39" t="n">
        <v>0.0154555104103316</v>
      </c>
      <c r="H40" s="39" t="n">
        <v>0.099216600463568</v>
      </c>
      <c r="I40" s="39" t="n">
        <v>0.147543601692339</v>
      </c>
      <c r="J40" s="39" t="n">
        <v>0.416156758676804</v>
      </c>
      <c r="K40" s="38" t="n">
        <f aca="false">E40*Scorecard!$E$18+F40*Scorecard!$E$19+G40*Scorecard!$E$20+H40*Scorecard!$E$21+I40*Scorecard!$E$22+J40*Scorecard!$E$23</f>
        <v>3.56042553041038</v>
      </c>
      <c r="M40" s="0" t="str">
        <f aca="false">IF(AND(T40&gt;=U40,T40&gt;=V40),"A. Distribution",IF(U40&gt;=V40,"B. Manufacturing","C. Prof. services"))</f>
        <v>A. Distribution</v>
      </c>
      <c r="N40" s="39" t="n">
        <v>0.206276959482061</v>
      </c>
      <c r="O40" s="39" t="n">
        <v>0.16591692288916</v>
      </c>
      <c r="P40" s="39" t="n">
        <v>0.191989725058856</v>
      </c>
      <c r="Q40" s="39" t="n">
        <v>0.13028107400263</v>
      </c>
      <c r="R40" s="39" t="n">
        <v>0.210579535467618</v>
      </c>
      <c r="S40" s="39" t="n">
        <v>0.094955783099675</v>
      </c>
      <c r="T40" s="38" t="n">
        <f aca="false">N40*Scorecard!$C$18+O40*Scorecard!$C$19+P40*Scorecard!$C$20+Q40*Scorecard!$C$21+R40*Scorecard!$C$22+S40*Scorecard!$C$23</f>
        <v>3.94540618333308</v>
      </c>
      <c r="U40" s="38" t="n">
        <f aca="false">N40*Scorecard!$D$18+O40*Scorecard!$D$19+P40*Scorecard!$D$20+Q40*Scorecard!$D$21+R40*Scorecard!$D$22+S40*Scorecard!$D$23</f>
        <v>2.77663725629874</v>
      </c>
      <c r="V40" s="38" t="n">
        <f aca="false">N40*Scorecard!$E$18+O40*Scorecard!$E$19+P40*Scorecard!$E$20+Q40*Scorecard!$E$21+R40*Scorecard!$E$22+S40*Scorecard!$E$23</f>
        <v>3.35241462517488</v>
      </c>
    </row>
    <row r="41" customFormat="false" ht="15" hidden="false" customHeight="false" outlineLevel="0" collapsed="false">
      <c r="A41" s="0" t="n">
        <v>36</v>
      </c>
      <c r="B41" s="38" t="n">
        <f aca="false">E41*Scorecard!$C$18+F41*Scorecard!$C$19+G41*Scorecard!$C$20+H41*Scorecard!$C$21+I41*Scorecard!$C$22+J41*Scorecard!$C$23</f>
        <v>4.16513817636024</v>
      </c>
      <c r="C41" s="38" t="n">
        <f aca="false">E41*Scorecard!$D$18+F41*Scorecard!$D$19+G41*Scorecard!$D$20+H41*Scorecard!$D$21+I41*Scorecard!$D$22+J41*Scorecard!$D$23</f>
        <v>2.44601757230219</v>
      </c>
      <c r="D41" s="0" t="str">
        <f aca="false">IF(AND(B41&gt;=C41,B41&gt;=K41),"A. Distribution",IF(C41&gt;=K41,"B. Manufacturing","C. Prof. services"))</f>
        <v>A. Distribution</v>
      </c>
      <c r="E41" s="39" t="n">
        <v>0.0557449072537793</v>
      </c>
      <c r="F41" s="39" t="n">
        <v>0.333109004565114</v>
      </c>
      <c r="G41" s="39" t="n">
        <v>0.146553802339758</v>
      </c>
      <c r="H41" s="39" t="n">
        <v>0.332003645267016</v>
      </c>
      <c r="I41" s="39" t="n">
        <v>0.068727809596317</v>
      </c>
      <c r="J41" s="39" t="n">
        <v>0.0638608309780148</v>
      </c>
      <c r="K41" s="38" t="n">
        <f aca="false">E41*Scorecard!$E$18+F41*Scorecard!$E$19+G41*Scorecard!$E$20+H41*Scorecard!$E$21+I41*Scorecard!$E$22+J41*Scorecard!$E$23</f>
        <v>3.38271443827248</v>
      </c>
      <c r="M41" s="0" t="str">
        <f aca="false">IF(AND(T41&gt;=U41,T41&gt;=V41),"A. Distribution",IF(U41&gt;=V41,"B. Manufacturing","C. Prof. services"))</f>
        <v>A. Distribution</v>
      </c>
      <c r="N41" s="39" t="n">
        <v>0.144551158934654</v>
      </c>
      <c r="O41" s="39" t="n">
        <v>0.302467029490055</v>
      </c>
      <c r="P41" s="39" t="n">
        <v>0.12343982527872</v>
      </c>
      <c r="Q41" s="39" t="n">
        <v>0.158335528195218</v>
      </c>
      <c r="R41" s="39" t="n">
        <v>0.146558603905307</v>
      </c>
      <c r="S41" s="39" t="n">
        <v>0.124647854196047</v>
      </c>
      <c r="T41" s="38" t="n">
        <f aca="false">N41*Scorecard!$C$18+O41*Scorecard!$C$19+P41*Scorecard!$C$20+Q41*Scorecard!$C$21+R41*Scorecard!$C$22+S41*Scorecard!$C$23</f>
        <v>4.02450502910524</v>
      </c>
      <c r="U41" s="38" t="n">
        <f aca="false">N41*Scorecard!$D$18+O41*Scorecard!$D$19+P41*Scorecard!$D$20+Q41*Scorecard!$D$21+R41*Scorecard!$D$22+S41*Scorecard!$D$23</f>
        <v>2.63208701759762</v>
      </c>
      <c r="V41" s="38" t="n">
        <f aca="false">N41*Scorecard!$E$18+O41*Scorecard!$E$19+P41*Scorecard!$E$20+Q41*Scorecard!$E$21+R41*Scorecard!$E$22+S41*Scorecard!$E$23</f>
        <v>3.33241685014905</v>
      </c>
    </row>
    <row r="42" customFormat="false" ht="15" hidden="false" customHeight="false" outlineLevel="0" collapsed="false">
      <c r="A42" s="0" t="n">
        <v>37</v>
      </c>
      <c r="B42" s="38" t="n">
        <f aca="false">E42*Scorecard!$C$18+F42*Scorecard!$C$19+G42*Scorecard!$C$20+H42*Scorecard!$C$21+I42*Scorecard!$C$22+J42*Scorecard!$C$23</f>
        <v>3.73751209285381</v>
      </c>
      <c r="C42" s="38" t="n">
        <f aca="false">E42*Scorecard!$D$18+F42*Scorecard!$D$19+G42*Scorecard!$D$20+H42*Scorecard!$D$21+I42*Scorecard!$D$22+J42*Scorecard!$D$23</f>
        <v>2.466922293901</v>
      </c>
      <c r="D42" s="0" t="str">
        <f aca="false">IF(AND(B42&gt;=C42,B42&gt;=K42),"A. Distribution",IF(C42&gt;=K42,"B. Manufacturing","C. Prof. services"))</f>
        <v>A. Distribution</v>
      </c>
      <c r="E42" s="39" t="n">
        <v>0.048153832398521</v>
      </c>
      <c r="F42" s="39" t="n">
        <v>0.198864702842163</v>
      </c>
      <c r="G42" s="39" t="n">
        <v>0.12375533679518</v>
      </c>
      <c r="H42" s="39" t="n">
        <v>0.164990065585117</v>
      </c>
      <c r="I42" s="39" t="n">
        <v>0.244381703454327</v>
      </c>
      <c r="J42" s="39" t="n">
        <v>0.219854358924693</v>
      </c>
      <c r="K42" s="38" t="n">
        <f aca="false">E42*Scorecard!$E$18+F42*Scorecard!$E$19+G42*Scorecard!$E$20+H42*Scorecard!$E$21+I42*Scorecard!$E$22+J42*Scorecard!$E$23</f>
        <v>3.38684856030182</v>
      </c>
      <c r="M42" s="0" t="str">
        <f aca="false">IF(AND(T42&gt;=U42,T42&gt;=V42),"A. Distribution",IF(U42&gt;=V42,"B. Manufacturing","C. Prof. services"))</f>
        <v>A. Distribution</v>
      </c>
      <c r="N42" s="39" t="n">
        <v>0.239562931760153</v>
      </c>
      <c r="O42" s="39" t="n">
        <v>0.398196388883423</v>
      </c>
      <c r="P42" s="39" t="n">
        <v>0.157946832607447</v>
      </c>
      <c r="Q42" s="39" t="n">
        <v>0.0814300592840845</v>
      </c>
      <c r="R42" s="39" t="n">
        <v>0.0776066031738715</v>
      </c>
      <c r="S42" s="39" t="n">
        <v>0.0452571842910218</v>
      </c>
      <c r="T42" s="38" t="n">
        <f aca="false">N42*Scorecard!$C$18+O42*Scorecard!$C$19+P42*Scorecard!$C$20+Q42*Scorecard!$C$21+R42*Scorecard!$C$22+S42*Scorecard!$C$23</f>
        <v>4.27967414918447</v>
      </c>
      <c r="U42" s="38" t="n">
        <f aca="false">N42*Scorecard!$D$18+O42*Scorecard!$D$19+P42*Scorecard!$D$20+Q42*Scorecard!$D$21+R42*Scorecard!$D$22+S42*Scorecard!$D$23</f>
        <v>2.80033061146418</v>
      </c>
      <c r="V42" s="38" t="n">
        <f aca="false">N42*Scorecard!$E$18+O42*Scorecard!$E$19+P42*Scorecard!$E$20+Q42*Scorecard!$E$21+R42*Scorecard!$E$22+S42*Scorecard!$E$23</f>
        <v>3.27085524162884</v>
      </c>
    </row>
    <row r="43" customFormat="false" ht="15" hidden="false" customHeight="false" outlineLevel="0" collapsed="false">
      <c r="A43" s="0" t="n">
        <v>38</v>
      </c>
      <c r="B43" s="38" t="n">
        <f aca="false">E43*Scorecard!$C$18+F43*Scorecard!$C$19+G43*Scorecard!$C$20+H43*Scorecard!$C$21+I43*Scorecard!$C$22+J43*Scorecard!$C$23</f>
        <v>4.04811528515447</v>
      </c>
      <c r="C43" s="38" t="n">
        <f aca="false">E43*Scorecard!$D$18+F43*Scorecard!$D$19+G43*Scorecard!$D$20+H43*Scorecard!$D$21+I43*Scorecard!$D$22+J43*Scorecard!$D$23</f>
        <v>2.84061614183143</v>
      </c>
      <c r="D43" s="0" t="str">
        <f aca="false">IF(AND(B43&gt;=C43,B43&gt;=K43),"A. Distribution",IF(C43&gt;=K43,"B. Manufacturing","C. Prof. services"))</f>
        <v>A. Distribution</v>
      </c>
      <c r="E43" s="39" t="n">
        <v>0.182664714784135</v>
      </c>
      <c r="F43" s="39" t="n">
        <v>0.244429596731383</v>
      </c>
      <c r="G43" s="39" t="n">
        <v>0.00601779665489678</v>
      </c>
      <c r="H43" s="39" t="n">
        <v>0.262986568226225</v>
      </c>
      <c r="I43" s="39" t="n">
        <v>0.227245426479149</v>
      </c>
      <c r="J43" s="39" t="n">
        <v>0.0766558971242114</v>
      </c>
      <c r="K43" s="38" t="n">
        <f aca="false">E43*Scorecard!$E$18+F43*Scorecard!$E$19+G43*Scorecard!$E$20+H43*Scorecard!$E$21+I43*Scorecard!$E$22+J43*Scorecard!$E$23</f>
        <v>3.19003353809655</v>
      </c>
      <c r="M43" s="0" t="str">
        <f aca="false">IF(AND(T43&gt;=U43,T43&gt;=V43),"A. Distribution",IF(U43&gt;=V43,"B. Manufacturing","C. Prof. services"))</f>
        <v>A. Distribution</v>
      </c>
      <c r="N43" s="39" t="n">
        <v>0.232100320578218</v>
      </c>
      <c r="O43" s="39" t="n">
        <v>0.0762920346343898</v>
      </c>
      <c r="P43" s="39" t="n">
        <v>0.115924357501843</v>
      </c>
      <c r="Q43" s="39" t="n">
        <v>0.175437696386747</v>
      </c>
      <c r="R43" s="39" t="n">
        <v>0.233219501957726</v>
      </c>
      <c r="S43" s="39" t="n">
        <v>0.167026088941077</v>
      </c>
      <c r="T43" s="38" t="n">
        <f aca="false">N43*Scorecard!$C$18+O43*Scorecard!$C$19+P43*Scorecard!$C$20+Q43*Scorecard!$C$21+R43*Scorecard!$C$22+S43*Scorecard!$C$23</f>
        <v>3.70470175653486</v>
      </c>
      <c r="U43" s="38" t="n">
        <f aca="false">N43*Scorecard!$D$18+O43*Scorecard!$D$19+P43*Scorecard!$D$20+Q43*Scorecard!$D$21+R43*Scorecard!$D$22+S43*Scorecard!$D$23</f>
        <v>2.78875008858859</v>
      </c>
      <c r="V43" s="38" t="n">
        <f aca="false">N43*Scorecard!$E$18+O43*Scorecard!$E$19+P43*Scorecard!$E$20+Q43*Scorecard!$E$21+R43*Scorecard!$E$22+S43*Scorecard!$E$23</f>
        <v>3.43017363686802</v>
      </c>
    </row>
    <row r="44" customFormat="false" ht="15" hidden="false" customHeight="false" outlineLevel="0" collapsed="false">
      <c r="A44" s="0" t="n">
        <v>39</v>
      </c>
      <c r="B44" s="38" t="n">
        <f aca="false">E44*Scorecard!$C$18+F44*Scorecard!$C$19+G44*Scorecard!$C$20+H44*Scorecard!$C$21+I44*Scorecard!$C$22+J44*Scorecard!$C$23</f>
        <v>3.31442719980469</v>
      </c>
      <c r="C44" s="38" t="n">
        <f aca="false">E44*Scorecard!$D$18+F44*Scorecard!$D$19+G44*Scorecard!$D$20+H44*Scorecard!$D$21+I44*Scorecard!$D$22+J44*Scorecard!$D$23</f>
        <v>2.17954614614036</v>
      </c>
      <c r="D44" s="0" t="str">
        <f aca="false">IF(AND(B44&gt;=C44,B44&gt;=K44),"A. Distribution",IF(C44&gt;=K44,"B. Manufacturing","C. Prof. services"))</f>
        <v>C. Prof. services</v>
      </c>
      <c r="E44" s="39" t="n">
        <v>0.0311159951303509</v>
      </c>
      <c r="F44" s="39" t="n">
        <v>0.0922359258403805</v>
      </c>
      <c r="G44" s="39" t="n">
        <v>0.262930104566703</v>
      </c>
      <c r="H44" s="39" t="n">
        <v>0.0423046254586883</v>
      </c>
      <c r="I44" s="39" t="n">
        <v>0.186037261495809</v>
      </c>
      <c r="J44" s="39" t="n">
        <v>0.385376087508068</v>
      </c>
      <c r="K44" s="38" t="n">
        <f aca="false">E44*Scorecard!$E$18+F44*Scorecard!$E$19+G44*Scorecard!$E$20+H44*Scorecard!$E$21+I44*Scorecard!$E$22+J44*Scorecard!$E$23</f>
        <v>3.74296443080753</v>
      </c>
      <c r="M44" s="0" t="str">
        <f aca="false">IF(AND(T44&gt;=U44,T44&gt;=V44),"A. Distribution",IF(U44&gt;=V44,"B. Manufacturing","C. Prof. services"))</f>
        <v>A. Distribution</v>
      </c>
      <c r="N44" s="39" t="n">
        <v>0.176011549771914</v>
      </c>
      <c r="O44" s="39" t="n">
        <v>0.23207261901335</v>
      </c>
      <c r="P44" s="39" t="n">
        <v>0.26378985037761</v>
      </c>
      <c r="Q44" s="39" t="n">
        <v>0.102562010241807</v>
      </c>
      <c r="R44" s="39" t="n">
        <v>0.199068822961767</v>
      </c>
      <c r="S44" s="39" t="n">
        <v>0.0264951476335527</v>
      </c>
      <c r="T44" s="38" t="n">
        <f aca="false">N44*Scorecard!$C$18+O44*Scorecard!$C$19+P44*Scorecard!$C$20+Q44*Scorecard!$C$21+R44*Scorecard!$C$22+S44*Scorecard!$C$23</f>
        <v>4.15389980781969</v>
      </c>
      <c r="U44" s="38" t="n">
        <f aca="false">N44*Scorecard!$D$18+O44*Scorecard!$D$19+P44*Scorecard!$D$20+Q44*Scorecard!$D$21+R44*Scorecard!$D$22+S44*Scorecard!$D$23</f>
        <v>2.76123257198257</v>
      </c>
      <c r="V44" s="38" t="n">
        <f aca="false">N44*Scorecard!$E$18+O44*Scorecard!$E$19+P44*Scorecard!$E$20+Q44*Scorecard!$E$21+R44*Scorecard!$E$22+S44*Scorecard!$E$23</f>
        <v>3.28248443793346</v>
      </c>
    </row>
    <row r="45" customFormat="false" ht="15" hidden="false" customHeight="false" outlineLevel="0" collapsed="false">
      <c r="A45" s="0" t="n">
        <v>40</v>
      </c>
      <c r="B45" s="38" t="n">
        <f aca="false">E45*Scorecard!$C$18+F45*Scorecard!$C$19+G45*Scorecard!$C$20+H45*Scorecard!$C$21+I45*Scorecard!$C$22+J45*Scorecard!$C$23</f>
        <v>4.40756229551318</v>
      </c>
      <c r="C45" s="38" t="n">
        <f aca="false">E45*Scorecard!$D$18+F45*Scorecard!$D$19+G45*Scorecard!$D$20+H45*Scorecard!$D$21+I45*Scorecard!$D$22+J45*Scorecard!$D$23</f>
        <v>2.71915363217159</v>
      </c>
      <c r="D45" s="0" t="str">
        <f aca="false">IF(AND(B45&gt;=C45,B45&gt;=K45),"A. Distribution",IF(C45&gt;=K45,"B. Manufacturing","C. Prof. services"))</f>
        <v>A. Distribution</v>
      </c>
      <c r="E45" s="39" t="n">
        <v>0.0546194900297269</v>
      </c>
      <c r="F45" s="39" t="n">
        <v>0.589269517163825</v>
      </c>
      <c r="G45" s="39" t="n">
        <v>0.00827129818867878</v>
      </c>
      <c r="H45" s="39" t="n">
        <v>0.00509252449704726</v>
      </c>
      <c r="I45" s="39" t="n">
        <v>0.254360531814086</v>
      </c>
      <c r="J45" s="39" t="n">
        <v>0.088386638306636</v>
      </c>
      <c r="K45" s="38" t="n">
        <f aca="false">E45*Scorecard!$E$18+F45*Scorecard!$E$19+G45*Scorecard!$E$20+H45*Scorecard!$E$21+I45*Scorecard!$E$22+J45*Scorecard!$E$23</f>
        <v>2.88685180871837</v>
      </c>
      <c r="M45" s="0" t="str">
        <f aca="false">IF(AND(T45&gt;=U45,T45&gt;=V45),"A. Distribution",IF(U45&gt;=V45,"B. Manufacturing","C. Prof. services"))</f>
        <v>A. Distribution</v>
      </c>
      <c r="N45" s="39" t="n">
        <v>0.145079303485936</v>
      </c>
      <c r="O45" s="39" t="n">
        <v>0.224688795529713</v>
      </c>
      <c r="P45" s="39" t="n">
        <v>0.11865652106685</v>
      </c>
      <c r="Q45" s="39" t="n">
        <v>0.250369414205414</v>
      </c>
      <c r="R45" s="39" t="n">
        <v>0.146505516814502</v>
      </c>
      <c r="S45" s="39" t="n">
        <v>0.114700448897584</v>
      </c>
      <c r="T45" s="38" t="n">
        <f aca="false">N45*Scorecard!$C$18+O45*Scorecard!$C$19+P45*Scorecard!$C$20+Q45*Scorecard!$C$21+R45*Scorecard!$C$22+S45*Scorecard!$C$23</f>
        <v>3.95666249749732</v>
      </c>
      <c r="U45" s="38" t="n">
        <f aca="false">N45*Scorecard!$D$18+O45*Scorecard!$D$19+P45*Scorecard!$D$20+Q45*Scorecard!$D$21+R45*Scorecard!$D$22+S45*Scorecard!$D$23</f>
        <v>2.62374903020911</v>
      </c>
      <c r="V45" s="38" t="n">
        <f aca="false">N45*Scorecard!$E$18+O45*Scorecard!$E$19+P45*Scorecard!$E$20+Q45*Scorecard!$E$21+R45*Scorecard!$E$22+S45*Scorecard!$E$23</f>
        <v>3.39014300332724</v>
      </c>
    </row>
    <row r="46" customFormat="false" ht="15" hidden="false" customHeight="false" outlineLevel="0" collapsed="false">
      <c r="A46" s="0" t="n">
        <v>41</v>
      </c>
      <c r="B46" s="38" t="n">
        <f aca="false">E46*Scorecard!$C$18+F46*Scorecard!$C$19+G46*Scorecard!$C$20+H46*Scorecard!$C$21+I46*Scorecard!$C$22+J46*Scorecard!$C$23</f>
        <v>3.9778170933031</v>
      </c>
      <c r="C46" s="38" t="n">
        <f aca="false">E46*Scorecard!$D$18+F46*Scorecard!$D$19+G46*Scorecard!$D$20+H46*Scorecard!$D$21+I46*Scorecard!$D$22+J46*Scorecard!$D$23</f>
        <v>2.53538661197597</v>
      </c>
      <c r="D46" s="0" t="str">
        <f aca="false">IF(AND(B46&gt;=C46,B46&gt;=K46),"A. Distribution",IF(C46&gt;=K46,"B. Manufacturing","C. Prof. services"))</f>
        <v>A. Distribution</v>
      </c>
      <c r="E46" s="39" t="n">
        <v>0.0674769578720571</v>
      </c>
      <c r="F46" s="39" t="n">
        <v>0.21813410443182</v>
      </c>
      <c r="G46" s="39" t="n">
        <v>0.275565589100874</v>
      </c>
      <c r="H46" s="39" t="n">
        <v>0.0917748648474494</v>
      </c>
      <c r="I46" s="39" t="n">
        <v>0.23454312951486</v>
      </c>
      <c r="J46" s="39" t="n">
        <v>0.112505354232939</v>
      </c>
      <c r="K46" s="38" t="n">
        <f aca="false">E46*Scorecard!$E$18+F46*Scorecard!$E$19+G46*Scorecard!$E$20+H46*Scorecard!$E$21+I46*Scorecard!$E$22+J46*Scorecard!$E$23</f>
        <v>3.34082237691093</v>
      </c>
      <c r="M46" s="0" t="str">
        <f aca="false">IF(AND(T46&gt;=U46,T46&gt;=V46),"A. Distribution",IF(U46&gt;=V46,"B. Manufacturing","C. Prof. services"))</f>
        <v>A. Distribution</v>
      </c>
      <c r="N46" s="39" t="n">
        <v>0.0551620009290766</v>
      </c>
      <c r="O46" s="39" t="n">
        <v>0.252014534161079</v>
      </c>
      <c r="P46" s="39" t="n">
        <v>0.225119755753409</v>
      </c>
      <c r="Q46" s="39" t="n">
        <v>0.131476246416892</v>
      </c>
      <c r="R46" s="39" t="n">
        <v>0.247800520698935</v>
      </c>
      <c r="S46" s="39" t="n">
        <v>0.0884269420406083</v>
      </c>
      <c r="T46" s="38" t="n">
        <f aca="false">N46*Scorecard!$C$18+O46*Scorecard!$C$19+P46*Scorecard!$C$20+Q46*Scorecard!$C$21+R46*Scorecard!$C$22+S46*Scorecard!$C$23</f>
        <v>4.05656522839441</v>
      </c>
      <c r="U46" s="38" t="n">
        <f aca="false">N46*Scorecard!$D$18+O46*Scorecard!$D$19+P46*Scorecard!$D$20+Q46*Scorecard!$D$21+R46*Scorecard!$D$22+S46*Scorecard!$D$23</f>
        <v>2.56973880991281</v>
      </c>
      <c r="V46" s="38" t="n">
        <f aca="false">N46*Scorecard!$E$18+O46*Scorecard!$E$19+P46*Scorecard!$E$20+Q46*Scorecard!$E$21+R46*Scorecard!$E$22+S46*Scorecard!$E$23</f>
        <v>3.25935791605565</v>
      </c>
    </row>
    <row r="47" customFormat="false" ht="15" hidden="false" customHeight="false" outlineLevel="0" collapsed="false">
      <c r="A47" s="0" t="n">
        <v>42</v>
      </c>
      <c r="B47" s="38" t="n">
        <f aca="false">E47*Scorecard!$C$18+F47*Scorecard!$C$19+G47*Scorecard!$C$20+H47*Scorecard!$C$21+I47*Scorecard!$C$22+J47*Scorecard!$C$23</f>
        <v>3.91268389250037</v>
      </c>
      <c r="C47" s="38" t="n">
        <f aca="false">E47*Scorecard!$D$18+F47*Scorecard!$D$19+G47*Scorecard!$D$20+H47*Scorecard!$D$21+I47*Scorecard!$D$22+J47*Scorecard!$D$23</f>
        <v>2.71575669363038</v>
      </c>
      <c r="D47" s="0" t="str">
        <f aca="false">IF(AND(B47&gt;=C47,B47&gt;=K47),"A. Distribution",IF(C47&gt;=K47,"B. Manufacturing","C. Prof. services"))</f>
        <v>A. Distribution</v>
      </c>
      <c r="E47" s="39" t="n">
        <v>0.0693173943076155</v>
      </c>
      <c r="F47" s="39" t="n">
        <v>0.0336304065356444</v>
      </c>
      <c r="G47" s="39" t="n">
        <v>0.190310723757481</v>
      </c>
      <c r="H47" s="39" t="n">
        <v>0.29593506728776</v>
      </c>
      <c r="I47" s="39" t="n">
        <v>0.369059374582823</v>
      </c>
      <c r="J47" s="39" t="n">
        <v>0.0417470335286761</v>
      </c>
      <c r="K47" s="38" t="n">
        <f aca="false">E47*Scorecard!$E$18+F47*Scorecard!$E$19+G47*Scorecard!$E$20+H47*Scorecard!$E$21+I47*Scorecard!$E$22+J47*Scorecard!$E$23</f>
        <v>3.23410796200296</v>
      </c>
      <c r="M47" s="0" t="str">
        <f aca="false">IF(AND(T47&gt;=U47,T47&gt;=V47),"A. Distribution",IF(U47&gt;=V47,"B. Manufacturing","C. Prof. services"))</f>
        <v>A. Distribution</v>
      </c>
      <c r="N47" s="39" t="n">
        <v>0.166708677618502</v>
      </c>
      <c r="O47" s="39" t="n">
        <v>0.201795874786299</v>
      </c>
      <c r="P47" s="39" t="n">
        <v>0.272431780935978</v>
      </c>
      <c r="Q47" s="39" t="n">
        <v>0.207773278735614</v>
      </c>
      <c r="R47" s="39" t="n">
        <v>0.101920821991007</v>
      </c>
      <c r="S47" s="39" t="n">
        <v>0.0493695659325997</v>
      </c>
      <c r="T47" s="38" t="n">
        <f aca="false">N47*Scorecard!$C$18+O47*Scorecard!$C$19+P47*Scorecard!$C$20+Q47*Scorecard!$C$21+R47*Scorecard!$C$22+S47*Scorecard!$C$23</f>
        <v>4.0672845486501</v>
      </c>
      <c r="U47" s="38" t="n">
        <f aca="false">N47*Scorecard!$D$18+O47*Scorecard!$D$19+P47*Scorecard!$D$20+Q47*Scorecard!$D$21+R47*Scorecard!$D$22+S47*Scorecard!$D$23</f>
        <v>2.61615424869894</v>
      </c>
      <c r="V47" s="38" t="n">
        <f aca="false">N47*Scorecard!$E$18+O47*Scorecard!$E$19+P47*Scorecard!$E$20+Q47*Scorecard!$E$21+R47*Scorecard!$E$22+S47*Scorecard!$E$23</f>
        <v>3.4622709622467</v>
      </c>
    </row>
    <row r="48" customFormat="false" ht="15" hidden="false" customHeight="false" outlineLevel="0" collapsed="false">
      <c r="A48" s="0" t="n">
        <v>43</v>
      </c>
      <c r="B48" s="38" t="n">
        <f aca="false">E48*Scorecard!$C$18+F48*Scorecard!$C$19+G48*Scorecard!$C$20+H48*Scorecard!$C$21+I48*Scorecard!$C$22+J48*Scorecard!$C$23</f>
        <v>3.91914264313959</v>
      </c>
      <c r="C48" s="38" t="n">
        <f aca="false">E48*Scorecard!$D$18+F48*Scorecard!$D$19+G48*Scorecard!$D$20+H48*Scorecard!$D$21+I48*Scorecard!$D$22+J48*Scorecard!$D$23</f>
        <v>2.59361917377494</v>
      </c>
      <c r="D48" s="0" t="str">
        <f aca="false">IF(AND(B48&gt;=C48,B48&gt;=K48),"A. Distribution",IF(C48&gt;=K48,"B. Manufacturing","C. Prof. services"))</f>
        <v>A. Distribution</v>
      </c>
      <c r="E48" s="39" t="n">
        <v>0.263592853621937</v>
      </c>
      <c r="F48" s="39" t="n">
        <v>0.131900134338815</v>
      </c>
      <c r="G48" s="39" t="n">
        <v>0.439902745685114</v>
      </c>
      <c r="H48" s="39" t="n">
        <v>0.0567155130868556</v>
      </c>
      <c r="I48" s="39" t="n">
        <v>0.0151470822254796</v>
      </c>
      <c r="J48" s="39" t="n">
        <v>0.092741671041798</v>
      </c>
      <c r="K48" s="38" t="n">
        <f aca="false">E48*Scorecard!$E$18+F48*Scorecard!$E$19+G48*Scorecard!$E$20+H48*Scorecard!$E$21+I48*Scorecard!$E$22+J48*Scorecard!$E$23</f>
        <v>3.71310269100341</v>
      </c>
      <c r="M48" s="0" t="str">
        <f aca="false">IF(AND(T48&gt;=U48,T48&gt;=V48),"A. Distribution",IF(U48&gt;=V48,"B. Manufacturing","C. Prof. services"))</f>
        <v>A. Distribution</v>
      </c>
      <c r="N48" s="39" t="n">
        <v>0.360158561422515</v>
      </c>
      <c r="O48" s="39" t="n">
        <v>0.167327891930951</v>
      </c>
      <c r="P48" s="39" t="n">
        <v>0.258620559337119</v>
      </c>
      <c r="Q48" s="39" t="n">
        <v>0.0603973770523836</v>
      </c>
      <c r="R48" s="39" t="n">
        <v>0.0475625794603927</v>
      </c>
      <c r="S48" s="39" t="n">
        <v>0.105933030796639</v>
      </c>
      <c r="T48" s="38" t="n">
        <f aca="false">N48*Scorecard!$C$18+O48*Scorecard!$C$19+P48*Scorecard!$C$20+Q48*Scorecard!$C$21+R48*Scorecard!$C$22+S48*Scorecard!$C$23</f>
        <v>3.92003800926865</v>
      </c>
      <c r="U48" s="38" t="n">
        <f aca="false">N48*Scorecard!$D$18+O48*Scorecard!$D$19+P48*Scorecard!$D$20+Q48*Scorecard!$D$21+R48*Scorecard!$D$22+S48*Scorecard!$D$23</f>
        <v>2.84547359589504</v>
      </c>
      <c r="V48" s="38" t="n">
        <f aca="false">N48*Scorecard!$E$18+O48*Scorecard!$E$19+P48*Scorecard!$E$20+Q48*Scorecard!$E$21+R48*Scorecard!$E$22+S48*Scorecard!$E$23</f>
        <v>3.57383337769463</v>
      </c>
    </row>
    <row r="49" customFormat="false" ht="15" hidden="false" customHeight="false" outlineLevel="0" collapsed="false">
      <c r="A49" s="0" t="n">
        <v>44</v>
      </c>
      <c r="B49" s="38" t="n">
        <f aca="false">E49*Scorecard!$C$18+F49*Scorecard!$C$19+G49*Scorecard!$C$20+H49*Scorecard!$C$21+I49*Scorecard!$C$22+J49*Scorecard!$C$23</f>
        <v>3.96665202794868</v>
      </c>
      <c r="C49" s="38" t="n">
        <f aca="false">E49*Scorecard!$D$18+F49*Scorecard!$D$19+G49*Scorecard!$D$20+H49*Scorecard!$D$21+I49*Scorecard!$D$22+J49*Scorecard!$D$23</f>
        <v>2.96875407388826</v>
      </c>
      <c r="D49" s="0" t="str">
        <f aca="false">IF(AND(B49&gt;=C49,B49&gt;=K49),"A. Distribution",IF(C49&gt;=K49,"B. Manufacturing","C. Prof. services"))</f>
        <v>A. Distribution</v>
      </c>
      <c r="E49" s="39" t="n">
        <v>0.0155899038689848</v>
      </c>
      <c r="F49" s="39" t="n">
        <v>0.103940327172275</v>
      </c>
      <c r="G49" s="39" t="n">
        <v>0.107641709808865</v>
      </c>
      <c r="H49" s="39" t="n">
        <v>0.0250172302930721</v>
      </c>
      <c r="I49" s="39" t="n">
        <v>0.681140321394681</v>
      </c>
      <c r="J49" s="39" t="n">
        <v>0.0666705074621219</v>
      </c>
      <c r="K49" s="38" t="n">
        <f aca="false">E49*Scorecard!$E$18+F49*Scorecard!$E$19+G49*Scorecard!$E$20+H49*Scorecard!$E$21+I49*Scorecard!$E$22+J49*Scorecard!$E$23</f>
        <v>2.75784905251571</v>
      </c>
      <c r="M49" s="0" t="str">
        <f aca="false">IF(AND(T49&gt;=U49,T49&gt;=V49),"A. Distribution",IF(U49&gt;=V49,"B. Manufacturing","C. Prof. services"))</f>
        <v>A. Distribution</v>
      </c>
      <c r="N49" s="39" t="n">
        <v>0.176126769597816</v>
      </c>
      <c r="O49" s="39" t="n">
        <v>0.261560986561183</v>
      </c>
      <c r="P49" s="39" t="n">
        <v>0.140671019776275</v>
      </c>
      <c r="Q49" s="39" t="n">
        <v>0.164996864469899</v>
      </c>
      <c r="R49" s="39" t="n">
        <v>0.197604948780183</v>
      </c>
      <c r="S49" s="39" t="n">
        <v>0.0590394108146437</v>
      </c>
      <c r="T49" s="38" t="n">
        <f aca="false">N49*Scorecard!$C$18+O49*Scorecard!$C$19+P49*Scorecard!$C$20+Q49*Scorecard!$C$21+R49*Scorecard!$C$22+S49*Scorecard!$C$23</f>
        <v>4.11156300619739</v>
      </c>
      <c r="U49" s="38" t="n">
        <f aca="false">N49*Scorecard!$D$18+O49*Scorecard!$D$19+P49*Scorecard!$D$20+Q49*Scorecard!$D$21+R49*Scorecard!$D$22+S49*Scorecard!$D$23</f>
        <v>2.77711324601466</v>
      </c>
      <c r="V49" s="38" t="n">
        <f aca="false">N49*Scorecard!$E$18+O49*Scorecard!$E$19+P49*Scorecard!$E$20+Q49*Scorecard!$E$21+R49*Scorecard!$E$22+S49*Scorecard!$E$23</f>
        <v>3.24546694080021</v>
      </c>
    </row>
    <row r="50" customFormat="false" ht="15" hidden="false" customHeight="false" outlineLevel="0" collapsed="false">
      <c r="A50" s="0" t="n">
        <v>45</v>
      </c>
      <c r="B50" s="38" t="n">
        <f aca="false">E50*Scorecard!$C$18+F50*Scorecard!$C$19+G50*Scorecard!$C$20+H50*Scorecard!$C$21+I50*Scorecard!$C$22+J50*Scorecard!$C$23</f>
        <v>4.0341613391711</v>
      </c>
      <c r="C50" s="38" t="n">
        <f aca="false">E50*Scorecard!$D$18+F50*Scorecard!$D$19+G50*Scorecard!$D$20+H50*Scorecard!$D$21+I50*Scorecard!$D$22+J50*Scorecard!$D$23</f>
        <v>3.27298428038536</v>
      </c>
      <c r="D50" s="0" t="str">
        <f aca="false">IF(AND(B50&gt;=C50,B50&gt;=K50),"A. Distribution",IF(C50&gt;=K50,"B. Manufacturing","C. Prof. services"))</f>
        <v>A. Distribution</v>
      </c>
      <c r="E50" s="39" t="n">
        <v>0.563054422807677</v>
      </c>
      <c r="F50" s="39" t="n">
        <v>0.0944348633925578</v>
      </c>
      <c r="G50" s="39" t="n">
        <v>0.239364293118856</v>
      </c>
      <c r="H50" s="39" t="n">
        <v>0.042457794225753</v>
      </c>
      <c r="I50" s="39" t="n">
        <v>0.0554422014566731</v>
      </c>
      <c r="J50" s="39" t="n">
        <v>0.00524642499848299</v>
      </c>
      <c r="K50" s="38" t="n">
        <f aca="false">E50*Scorecard!$E$18+F50*Scorecard!$E$19+G50*Scorecard!$E$20+H50*Scorecard!$E$21+I50*Scorecard!$E$22+J50*Scorecard!$E$23</f>
        <v>3.50191442481063</v>
      </c>
      <c r="M50" s="0" t="str">
        <f aca="false">IF(AND(T50&gt;=U50,T50&gt;=V50),"A. Distribution",IF(U50&gt;=V50,"B. Manufacturing","C. Prof. services"))</f>
        <v>A. Distribution</v>
      </c>
      <c r="N50" s="39" t="n">
        <v>0.167336152459089</v>
      </c>
      <c r="O50" s="39" t="n">
        <v>0.117221027277996</v>
      </c>
      <c r="P50" s="39" t="n">
        <v>0.262542934436948</v>
      </c>
      <c r="Q50" s="39" t="n">
        <v>0.183466827859504</v>
      </c>
      <c r="R50" s="39" t="n">
        <v>0.189895709476459</v>
      </c>
      <c r="S50" s="39" t="n">
        <v>0.0795373484900044</v>
      </c>
      <c r="T50" s="38" t="n">
        <f aca="false">N50*Scorecard!$C$18+O50*Scorecard!$C$19+P50*Scorecard!$C$20+Q50*Scorecard!$C$21+R50*Scorecard!$C$22+S50*Scorecard!$C$23</f>
        <v>3.92494279244264</v>
      </c>
      <c r="U50" s="38" t="n">
        <f aca="false">N50*Scorecard!$D$18+O50*Scorecard!$D$19+P50*Scorecard!$D$20+Q50*Scorecard!$D$21+R50*Scorecard!$D$22+S50*Scorecard!$D$23</f>
        <v>2.6677233640138</v>
      </c>
      <c r="V50" s="38" t="n">
        <f aca="false">N50*Scorecard!$E$18+O50*Scorecard!$E$19+P50*Scorecard!$E$20+Q50*Scorecard!$E$21+R50*Scorecard!$E$22+S50*Scorecard!$E$23</f>
        <v>3.43946572377943</v>
      </c>
    </row>
    <row r="51" customFormat="false" ht="15" hidden="false" customHeight="false" outlineLevel="0" collapsed="false">
      <c r="A51" s="0" t="n">
        <v>46</v>
      </c>
      <c r="B51" s="38" t="n">
        <f aca="false">E51*Scorecard!$C$18+F51*Scorecard!$C$19+G51*Scorecard!$C$20+H51*Scorecard!$C$21+I51*Scorecard!$C$22+J51*Scorecard!$C$23</f>
        <v>3.13706207091485</v>
      </c>
      <c r="C51" s="38" t="n">
        <f aca="false">E51*Scorecard!$D$18+F51*Scorecard!$D$19+G51*Scorecard!$D$20+H51*Scorecard!$D$21+I51*Scorecard!$D$22+J51*Scorecard!$D$23</f>
        <v>2.37377244869943</v>
      </c>
      <c r="D51" s="0" t="str">
        <f aca="false">IF(AND(B51&gt;=C51,B51&gt;=K51),"A. Distribution",IF(C51&gt;=K51,"B. Manufacturing","C. Prof. services"))</f>
        <v>C. Prof. services</v>
      </c>
      <c r="E51" s="39" t="n">
        <v>0.243089235789136</v>
      </c>
      <c r="F51" s="39" t="n">
        <v>0.0534606680528191</v>
      </c>
      <c r="G51" s="39" t="n">
        <v>0.10423111473493</v>
      </c>
      <c r="H51" s="39" t="n">
        <v>0.130763801699503</v>
      </c>
      <c r="I51" s="39" t="n">
        <v>0.0270592443438401</v>
      </c>
      <c r="J51" s="39" t="n">
        <v>0.441395935379771</v>
      </c>
      <c r="K51" s="38" t="n">
        <f aca="false">E51*Scorecard!$E$18+F51*Scorecard!$E$19+G51*Scorecard!$E$20+H51*Scorecard!$E$21+I51*Scorecard!$E$22+J51*Scorecard!$E$23</f>
        <v>3.94737618227966</v>
      </c>
      <c r="M51" s="0" t="str">
        <f aca="false">IF(AND(T51&gt;=U51,T51&gt;=V51),"A. Distribution",IF(U51&gt;=V51,"B. Manufacturing","C. Prof. services"))</f>
        <v>A. Distribution</v>
      </c>
      <c r="N51" s="39" t="n">
        <v>0.225948758959073</v>
      </c>
      <c r="O51" s="39" t="n">
        <v>0.0482556495959976</v>
      </c>
      <c r="P51" s="39" t="n">
        <v>0.171294543013796</v>
      </c>
      <c r="Q51" s="39" t="n">
        <v>0.267839476000162</v>
      </c>
      <c r="R51" s="39" t="n">
        <v>0.134468953073477</v>
      </c>
      <c r="S51" s="39" t="n">
        <v>0.152192619357495</v>
      </c>
      <c r="T51" s="38" t="n">
        <f aca="false">N51*Scorecard!$C$18+O51*Scorecard!$C$19+P51*Scorecard!$C$20+Q51*Scorecard!$C$21+R51*Scorecard!$C$22+S51*Scorecard!$C$23</f>
        <v>3.69686985371282</v>
      </c>
      <c r="U51" s="38" t="n">
        <f aca="false">N51*Scorecard!$D$18+O51*Scorecard!$D$19+P51*Scorecard!$D$20+Q51*Scorecard!$D$21+R51*Scorecard!$D$22+S51*Scorecard!$D$23</f>
        <v>2.66420830040211</v>
      </c>
      <c r="V51" s="38" t="n">
        <f aca="false">N51*Scorecard!$E$18+O51*Scorecard!$E$19+P51*Scorecard!$E$20+Q51*Scorecard!$E$21+R51*Scorecard!$E$22+S51*Scorecard!$E$23</f>
        <v>3.59371303671634</v>
      </c>
    </row>
    <row r="52" customFormat="false" ht="15" hidden="false" customHeight="false" outlineLevel="0" collapsed="false">
      <c r="A52" s="0" t="n">
        <v>47</v>
      </c>
      <c r="B52" s="38" t="n">
        <f aca="false">E52*Scorecard!$C$18+F52*Scorecard!$C$19+G52*Scorecard!$C$20+H52*Scorecard!$C$21+I52*Scorecard!$C$22+J52*Scorecard!$C$23</f>
        <v>3.59835652437916</v>
      </c>
      <c r="C52" s="38" t="n">
        <f aca="false">E52*Scorecard!$D$18+F52*Scorecard!$D$19+G52*Scorecard!$D$20+H52*Scorecard!$D$21+I52*Scorecard!$D$22+J52*Scorecard!$D$23</f>
        <v>2.77227072001012</v>
      </c>
      <c r="D52" s="0" t="str">
        <f aca="false">IF(AND(B52&gt;=C52,B52&gt;=K52),"A. Distribution",IF(C52&gt;=K52,"B. Manufacturing","C. Prof. services"))</f>
        <v>C. Prof. services</v>
      </c>
      <c r="E52" s="39" t="n">
        <v>0.3254388507752</v>
      </c>
      <c r="F52" s="39" t="n">
        <v>0.0448738335296709</v>
      </c>
      <c r="G52" s="39" t="n">
        <v>0.0643227944538802</v>
      </c>
      <c r="H52" s="39" t="n">
        <v>0.295486704081933</v>
      </c>
      <c r="I52" s="39" t="n">
        <v>0.0756028128442227</v>
      </c>
      <c r="J52" s="39" t="n">
        <v>0.194275004315094</v>
      </c>
      <c r="K52" s="38" t="n">
        <f aca="false">E52*Scorecard!$E$18+F52*Scorecard!$E$19+G52*Scorecard!$E$20+H52*Scorecard!$E$21+I52*Scorecard!$E$22+J52*Scorecard!$E$23</f>
        <v>3.65812132364045</v>
      </c>
      <c r="M52" s="0" t="str">
        <f aca="false">IF(AND(T52&gt;=U52,T52&gt;=V52),"A. Distribution",IF(U52&gt;=V52,"B. Manufacturing","C. Prof. services"))</f>
        <v>A. Distribution</v>
      </c>
      <c r="N52" s="39" t="n">
        <v>0.172420615365664</v>
      </c>
      <c r="O52" s="39" t="n">
        <v>0.31517680083519</v>
      </c>
      <c r="P52" s="39" t="n">
        <v>0.133815370042321</v>
      </c>
      <c r="Q52" s="39" t="n">
        <v>0.171023254747184</v>
      </c>
      <c r="R52" s="39" t="n">
        <v>0.102308795536216</v>
      </c>
      <c r="S52" s="39" t="n">
        <v>0.105255163473425</v>
      </c>
      <c r="T52" s="38" t="n">
        <f aca="false">N52*Scorecard!$C$18+O52*Scorecard!$C$19+P52*Scorecard!$C$20+Q52*Scorecard!$C$21+R52*Scorecard!$C$22+S52*Scorecard!$C$23</f>
        <v>4.07239552322442</v>
      </c>
      <c r="U52" s="38" t="n">
        <f aca="false">N52*Scorecard!$D$18+O52*Scorecard!$D$19+P52*Scorecard!$D$20+Q52*Scorecard!$D$21+R52*Scorecard!$D$22+S52*Scorecard!$D$23</f>
        <v>2.64961629384394</v>
      </c>
      <c r="V52" s="38" t="n">
        <f aca="false">N52*Scorecard!$E$18+O52*Scorecard!$E$19+P52*Scorecard!$E$20+Q52*Scorecard!$E$21+R52*Scorecard!$E$22+S52*Scorecard!$E$23</f>
        <v>3.36319359345615</v>
      </c>
    </row>
    <row r="53" customFormat="false" ht="15" hidden="false" customHeight="false" outlineLevel="0" collapsed="false">
      <c r="A53" s="0" t="n">
        <v>48</v>
      </c>
      <c r="B53" s="38" t="n">
        <f aca="false">E53*Scorecard!$C$18+F53*Scorecard!$C$19+G53*Scorecard!$C$20+H53*Scorecard!$C$21+I53*Scorecard!$C$22+J53*Scorecard!$C$23</f>
        <v>3.43380117328813</v>
      </c>
      <c r="C53" s="38" t="n">
        <f aca="false">E53*Scorecard!$D$18+F53*Scorecard!$D$19+G53*Scorecard!$D$20+H53*Scorecard!$D$21+I53*Scorecard!$D$22+J53*Scorecard!$D$23</f>
        <v>2.42543919479868</v>
      </c>
      <c r="D53" s="0" t="str">
        <f aca="false">IF(AND(B53&gt;=C53,B53&gt;=K53),"A. Distribution",IF(C53&gt;=K53,"B. Manufacturing","C. Prof. services"))</f>
        <v>C. Prof. services</v>
      </c>
      <c r="E53" s="39" t="n">
        <v>0.197774608203391</v>
      </c>
      <c r="F53" s="39" t="n">
        <v>0.0110408851702599</v>
      </c>
      <c r="G53" s="39" t="n">
        <v>0.0954889669087252</v>
      </c>
      <c r="H53" s="39" t="n">
        <v>0.417690692060154</v>
      </c>
      <c r="I53" s="39" t="n">
        <v>0.0198275427254706</v>
      </c>
      <c r="J53" s="39" t="n">
        <v>0.258177304932</v>
      </c>
      <c r="K53" s="38" t="n">
        <f aca="false">E53*Scorecard!$E$18+F53*Scorecard!$E$19+G53*Scorecard!$E$20+H53*Scorecard!$E$21+I53*Scorecard!$E$22+J53*Scorecard!$E$23</f>
        <v>3.84733978694222</v>
      </c>
      <c r="M53" s="0" t="str">
        <f aca="false">IF(AND(T53&gt;=U53,T53&gt;=V53),"A. Distribution",IF(U53&gt;=V53,"B. Manufacturing","C. Prof. services"))</f>
        <v>A. Distribution</v>
      </c>
      <c r="N53" s="39" t="n">
        <v>0.162867903926055</v>
      </c>
      <c r="O53" s="39" t="n">
        <v>0.20485871615737</v>
      </c>
      <c r="P53" s="39" t="n">
        <v>0.172711786848477</v>
      </c>
      <c r="Q53" s="39" t="n">
        <v>0.206052525518392</v>
      </c>
      <c r="R53" s="39" t="n">
        <v>0.188980799470275</v>
      </c>
      <c r="S53" s="39" t="n">
        <v>0.0645282680794295</v>
      </c>
      <c r="T53" s="38" t="n">
        <f aca="false">N53*Scorecard!$C$18+O53*Scorecard!$C$19+P53*Scorecard!$C$20+Q53*Scorecard!$C$21+R53*Scorecard!$C$22+S53*Scorecard!$C$23</f>
        <v>4.04052376121758</v>
      </c>
      <c r="U53" s="38" t="n">
        <f aca="false">N53*Scorecard!$D$18+O53*Scorecard!$D$19+P53*Scorecard!$D$20+Q53*Scorecard!$D$21+R53*Scorecard!$D$22+S53*Scorecard!$D$23</f>
        <v>2.71800064641631</v>
      </c>
      <c r="V53" s="38" t="n">
        <f aca="false">N53*Scorecard!$E$18+O53*Scorecard!$E$19+P53*Scorecard!$E$20+Q53*Scorecard!$E$21+R53*Scorecard!$E$22+S53*Scorecard!$E$23</f>
        <v>3.32356927655534</v>
      </c>
    </row>
    <row r="54" customFormat="false" ht="15" hidden="false" customHeight="false" outlineLevel="0" collapsed="false">
      <c r="A54" s="0" t="n">
        <v>49</v>
      </c>
      <c r="B54" s="38" t="n">
        <f aca="false">E54*Scorecard!$C$18+F54*Scorecard!$C$19+G54*Scorecard!$C$20+H54*Scorecard!$C$21+I54*Scorecard!$C$22+J54*Scorecard!$C$23</f>
        <v>3.71552519452362</v>
      </c>
      <c r="C54" s="38" t="n">
        <f aca="false">E54*Scorecard!$D$18+F54*Scorecard!$D$19+G54*Scorecard!$D$20+H54*Scorecard!$D$21+I54*Scorecard!$D$22+J54*Scorecard!$D$23</f>
        <v>2.2913671847668</v>
      </c>
      <c r="D54" s="0" t="str">
        <f aca="false">IF(AND(B54&gt;=C54,B54&gt;=K54),"A. Distribution",IF(C54&gt;=K54,"B. Manufacturing","C. Prof. services"))</f>
        <v>A. Distribution</v>
      </c>
      <c r="E54" s="39" t="n">
        <v>0.00767330235822143</v>
      </c>
      <c r="F54" s="39" t="n">
        <v>0.407172600145106</v>
      </c>
      <c r="G54" s="39" t="n">
        <v>0.0386472721092253</v>
      </c>
      <c r="H54" s="39" t="n">
        <v>0.0372616374458014</v>
      </c>
      <c r="I54" s="39" t="n">
        <v>0.165736999118807</v>
      </c>
      <c r="J54" s="39" t="n">
        <v>0.343508188822839</v>
      </c>
      <c r="K54" s="38" t="n">
        <f aca="false">E54*Scorecard!$E$18+F54*Scorecard!$E$19+G54*Scorecard!$E$20+H54*Scorecard!$E$21+I54*Scorecard!$E$22+J54*Scorecard!$E$23</f>
        <v>3.39275472503425</v>
      </c>
      <c r="M54" s="0" t="str">
        <f aca="false">IF(AND(T54&gt;=U54,T54&gt;=V54),"A. Distribution",IF(U54&gt;=V54,"B. Manufacturing","C. Prof. services"))</f>
        <v>A. Distribution</v>
      </c>
      <c r="N54" s="39" t="n">
        <v>0.180523654624421</v>
      </c>
      <c r="O54" s="39" t="n">
        <v>0.165017438067037</v>
      </c>
      <c r="P54" s="39" t="n">
        <v>0.151450218116786</v>
      </c>
      <c r="Q54" s="39" t="n">
        <v>0.250951291491552</v>
      </c>
      <c r="R54" s="39" t="n">
        <v>0.110783520838191</v>
      </c>
      <c r="S54" s="39" t="n">
        <v>0.141273876862014</v>
      </c>
      <c r="T54" s="38" t="n">
        <f aca="false">N54*Scorecard!$C$18+O54*Scorecard!$C$19+P54*Scorecard!$C$20+Q54*Scorecard!$C$21+R54*Scorecard!$C$22+S54*Scorecard!$C$23</f>
        <v>3.84093587395358</v>
      </c>
      <c r="U54" s="38" t="n">
        <f aca="false">N54*Scorecard!$D$18+O54*Scorecard!$D$19+P54*Scorecard!$D$20+Q54*Scorecard!$D$21+R54*Scorecard!$D$22+S54*Scorecard!$D$23</f>
        <v>2.60310473980293</v>
      </c>
      <c r="V54" s="38" t="n">
        <f aca="false">N54*Scorecard!$E$18+O54*Scorecard!$E$19+P54*Scorecard!$E$20+Q54*Scorecard!$E$21+R54*Scorecard!$E$22+S54*Scorecard!$E$23</f>
        <v>3.51638729307</v>
      </c>
    </row>
    <row r="55" customFormat="false" ht="15" hidden="false" customHeight="false" outlineLevel="0" collapsed="false">
      <c r="A55" s="0" t="n">
        <v>50</v>
      </c>
      <c r="B55" s="38" t="n">
        <f aca="false">E55*Scorecard!$C$18+F55*Scorecard!$C$19+G55*Scorecard!$C$20+H55*Scorecard!$C$21+I55*Scorecard!$C$22+J55*Scorecard!$C$23</f>
        <v>3.84875670745973</v>
      </c>
      <c r="C55" s="38" t="n">
        <f aca="false">E55*Scorecard!$D$18+F55*Scorecard!$D$19+G55*Scorecard!$D$20+H55*Scorecard!$D$21+I55*Scorecard!$D$22+J55*Scorecard!$D$23</f>
        <v>2.819957996583</v>
      </c>
      <c r="D55" s="0" t="str">
        <f aca="false">IF(AND(B55&gt;=C55,B55&gt;=K55),"A. Distribution",IF(C55&gt;=K55,"B. Manufacturing","C. Prof. services"))</f>
        <v>A. Distribution</v>
      </c>
      <c r="E55" s="39" t="n">
        <v>0.364224953382094</v>
      </c>
      <c r="F55" s="39" t="n">
        <v>0.157873491170093</v>
      </c>
      <c r="G55" s="39" t="n">
        <v>0.197393724540262</v>
      </c>
      <c r="H55" s="39" t="n">
        <v>0.125323634266557</v>
      </c>
      <c r="I55" s="39" t="n">
        <v>0.0219988752189735</v>
      </c>
      <c r="J55" s="39" t="n">
        <v>0.133185321422021</v>
      </c>
      <c r="K55" s="38" t="n">
        <f aca="false">E55*Scorecard!$E$18+F55*Scorecard!$E$19+G55*Scorecard!$E$20+H55*Scorecard!$E$21+I55*Scorecard!$E$22+J55*Scorecard!$E$23</f>
        <v>3.6180995060255</v>
      </c>
      <c r="M55" s="0" t="str">
        <f aca="false">IF(AND(T55&gt;=U55,T55&gt;=V55),"A. Distribution",IF(U55&gt;=V55,"B. Manufacturing","C. Prof. services"))</f>
        <v>A. Distribution</v>
      </c>
      <c r="N55" s="39" t="n">
        <v>0.15472831637662</v>
      </c>
      <c r="O55" s="39" t="n">
        <v>0.28017104540261</v>
      </c>
      <c r="P55" s="39" t="n">
        <v>0.382137609110321</v>
      </c>
      <c r="Q55" s="39" t="n">
        <v>0.0235374873076798</v>
      </c>
      <c r="R55" s="39" t="n">
        <v>0.0931131659088173</v>
      </c>
      <c r="S55" s="39" t="n">
        <v>0.0663123758939524</v>
      </c>
      <c r="T55" s="38" t="n">
        <f aca="false">N55*Scorecard!$C$18+O55*Scorecard!$C$19+P55*Scorecard!$C$20+Q55*Scorecard!$C$21+R55*Scorecard!$C$22+S55*Scorecard!$C$23</f>
        <v>4.13258747850998</v>
      </c>
      <c r="U55" s="38" t="n">
        <f aca="false">N55*Scorecard!$D$18+O55*Scorecard!$D$19+P55*Scorecard!$D$20+Q55*Scorecard!$D$21+R55*Scorecard!$D$22+S55*Scorecard!$D$23</f>
        <v>2.55937716564263</v>
      </c>
      <c r="V55" s="38" t="n">
        <f aca="false">N55*Scorecard!$E$18+O55*Scorecard!$E$19+P55*Scorecard!$E$20+Q55*Scorecard!$E$21+R55*Scorecard!$E$22+S55*Scorecard!$E$23</f>
        <v>3.45798024463775</v>
      </c>
    </row>
    <row r="56" customFormat="false" ht="15" hidden="false" customHeight="false" outlineLevel="0" collapsed="false">
      <c r="A56" s="0" t="n">
        <v>51</v>
      </c>
      <c r="B56" s="38" t="n">
        <f aca="false">E56*Scorecard!$C$18+F56*Scorecard!$C$19+G56*Scorecard!$C$20+H56*Scorecard!$C$21+I56*Scorecard!$C$22+J56*Scorecard!$C$23</f>
        <v>3.77723784462769</v>
      </c>
      <c r="C56" s="38" t="n">
        <f aca="false">E56*Scorecard!$D$18+F56*Scorecard!$D$19+G56*Scorecard!$D$20+H56*Scorecard!$D$21+I56*Scorecard!$D$22+J56*Scorecard!$D$23</f>
        <v>2.37550641687332</v>
      </c>
      <c r="D56" s="0" t="str">
        <f aca="false">IF(AND(B56&gt;=C56,B56&gt;=K56),"A. Distribution",IF(C56&gt;=K56,"B. Manufacturing","C. Prof. services"))</f>
        <v>A. Distribution</v>
      </c>
      <c r="E56" s="39" t="n">
        <v>0.0428638553506017</v>
      </c>
      <c r="F56" s="39" t="n">
        <v>0.2540703036641</v>
      </c>
      <c r="G56" s="39" t="n">
        <v>0.197073182461126</v>
      </c>
      <c r="H56" s="39" t="n">
        <v>0.0918418054116405</v>
      </c>
      <c r="I56" s="39" t="n">
        <v>0.182403328094969</v>
      </c>
      <c r="J56" s="39" t="n">
        <v>0.231747525017563</v>
      </c>
      <c r="K56" s="38" t="n">
        <f aca="false">E56*Scorecard!$E$18+F56*Scorecard!$E$19+G56*Scorecard!$E$20+H56*Scorecard!$E$21+I56*Scorecard!$E$22+J56*Scorecard!$E$23</f>
        <v>3.45667074423263</v>
      </c>
      <c r="M56" s="0" t="str">
        <f aca="false">IF(AND(T56&gt;=U56,T56&gt;=V56),"A. Distribution",IF(U56&gt;=V56,"B. Manufacturing","C. Prof. services"))</f>
        <v>A. Distribution</v>
      </c>
      <c r="N56" s="39" t="n">
        <v>0.173062891775249</v>
      </c>
      <c r="O56" s="39" t="n">
        <v>0.168696636380119</v>
      </c>
      <c r="P56" s="39" t="n">
        <v>0.105386988682046</v>
      </c>
      <c r="Q56" s="39" t="n">
        <v>0.310756421683116</v>
      </c>
      <c r="R56" s="39" t="n">
        <v>0.124683782970219</v>
      </c>
      <c r="S56" s="39" t="n">
        <v>0.117413278509251</v>
      </c>
      <c r="T56" s="38" t="n">
        <f aca="false">N56*Scorecard!$C$18+O56*Scorecard!$C$19+P56*Scorecard!$C$20+Q56*Scorecard!$C$21+R56*Scorecard!$C$22+S56*Scorecard!$C$23</f>
        <v>3.88649123166487</v>
      </c>
      <c r="U56" s="38" t="n">
        <f aca="false">N56*Scorecard!$D$18+O56*Scorecard!$D$19+P56*Scorecard!$D$20+Q56*Scorecard!$D$21+R56*Scorecard!$D$22+S56*Scorecard!$D$23</f>
        <v>2.6379013533338</v>
      </c>
      <c r="V56" s="38" t="n">
        <f aca="false">N56*Scorecard!$E$18+O56*Scorecard!$E$19+P56*Scorecard!$E$20+Q56*Scorecard!$E$21+R56*Scorecard!$E$22+S56*Scorecard!$E$23</f>
        <v>3.46106081676219</v>
      </c>
    </row>
    <row r="57" customFormat="false" ht="15" hidden="false" customHeight="false" outlineLevel="0" collapsed="false">
      <c r="A57" s="0" t="n">
        <v>52</v>
      </c>
      <c r="B57" s="38" t="n">
        <f aca="false">E57*Scorecard!$C$18+F57*Scorecard!$C$19+G57*Scorecard!$C$20+H57*Scorecard!$C$21+I57*Scorecard!$C$22+J57*Scorecard!$C$23</f>
        <v>3.33427241984764</v>
      </c>
      <c r="C57" s="38" t="n">
        <f aca="false">E57*Scorecard!$D$18+F57*Scorecard!$D$19+G57*Scorecard!$D$20+H57*Scorecard!$D$21+I57*Scorecard!$D$22+J57*Scorecard!$D$23</f>
        <v>2.23848098497916</v>
      </c>
      <c r="D57" s="0" t="str">
        <f aca="false">IF(AND(B57&gt;=C57,B57&gt;=K57),"A. Distribution",IF(C57&gt;=K57,"B. Manufacturing","C. Prof. services"))</f>
        <v>C. Prof. services</v>
      </c>
      <c r="E57" s="39" t="n">
        <v>0.0926622897094312</v>
      </c>
      <c r="F57" s="39" t="n">
        <v>0.167189006559596</v>
      </c>
      <c r="G57" s="39" t="n">
        <v>0.169046655583171</v>
      </c>
      <c r="H57" s="39" t="n">
        <v>0.0449579983871708</v>
      </c>
      <c r="I57" s="39" t="n">
        <v>0.115827659814951</v>
      </c>
      <c r="J57" s="39" t="n">
        <v>0.41031638994568</v>
      </c>
      <c r="K57" s="38" t="n">
        <f aca="false">E57*Scorecard!$E$18+F57*Scorecard!$E$19+G57*Scorecard!$E$20+H57*Scorecard!$E$21+I57*Scorecard!$E$22+J57*Scorecard!$E$23</f>
        <v>3.75121165709844</v>
      </c>
      <c r="M57" s="0" t="str">
        <f aca="false">IF(AND(T57&gt;=U57,T57&gt;=V57),"A. Distribution",IF(U57&gt;=V57,"B. Manufacturing","C. Prof. services"))</f>
        <v>A. Distribution</v>
      </c>
      <c r="N57" s="39" t="n">
        <v>0.226970233371827</v>
      </c>
      <c r="O57" s="39" t="n">
        <v>0.0940902947762244</v>
      </c>
      <c r="P57" s="39" t="n">
        <v>0.16008961371343</v>
      </c>
      <c r="Q57" s="39" t="n">
        <v>0.192446632583164</v>
      </c>
      <c r="R57" s="39" t="n">
        <v>0.254104801366443</v>
      </c>
      <c r="S57" s="39" t="n">
        <v>0.0722984241889118</v>
      </c>
      <c r="T57" s="38" t="n">
        <f aca="false">N57*Scorecard!$C$18+O57*Scorecard!$C$19+P57*Scorecard!$C$20+Q57*Scorecard!$C$21+R57*Scorecard!$C$22+S57*Scorecard!$C$23</f>
        <v>3.91053450146606</v>
      </c>
      <c r="U57" s="38" t="n">
        <f aca="false">N57*Scorecard!$D$18+O57*Scorecard!$D$19+P57*Scorecard!$D$20+Q57*Scorecard!$D$21+R57*Scorecard!$D$22+S57*Scorecard!$D$23</f>
        <v>2.86798154062523</v>
      </c>
      <c r="V57" s="38" t="n">
        <f aca="false">N57*Scorecard!$E$18+O57*Scorecard!$E$19+P57*Scorecard!$E$20+Q57*Scorecard!$E$21+R57*Scorecard!$E$22+S57*Scorecard!$E$23</f>
        <v>3.32372574626462</v>
      </c>
    </row>
    <row r="58" customFormat="false" ht="15" hidden="false" customHeight="false" outlineLevel="0" collapsed="false">
      <c r="A58" s="0" t="n">
        <v>53</v>
      </c>
      <c r="B58" s="38" t="n">
        <f aca="false">E58*Scorecard!$C$18+F58*Scorecard!$C$19+G58*Scorecard!$C$20+H58*Scorecard!$C$21+I58*Scorecard!$C$22+J58*Scorecard!$C$23</f>
        <v>3.91304068947733</v>
      </c>
      <c r="C58" s="38" t="n">
        <f aca="false">E58*Scorecard!$D$18+F58*Scorecard!$D$19+G58*Scorecard!$D$20+H58*Scorecard!$D$21+I58*Scorecard!$D$22+J58*Scorecard!$D$23</f>
        <v>2.96568384071143</v>
      </c>
      <c r="D58" s="0" t="str">
        <f aca="false">IF(AND(B58&gt;=C58,B58&gt;=K58),"A. Distribution",IF(C58&gt;=K58,"B. Manufacturing","C. Prof. services"))</f>
        <v>A. Distribution</v>
      </c>
      <c r="E58" s="39" t="n">
        <v>0.275387580037802</v>
      </c>
      <c r="F58" s="39" t="n">
        <v>0.13225133165239</v>
      </c>
      <c r="G58" s="39" t="n">
        <v>0.138244969455474</v>
      </c>
      <c r="H58" s="39" t="n">
        <v>0.0916792765996233</v>
      </c>
      <c r="I58" s="39" t="n">
        <v>0.268825758997061</v>
      </c>
      <c r="J58" s="39" t="n">
        <v>0.0936110832576496</v>
      </c>
      <c r="K58" s="38" t="n">
        <f aca="false">E58*Scorecard!$E$18+F58*Scorecard!$E$19+G58*Scorecard!$E$20+H58*Scorecard!$E$21+I58*Scorecard!$E$22+J58*Scorecard!$E$23</f>
        <v>3.27297815436438</v>
      </c>
      <c r="M58" s="0" t="str">
        <f aca="false">IF(AND(T58&gt;=U58,T58&gt;=V58),"A. Distribution",IF(U58&gt;=V58,"B. Manufacturing","C. Prof. services"))</f>
        <v>A. Distribution</v>
      </c>
      <c r="N58" s="39" t="n">
        <v>0.159655116081855</v>
      </c>
      <c r="O58" s="39" t="n">
        <v>0.226816067421758</v>
      </c>
      <c r="P58" s="39" t="n">
        <v>0.248888369444135</v>
      </c>
      <c r="Q58" s="39" t="n">
        <v>0.175899986330695</v>
      </c>
      <c r="R58" s="39" t="n">
        <v>0.137259260132308</v>
      </c>
      <c r="S58" s="39" t="n">
        <v>0.0514812005892489</v>
      </c>
      <c r="T58" s="38" t="n">
        <f aca="false">N58*Scorecard!$C$18+O58*Scorecard!$C$19+P58*Scorecard!$C$20+Q58*Scorecard!$C$21+R58*Scorecard!$C$22+S58*Scorecard!$C$23</f>
        <v>4.09208214561807</v>
      </c>
      <c r="U58" s="38" t="n">
        <f aca="false">N58*Scorecard!$D$18+O58*Scorecard!$D$19+P58*Scorecard!$D$20+Q58*Scorecard!$D$21+R58*Scorecard!$D$22+S58*Scorecard!$D$23</f>
        <v>2.65188402512443</v>
      </c>
      <c r="V58" s="38" t="n">
        <f aca="false">N58*Scorecard!$E$18+O58*Scorecard!$E$19+P58*Scorecard!$E$20+Q58*Scorecard!$E$21+R58*Scorecard!$E$22+S58*Scorecard!$E$23</f>
        <v>3.38847037825199</v>
      </c>
    </row>
    <row r="59" customFormat="false" ht="15" hidden="false" customHeight="false" outlineLevel="0" collapsed="false">
      <c r="A59" s="0" t="n">
        <v>54</v>
      </c>
      <c r="B59" s="38" t="n">
        <f aca="false">E59*Scorecard!$C$18+F59*Scorecard!$C$19+G59*Scorecard!$C$20+H59*Scorecard!$C$21+I59*Scorecard!$C$22+J59*Scorecard!$C$23</f>
        <v>3.79752967046056</v>
      </c>
      <c r="C59" s="38" t="n">
        <f aca="false">E59*Scorecard!$D$18+F59*Scorecard!$D$19+G59*Scorecard!$D$20+H59*Scorecard!$D$21+I59*Scorecard!$D$22+J59*Scorecard!$D$23</f>
        <v>2.67318813741355</v>
      </c>
      <c r="D59" s="0" t="str">
        <f aca="false">IF(AND(B59&gt;=C59,B59&gt;=K59),"A. Distribution",IF(C59&gt;=K59,"B. Manufacturing","C. Prof. services"))</f>
        <v>A. Distribution</v>
      </c>
      <c r="E59" s="39" t="n">
        <v>0.117269986979678</v>
      </c>
      <c r="F59" s="39" t="n">
        <v>0.0783430921485306</v>
      </c>
      <c r="G59" s="39" t="n">
        <v>0.0734682510384457</v>
      </c>
      <c r="H59" s="39" t="n">
        <v>0.35165708338239</v>
      </c>
      <c r="I59" s="39" t="n">
        <v>0.262508118495671</v>
      </c>
      <c r="J59" s="39" t="n">
        <v>0.116753467955285</v>
      </c>
      <c r="K59" s="38" t="n">
        <f aca="false">E59*Scorecard!$E$18+F59*Scorecard!$E$19+G59*Scorecard!$E$20+H59*Scorecard!$E$21+I59*Scorecard!$E$22+J59*Scorecard!$E$23</f>
        <v>3.35354818564754</v>
      </c>
      <c r="M59" s="0" t="str">
        <f aca="false">IF(AND(T59&gt;=U59,T59&gt;=V59),"A. Distribution",IF(U59&gt;=V59,"B. Manufacturing","C. Prof. services"))</f>
        <v>A. Distribution</v>
      </c>
      <c r="N59" s="39" t="n">
        <v>0.123460142792373</v>
      </c>
      <c r="O59" s="39" t="n">
        <v>0.158100167965139</v>
      </c>
      <c r="P59" s="39" t="n">
        <v>0.269243055022775</v>
      </c>
      <c r="Q59" s="39" t="n">
        <v>0.245191080779358</v>
      </c>
      <c r="R59" s="39" t="n">
        <v>0.157277381543548</v>
      </c>
      <c r="S59" s="39" t="n">
        <v>0.0467281718968068</v>
      </c>
      <c r="T59" s="38" t="n">
        <f aca="false">N59*Scorecard!$C$18+O59*Scorecard!$C$19+P59*Scorecard!$C$20+Q59*Scorecard!$C$21+R59*Scorecard!$C$22+S59*Scorecard!$C$23</f>
        <v>4.02831212502179</v>
      </c>
      <c r="U59" s="38" t="n">
        <f aca="false">N59*Scorecard!$D$18+O59*Scorecard!$D$19+P59*Scorecard!$D$20+Q59*Scorecard!$D$21+R59*Scorecard!$D$22+S59*Scorecard!$D$23</f>
        <v>2.59156120606528</v>
      </c>
      <c r="V59" s="38" t="n">
        <f aca="false">N59*Scorecard!$E$18+O59*Scorecard!$E$19+P59*Scorecard!$E$20+Q59*Scorecard!$E$21+R59*Scorecard!$E$22+S59*Scorecard!$E$23</f>
        <v>3.43030793409764</v>
      </c>
    </row>
    <row r="60" customFormat="false" ht="15" hidden="false" customHeight="false" outlineLevel="0" collapsed="false">
      <c r="A60" s="0" t="n">
        <v>55</v>
      </c>
      <c r="B60" s="38" t="n">
        <f aca="false">E60*Scorecard!$C$18+F60*Scorecard!$C$19+G60*Scorecard!$C$20+H60*Scorecard!$C$21+I60*Scorecard!$C$22+J60*Scorecard!$C$23</f>
        <v>3.8713929997601</v>
      </c>
      <c r="C60" s="38" t="n">
        <f aca="false">E60*Scorecard!$D$18+F60*Scorecard!$D$19+G60*Scorecard!$D$20+H60*Scorecard!$D$21+I60*Scorecard!$D$22+J60*Scorecard!$D$23</f>
        <v>2.94311625364751</v>
      </c>
      <c r="D60" s="0" t="str">
        <f aca="false">IF(AND(B60&gt;=C60,B60&gt;=K60),"A. Distribution",IF(C60&gt;=K60,"B. Manufacturing","C. Prof. services"))</f>
        <v>A. Distribution</v>
      </c>
      <c r="E60" s="39" t="n">
        <v>0.273176062877882</v>
      </c>
      <c r="F60" s="39" t="n">
        <v>0.0338852520643653</v>
      </c>
      <c r="G60" s="39" t="n">
        <v>0.10614262769859</v>
      </c>
      <c r="H60" s="39" t="n">
        <v>0.298317884196981</v>
      </c>
      <c r="I60" s="39" t="n">
        <v>0.234270222665541</v>
      </c>
      <c r="J60" s="39" t="n">
        <v>0.0542079504966408</v>
      </c>
      <c r="K60" s="38" t="n">
        <f aca="false">E60*Scorecard!$E$18+F60*Scorecard!$E$19+G60*Scorecard!$E$20+H60*Scorecard!$E$21+I60*Scorecard!$E$22+J60*Scorecard!$E$23</f>
        <v>3.36197815697766</v>
      </c>
      <c r="M60" s="0" t="str">
        <f aca="false">IF(AND(T60&gt;=U60,T60&gt;=V60),"A. Distribution",IF(U60&gt;=V60,"B. Manufacturing","C. Prof. services"))</f>
        <v>A. Distribution</v>
      </c>
      <c r="N60" s="39" t="n">
        <v>0.155267064291158</v>
      </c>
      <c r="O60" s="39" t="n">
        <v>0.0737079280095748</v>
      </c>
      <c r="P60" s="39" t="n">
        <v>0.334407486939349</v>
      </c>
      <c r="Q60" s="39" t="n">
        <v>0.102108263701472</v>
      </c>
      <c r="R60" s="39" t="n">
        <v>0.171496899648013</v>
      </c>
      <c r="S60" s="39" t="n">
        <v>0.163012357410434</v>
      </c>
      <c r="T60" s="38" t="n">
        <f aca="false">N60*Scorecard!$C$18+O60*Scorecard!$C$19+P60*Scorecard!$C$20+Q60*Scorecard!$C$21+R60*Scorecard!$C$22+S60*Scorecard!$C$23</f>
        <v>3.72421509649104</v>
      </c>
      <c r="U60" s="38" t="n">
        <f aca="false">N60*Scorecard!$D$18+O60*Scorecard!$D$19+P60*Scorecard!$D$20+Q60*Scorecard!$D$21+R60*Scorecard!$D$22+S60*Scorecard!$D$23</f>
        <v>2.53020209734266</v>
      </c>
      <c r="V60" s="38" t="n">
        <f aca="false">N60*Scorecard!$E$18+O60*Scorecard!$E$19+P60*Scorecard!$E$20+Q60*Scorecard!$E$21+R60*Scorecard!$E$22+S60*Scorecard!$E$23</f>
        <v>3.59652983201393</v>
      </c>
    </row>
    <row r="61" customFormat="false" ht="15" hidden="false" customHeight="false" outlineLevel="0" collapsed="false">
      <c r="A61" s="0" t="n">
        <v>56</v>
      </c>
      <c r="B61" s="38" t="n">
        <f aca="false">E61*Scorecard!$C$18+F61*Scorecard!$C$19+G61*Scorecard!$C$20+H61*Scorecard!$C$21+I61*Scorecard!$C$22+J61*Scorecard!$C$23</f>
        <v>3.94280469463614</v>
      </c>
      <c r="C61" s="38" t="n">
        <f aca="false">E61*Scorecard!$D$18+F61*Scorecard!$D$19+G61*Scorecard!$D$20+H61*Scorecard!$D$21+I61*Scorecard!$D$22+J61*Scorecard!$D$23</f>
        <v>3.38675461358689</v>
      </c>
      <c r="D61" s="0" t="str">
        <f aca="false">IF(AND(B61&gt;=C61,B61&gt;=K61),"A. Distribution",IF(C61&gt;=K61,"B. Manufacturing","C. Prof. services"))</f>
        <v>A. Distribution</v>
      </c>
      <c r="E61" s="39" t="n">
        <v>0.450259770954932</v>
      </c>
      <c r="F61" s="39" t="n">
        <v>0.00556395556632791</v>
      </c>
      <c r="G61" s="39" t="n">
        <v>0.161406369773381</v>
      </c>
      <c r="H61" s="39" t="n">
        <v>0.0139792877114275</v>
      </c>
      <c r="I61" s="39" t="n">
        <v>0.35623907550746</v>
      </c>
      <c r="J61" s="39" t="n">
        <v>0.0125515404864723</v>
      </c>
      <c r="K61" s="38" t="n">
        <f aca="false">E61*Scorecard!$E$18+F61*Scorecard!$E$19+G61*Scorecard!$E$20+H61*Scorecard!$E$21+I61*Scorecard!$E$22+J61*Scorecard!$E$23</f>
        <v>3.17617867774225</v>
      </c>
      <c r="M61" s="0" t="str">
        <f aca="false">IF(AND(T61&gt;=U61,T61&gt;=V61),"A. Distribution",IF(U61&gt;=V61,"B. Manufacturing","C. Prof. services"))</f>
        <v>A. Distribution</v>
      </c>
      <c r="N61" s="39" t="n">
        <v>0.276903224238153</v>
      </c>
      <c r="O61" s="39" t="n">
        <v>0.200673840806135</v>
      </c>
      <c r="P61" s="39" t="n">
        <v>0.121078777800937</v>
      </c>
      <c r="Q61" s="39" t="n">
        <v>0.135621750866542</v>
      </c>
      <c r="R61" s="39" t="n">
        <v>0.221138429948054</v>
      </c>
      <c r="S61" s="39" t="n">
        <v>0.0445839763401784</v>
      </c>
      <c r="T61" s="38" t="n">
        <f aca="false">N61*Scorecard!$C$18+O61*Scorecard!$C$19+P61*Scorecard!$C$20+Q61*Scorecard!$C$21+R61*Scorecard!$C$22+S61*Scorecard!$C$23</f>
        <v>4.07466089889804</v>
      </c>
      <c r="U61" s="38" t="n">
        <f aca="false">N61*Scorecard!$D$18+O61*Scorecard!$D$19+P61*Scorecard!$D$20+Q61*Scorecard!$D$21+R61*Scorecard!$D$22+S61*Scorecard!$D$23</f>
        <v>2.97877725332171</v>
      </c>
      <c r="V61" s="38" t="n">
        <f aca="false">N61*Scorecard!$E$18+O61*Scorecard!$E$19+P61*Scorecard!$E$20+Q61*Scorecard!$E$21+R61*Scorecard!$E$22+S61*Scorecard!$E$23</f>
        <v>3.23102122623172</v>
      </c>
    </row>
    <row r="62" customFormat="false" ht="15" hidden="false" customHeight="false" outlineLevel="0" collapsed="false">
      <c r="A62" s="0" t="n">
        <v>57</v>
      </c>
      <c r="B62" s="38" t="n">
        <f aca="false">E62*Scorecard!$C$18+F62*Scorecard!$C$19+G62*Scorecard!$C$20+H62*Scorecard!$C$21+I62*Scorecard!$C$22+J62*Scorecard!$C$23</f>
        <v>3.78183632999526</v>
      </c>
      <c r="C62" s="38" t="n">
        <f aca="false">E62*Scorecard!$D$18+F62*Scorecard!$D$19+G62*Scorecard!$D$20+H62*Scorecard!$D$21+I62*Scorecard!$D$22+J62*Scorecard!$D$23</f>
        <v>2.49754360732139</v>
      </c>
      <c r="D62" s="0" t="str">
        <f aca="false">IF(AND(B62&gt;=C62,B62&gt;=K62),"A. Distribution",IF(C62&gt;=K62,"B. Manufacturing","C. Prof. services"))</f>
        <v>A. Distribution</v>
      </c>
      <c r="E62" s="39" t="n">
        <v>0.172310380419773</v>
      </c>
      <c r="F62" s="39" t="n">
        <v>0.0201082387059189</v>
      </c>
      <c r="G62" s="39" t="n">
        <v>0.50422172834416</v>
      </c>
      <c r="H62" s="39" t="n">
        <v>0.0641959420502927</v>
      </c>
      <c r="I62" s="39" t="n">
        <v>0.130403453437638</v>
      </c>
      <c r="J62" s="39" t="n">
        <v>0.108760257042218</v>
      </c>
      <c r="K62" s="38" t="n">
        <f aca="false">E62*Scorecard!$E$18+F62*Scorecard!$E$19+G62*Scorecard!$E$20+H62*Scorecard!$E$21+I62*Scorecard!$E$22+J62*Scorecard!$E$23</f>
        <v>3.70584681078899</v>
      </c>
      <c r="M62" s="0" t="str">
        <f aca="false">IF(AND(T62&gt;=U62,T62&gt;=V62),"A. Distribution",IF(U62&gt;=V62,"B. Manufacturing","C. Prof. services"))</f>
        <v>A. Distribution</v>
      </c>
      <c r="N62" s="39" t="n">
        <v>0.116512488841874</v>
      </c>
      <c r="O62" s="39" t="n">
        <v>0.156034212479353</v>
      </c>
      <c r="P62" s="39" t="n">
        <v>0.27288114337425</v>
      </c>
      <c r="Q62" s="39" t="n">
        <v>0.139000521137406</v>
      </c>
      <c r="R62" s="39" t="n">
        <v>0.160954327592035</v>
      </c>
      <c r="S62" s="39" t="n">
        <v>0.154617306575082</v>
      </c>
      <c r="T62" s="38" t="n">
        <f aca="false">N62*Scorecard!$C$18+O62*Scorecard!$C$19+P62*Scorecard!$C$20+Q62*Scorecard!$C$21+R62*Scorecard!$C$22+S62*Scorecard!$C$23</f>
        <v>3.82246780000148</v>
      </c>
      <c r="U62" s="38" t="n">
        <f aca="false">N62*Scorecard!$D$18+O62*Scorecard!$D$19+P62*Scorecard!$D$20+Q62*Scorecard!$D$21+R62*Scorecard!$D$22+S62*Scorecard!$D$23</f>
        <v>2.49633063773869</v>
      </c>
      <c r="V62" s="38" t="n">
        <f aca="false">N62*Scorecard!$E$18+O62*Scorecard!$E$19+P62*Scorecard!$E$20+Q62*Scorecard!$E$21+R62*Scorecard!$E$22+S62*Scorecard!$E$23</f>
        <v>3.51880000649117</v>
      </c>
    </row>
    <row r="63" customFormat="false" ht="15" hidden="false" customHeight="false" outlineLevel="0" collapsed="false">
      <c r="A63" s="0" t="n">
        <v>58</v>
      </c>
      <c r="B63" s="38" t="n">
        <f aca="false">E63*Scorecard!$C$18+F63*Scorecard!$C$19+G63*Scorecard!$C$20+H63*Scorecard!$C$21+I63*Scorecard!$C$22+J63*Scorecard!$C$23</f>
        <v>3.12600858474551</v>
      </c>
      <c r="C63" s="38" t="n">
        <f aca="false">E63*Scorecard!$D$18+F63*Scorecard!$D$19+G63*Scorecard!$D$20+H63*Scorecard!$D$21+I63*Scorecard!$D$22+J63*Scorecard!$D$23</f>
        <v>2.029274915604</v>
      </c>
      <c r="D63" s="0" t="str">
        <f aca="false">IF(AND(B63&gt;=C63,B63&gt;=K63),"A. Distribution",IF(C63&gt;=K63,"B. Manufacturing","C. Prof. services"))</f>
        <v>C. Prof. services</v>
      </c>
      <c r="E63" s="39" t="n">
        <v>0.0608304718083696</v>
      </c>
      <c r="F63" s="39" t="n">
        <v>0.130945430966415</v>
      </c>
      <c r="G63" s="39" t="n">
        <v>0.0671978348931369</v>
      </c>
      <c r="H63" s="39" t="n">
        <v>0.248864049161945</v>
      </c>
      <c r="I63" s="39" t="n">
        <v>0.00554335483119894</v>
      </c>
      <c r="J63" s="39" t="n">
        <v>0.486618858338935</v>
      </c>
      <c r="K63" s="38" t="n">
        <f aca="false">E63*Scorecard!$E$18+F63*Scorecard!$E$19+G63*Scorecard!$E$20+H63*Scorecard!$E$21+I63*Scorecard!$E$22+J63*Scorecard!$E$23</f>
        <v>3.96572313914997</v>
      </c>
      <c r="M63" s="0" t="str">
        <f aca="false">IF(AND(T63&gt;=U63,T63&gt;=V63),"A. Distribution",IF(U63&gt;=V63,"B. Manufacturing","C. Prof. services"))</f>
        <v>A. Distribution</v>
      </c>
      <c r="N63" s="39" t="n">
        <v>0.12647457527305</v>
      </c>
      <c r="O63" s="39" t="n">
        <v>0.175682684373732</v>
      </c>
      <c r="P63" s="39" t="n">
        <v>0.14821924733636</v>
      </c>
      <c r="Q63" s="39" t="n">
        <v>0.280503151156512</v>
      </c>
      <c r="R63" s="39" t="n">
        <v>0.198865920799595</v>
      </c>
      <c r="S63" s="39" t="n">
        <v>0.070254421060751</v>
      </c>
      <c r="T63" s="38" t="n">
        <f aca="false">N63*Scorecard!$C$18+O63*Scorecard!$C$19+P63*Scorecard!$C$20+Q63*Scorecard!$C$21+R63*Scorecard!$C$22+S63*Scorecard!$C$23</f>
        <v>3.99479522774528</v>
      </c>
      <c r="U63" s="38" t="n">
        <f aca="false">N63*Scorecard!$D$18+O63*Scorecard!$D$19+P63*Scorecard!$D$20+Q63*Scorecard!$D$21+R63*Scorecard!$D$22+S63*Scorecard!$D$23</f>
        <v>2.66098355008447</v>
      </c>
      <c r="V63" s="38" t="n">
        <f aca="false">N63*Scorecard!$E$18+O63*Scorecard!$E$19+P63*Scorecard!$E$20+Q63*Scorecard!$E$21+R63*Scorecard!$E$22+S63*Scorecard!$E$23</f>
        <v>3.33868004223182</v>
      </c>
    </row>
    <row r="64" customFormat="false" ht="15" hidden="false" customHeight="false" outlineLevel="0" collapsed="false">
      <c r="A64" s="0" t="n">
        <v>59</v>
      </c>
      <c r="B64" s="38" t="n">
        <f aca="false">E64*Scorecard!$C$18+F64*Scorecard!$C$19+G64*Scorecard!$C$20+H64*Scorecard!$C$21+I64*Scorecard!$C$22+J64*Scorecard!$C$23</f>
        <v>3.32402885868482</v>
      </c>
      <c r="C64" s="38" t="n">
        <f aca="false">E64*Scorecard!$D$18+F64*Scorecard!$D$19+G64*Scorecard!$D$20+H64*Scorecard!$D$21+I64*Scorecard!$D$22+J64*Scorecard!$D$23</f>
        <v>2.41079565336397</v>
      </c>
      <c r="D64" s="0" t="str">
        <f aca="false">IF(AND(B64&gt;=C64,B64&gt;=K64),"A. Distribution",IF(C64&gt;=K64,"B. Manufacturing","C. Prof. services"))</f>
        <v>C. Prof. services</v>
      </c>
      <c r="E64" s="39" t="n">
        <v>0.137136529005985</v>
      </c>
      <c r="F64" s="39" t="n">
        <v>0.0488418153685009</v>
      </c>
      <c r="G64" s="39" t="n">
        <v>0.0971674554133697</v>
      </c>
      <c r="H64" s="39" t="n">
        <v>0.205918330907847</v>
      </c>
      <c r="I64" s="39" t="n">
        <v>0.165128426065125</v>
      </c>
      <c r="J64" s="39" t="n">
        <v>0.345807443239174</v>
      </c>
      <c r="K64" s="38" t="n">
        <f aca="false">E64*Scorecard!$E$18+F64*Scorecard!$E$19+G64*Scorecard!$E$20+H64*Scorecard!$E$21+I64*Scorecard!$E$22+J64*Scorecard!$E$23</f>
        <v>3.70337861567355</v>
      </c>
      <c r="M64" s="0" t="str">
        <f aca="false">IF(AND(T64&gt;=U64,T64&gt;=V64),"A. Distribution",IF(U64&gt;=V64,"B. Manufacturing","C. Prof. services"))</f>
        <v>A. Distribution</v>
      </c>
      <c r="N64" s="39" t="n">
        <v>0.12808276159624</v>
      </c>
      <c r="O64" s="39" t="n">
        <v>0.299948182062912</v>
      </c>
      <c r="P64" s="39" t="n">
        <v>0.289703669358306</v>
      </c>
      <c r="Q64" s="39" t="n">
        <v>0.13995568145064</v>
      </c>
      <c r="R64" s="39" t="n">
        <v>0.111294336818976</v>
      </c>
      <c r="S64" s="39" t="n">
        <v>0.0310153687129261</v>
      </c>
      <c r="T64" s="38" t="n">
        <f aca="false">N64*Scorecard!$C$18+O64*Scorecard!$C$19+P64*Scorecard!$C$20+Q64*Scorecard!$C$21+R64*Scorecard!$C$22+S64*Scorecard!$C$23</f>
        <v>4.21255378637625</v>
      </c>
      <c r="U64" s="38" t="n">
        <f aca="false">N64*Scorecard!$D$18+O64*Scorecard!$D$19+P64*Scorecard!$D$20+Q64*Scorecard!$D$21+R64*Scorecard!$D$22+S64*Scorecard!$D$23</f>
        <v>2.59185799867367</v>
      </c>
      <c r="V64" s="38" t="n">
        <f aca="false">N64*Scorecard!$E$18+O64*Scorecard!$E$19+P64*Scorecard!$E$20+Q64*Scorecard!$E$21+R64*Scorecard!$E$22+S64*Scorecard!$E$23</f>
        <v>3.36163243904814</v>
      </c>
    </row>
    <row r="65" customFormat="false" ht="15" hidden="false" customHeight="false" outlineLevel="0" collapsed="false">
      <c r="A65" s="0" t="n">
        <v>60</v>
      </c>
      <c r="B65" s="38" t="n">
        <f aca="false">E65*Scorecard!$C$18+F65*Scorecard!$C$19+G65*Scorecard!$C$20+H65*Scorecard!$C$21+I65*Scorecard!$C$22+J65*Scorecard!$C$23</f>
        <v>3.9351418069531</v>
      </c>
      <c r="C65" s="38" t="n">
        <f aca="false">E65*Scorecard!$D$18+F65*Scorecard!$D$19+G65*Scorecard!$D$20+H65*Scorecard!$D$21+I65*Scorecard!$D$22+J65*Scorecard!$D$23</f>
        <v>2.8460373883318</v>
      </c>
      <c r="D65" s="0" t="str">
        <f aca="false">IF(AND(B65&gt;=C65,B65&gt;=K65),"A. Distribution",IF(C65&gt;=K65,"B. Manufacturing","C. Prof. services"))</f>
        <v>A. Distribution</v>
      </c>
      <c r="E65" s="39" t="n">
        <v>0.371447237456539</v>
      </c>
      <c r="F65" s="39" t="n">
        <v>0.154332659918701</v>
      </c>
      <c r="G65" s="39" t="n">
        <v>0.256960710549934</v>
      </c>
      <c r="H65" s="39" t="n">
        <v>0.109712887986866</v>
      </c>
      <c r="I65" s="39" t="n">
        <v>0.0187730414391377</v>
      </c>
      <c r="J65" s="39" t="n">
        <v>0.0887734626488231</v>
      </c>
      <c r="K65" s="38" t="n">
        <f aca="false">E65*Scorecard!$E$18+F65*Scorecard!$E$19+G65*Scorecard!$E$20+H65*Scorecard!$E$21+I65*Scorecard!$E$22+J65*Scorecard!$E$23</f>
        <v>3.60699760292212</v>
      </c>
      <c r="M65" s="0" t="str">
        <f aca="false">IF(AND(T65&gt;=U65,T65&gt;=V65),"A. Distribution",IF(U65&gt;=V65,"B. Manufacturing","C. Prof. services"))</f>
        <v>A. Distribution</v>
      </c>
      <c r="N65" s="39" t="n">
        <v>0.17880026019175</v>
      </c>
      <c r="O65" s="39" t="n">
        <v>0.142484799187514</v>
      </c>
      <c r="P65" s="39" t="n">
        <v>0.394765701811641</v>
      </c>
      <c r="Q65" s="39" t="n">
        <v>0.0989489576869158</v>
      </c>
      <c r="R65" s="39" t="n">
        <v>0.153893906415763</v>
      </c>
      <c r="S65" s="39" t="n">
        <v>0.0311063747064171</v>
      </c>
      <c r="T65" s="38" t="n">
        <f aca="false">N65*Scorecard!$C$18+O65*Scorecard!$C$19+P65*Scorecard!$C$20+Q65*Scorecard!$C$21+R65*Scorecard!$C$22+S65*Scorecard!$C$23</f>
        <v>4.05525494582383</v>
      </c>
      <c r="U65" s="38" t="n">
        <f aca="false">N65*Scorecard!$D$18+O65*Scorecard!$D$19+P65*Scorecard!$D$20+Q65*Scorecard!$D$21+R65*Scorecard!$D$22+S65*Scorecard!$D$23</f>
        <v>2.65581634592075</v>
      </c>
      <c r="V65" s="38" t="n">
        <f aca="false">N65*Scorecard!$E$18+O65*Scorecard!$E$19+P65*Scorecard!$E$20+Q65*Scorecard!$E$21+R65*Scorecard!$E$22+S65*Scorecard!$E$23</f>
        <v>3.46696536991226</v>
      </c>
    </row>
    <row r="66" customFormat="false" ht="15" hidden="false" customHeight="false" outlineLevel="0" collapsed="false">
      <c r="A66" s="0" t="n">
        <v>61</v>
      </c>
      <c r="B66" s="38" t="n">
        <f aca="false">E66*Scorecard!$C$18+F66*Scorecard!$C$19+G66*Scorecard!$C$20+H66*Scorecard!$C$21+I66*Scorecard!$C$22+J66*Scorecard!$C$23</f>
        <v>4.2498976906963</v>
      </c>
      <c r="C66" s="38" t="n">
        <f aca="false">E66*Scorecard!$D$18+F66*Scorecard!$D$19+G66*Scorecard!$D$20+H66*Scorecard!$D$21+I66*Scorecard!$D$22+J66*Scorecard!$D$23</f>
        <v>2.80566262532526</v>
      </c>
      <c r="D66" s="0" t="str">
        <f aca="false">IF(AND(B66&gt;=C66,B66&gt;=K66),"A. Distribution",IF(C66&gt;=K66,"B. Manufacturing","C. Prof. services"))</f>
        <v>A. Distribution</v>
      </c>
      <c r="E66" s="39" t="n">
        <v>0.0476092607904187</v>
      </c>
      <c r="F66" s="39" t="n">
        <v>0.319302106311654</v>
      </c>
      <c r="G66" s="39" t="n">
        <v>0.0370660431887834</v>
      </c>
      <c r="H66" s="39" t="n">
        <v>0.206312977789082</v>
      </c>
      <c r="I66" s="39" t="n">
        <v>0.368033773252848</v>
      </c>
      <c r="J66" s="39" t="n">
        <v>0.0216758386672146</v>
      </c>
      <c r="K66" s="38" t="n">
        <f aca="false">E66*Scorecard!$E$18+F66*Scorecard!$E$19+G66*Scorecard!$E$20+H66*Scorecard!$E$21+I66*Scorecard!$E$22+J66*Scorecard!$E$23</f>
        <v>2.92445190846487</v>
      </c>
      <c r="M66" s="0" t="str">
        <f aca="false">IF(AND(T66&gt;=U66,T66&gt;=V66),"A. Distribution",IF(U66&gt;=V66,"B. Manufacturing","C. Prof. services"))</f>
        <v>A. Distribution</v>
      </c>
      <c r="N66" s="39" t="n">
        <v>0.111407883645436</v>
      </c>
      <c r="O66" s="39" t="n">
        <v>0.297069247214401</v>
      </c>
      <c r="P66" s="39" t="n">
        <v>0.255268944410692</v>
      </c>
      <c r="Q66" s="39" t="n">
        <v>0.167464496079069</v>
      </c>
      <c r="R66" s="39" t="n">
        <v>0.136079735750028</v>
      </c>
      <c r="S66" s="39" t="n">
        <v>0.0327096929003745</v>
      </c>
      <c r="T66" s="38" t="n">
        <f aca="false">N66*Scorecard!$C$18+O66*Scorecard!$C$19+P66*Scorecard!$C$20+Q66*Scorecard!$C$21+R66*Scorecard!$C$22+S66*Scorecard!$C$23</f>
        <v>4.204660884356</v>
      </c>
      <c r="U66" s="38" t="n">
        <f aca="false">N66*Scorecard!$D$18+O66*Scorecard!$D$19+P66*Scorecard!$D$20+Q66*Scorecard!$D$21+R66*Scorecard!$D$22+S66*Scorecard!$D$23</f>
        <v>2.59683319739586</v>
      </c>
      <c r="V66" s="38" t="n">
        <f aca="false">N66*Scorecard!$E$18+O66*Scorecard!$E$19+P66*Scorecard!$E$20+Q66*Scorecard!$E$21+R66*Scorecard!$E$22+S66*Scorecard!$E$23</f>
        <v>3.32395127855295</v>
      </c>
    </row>
    <row r="67" customFormat="false" ht="15" hidden="false" customHeight="false" outlineLevel="0" collapsed="false">
      <c r="A67" s="0" t="n">
        <v>62</v>
      </c>
      <c r="B67" s="38" t="n">
        <f aca="false">E67*Scorecard!$C$18+F67*Scorecard!$C$19+G67*Scorecard!$C$20+H67*Scorecard!$C$21+I67*Scorecard!$C$22+J67*Scorecard!$C$23</f>
        <v>4.38030109820253</v>
      </c>
      <c r="C67" s="38" t="n">
        <f aca="false">E67*Scorecard!$D$18+F67*Scorecard!$D$19+G67*Scorecard!$D$20+H67*Scorecard!$D$21+I67*Scorecard!$D$22+J67*Scorecard!$D$23</f>
        <v>2.77799015323361</v>
      </c>
      <c r="D67" s="0" t="str">
        <f aca="false">IF(AND(B67&gt;=C67,B67&gt;=K67),"A. Distribution",IF(C67&gt;=K67,"B. Manufacturing","C. Prof. services"))</f>
        <v>A. Distribution</v>
      </c>
      <c r="E67" s="39" t="n">
        <v>0.174644875470419</v>
      </c>
      <c r="F67" s="39" t="n">
        <v>0.479850115750643</v>
      </c>
      <c r="G67" s="39" t="n">
        <v>0.0949225195119778</v>
      </c>
      <c r="H67" s="39" t="n">
        <v>0.0905384893218973</v>
      </c>
      <c r="I67" s="39" t="n">
        <v>0.122158115483085</v>
      </c>
      <c r="J67" s="39" t="n">
        <v>0.0378858844619787</v>
      </c>
      <c r="K67" s="38" t="n">
        <f aca="false">E67*Scorecard!$E$18+F67*Scorecard!$E$19+G67*Scorecard!$E$20+H67*Scorecard!$E$21+I67*Scorecard!$E$22+J67*Scorecard!$E$23</f>
        <v>3.1247851270396</v>
      </c>
      <c r="M67" s="0" t="str">
        <f aca="false">IF(AND(T67&gt;=U67,T67&gt;=V67),"A. Distribution",IF(U67&gt;=V67,"B. Manufacturing","C. Prof. services"))</f>
        <v>A. Distribution</v>
      </c>
      <c r="N67" s="39" t="n">
        <v>0.137612734170355</v>
      </c>
      <c r="O67" s="39" t="n">
        <v>0.160729817453652</v>
      </c>
      <c r="P67" s="39" t="n">
        <v>0.221702465419189</v>
      </c>
      <c r="Q67" s="39" t="n">
        <v>0.203705454975308</v>
      </c>
      <c r="R67" s="39" t="n">
        <v>0.178254360499556</v>
      </c>
      <c r="S67" s="39" t="n">
        <v>0.0979951674819394</v>
      </c>
      <c r="T67" s="38" t="n">
        <f aca="false">N67*Scorecard!$C$18+O67*Scorecard!$C$19+P67*Scorecard!$C$20+Q67*Scorecard!$C$21+R67*Scorecard!$C$22+S67*Scorecard!$C$23</f>
        <v>3.9317416179893</v>
      </c>
      <c r="U67" s="38" t="n">
        <f aca="false">N67*Scorecard!$D$18+O67*Scorecard!$D$19+P67*Scorecard!$D$20+Q67*Scorecard!$D$21+R67*Scorecard!$D$22+S67*Scorecard!$D$23</f>
        <v>2.61179980880522</v>
      </c>
      <c r="V67" s="38" t="n">
        <f aca="false">N67*Scorecard!$E$18+O67*Scorecard!$E$19+P67*Scorecard!$E$20+Q67*Scorecard!$E$21+R67*Scorecard!$E$22+S67*Scorecard!$E$23</f>
        <v>3.42432821963191</v>
      </c>
    </row>
    <row r="68" customFormat="false" ht="15" hidden="false" customHeight="false" outlineLevel="0" collapsed="false">
      <c r="A68" s="0" t="n">
        <v>63</v>
      </c>
      <c r="B68" s="38" t="n">
        <f aca="false">E68*Scorecard!$C$18+F68*Scorecard!$C$19+G68*Scorecard!$C$20+H68*Scorecard!$C$21+I68*Scorecard!$C$22+J68*Scorecard!$C$23</f>
        <v>4.04290023607723</v>
      </c>
      <c r="C68" s="38" t="n">
        <f aca="false">E68*Scorecard!$D$18+F68*Scorecard!$D$19+G68*Scorecard!$D$20+H68*Scorecard!$D$21+I68*Scorecard!$D$22+J68*Scorecard!$D$23</f>
        <v>2.24442731231485</v>
      </c>
      <c r="D68" s="0" t="str">
        <f aca="false">IF(AND(B68&gt;=C68,B68&gt;=K68),"A. Distribution",IF(C68&gt;=K68,"B. Manufacturing","C. Prof. services"))</f>
        <v>A. Distribution</v>
      </c>
      <c r="E68" s="39" t="n">
        <v>0.0226675432166614</v>
      </c>
      <c r="F68" s="39" t="n">
        <v>0.39108909806732</v>
      </c>
      <c r="G68" s="39" t="n">
        <v>0.302214843494309</v>
      </c>
      <c r="H68" s="39" t="n">
        <v>0.0741190638159561</v>
      </c>
      <c r="I68" s="39" t="n">
        <v>0.0407181586557618</v>
      </c>
      <c r="J68" s="39" t="n">
        <v>0.169191292749991</v>
      </c>
      <c r="K68" s="38" t="n">
        <f aca="false">E68*Scorecard!$E$18+F68*Scorecard!$E$19+G68*Scorecard!$E$20+H68*Scorecard!$E$21+I68*Scorecard!$E$22+J68*Scorecard!$E$23</f>
        <v>3.51363939421827</v>
      </c>
      <c r="M68" s="0" t="str">
        <f aca="false">IF(AND(T68&gt;=U68,T68&gt;=V68),"A. Distribution",IF(U68&gt;=V68,"B. Manufacturing","C. Prof. services"))</f>
        <v>A. Distribution</v>
      </c>
      <c r="N68" s="39" t="n">
        <v>0.172635360614161</v>
      </c>
      <c r="O68" s="39" t="n">
        <v>0.187259150525337</v>
      </c>
      <c r="P68" s="39" t="n">
        <v>0.13352791640656</v>
      </c>
      <c r="Q68" s="39" t="n">
        <v>0.132650317911115</v>
      </c>
      <c r="R68" s="39" t="n">
        <v>0.116632128401687</v>
      </c>
      <c r="S68" s="39" t="n">
        <v>0.25729512614114</v>
      </c>
      <c r="T68" s="38" t="n">
        <f aca="false">N68*Scorecard!$C$18+O68*Scorecard!$C$19+P68*Scorecard!$C$20+Q68*Scorecard!$C$21+R68*Scorecard!$C$22+S68*Scorecard!$C$23</f>
        <v>3.64451541283783</v>
      </c>
      <c r="U68" s="38" t="n">
        <f aca="false">N68*Scorecard!$D$18+O68*Scorecard!$D$19+P68*Scorecard!$D$20+Q68*Scorecard!$D$21+R68*Scorecard!$D$22+S68*Scorecard!$D$23</f>
        <v>2.51413951229988</v>
      </c>
      <c r="V68" s="38" t="n">
        <f aca="false">N68*Scorecard!$E$18+O68*Scorecard!$E$19+P68*Scorecard!$E$20+Q68*Scorecard!$E$21+R68*Scorecard!$E$22+S68*Scorecard!$E$23</f>
        <v>3.58069943266543</v>
      </c>
    </row>
    <row r="69" customFormat="false" ht="15" hidden="false" customHeight="false" outlineLevel="0" collapsed="false">
      <c r="A69" s="0" t="n">
        <v>64</v>
      </c>
      <c r="B69" s="38" t="n">
        <f aca="false">E69*Scorecard!$C$18+F69*Scorecard!$C$19+G69*Scorecard!$C$20+H69*Scorecard!$C$21+I69*Scorecard!$C$22+J69*Scorecard!$C$23</f>
        <v>4.02578497967301</v>
      </c>
      <c r="C69" s="38" t="n">
        <f aca="false">E69*Scorecard!$D$18+F69*Scorecard!$D$19+G69*Scorecard!$D$20+H69*Scorecard!$D$21+I69*Scorecard!$D$22+J69*Scorecard!$D$23</f>
        <v>3.18027975137698</v>
      </c>
      <c r="D69" s="0" t="str">
        <f aca="false">IF(AND(B69&gt;=C69,B69&gt;=K69),"A. Distribution",IF(C69&gt;=K69,"B. Manufacturing","C. Prof. services"))</f>
        <v>A. Distribution</v>
      </c>
      <c r="E69" s="39" t="n">
        <v>0.457199081345834</v>
      </c>
      <c r="F69" s="39" t="n">
        <v>0.227899730370434</v>
      </c>
      <c r="G69" s="39" t="n">
        <v>0.0511136817524363</v>
      </c>
      <c r="H69" s="39" t="n">
        <v>0.069637533381743</v>
      </c>
      <c r="I69" s="39" t="n">
        <v>0.11519785951025</v>
      </c>
      <c r="J69" s="39" t="n">
        <v>0.078952113639303</v>
      </c>
      <c r="K69" s="38" t="n">
        <f aca="false">E69*Scorecard!$E$18+F69*Scorecard!$E$19+G69*Scorecard!$E$20+H69*Scorecard!$E$21+I69*Scorecard!$E$22+J69*Scorecard!$E$23</f>
        <v>3.32366403641008</v>
      </c>
      <c r="M69" s="0" t="str">
        <f aca="false">IF(AND(T69&gt;=U69,T69&gt;=V69),"A. Distribution",IF(U69&gt;=V69,"B. Manufacturing","C. Prof. services"))</f>
        <v>A. Distribution</v>
      </c>
      <c r="N69" s="39" t="n">
        <v>0.237805526708033</v>
      </c>
      <c r="O69" s="39" t="n">
        <v>0.0802547572147486</v>
      </c>
      <c r="P69" s="39" t="n">
        <v>0.178799032964373</v>
      </c>
      <c r="Q69" s="39" t="n">
        <v>0.13881942338642</v>
      </c>
      <c r="R69" s="39" t="n">
        <v>0.237807503828643</v>
      </c>
      <c r="S69" s="39" t="n">
        <v>0.126513755897781</v>
      </c>
      <c r="T69" s="38" t="n">
        <f aca="false">N69*Scorecard!$C$18+O69*Scorecard!$C$19+P69*Scorecard!$C$20+Q69*Scorecard!$C$21+R69*Scorecard!$C$22+S69*Scorecard!$C$23</f>
        <v>3.79317673302243</v>
      </c>
      <c r="U69" s="38" t="n">
        <f aca="false">N69*Scorecard!$D$18+O69*Scorecard!$D$19+P69*Scorecard!$D$20+Q69*Scorecard!$D$21+R69*Scorecard!$D$22+S69*Scorecard!$D$23</f>
        <v>2.81806398000491</v>
      </c>
      <c r="V69" s="38" t="n">
        <f aca="false">N69*Scorecard!$E$18+O69*Scorecard!$E$19+P69*Scorecard!$E$20+Q69*Scorecard!$E$21+R69*Scorecard!$E$22+S69*Scorecard!$E$23</f>
        <v>3.40665788579318</v>
      </c>
    </row>
    <row r="70" customFormat="false" ht="15" hidden="false" customHeight="false" outlineLevel="0" collapsed="false">
      <c r="A70" s="0" t="n">
        <v>65</v>
      </c>
      <c r="B70" s="38" t="n">
        <f aca="false">E70*Scorecard!$C$18+F70*Scorecard!$C$19+G70*Scorecard!$C$20+H70*Scorecard!$C$21+I70*Scorecard!$C$22+J70*Scorecard!$C$23</f>
        <v>3.62744814320177</v>
      </c>
      <c r="C70" s="38" t="n">
        <f aca="false">E70*Scorecard!$D$18+F70*Scorecard!$D$19+G70*Scorecard!$D$20+H70*Scorecard!$D$21+I70*Scorecard!$D$22+J70*Scorecard!$D$23</f>
        <v>2.22836424392687</v>
      </c>
      <c r="D70" s="0" t="str">
        <f aca="false">IF(AND(B70&gt;=C70,B70&gt;=K70),"A. Distribution",IF(C70&gt;=K70,"B. Manufacturing","C. Prof. services"))</f>
        <v>C. Prof. services</v>
      </c>
      <c r="E70" s="39" t="n">
        <v>0.0490848479671165</v>
      </c>
      <c r="F70" s="39" t="n">
        <v>0.0486431225925546</v>
      </c>
      <c r="G70" s="39" t="n">
        <v>0.164050831700298</v>
      </c>
      <c r="H70" s="39" t="n">
        <v>0.529065915595602</v>
      </c>
      <c r="I70" s="39" t="n">
        <v>0.0290318058756119</v>
      </c>
      <c r="J70" s="39" t="n">
        <v>0.180123476268818</v>
      </c>
      <c r="K70" s="38" t="n">
        <f aca="false">E70*Scorecard!$E$18+F70*Scorecard!$E$19+G70*Scorecard!$E$20+H70*Scorecard!$E$21+I70*Scorecard!$E$22+J70*Scorecard!$E$23</f>
        <v>3.785938471765</v>
      </c>
      <c r="M70" s="0" t="str">
        <f aca="false">IF(AND(T70&gt;=U70,T70&gt;=V70),"A. Distribution",IF(U70&gt;=V70,"B. Manufacturing","C. Prof. services"))</f>
        <v>A. Distribution</v>
      </c>
      <c r="N70" s="39" t="n">
        <v>0.168364169498031</v>
      </c>
      <c r="O70" s="39" t="n">
        <v>0.248316440128923</v>
      </c>
      <c r="P70" s="39" t="n">
        <v>0.284081070463012</v>
      </c>
      <c r="Q70" s="39" t="n">
        <v>0.151347255190321</v>
      </c>
      <c r="R70" s="39" t="n">
        <v>0.0910205671865805</v>
      </c>
      <c r="S70" s="39" t="n">
        <v>0.0568704975331331</v>
      </c>
      <c r="T70" s="38" t="n">
        <f aca="false">N70*Scorecard!$C$18+O70*Scorecard!$C$19+P70*Scorecard!$C$20+Q70*Scorecard!$C$21+R70*Scorecard!$C$22+S70*Scorecard!$C$23</f>
        <v>4.10475027384083</v>
      </c>
      <c r="U70" s="38" t="n">
        <f aca="false">N70*Scorecard!$D$18+O70*Scorecard!$D$19+P70*Scorecard!$D$20+Q70*Scorecard!$D$21+R70*Scorecard!$D$22+S70*Scorecard!$D$23</f>
        <v>2.60937584523348</v>
      </c>
      <c r="V70" s="38" t="n">
        <f aca="false">N70*Scorecard!$E$18+O70*Scorecard!$E$19+P70*Scorecard!$E$20+Q70*Scorecard!$E$21+R70*Scorecard!$E$22+S70*Scorecard!$E$23</f>
        <v>3.44620520011009</v>
      </c>
    </row>
    <row r="71" customFormat="false" ht="15" hidden="false" customHeight="false" outlineLevel="0" collapsed="false">
      <c r="A71" s="0" t="n">
        <v>66</v>
      </c>
      <c r="B71" s="38" t="n">
        <f aca="false">E71*Scorecard!$C$18+F71*Scorecard!$C$19+G71*Scorecard!$C$20+H71*Scorecard!$C$21+I71*Scorecard!$C$22+J71*Scorecard!$C$23</f>
        <v>3.37889608671155</v>
      </c>
      <c r="C71" s="38" t="n">
        <f aca="false">E71*Scorecard!$D$18+F71*Scorecard!$D$19+G71*Scorecard!$D$20+H71*Scorecard!$D$21+I71*Scorecard!$D$22+J71*Scorecard!$D$23</f>
        <v>2.76196134120598</v>
      </c>
      <c r="D71" s="0" t="str">
        <f aca="false">IF(AND(B71&gt;=C71,B71&gt;=K71),"A. Distribution",IF(C71&gt;=K71,"B. Manufacturing","C. Prof. services"))</f>
        <v>C. Prof. services</v>
      </c>
      <c r="E71" s="39" t="n">
        <v>0.272699003074914</v>
      </c>
      <c r="F71" s="39" t="n">
        <v>0.00132343872420015</v>
      </c>
      <c r="G71" s="39" t="n">
        <v>0.0570052733839855</v>
      </c>
      <c r="H71" s="39" t="n">
        <v>0.140047879191337</v>
      </c>
      <c r="I71" s="39" t="n">
        <v>0.236202911522572</v>
      </c>
      <c r="J71" s="39" t="n">
        <v>0.292721494102992</v>
      </c>
      <c r="K71" s="38" t="n">
        <f aca="false">E71*Scorecard!$E$18+F71*Scorecard!$E$19+G71*Scorecard!$E$20+H71*Scorecard!$E$21+I71*Scorecard!$E$22+J71*Scorecard!$E$23</f>
        <v>3.56894351647788</v>
      </c>
      <c r="M71" s="0" t="str">
        <f aca="false">IF(AND(T71&gt;=U71,T71&gt;=V71),"A. Distribution",IF(U71&gt;=V71,"B. Manufacturing","C. Prof. services"))</f>
        <v>A. Distribution</v>
      </c>
      <c r="N71" s="39" t="n">
        <v>0.0439872862820332</v>
      </c>
      <c r="O71" s="39" t="n">
        <v>0.380404315774226</v>
      </c>
      <c r="P71" s="39" t="n">
        <v>0.207420500356364</v>
      </c>
      <c r="Q71" s="39" t="n">
        <v>0.172142538868741</v>
      </c>
      <c r="R71" s="39" t="n">
        <v>0.140328733410121</v>
      </c>
      <c r="S71" s="39" t="n">
        <v>0.0557166253085144</v>
      </c>
      <c r="T71" s="38" t="n">
        <f aca="false">N71*Scorecard!$C$18+O71*Scorecard!$C$19+P71*Scorecard!$C$20+Q71*Scorecard!$C$21+R71*Scorecard!$C$22+S71*Scorecard!$C$23</f>
        <v>4.24689100836227</v>
      </c>
      <c r="U71" s="38" t="n">
        <f aca="false">N71*Scorecard!$D$18+O71*Scorecard!$D$19+P71*Scorecard!$D$20+Q71*Scorecard!$D$21+R71*Scorecard!$D$22+S71*Scorecard!$D$23</f>
        <v>2.50010074936154</v>
      </c>
      <c r="V71" s="38" t="n">
        <f aca="false">N71*Scorecard!$E$18+O71*Scorecard!$E$19+P71*Scorecard!$E$20+Q71*Scorecard!$E$21+R71*Scorecard!$E$22+S71*Scorecard!$E$23</f>
        <v>3.26093291806138</v>
      </c>
    </row>
    <row r="72" customFormat="false" ht="15" hidden="false" customHeight="false" outlineLevel="0" collapsed="false">
      <c r="A72" s="0" t="n">
        <v>67</v>
      </c>
      <c r="B72" s="38" t="n">
        <f aca="false">E72*Scorecard!$C$18+F72*Scorecard!$C$19+G72*Scorecard!$C$20+H72*Scorecard!$C$21+I72*Scorecard!$C$22+J72*Scorecard!$C$23</f>
        <v>3.5988603517747</v>
      </c>
      <c r="C72" s="38" t="n">
        <f aca="false">E72*Scorecard!$D$18+F72*Scorecard!$D$19+G72*Scorecard!$D$20+H72*Scorecard!$D$21+I72*Scorecard!$D$22+J72*Scorecard!$D$23</f>
        <v>2.48373633355052</v>
      </c>
      <c r="D72" s="0" t="str">
        <f aca="false">IF(AND(B72&gt;=C72,B72&gt;=K72),"A. Distribution",IF(C72&gt;=K72,"B. Manufacturing","C. Prof. services"))</f>
        <v>C. Prof. services</v>
      </c>
      <c r="E72" s="39" t="n">
        <v>0.148508545434004</v>
      </c>
      <c r="F72" s="39" t="n">
        <v>0.0313850272857866</v>
      </c>
      <c r="G72" s="39" t="n">
        <v>0.151784784100019</v>
      </c>
      <c r="H72" s="39" t="n">
        <v>0.35967039576633</v>
      </c>
      <c r="I72" s="39" t="n">
        <v>0.117727893610574</v>
      </c>
      <c r="J72" s="39" t="n">
        <v>0.190923353803287</v>
      </c>
      <c r="K72" s="38" t="n">
        <f aca="false">E72*Scorecard!$E$18+F72*Scorecard!$E$19+G72*Scorecard!$E$20+H72*Scorecard!$E$21+I72*Scorecard!$E$22+J72*Scorecard!$E$23</f>
        <v>3.66983260849692</v>
      </c>
      <c r="M72" s="0" t="str">
        <f aca="false">IF(AND(T72&gt;=U72,T72&gt;=V72),"A. Distribution",IF(U72&gt;=V72,"B. Manufacturing","C. Prof. services"))</f>
        <v>A. Distribution</v>
      </c>
      <c r="N72" s="39" t="n">
        <v>0.327235652462818</v>
      </c>
      <c r="O72" s="39" t="n">
        <v>0.14371249121806</v>
      </c>
      <c r="P72" s="39" t="n">
        <v>0.259933070426824</v>
      </c>
      <c r="Q72" s="39" t="n">
        <v>0.0918156096767997</v>
      </c>
      <c r="R72" s="39" t="n">
        <v>0.0785152599553508</v>
      </c>
      <c r="S72" s="39" t="n">
        <v>0.0987879162601476</v>
      </c>
      <c r="T72" s="38" t="n">
        <f aca="false">N72*Scorecard!$C$18+O72*Scorecard!$C$19+P72*Scorecard!$C$20+Q72*Scorecard!$C$21+R72*Scorecard!$C$22+S72*Scorecard!$C$23</f>
        <v>3.90997077870736</v>
      </c>
      <c r="U72" s="38" t="n">
        <f aca="false">N72*Scorecard!$D$18+O72*Scorecard!$D$19+P72*Scorecard!$D$20+Q72*Scorecard!$D$21+R72*Scorecard!$D$22+S72*Scorecard!$D$23</f>
        <v>2.82037228278771</v>
      </c>
      <c r="V72" s="38" t="n">
        <f aca="false">N72*Scorecard!$E$18+O72*Scorecard!$E$19+P72*Scorecard!$E$20+Q72*Scorecard!$E$21+R72*Scorecard!$E$22+S72*Scorecard!$E$23</f>
        <v>3.5530875749733</v>
      </c>
    </row>
    <row r="73" customFormat="false" ht="15" hidden="false" customHeight="false" outlineLevel="0" collapsed="false">
      <c r="A73" s="0" t="n">
        <v>68</v>
      </c>
      <c r="B73" s="38" t="n">
        <f aca="false">E73*Scorecard!$C$18+F73*Scorecard!$C$19+G73*Scorecard!$C$20+H73*Scorecard!$C$21+I73*Scorecard!$C$22+J73*Scorecard!$C$23</f>
        <v>3.94901331940679</v>
      </c>
      <c r="C73" s="38" t="n">
        <f aca="false">E73*Scorecard!$D$18+F73*Scorecard!$D$19+G73*Scorecard!$D$20+H73*Scorecard!$D$21+I73*Scorecard!$D$22+J73*Scorecard!$D$23</f>
        <v>2.97244704184252</v>
      </c>
      <c r="D73" s="0" t="str">
        <f aca="false">IF(AND(B73&gt;=C73,B73&gt;=K73),"A. Distribution",IF(C73&gt;=K73,"B. Manufacturing","C. Prof. services"))</f>
        <v>A. Distribution</v>
      </c>
      <c r="E73" s="39" t="n">
        <v>0.333810309311566</v>
      </c>
      <c r="F73" s="39" t="n">
        <v>0.00413397180444393</v>
      </c>
      <c r="G73" s="39" t="n">
        <v>0.417927921768499</v>
      </c>
      <c r="H73" s="39" t="n">
        <v>0.00497413205434241</v>
      </c>
      <c r="I73" s="39" t="n">
        <v>0.225261597758365</v>
      </c>
      <c r="J73" s="39" t="n">
        <v>0.0138920673027842</v>
      </c>
      <c r="K73" s="38" t="n">
        <f aca="false">E73*Scorecard!$E$18+F73*Scorecard!$E$19+G73*Scorecard!$E$20+H73*Scorecard!$E$21+I73*Scorecard!$E$22+J73*Scorecard!$E$23</f>
        <v>3.45802863115807</v>
      </c>
      <c r="M73" s="0" t="str">
        <f aca="false">IF(AND(T73&gt;=U73,T73&gt;=V73),"A. Distribution",IF(U73&gt;=V73,"B. Manufacturing","C. Prof. services"))</f>
        <v>A. Distribution</v>
      </c>
      <c r="N73" s="39" t="n">
        <v>0.248008109072249</v>
      </c>
      <c r="O73" s="39" t="n">
        <v>0.254549153325165</v>
      </c>
      <c r="P73" s="39" t="n">
        <v>0.153027099384087</v>
      </c>
      <c r="Q73" s="39" t="n">
        <v>0.169314931180959</v>
      </c>
      <c r="R73" s="39" t="n">
        <v>0.0930003841066562</v>
      </c>
      <c r="S73" s="39" t="n">
        <v>0.0821003229308834</v>
      </c>
      <c r="T73" s="38" t="n">
        <f aca="false">N73*Scorecard!$C$18+O73*Scorecard!$C$19+P73*Scorecard!$C$20+Q73*Scorecard!$C$21+R73*Scorecard!$C$22+S73*Scorecard!$C$23</f>
        <v>4.05219295380437</v>
      </c>
      <c r="U73" s="38" t="n">
        <f aca="false">N73*Scorecard!$D$18+O73*Scorecard!$D$19+P73*Scorecard!$D$20+Q73*Scorecard!$D$21+R73*Scorecard!$D$22+S73*Scorecard!$D$23</f>
        <v>2.76910009009654</v>
      </c>
      <c r="V73" s="38" t="n">
        <f aca="false">N73*Scorecard!$E$18+O73*Scorecard!$E$19+P73*Scorecard!$E$20+Q73*Scorecard!$E$21+R73*Scorecard!$E$22+S73*Scorecard!$E$23</f>
        <v>3.40237089199851</v>
      </c>
    </row>
    <row r="74" customFormat="false" ht="15" hidden="false" customHeight="false" outlineLevel="0" collapsed="false">
      <c r="A74" s="0" t="n">
        <v>69</v>
      </c>
      <c r="B74" s="38" t="n">
        <f aca="false">E74*Scorecard!$C$18+F74*Scorecard!$C$19+G74*Scorecard!$C$20+H74*Scorecard!$C$21+I74*Scorecard!$C$22+J74*Scorecard!$C$23</f>
        <v>3.59172308839923</v>
      </c>
      <c r="C74" s="38" t="n">
        <f aca="false">E74*Scorecard!$D$18+F74*Scorecard!$D$19+G74*Scorecard!$D$20+H74*Scorecard!$D$21+I74*Scorecard!$D$22+J74*Scorecard!$D$23</f>
        <v>2.54620209943074</v>
      </c>
      <c r="D74" s="0" t="str">
        <f aca="false">IF(AND(B74&gt;=C74,B74&gt;=K74),"A. Distribution",IF(C74&gt;=K74,"B. Manufacturing","C. Prof. services"))</f>
        <v>A. Distribution</v>
      </c>
      <c r="E74" s="39" t="n">
        <v>0.0341956435870111</v>
      </c>
      <c r="F74" s="39" t="n">
        <v>0.0624089145200444</v>
      </c>
      <c r="G74" s="39" t="n">
        <v>0.232418778384307</v>
      </c>
      <c r="H74" s="39" t="n">
        <v>0.0230594995796123</v>
      </c>
      <c r="I74" s="39" t="n">
        <v>0.41518931709161</v>
      </c>
      <c r="J74" s="39" t="n">
        <v>0.232727846837415</v>
      </c>
      <c r="K74" s="38" t="n">
        <f aca="false">E74*Scorecard!$E$18+F74*Scorecard!$E$19+G74*Scorecard!$E$20+H74*Scorecard!$E$21+I74*Scorecard!$E$22+J74*Scorecard!$E$23</f>
        <v>3.32512311849293</v>
      </c>
      <c r="M74" s="0" t="str">
        <f aca="false">IF(AND(T74&gt;=U74,T74&gt;=V74),"A. Distribution",IF(U74&gt;=V74,"B. Manufacturing","C. Prof. services"))</f>
        <v>A. Distribution</v>
      </c>
      <c r="N74" s="39" t="n">
        <v>0.18982055931044</v>
      </c>
      <c r="O74" s="39" t="n">
        <v>0.177921038084338</v>
      </c>
      <c r="P74" s="39" t="n">
        <v>0.224101361541623</v>
      </c>
      <c r="Q74" s="39" t="n">
        <v>0.0886207942135098</v>
      </c>
      <c r="R74" s="39" t="n">
        <v>0.241878948083966</v>
      </c>
      <c r="S74" s="39" t="n">
        <v>0.0776572987661218</v>
      </c>
      <c r="T74" s="38" t="n">
        <f aca="false">N74*Scorecard!$C$18+O74*Scorecard!$C$19+P74*Scorecard!$C$20+Q74*Scorecard!$C$21+R74*Scorecard!$C$22+S74*Scorecard!$C$23</f>
        <v>3.99781741803507</v>
      </c>
      <c r="U74" s="38" t="n">
        <f aca="false">N74*Scorecard!$D$18+O74*Scorecard!$D$19+P74*Scorecard!$D$20+Q74*Scorecard!$D$21+R74*Scorecard!$D$22+S74*Scorecard!$D$23</f>
        <v>2.78790520040036</v>
      </c>
      <c r="V74" s="38" t="n">
        <f aca="false">N74*Scorecard!$E$18+O74*Scorecard!$E$19+P74*Scorecard!$E$20+Q74*Scorecard!$E$21+R74*Scorecard!$E$22+S74*Scorecard!$E$23</f>
        <v>3.29910298578963</v>
      </c>
    </row>
    <row r="75" customFormat="false" ht="15" hidden="false" customHeight="false" outlineLevel="0" collapsed="false">
      <c r="A75" s="0" t="n">
        <v>70</v>
      </c>
      <c r="B75" s="38" t="n">
        <f aca="false">E75*Scorecard!$C$18+F75*Scorecard!$C$19+G75*Scorecard!$C$20+H75*Scorecard!$C$21+I75*Scorecard!$C$22+J75*Scorecard!$C$23</f>
        <v>3.89521108859641</v>
      </c>
      <c r="C75" s="38" t="n">
        <f aca="false">E75*Scorecard!$D$18+F75*Scorecard!$D$19+G75*Scorecard!$D$20+H75*Scorecard!$D$21+I75*Scorecard!$D$22+J75*Scorecard!$D$23</f>
        <v>3.09548473463096</v>
      </c>
      <c r="D75" s="0" t="str">
        <f aca="false">IF(AND(B75&gt;=C75,B75&gt;=K75),"A. Distribution",IF(C75&gt;=K75,"B. Manufacturing","C. Prof. services"))</f>
        <v>A. Distribution</v>
      </c>
      <c r="E75" s="39" t="n">
        <v>0.0102118820932202</v>
      </c>
      <c r="F75" s="39" t="n">
        <v>0.00115181199808375</v>
      </c>
      <c r="G75" s="39" t="n">
        <v>0.0218881764519725</v>
      </c>
      <c r="H75" s="39" t="n">
        <v>0.125648905299514</v>
      </c>
      <c r="I75" s="39" t="n">
        <v>0.795308173618877</v>
      </c>
      <c r="J75" s="39" t="n">
        <v>0.0457910505383319</v>
      </c>
      <c r="K75" s="38" t="n">
        <f aca="false">E75*Scorecard!$E$18+F75*Scorecard!$E$19+G75*Scorecard!$E$20+H75*Scorecard!$E$21+I75*Scorecard!$E$22+J75*Scorecard!$E$23</f>
        <v>2.64977583662076</v>
      </c>
      <c r="M75" s="0" t="str">
        <f aca="false">IF(AND(T75&gt;=U75,T75&gt;=V75),"A. Distribution",IF(U75&gt;=V75,"B. Manufacturing","C. Prof. services"))</f>
        <v>A. Distribution</v>
      </c>
      <c r="N75" s="39" t="n">
        <v>0.35286812180381</v>
      </c>
      <c r="O75" s="39" t="n">
        <v>0.166391713153364</v>
      </c>
      <c r="P75" s="39" t="n">
        <v>0.206760356805535</v>
      </c>
      <c r="Q75" s="39" t="n">
        <v>0.102779529825414</v>
      </c>
      <c r="R75" s="39" t="n">
        <v>0.100776536885987</v>
      </c>
      <c r="S75" s="39" t="n">
        <v>0.0704237415258895</v>
      </c>
      <c r="T75" s="38" t="n">
        <f aca="false">N75*Scorecard!$C$18+O75*Scorecard!$C$19+P75*Scorecard!$C$20+Q75*Scorecard!$C$21+R75*Scorecard!$C$22+S75*Scorecard!$C$23</f>
        <v>3.98613903306361</v>
      </c>
      <c r="U75" s="38" t="n">
        <f aca="false">N75*Scorecard!$D$18+O75*Scorecard!$D$19+P75*Scorecard!$D$20+Q75*Scorecard!$D$21+R75*Scorecard!$D$22+S75*Scorecard!$D$23</f>
        <v>2.93131856239638</v>
      </c>
      <c r="V75" s="38" t="n">
        <f aca="false">N75*Scorecard!$E$18+O75*Scorecard!$E$19+P75*Scorecard!$E$20+Q75*Scorecard!$E$21+R75*Scorecard!$E$22+S75*Scorecard!$E$23</f>
        <v>3.45828919800517</v>
      </c>
    </row>
    <row r="76" customFormat="false" ht="15" hidden="false" customHeight="false" outlineLevel="0" collapsed="false">
      <c r="A76" s="0" t="n">
        <v>71</v>
      </c>
      <c r="B76" s="38" t="n">
        <f aca="false">E76*Scorecard!$C$18+F76*Scorecard!$C$19+G76*Scorecard!$C$20+H76*Scorecard!$C$21+I76*Scorecard!$C$22+J76*Scorecard!$C$23</f>
        <v>3.50055742221402</v>
      </c>
      <c r="C76" s="38" t="n">
        <f aca="false">E76*Scorecard!$D$18+F76*Scorecard!$D$19+G76*Scorecard!$D$20+H76*Scorecard!$D$21+I76*Scorecard!$D$22+J76*Scorecard!$D$23</f>
        <v>2.55627102784698</v>
      </c>
      <c r="D76" s="0" t="str">
        <f aca="false">IF(AND(B76&gt;=C76,B76&gt;=K76),"A. Distribution",IF(C76&gt;=K76,"B. Manufacturing","C. Prof. services"))</f>
        <v>C. Prof. services</v>
      </c>
      <c r="E76" s="39" t="n">
        <v>0.147138136009254</v>
      </c>
      <c r="F76" s="39" t="n">
        <v>0.00883055581309298</v>
      </c>
      <c r="G76" s="39" t="n">
        <v>0.164378047920507</v>
      </c>
      <c r="H76" s="39" t="n">
        <v>0.209303485889634</v>
      </c>
      <c r="I76" s="39" t="n">
        <v>0.233396117258295</v>
      </c>
      <c r="J76" s="39" t="n">
        <v>0.236953657109218</v>
      </c>
      <c r="K76" s="38" t="n">
        <f aca="false">E76*Scorecard!$E$18+F76*Scorecard!$E$19+G76*Scorecard!$E$20+H76*Scorecard!$E$21+I76*Scorecard!$E$22+J76*Scorecard!$E$23</f>
        <v>3.57689213832109</v>
      </c>
      <c r="M76" s="0" t="str">
        <f aca="false">IF(AND(T76&gt;=U76,T76&gt;=V76),"A. Distribution",IF(U76&gt;=V76,"B. Manufacturing","C. Prof. services"))</f>
        <v>A. Distribution</v>
      </c>
      <c r="N76" s="39" t="n">
        <v>0.153769921303635</v>
      </c>
      <c r="O76" s="39" t="n">
        <v>0.140298512770818</v>
      </c>
      <c r="P76" s="39" t="n">
        <v>0.228429314381395</v>
      </c>
      <c r="Q76" s="39" t="n">
        <v>0.220430336843755</v>
      </c>
      <c r="R76" s="39" t="n">
        <v>0.225821847287771</v>
      </c>
      <c r="S76" s="39" t="n">
        <v>0.0312500674126268</v>
      </c>
      <c r="T76" s="38" t="n">
        <f aca="false">N76*Scorecard!$C$18+O76*Scorecard!$C$19+P76*Scorecard!$C$20+Q76*Scorecard!$C$21+R76*Scorecard!$C$22+S76*Scorecard!$C$23</f>
        <v>4.04170118921247</v>
      </c>
      <c r="U76" s="38" t="n">
        <f aca="false">N76*Scorecard!$D$18+O76*Scorecard!$D$19+P76*Scorecard!$D$20+Q76*Scorecard!$D$21+R76*Scorecard!$D$22+S76*Scorecard!$D$23</f>
        <v>2.73534868412151</v>
      </c>
      <c r="V76" s="38" t="n">
        <f aca="false">N76*Scorecard!$E$18+O76*Scorecard!$E$19+P76*Scorecard!$E$20+Q76*Scorecard!$E$21+R76*Scorecard!$E$22+S76*Scorecard!$E$23</f>
        <v>3.32254999216999</v>
      </c>
    </row>
    <row r="77" customFormat="false" ht="15" hidden="false" customHeight="false" outlineLevel="0" collapsed="false">
      <c r="A77" s="0" t="n">
        <v>72</v>
      </c>
      <c r="B77" s="38" t="n">
        <f aca="false">E77*Scorecard!$C$18+F77*Scorecard!$C$19+G77*Scorecard!$C$20+H77*Scorecard!$C$21+I77*Scorecard!$C$22+J77*Scorecard!$C$23</f>
        <v>3.19871304813733</v>
      </c>
      <c r="C77" s="38" t="n">
        <f aca="false">E77*Scorecard!$D$18+F77*Scorecard!$D$19+G77*Scorecard!$D$20+H77*Scorecard!$D$21+I77*Scorecard!$D$22+J77*Scorecard!$D$23</f>
        <v>2.52867338474874</v>
      </c>
      <c r="D77" s="0" t="str">
        <f aca="false">IF(AND(B77&gt;=C77,B77&gt;=K77),"A. Distribution",IF(C77&gt;=K77,"B. Manufacturing","C. Prof. services"))</f>
        <v>C. Prof. services</v>
      </c>
      <c r="E77" s="39" t="n">
        <v>0.289048445052879</v>
      </c>
      <c r="F77" s="39" t="n">
        <v>0.0148947170326447</v>
      </c>
      <c r="G77" s="39" t="n">
        <v>0.144759893951442</v>
      </c>
      <c r="H77" s="39" t="n">
        <v>0.0766474256842036</v>
      </c>
      <c r="I77" s="39" t="n">
        <v>0.0822914696589743</v>
      </c>
      <c r="J77" s="39" t="n">
        <v>0.392358048619857</v>
      </c>
      <c r="K77" s="38" t="n">
        <f aca="false">E77*Scorecard!$E$18+F77*Scorecard!$E$19+G77*Scorecard!$E$20+H77*Scorecard!$E$21+I77*Scorecard!$E$22+J77*Scorecard!$E$23</f>
        <v>3.87162467648754</v>
      </c>
      <c r="M77" s="0" t="str">
        <f aca="false">IF(AND(T77&gt;=U77,T77&gt;=V77),"A. Distribution",IF(U77&gt;=V77,"B. Manufacturing","C. Prof. services"))</f>
        <v>A. Distribution</v>
      </c>
      <c r="N77" s="39" t="n">
        <v>0.178861175600072</v>
      </c>
      <c r="O77" s="39" t="n">
        <v>0.171514460464431</v>
      </c>
      <c r="P77" s="39" t="n">
        <v>0.339084842759402</v>
      </c>
      <c r="Q77" s="39" t="n">
        <v>0.131710599468872</v>
      </c>
      <c r="R77" s="39" t="n">
        <v>0.143381097460735</v>
      </c>
      <c r="S77" s="39" t="n">
        <v>0.035447824246488</v>
      </c>
      <c r="T77" s="38" t="n">
        <f aca="false">N77*Scorecard!$C$18+O77*Scorecard!$C$19+P77*Scorecard!$C$20+Q77*Scorecard!$C$21+R77*Scorecard!$C$22+S77*Scorecard!$C$23</f>
        <v>4.07206673119247</v>
      </c>
      <c r="U77" s="38" t="n">
        <f aca="false">N77*Scorecard!$D$18+O77*Scorecard!$D$19+P77*Scorecard!$D$20+Q77*Scorecard!$D$21+R77*Scorecard!$D$22+S77*Scorecard!$D$23</f>
        <v>2.66470793132368</v>
      </c>
      <c r="V77" s="38" t="n">
        <f aca="false">N77*Scorecard!$E$18+O77*Scorecard!$E$19+P77*Scorecard!$E$20+Q77*Scorecard!$E$21+R77*Scorecard!$E$22+S77*Scorecard!$E$23</f>
        <v>3.44120921358018</v>
      </c>
    </row>
    <row r="78" customFormat="false" ht="15" hidden="false" customHeight="false" outlineLevel="0" collapsed="false">
      <c r="A78" s="0" t="n">
        <v>73</v>
      </c>
      <c r="B78" s="38" t="n">
        <f aca="false">E78*Scorecard!$C$18+F78*Scorecard!$C$19+G78*Scorecard!$C$20+H78*Scorecard!$C$21+I78*Scorecard!$C$22+J78*Scorecard!$C$23</f>
        <v>3.67576030551594</v>
      </c>
      <c r="C78" s="38" t="n">
        <f aca="false">E78*Scorecard!$D$18+F78*Scorecard!$D$19+G78*Scorecard!$D$20+H78*Scorecard!$D$21+I78*Scorecard!$D$22+J78*Scorecard!$D$23</f>
        <v>2.76633646878355</v>
      </c>
      <c r="D78" s="0" t="str">
        <f aca="false">IF(AND(B78&gt;=C78,B78&gt;=K78),"A. Distribution",IF(C78&gt;=K78,"B. Manufacturing","C. Prof. services"))</f>
        <v>A. Distribution</v>
      </c>
      <c r="E78" s="39" t="n">
        <v>0.334100927147502</v>
      </c>
      <c r="F78" s="39" t="n">
        <v>0.181287930634109</v>
      </c>
      <c r="G78" s="39" t="n">
        <v>0.038999259883975</v>
      </c>
      <c r="H78" s="39" t="n">
        <v>0.170908180689447</v>
      </c>
      <c r="I78" s="39" t="n">
        <v>0.0445595599214342</v>
      </c>
      <c r="J78" s="39" t="n">
        <v>0.230144141723532</v>
      </c>
      <c r="K78" s="38" t="n">
        <f aca="false">E78*Scorecard!$E$18+F78*Scorecard!$E$19+G78*Scorecard!$E$20+H78*Scorecard!$E$21+I78*Scorecard!$E$22+J78*Scorecard!$E$23</f>
        <v>3.60113938965476</v>
      </c>
      <c r="M78" s="0" t="str">
        <f aca="false">IF(AND(T78&gt;=U78,T78&gt;=V78),"A. Distribution",IF(U78&gt;=V78,"B. Manufacturing","C. Prof. services"))</f>
        <v>A. Distribution</v>
      </c>
      <c r="N78" s="39" t="n">
        <v>0.155662483523133</v>
      </c>
      <c r="O78" s="39" t="n">
        <v>0.113123918637457</v>
      </c>
      <c r="P78" s="39" t="n">
        <v>0.228607951078638</v>
      </c>
      <c r="Q78" s="39" t="n">
        <v>0.301985382608921</v>
      </c>
      <c r="R78" s="39" t="n">
        <v>0.109715939943204</v>
      </c>
      <c r="S78" s="39" t="n">
        <v>0.0909043242086474</v>
      </c>
      <c r="T78" s="38" t="n">
        <f aca="false">N78*Scorecard!$C$18+O78*Scorecard!$C$19+P78*Scorecard!$C$20+Q78*Scorecard!$C$21+R78*Scorecard!$C$22+S78*Scorecard!$C$23</f>
        <v>3.88627852973795</v>
      </c>
      <c r="U78" s="38" t="n">
        <f aca="false">N78*Scorecard!$D$18+O78*Scorecard!$D$19+P78*Scorecard!$D$20+Q78*Scorecard!$D$21+R78*Scorecard!$D$22+S78*Scorecard!$D$23</f>
        <v>2.56398543305718</v>
      </c>
      <c r="V78" s="38" t="n">
        <f aca="false">N78*Scorecard!$E$18+O78*Scorecard!$E$19+P78*Scorecard!$E$20+Q78*Scorecard!$E$21+R78*Scorecard!$E$22+S78*Scorecard!$E$23</f>
        <v>3.55075487310317</v>
      </c>
    </row>
    <row r="79" customFormat="false" ht="15" hidden="false" customHeight="false" outlineLevel="0" collapsed="false">
      <c r="A79" s="0" t="n">
        <v>74</v>
      </c>
      <c r="B79" s="38" t="n">
        <f aca="false">E79*Scorecard!$C$18+F79*Scorecard!$C$19+G79*Scorecard!$C$20+H79*Scorecard!$C$21+I79*Scorecard!$C$22+J79*Scorecard!$C$23</f>
        <v>4.26177426306847</v>
      </c>
      <c r="C79" s="38" t="n">
        <f aca="false">E79*Scorecard!$D$18+F79*Scorecard!$D$19+G79*Scorecard!$D$20+H79*Scorecard!$D$21+I79*Scorecard!$D$22+J79*Scorecard!$D$23</f>
        <v>2.81725946067641</v>
      </c>
      <c r="D79" s="0" t="str">
        <f aca="false">IF(AND(B79&gt;=C79,B79&gt;=K79),"A. Distribution",IF(C79&gt;=K79,"B. Manufacturing","C. Prof. services"))</f>
        <v>A. Distribution</v>
      </c>
      <c r="E79" s="39" t="n">
        <v>0.0560099368187506</v>
      </c>
      <c r="F79" s="39" t="n">
        <v>0.342722463209138</v>
      </c>
      <c r="G79" s="39" t="n">
        <v>0.137599849214612</v>
      </c>
      <c r="H79" s="39" t="n">
        <v>0.0273567789765201</v>
      </c>
      <c r="I79" s="39" t="n">
        <v>0.399559154713844</v>
      </c>
      <c r="J79" s="39" t="n">
        <v>0.0367518170671355</v>
      </c>
      <c r="K79" s="38" t="n">
        <f aca="false">E79*Scorecard!$E$18+F79*Scorecard!$E$19+G79*Scorecard!$E$20+H79*Scorecard!$E$21+I79*Scorecard!$E$22+J79*Scorecard!$E$23</f>
        <v>2.90578133275414</v>
      </c>
      <c r="M79" s="0" t="str">
        <f aca="false">IF(AND(T79&gt;=U79,T79&gt;=V79),"A. Distribution",IF(U79&gt;=V79,"B. Manufacturing","C. Prof. services"))</f>
        <v>A. Distribution</v>
      </c>
      <c r="N79" s="39" t="n">
        <v>0.102551071621406</v>
      </c>
      <c r="O79" s="39" t="n">
        <v>0.116272718984307</v>
      </c>
      <c r="P79" s="39" t="n">
        <v>0.157282836988219</v>
      </c>
      <c r="Q79" s="39" t="n">
        <v>0.250944424524304</v>
      </c>
      <c r="R79" s="39" t="n">
        <v>0.201251405347391</v>
      </c>
      <c r="S79" s="39" t="n">
        <v>0.171697542534374</v>
      </c>
      <c r="T79" s="38" t="n">
        <f aca="false">N79*Scorecard!$C$18+O79*Scorecard!$C$19+P79*Scorecard!$C$20+Q79*Scorecard!$C$21+R79*Scorecard!$C$22+S79*Scorecard!$C$23</f>
        <v>3.73760473042789</v>
      </c>
      <c r="U79" s="38" t="n">
        <f aca="false">N79*Scorecard!$D$18+O79*Scorecard!$D$19+P79*Scorecard!$D$20+Q79*Scorecard!$D$21+R79*Scorecard!$D$22+S79*Scorecard!$D$23</f>
        <v>2.5249217184139</v>
      </c>
      <c r="V79" s="38" t="n">
        <f aca="false">N79*Scorecard!$E$18+O79*Scorecard!$E$19+P79*Scorecard!$E$20+Q79*Scorecard!$E$21+R79*Scorecard!$E$22+S79*Scorecard!$E$23</f>
        <v>3.47807515803756</v>
      </c>
    </row>
    <row r="80" customFormat="false" ht="15" hidden="false" customHeight="false" outlineLevel="0" collapsed="false">
      <c r="A80" s="0" t="n">
        <v>75</v>
      </c>
      <c r="B80" s="38" t="n">
        <f aca="false">E80*Scorecard!$C$18+F80*Scorecard!$C$19+G80*Scorecard!$C$20+H80*Scorecard!$C$21+I80*Scorecard!$C$22+J80*Scorecard!$C$23</f>
        <v>3.67294398850492</v>
      </c>
      <c r="C80" s="38" t="n">
        <f aca="false">E80*Scorecard!$D$18+F80*Scorecard!$D$19+G80*Scorecard!$D$20+H80*Scorecard!$D$21+I80*Scorecard!$D$22+J80*Scorecard!$D$23</f>
        <v>3.22651565910833</v>
      </c>
      <c r="D80" s="0" t="str">
        <f aca="false">IF(AND(B80&gt;=C80,B80&gt;=K80),"A. Distribution",IF(C80&gt;=K80,"B. Manufacturing","C. Prof. services"))</f>
        <v>A. Distribution</v>
      </c>
      <c r="E80" s="39" t="n">
        <v>0.561720150861484</v>
      </c>
      <c r="F80" s="39" t="n">
        <v>0.0866119189175842</v>
      </c>
      <c r="G80" s="39" t="n">
        <v>0.0466831576085667</v>
      </c>
      <c r="H80" s="39" t="n">
        <v>0.0262181965908129</v>
      </c>
      <c r="I80" s="39" t="n">
        <v>0.095894472646494</v>
      </c>
      <c r="J80" s="39" t="n">
        <v>0.182872103375058</v>
      </c>
      <c r="K80" s="38" t="n">
        <f aca="false">E80*Scorecard!$E$18+F80*Scorecard!$E$19+G80*Scorecard!$E$20+H80*Scorecard!$E$21+I80*Scorecard!$E$22+J80*Scorecard!$E$23</f>
        <v>3.53863586830747</v>
      </c>
      <c r="M80" s="0" t="str">
        <f aca="false">IF(AND(T80&gt;=U80,T80&gt;=V80),"A. Distribution",IF(U80&gt;=V80,"B. Manufacturing","C. Prof. services"))</f>
        <v>A. Distribution</v>
      </c>
      <c r="N80" s="39" t="n">
        <v>0.336649000378404</v>
      </c>
      <c r="O80" s="39" t="n">
        <v>0.211971881232166</v>
      </c>
      <c r="P80" s="39" t="n">
        <v>0.200045482423017</v>
      </c>
      <c r="Q80" s="39" t="n">
        <v>0.116863593183104</v>
      </c>
      <c r="R80" s="39" t="n">
        <v>0.0396467854966464</v>
      </c>
      <c r="S80" s="39" t="n">
        <v>0.0948232572866634</v>
      </c>
      <c r="T80" s="38" t="n">
        <f aca="false">N80*Scorecard!$C$18+O80*Scorecard!$C$19+P80*Scorecard!$C$20+Q80*Scorecard!$C$21+R80*Scorecard!$C$22+S80*Scorecard!$C$23</f>
        <v>3.98270478443096</v>
      </c>
      <c r="U80" s="38" t="n">
        <f aca="false">N80*Scorecard!$D$18+O80*Scorecard!$D$19+P80*Scorecard!$D$20+Q80*Scorecard!$D$21+R80*Scorecard!$D$22+S80*Scorecard!$D$23</f>
        <v>2.83306354420687</v>
      </c>
      <c r="V80" s="38" t="n">
        <f aca="false">N80*Scorecard!$E$18+O80*Scorecard!$E$19+P80*Scorecard!$E$20+Q80*Scorecard!$E$21+R80*Scorecard!$E$22+S80*Scorecard!$E$23</f>
        <v>3.52138956048853</v>
      </c>
    </row>
    <row r="81" customFormat="false" ht="15" hidden="false" customHeight="false" outlineLevel="0" collapsed="false">
      <c r="A81" s="0" t="n">
        <v>76</v>
      </c>
      <c r="B81" s="38" t="n">
        <f aca="false">E81*Scorecard!$C$18+F81*Scorecard!$C$19+G81*Scorecard!$C$20+H81*Scorecard!$C$21+I81*Scorecard!$C$22+J81*Scorecard!$C$23</f>
        <v>3.46380712506226</v>
      </c>
      <c r="C81" s="38" t="n">
        <f aca="false">E81*Scorecard!$D$18+F81*Scorecard!$D$19+G81*Scorecard!$D$20+H81*Scorecard!$D$21+I81*Scorecard!$D$22+J81*Scorecard!$D$23</f>
        <v>2.28457557208409</v>
      </c>
      <c r="D81" s="0" t="str">
        <f aca="false">IF(AND(B81&gt;=C81,B81&gt;=K81),"A. Distribution",IF(C81&gt;=K81,"B. Manufacturing","C. Prof. services"))</f>
        <v>C. Prof. services</v>
      </c>
      <c r="E81" s="39" t="n">
        <v>0.161339714316802</v>
      </c>
      <c r="F81" s="39" t="n">
        <v>0.0798470967195957</v>
      </c>
      <c r="G81" s="39" t="n">
        <v>0.307715867267448</v>
      </c>
      <c r="H81" s="39" t="n">
        <v>0.140938938559356</v>
      </c>
      <c r="I81" s="39" t="n">
        <v>0.0162082463914832</v>
      </c>
      <c r="J81" s="39" t="n">
        <v>0.293950136745316</v>
      </c>
      <c r="K81" s="38" t="n">
        <f aca="false">E81*Scorecard!$E$18+F81*Scorecard!$E$19+G81*Scorecard!$E$20+H81*Scorecard!$E$21+I81*Scorecard!$E$22+J81*Scorecard!$E$23</f>
        <v>3.8977425473562</v>
      </c>
      <c r="M81" s="0" t="str">
        <f aca="false">IF(AND(T81&gt;=U81,T81&gt;=V81),"A. Distribution",IF(U81&gt;=V81,"B. Manufacturing","C. Prof. services"))</f>
        <v>A. Distribution</v>
      </c>
      <c r="N81" s="39" t="n">
        <v>0.226131961483108</v>
      </c>
      <c r="O81" s="39" t="n">
        <v>0.225073094882626</v>
      </c>
      <c r="P81" s="39" t="n">
        <v>0.308650811661375</v>
      </c>
      <c r="Q81" s="39" t="n">
        <v>0.105333951793228</v>
      </c>
      <c r="R81" s="39" t="n">
        <v>0.0504556104634228</v>
      </c>
      <c r="S81" s="39" t="n">
        <v>0.0843545697162398</v>
      </c>
      <c r="T81" s="38" t="n">
        <f aca="false">N81*Scorecard!$C$18+O81*Scorecard!$C$19+P81*Scorecard!$C$20+Q81*Scorecard!$C$21+R81*Scorecard!$C$22+S81*Scorecard!$C$23</f>
        <v>4.02685875513483</v>
      </c>
      <c r="U81" s="38" t="n">
        <f aca="false">N81*Scorecard!$D$18+O81*Scorecard!$D$19+P81*Scorecard!$D$20+Q81*Scorecard!$D$21+R81*Scorecard!$D$22+S81*Scorecard!$D$23</f>
        <v>2.63266857033465</v>
      </c>
      <c r="V81" s="38" t="n">
        <f aca="false">N81*Scorecard!$E$18+O81*Scorecard!$E$19+P81*Scorecard!$E$20+Q81*Scorecard!$E$21+R81*Scorecard!$E$22+S81*Scorecard!$E$23</f>
        <v>3.54150830694187</v>
      </c>
    </row>
    <row r="82" customFormat="false" ht="15" hidden="false" customHeight="false" outlineLevel="0" collapsed="false">
      <c r="A82" s="0" t="n">
        <v>77</v>
      </c>
      <c r="B82" s="38" t="n">
        <f aca="false">E82*Scorecard!$C$18+F82*Scorecard!$C$19+G82*Scorecard!$C$20+H82*Scorecard!$C$21+I82*Scorecard!$C$22+J82*Scorecard!$C$23</f>
        <v>4.53987239783011</v>
      </c>
      <c r="C82" s="38" t="n">
        <f aca="false">E82*Scorecard!$D$18+F82*Scorecard!$D$19+G82*Scorecard!$D$20+H82*Scorecard!$D$21+I82*Scorecard!$D$22+J82*Scorecard!$D$23</f>
        <v>2.7275950423187</v>
      </c>
      <c r="D82" s="0" t="str">
        <f aca="false">IF(AND(B82&gt;=C82,B82&gt;=K82),"A. Distribution",IF(C82&gt;=K82,"B. Manufacturing","C. Prof. services"))</f>
        <v>A. Distribution</v>
      </c>
      <c r="E82" s="39" t="n">
        <v>0.0689181112026957</v>
      </c>
      <c r="F82" s="39" t="n">
        <v>0.580223933602851</v>
      </c>
      <c r="G82" s="39" t="n">
        <v>0.0529423517670954</v>
      </c>
      <c r="H82" s="39" t="n">
        <v>0.0897392078334172</v>
      </c>
      <c r="I82" s="39" t="n">
        <v>0.195601960194425</v>
      </c>
      <c r="J82" s="39" t="n">
        <v>0.0125744353995166</v>
      </c>
      <c r="K82" s="38" t="n">
        <f aca="false">E82*Scorecard!$E$18+F82*Scorecard!$E$19+G82*Scorecard!$E$20+H82*Scorecard!$E$21+I82*Scorecard!$E$22+J82*Scorecard!$E$23</f>
        <v>2.92285667927764</v>
      </c>
      <c r="M82" s="0" t="str">
        <f aca="false">IF(AND(T82&gt;=U82,T82&gt;=V82),"A. Distribution",IF(U82&gt;=V82,"B. Manufacturing","C. Prof. services"))</f>
        <v>A. Distribution</v>
      </c>
      <c r="N82" s="39" t="n">
        <v>0.35454931594962</v>
      </c>
      <c r="O82" s="39" t="n">
        <v>0.314202664831238</v>
      </c>
      <c r="P82" s="39" t="n">
        <v>0.140658707825359</v>
      </c>
      <c r="Q82" s="39" t="n">
        <v>0.0698267038030224</v>
      </c>
      <c r="R82" s="39" t="n">
        <v>0.068813342155613</v>
      </c>
      <c r="S82" s="39" t="n">
        <v>0.0519492654351478</v>
      </c>
      <c r="T82" s="38" t="n">
        <f aca="false">N82*Scorecard!$C$18+O82*Scorecard!$C$19+P82*Scorecard!$C$20+Q82*Scorecard!$C$21+R82*Scorecard!$C$22+S82*Scorecard!$C$23</f>
        <v>4.1743146456129</v>
      </c>
      <c r="U82" s="38" t="n">
        <f aca="false">N82*Scorecard!$D$18+O82*Scorecard!$D$19+P82*Scorecard!$D$20+Q82*Scorecard!$D$21+R82*Scorecard!$D$22+S82*Scorecard!$D$23</f>
        <v>2.97002283020035</v>
      </c>
      <c r="V82" s="38" t="n">
        <f aca="false">N82*Scorecard!$E$18+O82*Scorecard!$E$19+P82*Scorecard!$E$20+Q82*Scorecard!$E$21+R82*Scorecard!$E$22+S82*Scorecard!$E$23</f>
        <v>3.33556661016996</v>
      </c>
    </row>
    <row r="83" customFormat="false" ht="15" hidden="false" customHeight="false" outlineLevel="0" collapsed="false">
      <c r="A83" s="0" t="n">
        <v>78</v>
      </c>
      <c r="B83" s="38" t="n">
        <f aca="false">E83*Scorecard!$C$18+F83*Scorecard!$C$19+G83*Scorecard!$C$20+H83*Scorecard!$C$21+I83*Scorecard!$C$22+J83*Scorecard!$C$23</f>
        <v>4.04983663246559</v>
      </c>
      <c r="C83" s="38" t="n">
        <f aca="false">E83*Scorecard!$D$18+F83*Scorecard!$D$19+G83*Scorecard!$D$20+H83*Scorecard!$D$21+I83*Scorecard!$D$22+J83*Scorecard!$D$23</f>
        <v>3.62102505264926</v>
      </c>
      <c r="D83" s="0" t="str">
        <f aca="false">IF(AND(B83&gt;=C83,B83&gt;=K83),"A. Distribution",IF(C83&gt;=K83,"B. Manufacturing","C. Prof. services"))</f>
        <v>A. Distribution</v>
      </c>
      <c r="E83" s="39" t="n">
        <v>0.761880948917938</v>
      </c>
      <c r="F83" s="39" t="n">
        <v>0.129762412670738</v>
      </c>
      <c r="G83" s="39" t="n">
        <v>0.0749971758943648</v>
      </c>
      <c r="H83" s="39" t="n">
        <v>0.0175592608558806</v>
      </c>
      <c r="I83" s="39" t="n">
        <v>0.00736780284980338</v>
      </c>
      <c r="J83" s="39" t="n">
        <v>0.00843239881127501</v>
      </c>
      <c r="K83" s="38" t="n">
        <f aca="false">E83*Scorecard!$E$18+F83*Scorecard!$E$19+G83*Scorecard!$E$20+H83*Scorecard!$E$21+I83*Scorecard!$E$22+J83*Scorecard!$E$23</f>
        <v>3.45013226627776</v>
      </c>
      <c r="M83" s="0" t="str">
        <f aca="false">IF(AND(T83&gt;=U83,T83&gt;=V83),"A. Distribution",IF(U83&gt;=V83,"B. Manufacturing","C. Prof. services"))</f>
        <v>A. Distribution</v>
      </c>
      <c r="N83" s="39" t="n">
        <v>0.174217900533028</v>
      </c>
      <c r="O83" s="39" t="n">
        <v>0.194769655231375</v>
      </c>
      <c r="P83" s="39" t="n">
        <v>0.2899549015739</v>
      </c>
      <c r="Q83" s="39" t="n">
        <v>0.138002390415394</v>
      </c>
      <c r="R83" s="39" t="n">
        <v>0.167371556607473</v>
      </c>
      <c r="S83" s="39" t="n">
        <v>0.0356835956388306</v>
      </c>
      <c r="T83" s="38" t="n">
        <f aca="false">N83*Scorecard!$C$18+O83*Scorecard!$C$19+P83*Scorecard!$C$20+Q83*Scorecard!$C$21+R83*Scorecard!$C$22+S83*Scorecard!$C$23</f>
        <v>4.09454523257413</v>
      </c>
      <c r="U83" s="38" t="n">
        <f aca="false">N83*Scorecard!$D$18+O83*Scorecard!$D$19+P83*Scorecard!$D$20+Q83*Scorecard!$D$21+R83*Scorecard!$D$22+S83*Scorecard!$D$23</f>
        <v>2.70134162659445</v>
      </c>
      <c r="V83" s="38" t="n">
        <f aca="false">N83*Scorecard!$E$18+O83*Scorecard!$E$19+P83*Scorecard!$E$20+Q83*Scorecard!$E$21+R83*Scorecard!$E$22+S83*Scorecard!$E$23</f>
        <v>3.37380626600623</v>
      </c>
    </row>
    <row r="84" customFormat="false" ht="15" hidden="false" customHeight="false" outlineLevel="0" collapsed="false">
      <c r="A84" s="0" t="n">
        <v>79</v>
      </c>
      <c r="B84" s="38" t="n">
        <f aca="false">E84*Scorecard!$C$18+F84*Scorecard!$C$19+G84*Scorecard!$C$20+H84*Scorecard!$C$21+I84*Scorecard!$C$22+J84*Scorecard!$C$23</f>
        <v>3.66880916506677</v>
      </c>
      <c r="C84" s="38" t="n">
        <f aca="false">E84*Scorecard!$D$18+F84*Scorecard!$D$19+G84*Scorecard!$D$20+H84*Scorecard!$D$21+I84*Scorecard!$D$22+J84*Scorecard!$D$23</f>
        <v>2.41968704303842</v>
      </c>
      <c r="D84" s="0" t="str">
        <f aca="false">IF(AND(B84&gt;=C84,B84&gt;=K84),"A. Distribution",IF(C84&gt;=K84,"B. Manufacturing","C. Prof. services"))</f>
        <v>A. Distribution</v>
      </c>
      <c r="E84" s="39" t="n">
        <v>0.0603336913543878</v>
      </c>
      <c r="F84" s="39" t="n">
        <v>0.0577743065527609</v>
      </c>
      <c r="G84" s="39" t="n">
        <v>0.161479954549203</v>
      </c>
      <c r="H84" s="39" t="n">
        <v>0.362340539407601</v>
      </c>
      <c r="I84" s="39" t="n">
        <v>0.18553213892127</v>
      </c>
      <c r="J84" s="39" t="n">
        <v>0.172539369214777</v>
      </c>
      <c r="K84" s="38" t="n">
        <f aca="false">E84*Scorecard!$E$18+F84*Scorecard!$E$19+G84*Scorecard!$E$20+H84*Scorecard!$E$21+I84*Scorecard!$E$22+J84*Scorecard!$E$23</f>
        <v>3.55929914704765</v>
      </c>
      <c r="M84" s="0" t="str">
        <f aca="false">IF(AND(T84&gt;=U84,T84&gt;=V84),"A. Distribution",IF(U84&gt;=V84,"B. Manufacturing","C. Prof. services"))</f>
        <v>A. Distribution</v>
      </c>
      <c r="N84" s="39" t="n">
        <v>0.226008540875076</v>
      </c>
      <c r="O84" s="39" t="n">
        <v>0.221619284329999</v>
      </c>
      <c r="P84" s="39" t="n">
        <v>0.144784699954997</v>
      </c>
      <c r="Q84" s="39" t="n">
        <v>0.193122593826599</v>
      </c>
      <c r="R84" s="39" t="n">
        <v>0.101281116875315</v>
      </c>
      <c r="S84" s="39" t="n">
        <v>0.113183764138013</v>
      </c>
      <c r="T84" s="38" t="n">
        <f aca="false">N84*Scorecard!$C$18+O84*Scorecard!$C$19+P84*Scorecard!$C$20+Q84*Scorecard!$C$21+R84*Scorecard!$C$22+S84*Scorecard!$C$23</f>
        <v>3.95629718708707</v>
      </c>
      <c r="U84" s="38" t="n">
        <f aca="false">N84*Scorecard!$D$18+O84*Scorecard!$D$19+P84*Scorecard!$D$20+Q84*Scorecard!$D$21+R84*Scorecard!$D$22+S84*Scorecard!$D$23</f>
        <v>2.70959814942515</v>
      </c>
      <c r="V84" s="38" t="n">
        <f aca="false">N84*Scorecard!$E$18+O84*Scorecard!$E$19+P84*Scorecard!$E$20+Q84*Scorecard!$E$21+R84*Scorecard!$E$22+S84*Scorecard!$E$23</f>
        <v>3.44668894904324</v>
      </c>
    </row>
    <row r="85" customFormat="false" ht="15" hidden="false" customHeight="false" outlineLevel="0" collapsed="false">
      <c r="A85" s="0" t="n">
        <v>80</v>
      </c>
      <c r="B85" s="38" t="n">
        <f aca="false">E85*Scorecard!$C$18+F85*Scorecard!$C$19+G85*Scorecard!$C$20+H85*Scorecard!$C$21+I85*Scorecard!$C$22+J85*Scorecard!$C$23</f>
        <v>4.13747137485391</v>
      </c>
      <c r="C85" s="38" t="n">
        <f aca="false">E85*Scorecard!$D$18+F85*Scorecard!$D$19+G85*Scorecard!$D$20+H85*Scorecard!$D$21+I85*Scorecard!$D$22+J85*Scorecard!$D$23</f>
        <v>2.6465961857281</v>
      </c>
      <c r="D85" s="0" t="str">
        <f aca="false">IF(AND(B85&gt;=C85,B85&gt;=K85),"A. Distribution",IF(C85&gt;=K85,"B. Manufacturing","C. Prof. services"))</f>
        <v>A. Distribution</v>
      </c>
      <c r="E85" s="39" t="n">
        <v>0.190705547705736</v>
      </c>
      <c r="F85" s="39" t="n">
        <v>0.333321940344856</v>
      </c>
      <c r="G85" s="39" t="n">
        <v>0.275681807069744</v>
      </c>
      <c r="H85" s="39" t="n">
        <v>0.0184877978032059</v>
      </c>
      <c r="I85" s="39" t="n">
        <v>0.0925292262614363</v>
      </c>
      <c r="J85" s="39" t="n">
        <v>0.0892736808150217</v>
      </c>
      <c r="K85" s="38" t="n">
        <f aca="false">E85*Scorecard!$E$18+F85*Scorecard!$E$19+G85*Scorecard!$E$20+H85*Scorecard!$E$21+I85*Scorecard!$E$22+J85*Scorecard!$E$23</f>
        <v>3.39055962500176</v>
      </c>
      <c r="M85" s="0" t="str">
        <f aca="false">IF(AND(T85&gt;=U85,T85&gt;=V85),"A. Distribution",IF(U85&gt;=V85,"B. Manufacturing","C. Prof. services"))</f>
        <v>A. Distribution</v>
      </c>
      <c r="N85" s="39" t="n">
        <v>0.213095088239353</v>
      </c>
      <c r="O85" s="39" t="n">
        <v>0.351730552056543</v>
      </c>
      <c r="P85" s="39" t="n">
        <v>0.139604168336225</v>
      </c>
      <c r="Q85" s="39" t="n">
        <v>0.156220371203206</v>
      </c>
      <c r="R85" s="39" t="n">
        <v>0.107938077216191</v>
      </c>
      <c r="S85" s="39" t="n">
        <v>0.031411742948483</v>
      </c>
      <c r="T85" s="38" t="n">
        <f aca="false">N85*Scorecard!$C$18+O85*Scorecard!$C$19+P85*Scorecard!$C$20+Q85*Scorecard!$C$21+R85*Scorecard!$C$22+S85*Scorecard!$C$23</f>
        <v>4.25496551276024</v>
      </c>
      <c r="U85" s="38" t="n">
        <f aca="false">N85*Scorecard!$D$18+O85*Scorecard!$D$19+P85*Scorecard!$D$20+Q85*Scorecard!$D$21+R85*Scorecard!$D$22+S85*Scorecard!$D$23</f>
        <v>2.79138174982289</v>
      </c>
      <c r="V85" s="38" t="n">
        <f aca="false">N85*Scorecard!$E$18+O85*Scorecard!$E$19+P85*Scorecard!$E$20+Q85*Scorecard!$E$21+R85*Scorecard!$E$22+S85*Scorecard!$E$23</f>
        <v>3.25769697361823</v>
      </c>
    </row>
    <row r="86" customFormat="false" ht="15" hidden="false" customHeight="false" outlineLevel="0" collapsed="false">
      <c r="A86" s="0" t="n">
        <v>81</v>
      </c>
      <c r="B86" s="38" t="n">
        <f aca="false">E86*Scorecard!$C$18+F86*Scorecard!$C$19+G86*Scorecard!$C$20+H86*Scorecard!$C$21+I86*Scorecard!$C$22+J86*Scorecard!$C$23</f>
        <v>4.01967644821858</v>
      </c>
      <c r="C86" s="38" t="n">
        <f aca="false">E86*Scorecard!$D$18+F86*Scorecard!$D$19+G86*Scorecard!$D$20+H86*Scorecard!$D$21+I86*Scorecard!$D$22+J86*Scorecard!$D$23</f>
        <v>2.75736328987409</v>
      </c>
      <c r="D86" s="0" t="str">
        <f aca="false">IF(AND(B86&gt;=C86,B86&gt;=K86),"A. Distribution",IF(C86&gt;=K86,"B. Manufacturing","C. Prof. services"))</f>
        <v>A. Distribution</v>
      </c>
      <c r="E86" s="39" t="n">
        <v>0.0205208052664314</v>
      </c>
      <c r="F86" s="39" t="n">
        <v>0.122129977414728</v>
      </c>
      <c r="G86" s="39" t="n">
        <v>0.0158366598662529</v>
      </c>
      <c r="H86" s="39" t="n">
        <v>0.401640021725679</v>
      </c>
      <c r="I86" s="39" t="n">
        <v>0.411108019746491</v>
      </c>
      <c r="J86" s="39" t="n">
        <v>0.0287645159804184</v>
      </c>
      <c r="K86" s="38" t="n">
        <f aca="false">E86*Scorecard!$E$18+F86*Scorecard!$E$19+G86*Scorecard!$E$20+H86*Scorecard!$E$21+I86*Scorecard!$E$22+J86*Scorecard!$E$23</f>
        <v>3.04156500132427</v>
      </c>
      <c r="M86" s="0" t="str">
        <f aca="false">IF(AND(T86&gt;=U86,T86&gt;=V86),"A. Distribution",IF(U86&gt;=V86,"B. Manufacturing","C. Prof. services"))</f>
        <v>A. Distribution</v>
      </c>
      <c r="N86" s="39" t="n">
        <v>0.275990740773856</v>
      </c>
      <c r="O86" s="39" t="n">
        <v>0.169517901212623</v>
      </c>
      <c r="P86" s="39" t="n">
        <v>0.191893179957345</v>
      </c>
      <c r="Q86" s="39" t="n">
        <v>0.237758767844805</v>
      </c>
      <c r="R86" s="39" t="n">
        <v>0.0935256167625081</v>
      </c>
      <c r="S86" s="39" t="n">
        <v>0.0313137934488618</v>
      </c>
      <c r="T86" s="38" t="n">
        <f aca="false">N86*Scorecard!$C$18+O86*Scorecard!$C$19+P86*Scorecard!$C$20+Q86*Scorecard!$C$21+R86*Scorecard!$C$22+S86*Scorecard!$C$23</f>
        <v>4.0591132619251</v>
      </c>
      <c r="U86" s="38" t="n">
        <f aca="false">N86*Scorecard!$D$18+O86*Scorecard!$D$19+P86*Scorecard!$D$20+Q86*Scorecard!$D$21+R86*Scorecard!$D$22+S86*Scorecard!$D$23</f>
        <v>2.82676467251944</v>
      </c>
      <c r="V86" s="38" t="n">
        <f aca="false">N86*Scorecard!$E$18+O86*Scorecard!$E$19+P86*Scorecard!$E$20+Q86*Scorecard!$E$21+R86*Scorecard!$E$22+S86*Scorecard!$E$23</f>
        <v>3.44137247745816</v>
      </c>
    </row>
    <row r="87" customFormat="false" ht="15" hidden="false" customHeight="false" outlineLevel="0" collapsed="false">
      <c r="A87" s="0" t="n">
        <v>82</v>
      </c>
      <c r="B87" s="38" t="n">
        <f aca="false">E87*Scorecard!$C$18+F87*Scorecard!$C$19+G87*Scorecard!$C$20+H87*Scorecard!$C$21+I87*Scorecard!$C$22+J87*Scorecard!$C$23</f>
        <v>4.08174167827062</v>
      </c>
      <c r="C87" s="38" t="n">
        <f aca="false">E87*Scorecard!$D$18+F87*Scorecard!$D$19+G87*Scorecard!$D$20+H87*Scorecard!$D$21+I87*Scorecard!$D$22+J87*Scorecard!$D$23</f>
        <v>2.36285849450144</v>
      </c>
      <c r="D87" s="0" t="str">
        <f aca="false">IF(AND(B87&gt;=C87,B87&gt;=K87),"A. Distribution",IF(C87&gt;=K87,"B. Manufacturing","C. Prof. services"))</f>
        <v>A. Distribution</v>
      </c>
      <c r="E87" s="39" t="n">
        <v>0.0140756280651473</v>
      </c>
      <c r="F87" s="39" t="n">
        <v>0.511218113227104</v>
      </c>
      <c r="G87" s="39" t="n">
        <v>0.051241859785975</v>
      </c>
      <c r="H87" s="39" t="n">
        <v>0.115080796953774</v>
      </c>
      <c r="I87" s="39" t="n">
        <v>0.100410439560099</v>
      </c>
      <c r="J87" s="39" t="n">
        <v>0.2079731624079</v>
      </c>
      <c r="K87" s="38" t="n">
        <f aca="false">E87*Scorecard!$E$18+F87*Scorecard!$E$19+G87*Scorecard!$E$20+H87*Scorecard!$E$21+I87*Scorecard!$E$22+J87*Scorecard!$E$23</f>
        <v>3.28083517515329</v>
      </c>
      <c r="M87" s="0" t="str">
        <f aca="false">IF(AND(T87&gt;=U87,T87&gt;=V87),"A. Distribution",IF(U87&gt;=V87,"B. Manufacturing","C. Prof. services"))</f>
        <v>A. Distribution</v>
      </c>
      <c r="N87" s="39" t="n">
        <v>0.11490587320139</v>
      </c>
      <c r="O87" s="39" t="n">
        <v>0.0909977947057691</v>
      </c>
      <c r="P87" s="39" t="n">
        <v>0.259311686437212</v>
      </c>
      <c r="Q87" s="39" t="n">
        <v>0.286325477046927</v>
      </c>
      <c r="R87" s="39" t="n">
        <v>0.130434973087367</v>
      </c>
      <c r="S87" s="39" t="n">
        <v>0.118024195521336</v>
      </c>
      <c r="T87" s="38" t="n">
        <f aca="false">N87*Scorecard!$C$18+O87*Scorecard!$C$19+P87*Scorecard!$C$20+Q87*Scorecard!$C$21+R87*Scorecard!$C$22+S87*Scorecard!$C$23</f>
        <v>3.8148722438687</v>
      </c>
      <c r="U87" s="38" t="n">
        <f aca="false">N87*Scorecard!$D$18+O87*Scorecard!$D$19+P87*Scorecard!$D$20+Q87*Scorecard!$D$21+R87*Scorecard!$D$22+S87*Scorecard!$D$23</f>
        <v>2.4792863933631</v>
      </c>
      <c r="V87" s="38" t="n">
        <f aca="false">N87*Scorecard!$E$18+O87*Scorecard!$E$19+P87*Scorecard!$E$20+Q87*Scorecard!$E$21+R87*Scorecard!$E$22+S87*Scorecard!$E$23</f>
        <v>3.58173264594797</v>
      </c>
    </row>
    <row r="88" customFormat="false" ht="15" hidden="false" customHeight="false" outlineLevel="0" collapsed="false">
      <c r="A88" s="0" t="n">
        <v>83</v>
      </c>
      <c r="B88" s="38" t="n">
        <f aca="false">E88*Scorecard!$C$18+F88*Scorecard!$C$19+G88*Scorecard!$C$20+H88*Scorecard!$C$21+I88*Scorecard!$C$22+J88*Scorecard!$C$23</f>
        <v>4.11674520079859</v>
      </c>
      <c r="C88" s="38" t="n">
        <f aca="false">E88*Scorecard!$D$18+F88*Scorecard!$D$19+G88*Scorecard!$D$20+H88*Scorecard!$D$21+I88*Scorecard!$D$22+J88*Scorecard!$D$23</f>
        <v>2.67252241737406</v>
      </c>
      <c r="D88" s="0" t="str">
        <f aca="false">IF(AND(B88&gt;=C88,B88&gt;=K88),"A. Distribution",IF(C88&gt;=K88,"B. Manufacturing","C. Prof. services"))</f>
        <v>A. Distribution</v>
      </c>
      <c r="E88" s="39" t="n">
        <v>0.18214612666468</v>
      </c>
      <c r="F88" s="39" t="n">
        <v>0.402143611339101</v>
      </c>
      <c r="G88" s="39" t="n">
        <v>0.0331262122106635</v>
      </c>
      <c r="H88" s="39" t="n">
        <v>0.18145375241676</v>
      </c>
      <c r="I88" s="39" t="n">
        <v>0.0755189285061598</v>
      </c>
      <c r="J88" s="39" t="n">
        <v>0.125611368862636</v>
      </c>
      <c r="K88" s="38" t="n">
        <f aca="false">E88*Scorecard!$E$18+F88*Scorecard!$E$19+G88*Scorecard!$E$20+H88*Scorecard!$E$21+I88*Scorecard!$E$22+J88*Scorecard!$E$23</f>
        <v>3.30578635212635</v>
      </c>
      <c r="M88" s="0" t="str">
        <f aca="false">IF(AND(T88&gt;=U88,T88&gt;=V88),"A. Distribution",IF(U88&gt;=V88,"B. Manufacturing","C. Prof. services"))</f>
        <v>A. Distribution</v>
      </c>
      <c r="N88" s="39" t="n">
        <v>0.218520754991177</v>
      </c>
      <c r="O88" s="39" t="n">
        <v>0.285968078413634</v>
      </c>
      <c r="P88" s="39" t="n">
        <v>0.306056471968695</v>
      </c>
      <c r="Q88" s="39" t="n">
        <v>0.0380556437535095</v>
      </c>
      <c r="R88" s="39" t="n">
        <v>0.080781588042005</v>
      </c>
      <c r="S88" s="39" t="n">
        <v>0.0706174628309804</v>
      </c>
      <c r="T88" s="38" t="n">
        <f aca="false">N88*Scorecard!$C$18+O88*Scorecard!$C$19+P88*Scorecard!$C$20+Q88*Scorecard!$C$21+R88*Scorecard!$C$22+S88*Scorecard!$C$23</f>
        <v>4.12308830880589</v>
      </c>
      <c r="U88" s="38" t="n">
        <f aca="false">N88*Scorecard!$D$18+O88*Scorecard!$D$19+P88*Scorecard!$D$20+Q88*Scorecard!$D$21+R88*Scorecard!$D$22+S88*Scorecard!$D$23</f>
        <v>2.67717058288936</v>
      </c>
      <c r="V88" s="38" t="n">
        <f aca="false">N88*Scorecard!$E$18+O88*Scorecard!$E$19+P88*Scorecard!$E$20+Q88*Scorecard!$E$21+R88*Scorecard!$E$22+S88*Scorecard!$E$23</f>
        <v>3.43711119383762</v>
      </c>
    </row>
    <row r="89" customFormat="false" ht="15" hidden="false" customHeight="false" outlineLevel="0" collapsed="false">
      <c r="A89" s="0" t="n">
        <v>84</v>
      </c>
      <c r="B89" s="38" t="n">
        <f aca="false">E89*Scorecard!$C$18+F89*Scorecard!$C$19+G89*Scorecard!$C$20+H89*Scorecard!$C$21+I89*Scorecard!$C$22+J89*Scorecard!$C$23</f>
        <v>4.0149005715966</v>
      </c>
      <c r="C89" s="38" t="n">
        <f aca="false">E89*Scorecard!$D$18+F89*Scorecard!$D$19+G89*Scorecard!$D$20+H89*Scorecard!$D$21+I89*Scorecard!$D$22+J89*Scorecard!$D$23</f>
        <v>3.35569841653192</v>
      </c>
      <c r="D89" s="0" t="str">
        <f aca="false">IF(AND(B89&gt;=C89,B89&gt;=K89),"A. Distribution",IF(C89&gt;=K89,"B. Manufacturing","C. Prof. services"))</f>
        <v>A. Distribution</v>
      </c>
      <c r="E89" s="39" t="n">
        <v>0.616653183651974</v>
      </c>
      <c r="F89" s="39" t="n">
        <v>0.0805166503308446</v>
      </c>
      <c r="G89" s="39" t="n">
        <v>0.175428864284722</v>
      </c>
      <c r="H89" s="39" t="n">
        <v>0.0952521829538196</v>
      </c>
      <c r="I89" s="39" t="n">
        <v>0.0292273654480958</v>
      </c>
      <c r="J89" s="39" t="n">
        <v>0.00292175333054454</v>
      </c>
      <c r="K89" s="38" t="n">
        <f aca="false">E89*Scorecard!$E$18+F89*Scorecard!$E$19+G89*Scorecard!$E$20+H89*Scorecard!$E$21+I89*Scorecard!$E$22+J89*Scorecard!$E$23</f>
        <v>3.51701529146764</v>
      </c>
      <c r="M89" s="0" t="str">
        <f aca="false">IF(AND(T89&gt;=U89,T89&gt;=V89),"A. Distribution",IF(U89&gt;=V89,"B. Manufacturing","C. Prof. services"))</f>
        <v>A. Distribution</v>
      </c>
      <c r="N89" s="39" t="n">
        <v>0.156024652348109</v>
      </c>
      <c r="O89" s="39" t="n">
        <v>0.189776674283921</v>
      </c>
      <c r="P89" s="39" t="n">
        <v>0.252896396386864</v>
      </c>
      <c r="Q89" s="39" t="n">
        <v>0.0420394907485274</v>
      </c>
      <c r="R89" s="39" t="n">
        <v>0.188921026765212</v>
      </c>
      <c r="S89" s="39" t="n">
        <v>0.170341759467367</v>
      </c>
      <c r="T89" s="38" t="n">
        <f aca="false">N89*Scorecard!$C$18+O89*Scorecard!$C$19+P89*Scorecard!$C$20+Q89*Scorecard!$C$21+R89*Scorecard!$C$22+S89*Scorecard!$C$23</f>
        <v>3.83203665988629</v>
      </c>
      <c r="U89" s="38" t="n">
        <f aca="false">N89*Scorecard!$D$18+O89*Scorecard!$D$19+P89*Scorecard!$D$20+Q89*Scorecard!$D$21+R89*Scorecard!$D$22+S89*Scorecard!$D$23</f>
        <v>2.59524091631029</v>
      </c>
      <c r="V89" s="38" t="n">
        <f aca="false">N89*Scorecard!$E$18+O89*Scorecard!$E$19+P89*Scorecard!$E$20+Q89*Scorecard!$E$21+R89*Scorecard!$E$22+S89*Scorecard!$E$23</f>
        <v>3.45167131307625</v>
      </c>
    </row>
    <row r="90" customFormat="false" ht="15" hidden="false" customHeight="false" outlineLevel="0" collapsed="false">
      <c r="A90" s="0" t="n">
        <v>85</v>
      </c>
      <c r="B90" s="38" t="n">
        <f aca="false">E90*Scorecard!$C$18+F90*Scorecard!$C$19+G90*Scorecard!$C$20+H90*Scorecard!$C$21+I90*Scorecard!$C$22+J90*Scorecard!$C$23</f>
        <v>3.6395211763466</v>
      </c>
      <c r="C90" s="38" t="n">
        <f aca="false">E90*Scorecard!$D$18+F90*Scorecard!$D$19+G90*Scorecard!$D$20+H90*Scorecard!$D$21+I90*Scorecard!$D$22+J90*Scorecard!$D$23</f>
        <v>2.97741891099705</v>
      </c>
      <c r="D90" s="0" t="str">
        <f aca="false">IF(AND(B90&gt;=C90,B90&gt;=K90),"A. Distribution",IF(C90&gt;=K90,"B. Manufacturing","C. Prof. services"))</f>
        <v>A. Distribution</v>
      </c>
      <c r="E90" s="39" t="n">
        <v>0.415930214694524</v>
      </c>
      <c r="F90" s="39" t="n">
        <v>0.0255011403428587</v>
      </c>
      <c r="G90" s="39" t="n">
        <v>0.0523331584881494</v>
      </c>
      <c r="H90" s="39" t="n">
        <v>0.243479749358999</v>
      </c>
      <c r="I90" s="39" t="n">
        <v>0.0995801451775015</v>
      </c>
      <c r="J90" s="39" t="n">
        <v>0.163175591937968</v>
      </c>
      <c r="K90" s="38" t="n">
        <f aca="false">E90*Scorecard!$E$18+F90*Scorecard!$E$19+G90*Scorecard!$E$20+H90*Scorecard!$E$21+I90*Scorecard!$E$22+J90*Scorecard!$E$23</f>
        <v>3.59753160003864</v>
      </c>
      <c r="M90" s="0" t="str">
        <f aca="false">IF(AND(T90&gt;=U90,T90&gt;=V90),"A. Distribution",IF(U90&gt;=V90,"B. Manufacturing","C. Prof. services"))</f>
        <v>A. Distribution</v>
      </c>
      <c r="N90" s="39" t="n">
        <v>0.203584241264103</v>
      </c>
      <c r="O90" s="39" t="n">
        <v>0.0629740210637641</v>
      </c>
      <c r="P90" s="39" t="n">
        <v>0.172778510595923</v>
      </c>
      <c r="Q90" s="39" t="n">
        <v>0.172202561252328</v>
      </c>
      <c r="R90" s="39" t="n">
        <v>0.234719279291133</v>
      </c>
      <c r="S90" s="39" t="n">
        <v>0.15374138653275</v>
      </c>
      <c r="T90" s="38" t="n">
        <f aca="false">N90*Scorecard!$C$18+O90*Scorecard!$C$19+P90*Scorecard!$C$20+Q90*Scorecard!$C$21+R90*Scorecard!$C$22+S90*Scorecard!$C$23</f>
        <v>3.72059119944392</v>
      </c>
      <c r="U90" s="38" t="n">
        <f aca="false">N90*Scorecard!$D$18+O90*Scorecard!$D$19+P90*Scorecard!$D$20+Q90*Scorecard!$D$21+R90*Scorecard!$D$22+S90*Scorecard!$D$23</f>
        <v>2.73169302975577</v>
      </c>
      <c r="V90" s="38" t="n">
        <f aca="false">N90*Scorecard!$E$18+O90*Scorecard!$E$19+P90*Scorecard!$E$20+Q90*Scorecard!$E$21+R90*Scorecard!$E$22+S90*Scorecard!$E$23</f>
        <v>3.4522683748919</v>
      </c>
    </row>
    <row r="91" customFormat="false" ht="15" hidden="false" customHeight="false" outlineLevel="0" collapsed="false">
      <c r="A91" s="0" t="n">
        <v>86</v>
      </c>
      <c r="B91" s="38" t="n">
        <f aca="false">E91*Scorecard!$C$18+F91*Scorecard!$C$19+G91*Scorecard!$C$20+H91*Scorecard!$C$21+I91*Scorecard!$C$22+J91*Scorecard!$C$23</f>
        <v>3.83904804613426</v>
      </c>
      <c r="C91" s="38" t="n">
        <f aca="false">E91*Scorecard!$D$18+F91*Scorecard!$D$19+G91*Scorecard!$D$20+H91*Scorecard!$D$21+I91*Scorecard!$D$22+J91*Scorecard!$D$23</f>
        <v>2.39581591692692</v>
      </c>
      <c r="D91" s="0" t="str">
        <f aca="false">IF(AND(B91&gt;=C91,B91&gt;=K91),"A. Distribution",IF(C91&gt;=K91,"B. Manufacturing","C. Prof. services"))</f>
        <v>A. Distribution</v>
      </c>
      <c r="E91" s="39" t="n">
        <v>0.0781179505998533</v>
      </c>
      <c r="F91" s="39" t="n">
        <v>0.00301618561639506</v>
      </c>
      <c r="G91" s="39" t="n">
        <v>0.275473333124917</v>
      </c>
      <c r="H91" s="39" t="n">
        <v>0.506361299748701</v>
      </c>
      <c r="I91" s="39" t="n">
        <v>0.0854634437988798</v>
      </c>
      <c r="J91" s="39" t="n">
        <v>0.0515677871112545</v>
      </c>
      <c r="K91" s="38" t="n">
        <f aca="false">E91*Scorecard!$E$18+F91*Scorecard!$E$19+G91*Scorecard!$E$20+H91*Scorecard!$E$21+I91*Scorecard!$E$22+J91*Scorecard!$E$23</f>
        <v>3.67505886028589</v>
      </c>
      <c r="M91" s="0" t="str">
        <f aca="false">IF(AND(T91&gt;=U91,T91&gt;=V91),"A. Distribution",IF(U91&gt;=V91,"B. Manufacturing","C. Prof. services"))</f>
        <v>A. Distribution</v>
      </c>
      <c r="N91" s="39" t="n">
        <v>0.215909968161716</v>
      </c>
      <c r="O91" s="39" t="n">
        <v>0.169409155019878</v>
      </c>
      <c r="P91" s="39" t="n">
        <v>0.220089327130872</v>
      </c>
      <c r="Q91" s="39" t="n">
        <v>0.062739349900403</v>
      </c>
      <c r="R91" s="39" t="n">
        <v>0.124426970510357</v>
      </c>
      <c r="S91" s="39" t="n">
        <v>0.207425229276775</v>
      </c>
      <c r="T91" s="38" t="n">
        <f aca="false">N91*Scorecard!$C$18+O91*Scorecard!$C$19+P91*Scorecard!$C$20+Q91*Scorecard!$C$21+R91*Scorecard!$C$22+S91*Scorecard!$C$23</f>
        <v>3.73046378034526</v>
      </c>
      <c r="U91" s="38" t="n">
        <f aca="false">N91*Scorecard!$D$18+O91*Scorecard!$D$19+P91*Scorecard!$D$20+Q91*Scorecard!$D$21+R91*Scorecard!$D$22+S91*Scorecard!$D$23</f>
        <v>2.60713576496853</v>
      </c>
      <c r="V91" s="38" t="n">
        <f aca="false">N91*Scorecard!$E$18+O91*Scorecard!$E$19+P91*Scorecard!$E$20+Q91*Scorecard!$E$21+R91*Scorecard!$E$22+S91*Scorecard!$E$23</f>
        <v>3.56533991083782</v>
      </c>
    </row>
    <row r="92" customFormat="false" ht="15" hidden="false" customHeight="false" outlineLevel="0" collapsed="false">
      <c r="A92" s="0" t="n">
        <v>87</v>
      </c>
      <c r="B92" s="38" t="n">
        <f aca="false">E92*Scorecard!$C$18+F92*Scorecard!$C$19+G92*Scorecard!$C$20+H92*Scorecard!$C$21+I92*Scorecard!$C$22+J92*Scorecard!$C$23</f>
        <v>3.54658453435005</v>
      </c>
      <c r="C92" s="38" t="n">
        <f aca="false">E92*Scorecard!$D$18+F92*Scorecard!$D$19+G92*Scorecard!$D$20+H92*Scorecard!$D$21+I92*Scorecard!$D$22+J92*Scorecard!$D$23</f>
        <v>2.62086282220812</v>
      </c>
      <c r="D92" s="0" t="str">
        <f aca="false">IF(AND(B92&gt;=C92,B92&gt;=K92),"A. Distribution",IF(C92&gt;=K92,"B. Manufacturing","C. Prof. services"))</f>
        <v>C. Prof. services</v>
      </c>
      <c r="E92" s="39" t="n">
        <v>0.276725729219427</v>
      </c>
      <c r="F92" s="39" t="n">
        <v>0.0653394509782854</v>
      </c>
      <c r="G92" s="39" t="n">
        <v>0.118630333867663</v>
      </c>
      <c r="H92" s="39" t="n">
        <v>0.25212374452729</v>
      </c>
      <c r="I92" s="39" t="n">
        <v>0.0524952315464153</v>
      </c>
      <c r="J92" s="39" t="n">
        <v>0.23468550986092</v>
      </c>
      <c r="K92" s="38" t="n">
        <f aca="false">E92*Scorecard!$E$18+F92*Scorecard!$E$19+G92*Scorecard!$E$20+H92*Scorecard!$E$21+I92*Scorecard!$E$22+J92*Scorecard!$E$23</f>
        <v>3.7309145493676</v>
      </c>
      <c r="M92" s="0" t="str">
        <f aca="false">IF(AND(T92&gt;=U92,T92&gt;=V92),"A. Distribution",IF(U92&gt;=V92,"B. Manufacturing","C. Prof. services"))</f>
        <v>A. Distribution</v>
      </c>
      <c r="N92" s="39" t="n">
        <v>0.191433414603769</v>
      </c>
      <c r="O92" s="39" t="n">
        <v>0.227918684172663</v>
      </c>
      <c r="P92" s="39" t="n">
        <v>0.105170772071686</v>
      </c>
      <c r="Q92" s="39" t="n">
        <v>0.228858495625</v>
      </c>
      <c r="R92" s="39" t="n">
        <v>0.134018097285668</v>
      </c>
      <c r="S92" s="39" t="n">
        <v>0.112600536241215</v>
      </c>
      <c r="T92" s="38" t="n">
        <f aca="false">N92*Scorecard!$C$18+O92*Scorecard!$C$19+P92*Scorecard!$C$20+Q92*Scorecard!$C$21+R92*Scorecard!$C$22+S92*Scorecard!$C$23</f>
        <v>3.96268840360917</v>
      </c>
      <c r="U92" s="38" t="n">
        <f aca="false">N92*Scorecard!$D$18+O92*Scorecard!$D$19+P92*Scorecard!$D$20+Q92*Scorecard!$D$21+R92*Scorecard!$D$22+S92*Scorecard!$D$23</f>
        <v>2.69736330184049</v>
      </c>
      <c r="V92" s="38" t="n">
        <f aca="false">N92*Scorecard!$E$18+O92*Scorecard!$E$19+P92*Scorecard!$E$20+Q92*Scorecard!$E$21+R92*Scorecard!$E$22+S92*Scorecard!$E$23</f>
        <v>3.38990340750739</v>
      </c>
    </row>
    <row r="93" customFormat="false" ht="15" hidden="false" customHeight="false" outlineLevel="0" collapsed="false">
      <c r="A93" s="0" t="n">
        <v>88</v>
      </c>
      <c r="B93" s="38" t="n">
        <f aca="false">E93*Scorecard!$C$18+F93*Scorecard!$C$19+G93*Scorecard!$C$20+H93*Scorecard!$C$21+I93*Scorecard!$C$22+J93*Scorecard!$C$23</f>
        <v>4.10595089235314</v>
      </c>
      <c r="C93" s="38" t="n">
        <f aca="false">E93*Scorecard!$D$18+F93*Scorecard!$D$19+G93*Scorecard!$D$20+H93*Scorecard!$D$21+I93*Scorecard!$D$22+J93*Scorecard!$D$23</f>
        <v>2.71367008533129</v>
      </c>
      <c r="D93" s="0" t="str">
        <f aca="false">IF(AND(B93&gt;=C93,B93&gt;=K93),"A. Distribution",IF(C93&gt;=K93,"B. Manufacturing","C. Prof. services"))</f>
        <v>A. Distribution</v>
      </c>
      <c r="E93" s="39" t="n">
        <v>0.251341782434445</v>
      </c>
      <c r="F93" s="39" t="n">
        <v>0.225645318666758</v>
      </c>
      <c r="G93" s="39" t="n">
        <v>0.388144239080493</v>
      </c>
      <c r="H93" s="39" t="n">
        <v>0.0032135809300742</v>
      </c>
      <c r="I93" s="39" t="n">
        <v>0.0820707085180592</v>
      </c>
      <c r="J93" s="39" t="n">
        <v>0.0495843703701711</v>
      </c>
      <c r="K93" s="38" t="n">
        <f aca="false">E93*Scorecard!$E$18+F93*Scorecard!$E$19+G93*Scorecard!$E$20+H93*Scorecard!$E$21+I93*Scorecard!$E$22+J93*Scorecard!$E$23</f>
        <v>3.49154246946706</v>
      </c>
      <c r="M93" s="0" t="str">
        <f aca="false">IF(AND(T93&gt;=U93,T93&gt;=V93),"A. Distribution",IF(U93&gt;=V93,"B. Manufacturing","C. Prof. services"))</f>
        <v>A. Distribution</v>
      </c>
      <c r="N93" s="39" t="n">
        <v>0.247425466684748</v>
      </c>
      <c r="O93" s="39" t="n">
        <v>0.291110026464037</v>
      </c>
      <c r="P93" s="39" t="n">
        <v>0.213001875387508</v>
      </c>
      <c r="Q93" s="39" t="n">
        <v>0.136988897358991</v>
      </c>
      <c r="R93" s="39" t="n">
        <v>0.0779367415218368</v>
      </c>
      <c r="S93" s="39" t="n">
        <v>0.0335369925828793</v>
      </c>
      <c r="T93" s="38" t="n">
        <f aca="false">N93*Scorecard!$C$18+O93*Scorecard!$C$19+P93*Scorecard!$C$20+Q93*Scorecard!$C$21+R93*Scorecard!$C$22+S93*Scorecard!$C$23</f>
        <v>4.18941041522903</v>
      </c>
      <c r="U93" s="38" t="n">
        <f aca="false">N93*Scorecard!$D$18+O93*Scorecard!$D$19+P93*Scorecard!$D$20+Q93*Scorecard!$D$21+R93*Scorecard!$D$22+S93*Scorecard!$D$23</f>
        <v>2.78204120101097</v>
      </c>
      <c r="V93" s="38" t="n">
        <f aca="false">N93*Scorecard!$E$18+O93*Scorecard!$E$19+P93*Scorecard!$E$20+Q93*Scorecard!$E$21+R93*Scorecard!$E$22+S93*Scorecard!$E$23</f>
        <v>3.37035465669372</v>
      </c>
    </row>
    <row r="94" customFormat="false" ht="15" hidden="false" customHeight="false" outlineLevel="0" collapsed="false">
      <c r="A94" s="0" t="n">
        <v>89</v>
      </c>
      <c r="B94" s="38" t="n">
        <f aca="false">E94*Scorecard!$C$18+F94*Scorecard!$C$19+G94*Scorecard!$C$20+H94*Scorecard!$C$21+I94*Scorecard!$C$22+J94*Scorecard!$C$23</f>
        <v>3.6861937966639</v>
      </c>
      <c r="C94" s="38" t="n">
        <f aca="false">E94*Scorecard!$D$18+F94*Scorecard!$D$19+G94*Scorecard!$D$20+H94*Scorecard!$D$21+I94*Scorecard!$D$22+J94*Scorecard!$D$23</f>
        <v>2.4975411961787</v>
      </c>
      <c r="D94" s="0" t="str">
        <f aca="false">IF(AND(B94&gt;=C94,B94&gt;=K94),"A. Distribution",IF(C94&gt;=K94,"B. Manufacturing","C. Prof. services"))</f>
        <v>A. Distribution</v>
      </c>
      <c r="E94" s="39" t="n">
        <v>0.130493194511447</v>
      </c>
      <c r="F94" s="39" t="n">
        <v>0.167649062765234</v>
      </c>
      <c r="G94" s="39" t="n">
        <v>0.102222797398924</v>
      </c>
      <c r="H94" s="39" t="n">
        <v>0.236754551700948</v>
      </c>
      <c r="I94" s="39" t="n">
        <v>0.140146420177645</v>
      </c>
      <c r="J94" s="39" t="n">
        <v>0.222733973445803</v>
      </c>
      <c r="K94" s="38" t="n">
        <f aca="false">E94*Scorecard!$E$18+F94*Scorecard!$E$19+G94*Scorecard!$E$20+H94*Scorecard!$E$21+I94*Scorecard!$E$22+J94*Scorecard!$E$23</f>
        <v>3.53469094558573</v>
      </c>
      <c r="M94" s="0" t="str">
        <f aca="false">IF(AND(T94&gt;=U94,T94&gt;=V94),"A. Distribution",IF(U94&gt;=V94,"B. Manufacturing","C. Prof. services"))</f>
        <v>A. Distribution</v>
      </c>
      <c r="N94" s="39" t="n">
        <v>0.213645525093914</v>
      </c>
      <c r="O94" s="39" t="n">
        <v>0.23033328398601</v>
      </c>
      <c r="P94" s="39" t="n">
        <v>0.245882365358731</v>
      </c>
      <c r="Q94" s="39" t="n">
        <v>0.0962635975557513</v>
      </c>
      <c r="R94" s="39" t="n">
        <v>0.11126954396912</v>
      </c>
      <c r="S94" s="39" t="n">
        <v>0.102605684036474</v>
      </c>
      <c r="T94" s="38" t="n">
        <f aca="false">N94*Scorecard!$C$18+O94*Scorecard!$C$19+P94*Scorecard!$C$20+Q94*Scorecard!$C$21+R94*Scorecard!$C$22+S94*Scorecard!$C$23</f>
        <v>3.99759654725893</v>
      </c>
      <c r="U94" s="38" t="n">
        <f aca="false">N94*Scorecard!$D$18+O94*Scorecard!$D$19+P94*Scorecard!$D$20+Q94*Scorecard!$D$21+R94*Scorecard!$D$22+S94*Scorecard!$D$23</f>
        <v>2.67949801713406</v>
      </c>
      <c r="V94" s="38" t="n">
        <f aca="false">N94*Scorecard!$E$18+O94*Scorecard!$E$19+P94*Scorecard!$E$20+Q94*Scorecard!$E$21+R94*Scorecard!$E$22+S94*Scorecard!$E$23</f>
        <v>3.45219706772755</v>
      </c>
    </row>
    <row r="95" customFormat="false" ht="15" hidden="false" customHeight="false" outlineLevel="0" collapsed="false">
      <c r="A95" s="0" t="n">
        <v>90</v>
      </c>
      <c r="B95" s="38" t="n">
        <f aca="false">E95*Scorecard!$C$18+F95*Scorecard!$C$19+G95*Scorecard!$C$20+H95*Scorecard!$C$21+I95*Scorecard!$C$22+J95*Scorecard!$C$23</f>
        <v>3.92436293057171</v>
      </c>
      <c r="C95" s="38" t="n">
        <f aca="false">E95*Scorecard!$D$18+F95*Scorecard!$D$19+G95*Scorecard!$D$20+H95*Scorecard!$D$21+I95*Scorecard!$D$22+J95*Scorecard!$D$23</f>
        <v>2.77568539387343</v>
      </c>
      <c r="D95" s="0" t="str">
        <f aca="false">IF(AND(B95&gt;=C95,B95&gt;=K95),"A. Distribution",IF(C95&gt;=K95,"B. Manufacturing","C. Prof. services"))</f>
        <v>A. Distribution</v>
      </c>
      <c r="E95" s="39" t="n">
        <v>0.134045739417744</v>
      </c>
      <c r="F95" s="39" t="n">
        <v>0.0558255809430305</v>
      </c>
      <c r="G95" s="39" t="n">
        <v>0.199824693140636</v>
      </c>
      <c r="H95" s="39" t="n">
        <v>0.24217207869787</v>
      </c>
      <c r="I95" s="39" t="n">
        <v>0.320828724257577</v>
      </c>
      <c r="J95" s="39" t="n">
        <v>0.0473031835431422</v>
      </c>
      <c r="K95" s="38" t="n">
        <f aca="false">E95*Scorecard!$E$18+F95*Scorecard!$E$19+G95*Scorecard!$E$20+H95*Scorecard!$E$21+I95*Scorecard!$E$22+J95*Scorecard!$E$23</f>
        <v>3.27595995009244</v>
      </c>
      <c r="M95" s="0" t="str">
        <f aca="false">IF(AND(T95&gt;=U95,T95&gt;=V95),"A. Distribution",IF(U95&gt;=V95,"B. Manufacturing","C. Prof. services"))</f>
        <v>A. Distribution</v>
      </c>
      <c r="N95" s="39" t="n">
        <v>0.121587466220759</v>
      </c>
      <c r="O95" s="39" t="n">
        <v>0.360259383155506</v>
      </c>
      <c r="P95" s="39" t="n">
        <v>0.114422014334605</v>
      </c>
      <c r="Q95" s="39" t="n">
        <v>0.131097339062259</v>
      </c>
      <c r="R95" s="39" t="n">
        <v>0.158104609662781</v>
      </c>
      <c r="S95" s="39" t="n">
        <v>0.11452918756409</v>
      </c>
      <c r="T95" s="38" t="n">
        <f aca="false">N95*Scorecard!$C$18+O95*Scorecard!$C$19+P95*Scorecard!$C$20+Q95*Scorecard!$C$21+R95*Scorecard!$C$22+S95*Scorecard!$C$23</f>
        <v>4.10731332765487</v>
      </c>
      <c r="U95" s="38" t="n">
        <f aca="false">N95*Scorecard!$D$18+O95*Scorecard!$D$19+P95*Scorecard!$D$20+Q95*Scorecard!$D$21+R95*Scorecard!$D$22+S95*Scorecard!$D$23</f>
        <v>2.62873612315926</v>
      </c>
      <c r="V95" s="38" t="n">
        <f aca="false">N95*Scorecard!$E$18+O95*Scorecard!$E$19+P95*Scorecard!$E$20+Q95*Scorecard!$E$21+R95*Scorecard!$E$22+S95*Scorecard!$E$23</f>
        <v>3.25941856468928</v>
      </c>
    </row>
    <row r="96" customFormat="false" ht="15" hidden="false" customHeight="false" outlineLevel="0" collapsed="false">
      <c r="A96" s="0" t="n">
        <v>91</v>
      </c>
      <c r="B96" s="38" t="n">
        <f aca="false">E96*Scorecard!$C$18+F96*Scorecard!$C$19+G96*Scorecard!$C$20+H96*Scorecard!$C$21+I96*Scorecard!$C$22+J96*Scorecard!$C$23</f>
        <v>4.15025712867688</v>
      </c>
      <c r="C96" s="38" t="n">
        <f aca="false">E96*Scorecard!$D$18+F96*Scorecard!$D$19+G96*Scorecard!$D$20+H96*Scorecard!$D$21+I96*Scorecard!$D$22+J96*Scorecard!$D$23</f>
        <v>2.95016981364067</v>
      </c>
      <c r="D96" s="0" t="str">
        <f aca="false">IF(AND(B96&gt;=C96,B96&gt;=K96),"A. Distribution",IF(C96&gt;=K96,"B. Manufacturing","C. Prof. services"))</f>
        <v>A. Distribution</v>
      </c>
      <c r="E96" s="39" t="n">
        <v>0.234503039791581</v>
      </c>
      <c r="F96" s="39" t="n">
        <v>0.324325304877723</v>
      </c>
      <c r="G96" s="39" t="n">
        <v>0.0112668122600497</v>
      </c>
      <c r="H96" s="39" t="n">
        <v>0.134815836960151</v>
      </c>
      <c r="I96" s="39" t="n">
        <v>0.224731906808278</v>
      </c>
      <c r="J96" s="39" t="n">
        <v>0.0703570993022175</v>
      </c>
      <c r="K96" s="38" t="n">
        <f aca="false">E96*Scorecard!$E$18+F96*Scorecard!$E$19+G96*Scorecard!$E$20+H96*Scorecard!$E$21+I96*Scorecard!$E$22+J96*Scorecard!$E$23</f>
        <v>3.11156703319128</v>
      </c>
      <c r="M96" s="0" t="str">
        <f aca="false">IF(AND(T96&gt;=U96,T96&gt;=V96),"A. Distribution",IF(U96&gt;=V96,"B. Manufacturing","C. Prof. services"))</f>
        <v>A. Distribution</v>
      </c>
      <c r="N96" s="39" t="n">
        <v>0.142442704435262</v>
      </c>
      <c r="O96" s="39" t="n">
        <v>0.21671786575062</v>
      </c>
      <c r="P96" s="39" t="n">
        <v>0.205815525415846</v>
      </c>
      <c r="Q96" s="39" t="n">
        <v>0.168614866587577</v>
      </c>
      <c r="R96" s="39" t="n">
        <v>0.135291579158601</v>
      </c>
      <c r="S96" s="39" t="n">
        <v>0.131117458652095</v>
      </c>
      <c r="T96" s="38" t="n">
        <f aca="false">N96*Scorecard!$C$18+O96*Scorecard!$C$19+P96*Scorecard!$C$20+Q96*Scorecard!$C$21+R96*Scorecard!$C$22+S96*Scorecard!$C$23</f>
        <v>3.92487833271533</v>
      </c>
      <c r="U96" s="38" t="n">
        <f aca="false">N96*Scorecard!$D$18+O96*Scorecard!$D$19+P96*Scorecard!$D$20+Q96*Scorecard!$D$21+R96*Scorecard!$D$22+S96*Scorecard!$D$23</f>
        <v>2.5671365736152</v>
      </c>
      <c r="V96" s="38" t="n">
        <f aca="false">N96*Scorecard!$E$18+O96*Scorecard!$E$19+P96*Scorecard!$E$20+Q96*Scorecard!$E$21+R96*Scorecard!$E$22+S96*Scorecard!$E$23</f>
        <v>3.45462860613599</v>
      </c>
    </row>
    <row r="97" customFormat="false" ht="15" hidden="false" customHeight="false" outlineLevel="0" collapsed="false">
      <c r="A97" s="0" t="n">
        <v>92</v>
      </c>
      <c r="B97" s="38" t="n">
        <f aca="false">E97*Scorecard!$C$18+F97*Scorecard!$C$19+G97*Scorecard!$C$20+H97*Scorecard!$C$21+I97*Scorecard!$C$22+J97*Scorecard!$C$23</f>
        <v>3.93650295622169</v>
      </c>
      <c r="C97" s="38" t="n">
        <f aca="false">E97*Scorecard!$D$18+F97*Scorecard!$D$19+G97*Scorecard!$D$20+H97*Scorecard!$D$21+I97*Scorecard!$D$22+J97*Scorecard!$D$23</f>
        <v>3.07198108926293</v>
      </c>
      <c r="D97" s="0" t="str">
        <f aca="false">IF(AND(B97&gt;=C97,B97&gt;=K97),"A. Distribution",IF(C97&gt;=K97,"B. Manufacturing","C. Prof. services"))</f>
        <v>A. Distribution</v>
      </c>
      <c r="E97" s="39" t="n">
        <v>0.227786195700014</v>
      </c>
      <c r="F97" s="39" t="n">
        <v>0.16047530864406</v>
      </c>
      <c r="G97" s="39" t="n">
        <v>0.0235100299096307</v>
      </c>
      <c r="H97" s="39" t="n">
        <v>0.0739422220651538</v>
      </c>
      <c r="I97" s="39" t="n">
        <v>0.415427835540705</v>
      </c>
      <c r="J97" s="39" t="n">
        <v>0.0988584081404369</v>
      </c>
      <c r="K97" s="38" t="n">
        <f aca="false">E97*Scorecard!$E$18+F97*Scorecard!$E$19+G97*Scorecard!$E$20+H97*Scorecard!$E$21+I97*Scorecard!$E$22+J97*Scorecard!$E$23</f>
        <v>3.02712273758115</v>
      </c>
      <c r="M97" s="0" t="str">
        <f aca="false">IF(AND(T97&gt;=U97,T97&gt;=V97),"A. Distribution",IF(U97&gt;=V97,"B. Manufacturing","C. Prof. services"))</f>
        <v>A. Distribution</v>
      </c>
      <c r="N97" s="39" t="n">
        <v>0.213299008068948</v>
      </c>
      <c r="O97" s="39" t="n">
        <v>0.107877168136568</v>
      </c>
      <c r="P97" s="39" t="n">
        <v>0.210687108458822</v>
      </c>
      <c r="Q97" s="39" t="n">
        <v>0.166070050509419</v>
      </c>
      <c r="R97" s="39" t="n">
        <v>0.202008882241636</v>
      </c>
      <c r="S97" s="39" t="n">
        <v>0.100057782584606</v>
      </c>
      <c r="T97" s="38" t="n">
        <f aca="false">N97*Scorecard!$C$18+O97*Scorecard!$C$19+P97*Scorecard!$C$20+Q97*Scorecard!$C$21+R97*Scorecard!$C$22+S97*Scorecard!$C$23</f>
        <v>3.87274236877811</v>
      </c>
      <c r="U97" s="38" t="n">
        <f aca="false">N97*Scorecard!$D$18+O97*Scorecard!$D$19+P97*Scorecard!$D$20+Q97*Scorecard!$D$21+R97*Scorecard!$D$22+S97*Scorecard!$D$23</f>
        <v>2.75657642384808</v>
      </c>
      <c r="V97" s="38" t="n">
        <f aca="false">N97*Scorecard!$E$18+O97*Scorecard!$E$19+P97*Scorecard!$E$20+Q97*Scorecard!$E$21+R97*Scorecard!$E$22+S97*Scorecard!$E$23</f>
        <v>3.42341537106317</v>
      </c>
    </row>
    <row r="98" customFormat="false" ht="15" hidden="false" customHeight="false" outlineLevel="0" collapsed="false">
      <c r="A98" s="0" t="n">
        <v>93</v>
      </c>
      <c r="B98" s="38" t="n">
        <f aca="false">E98*Scorecard!$C$18+F98*Scorecard!$C$19+G98*Scorecard!$C$20+H98*Scorecard!$C$21+I98*Scorecard!$C$22+J98*Scorecard!$C$23</f>
        <v>4.1860118265132</v>
      </c>
      <c r="C98" s="38" t="n">
        <f aca="false">E98*Scorecard!$D$18+F98*Scorecard!$D$19+G98*Scorecard!$D$20+H98*Scorecard!$D$21+I98*Scorecard!$D$22+J98*Scorecard!$D$23</f>
        <v>2.76678992629566</v>
      </c>
      <c r="D98" s="0" t="str">
        <f aca="false">IF(AND(B98&gt;=C98,B98&gt;=K98),"A. Distribution",IF(C98&gt;=K98,"B. Manufacturing","C. Prof. services"))</f>
        <v>A. Distribution</v>
      </c>
      <c r="E98" s="39" t="n">
        <v>0.258664145379146</v>
      </c>
      <c r="F98" s="39" t="n">
        <v>0.450023185093334</v>
      </c>
      <c r="G98" s="39" t="n">
        <v>0.107855674675566</v>
      </c>
      <c r="H98" s="39" t="n">
        <v>0.0176566231657409</v>
      </c>
      <c r="I98" s="39" t="n">
        <v>0.0451296027624131</v>
      </c>
      <c r="J98" s="39" t="n">
        <v>0.1206707689238</v>
      </c>
      <c r="K98" s="38" t="n">
        <f aca="false">E98*Scorecard!$E$18+F98*Scorecard!$E$19+G98*Scorecard!$E$20+H98*Scorecard!$E$21+I98*Scorecard!$E$22+J98*Scorecard!$E$23</f>
        <v>3.3120449037461</v>
      </c>
      <c r="M98" s="0" t="str">
        <f aca="false">IF(AND(T98&gt;=U98,T98&gt;=V98),"A. Distribution",IF(U98&gt;=V98,"B. Manufacturing","C. Prof. services"))</f>
        <v>A. Distribution</v>
      </c>
      <c r="N98" s="39" t="n">
        <v>0.311711200489178</v>
      </c>
      <c r="O98" s="39" t="n">
        <v>0.153956607324894</v>
      </c>
      <c r="P98" s="39" t="n">
        <v>0.128807179152328</v>
      </c>
      <c r="Q98" s="39" t="n">
        <v>0.216039591617377</v>
      </c>
      <c r="R98" s="39" t="n">
        <v>0.111077400081394</v>
      </c>
      <c r="S98" s="39" t="n">
        <v>0.0784080213348298</v>
      </c>
      <c r="T98" s="38" t="n">
        <f aca="false">N98*Scorecard!$C$18+O98*Scorecard!$C$19+P98*Scorecard!$C$20+Q98*Scorecard!$C$21+R98*Scorecard!$C$22+S98*Scorecard!$C$23</f>
        <v>3.94883588584934</v>
      </c>
      <c r="U98" s="38" t="n">
        <f aca="false">N98*Scorecard!$D$18+O98*Scorecard!$D$19+P98*Scorecard!$D$20+Q98*Scorecard!$D$21+R98*Scorecard!$D$22+S98*Scorecard!$D$23</f>
        <v>2.88430097515852</v>
      </c>
      <c r="V98" s="38" t="n">
        <f aca="false">N98*Scorecard!$E$18+O98*Scorecard!$E$19+P98*Scorecard!$E$20+Q98*Scorecard!$E$21+R98*Scorecard!$E$22+S98*Scorecard!$E$23</f>
        <v>3.44351187330705</v>
      </c>
    </row>
    <row r="99" customFormat="false" ht="15" hidden="false" customHeight="false" outlineLevel="0" collapsed="false">
      <c r="A99" s="0" t="n">
        <v>94</v>
      </c>
      <c r="B99" s="38" t="n">
        <f aca="false">E99*Scorecard!$C$18+F99*Scorecard!$C$19+G99*Scorecard!$C$20+H99*Scorecard!$C$21+I99*Scorecard!$C$22+J99*Scorecard!$C$23</f>
        <v>3.37277301194837</v>
      </c>
      <c r="C99" s="38" t="n">
        <f aca="false">E99*Scorecard!$D$18+F99*Scorecard!$D$19+G99*Scorecard!$D$20+H99*Scorecard!$D$21+I99*Scorecard!$D$22+J99*Scorecard!$D$23</f>
        <v>2.25146460235723</v>
      </c>
      <c r="D99" s="0" t="str">
        <f aca="false">IF(AND(B99&gt;=C99,B99&gt;=K99),"A. Distribution",IF(C99&gt;=K99,"B. Manufacturing","C. Prof. services"))</f>
        <v>C. Prof. services</v>
      </c>
      <c r="E99" s="39" t="n">
        <v>0.0718802394532302</v>
      </c>
      <c r="F99" s="39" t="n">
        <v>0.0993689814471232</v>
      </c>
      <c r="G99" s="39" t="n">
        <v>0.161532119032952</v>
      </c>
      <c r="H99" s="39" t="n">
        <v>0.186232084091131</v>
      </c>
      <c r="I99" s="39" t="n">
        <v>0.130607415590124</v>
      </c>
      <c r="J99" s="39" t="n">
        <v>0.350379160385439</v>
      </c>
      <c r="K99" s="38" t="n">
        <f aca="false">E99*Scorecard!$E$18+F99*Scorecard!$E$19+G99*Scorecard!$E$20+H99*Scorecard!$E$21+I99*Scorecard!$E$22+J99*Scorecard!$E$23</f>
        <v>3.74186659529024</v>
      </c>
      <c r="M99" s="0" t="str">
        <f aca="false">IF(AND(T99&gt;=U99,T99&gt;=V99),"A. Distribution",IF(U99&gt;=V99,"B. Manufacturing","C. Prof. services"))</f>
        <v>A. Distribution</v>
      </c>
      <c r="N99" s="39" t="n">
        <v>0.215633426274318</v>
      </c>
      <c r="O99" s="39" t="n">
        <v>0.208293917465906</v>
      </c>
      <c r="P99" s="39" t="n">
        <v>0.239358992706816</v>
      </c>
      <c r="Q99" s="39" t="n">
        <v>0.191805131738611</v>
      </c>
      <c r="R99" s="39" t="n">
        <v>0.102804600895257</v>
      </c>
      <c r="S99" s="39" t="n">
        <v>0.0421039309190925</v>
      </c>
      <c r="T99" s="38" t="n">
        <f aca="false">N99*Scorecard!$C$18+O99*Scorecard!$C$19+P99*Scorecard!$C$20+Q99*Scorecard!$C$21+R99*Scorecard!$C$22+S99*Scorecard!$C$23</f>
        <v>4.08610642843274</v>
      </c>
      <c r="U99" s="38" t="n">
        <f aca="false">N99*Scorecard!$D$18+O99*Scorecard!$D$19+P99*Scorecard!$D$20+Q99*Scorecard!$D$21+R99*Scorecard!$D$22+S99*Scorecard!$D$23</f>
        <v>2.71873197095962</v>
      </c>
      <c r="V99" s="38" t="n">
        <f aca="false">N99*Scorecard!$E$18+O99*Scorecard!$E$19+P99*Scorecard!$E$20+Q99*Scorecard!$E$21+R99*Scorecard!$E$22+S99*Scorecard!$E$23</f>
        <v>3.4301576931612</v>
      </c>
    </row>
    <row r="100" customFormat="false" ht="15" hidden="false" customHeight="false" outlineLevel="0" collapsed="false">
      <c r="A100" s="0" t="n">
        <v>95</v>
      </c>
      <c r="B100" s="38" t="n">
        <f aca="false">E100*Scorecard!$C$18+F100*Scorecard!$C$19+G100*Scorecard!$C$20+H100*Scorecard!$C$21+I100*Scorecard!$C$22+J100*Scorecard!$C$23</f>
        <v>3.91347699828676</v>
      </c>
      <c r="C100" s="38" t="n">
        <f aca="false">E100*Scorecard!$D$18+F100*Scorecard!$D$19+G100*Scorecard!$D$20+H100*Scorecard!$D$21+I100*Scorecard!$D$22+J100*Scorecard!$D$23</f>
        <v>2.94743648423479</v>
      </c>
      <c r="D100" s="0" t="str">
        <f aca="false">IF(AND(B100&gt;=C100,B100&gt;=K100),"A. Distribution",IF(C100&gt;=K100,"B. Manufacturing","C. Prof. services"))</f>
        <v>A. Distribution</v>
      </c>
      <c r="E100" s="39" t="n">
        <v>0.43202179322408</v>
      </c>
      <c r="F100" s="39" t="n">
        <v>0.155963293047091</v>
      </c>
      <c r="G100" s="39" t="n">
        <v>0.232633678292509</v>
      </c>
      <c r="H100" s="39" t="n">
        <v>0.061560821797973</v>
      </c>
      <c r="I100" s="39" t="n">
        <v>0.0172366911676968</v>
      </c>
      <c r="J100" s="39" t="n">
        <v>0.100583722470651</v>
      </c>
      <c r="K100" s="38" t="n">
        <f aca="false">E100*Scorecard!$E$18+F100*Scorecard!$E$19+G100*Scorecard!$E$20+H100*Scorecard!$E$21+I100*Scorecard!$E$22+J100*Scorecard!$E$23</f>
        <v>3.59897617781045</v>
      </c>
      <c r="M100" s="0" t="str">
        <f aca="false">IF(AND(T100&gt;=U100,T100&gt;=V100),"A. Distribution",IF(U100&gt;=V100,"B. Manufacturing","C. Prof. services"))</f>
        <v>A. Distribution</v>
      </c>
      <c r="N100" s="39" t="n">
        <v>0.111335365295982</v>
      </c>
      <c r="O100" s="39" t="n">
        <v>0.280299976412538</v>
      </c>
      <c r="P100" s="39" t="n">
        <v>0.159164517691363</v>
      </c>
      <c r="Q100" s="39" t="n">
        <v>0.185887732719281</v>
      </c>
      <c r="R100" s="39" t="n">
        <v>0.178453420966662</v>
      </c>
      <c r="S100" s="39" t="n">
        <v>0.0848589869141748</v>
      </c>
      <c r="T100" s="38" t="n">
        <f aca="false">N100*Scorecard!$C$18+O100*Scorecard!$C$19+P100*Scorecard!$C$20+Q100*Scorecard!$C$21+R100*Scorecard!$C$22+S100*Scorecard!$C$23</f>
        <v>4.08161373323191</v>
      </c>
      <c r="U100" s="38" t="n">
        <f aca="false">N100*Scorecard!$D$18+O100*Scorecard!$D$19+P100*Scorecard!$D$20+Q100*Scorecard!$D$21+R100*Scorecard!$D$22+S100*Scorecard!$D$23</f>
        <v>2.623608561654</v>
      </c>
      <c r="V100" s="38" t="n">
        <f aca="false">N100*Scorecard!$E$18+O100*Scorecard!$E$19+P100*Scorecard!$E$20+Q100*Scorecard!$E$21+R100*Scorecard!$E$22+S100*Scorecard!$E$23</f>
        <v>3.29345845773404</v>
      </c>
    </row>
    <row r="101" customFormat="false" ht="15" hidden="false" customHeight="false" outlineLevel="0" collapsed="false">
      <c r="A101" s="0" t="n">
        <v>96</v>
      </c>
      <c r="B101" s="38" t="n">
        <f aca="false">E101*Scorecard!$C$18+F101*Scorecard!$C$19+G101*Scorecard!$C$20+H101*Scorecard!$C$21+I101*Scorecard!$C$22+J101*Scorecard!$C$23</f>
        <v>3.9454410879325</v>
      </c>
      <c r="C101" s="38" t="n">
        <f aca="false">E101*Scorecard!$D$18+F101*Scorecard!$D$19+G101*Scorecard!$D$20+H101*Scorecard!$D$21+I101*Scorecard!$D$22+J101*Scorecard!$D$23</f>
        <v>3.32029327779091</v>
      </c>
      <c r="D101" s="0" t="str">
        <f aca="false">IF(AND(B101&gt;=C101,B101&gt;=K101),"A. Distribution",IF(C101&gt;=K101,"B. Manufacturing","C. Prof. services"))</f>
        <v>A. Distribution</v>
      </c>
      <c r="E101" s="39" t="n">
        <v>0.538027326601714</v>
      </c>
      <c r="F101" s="39" t="n">
        <v>0.0332365338969785</v>
      </c>
      <c r="G101" s="39" t="n">
        <v>0.0909903620112177</v>
      </c>
      <c r="H101" s="39" t="n">
        <v>0.207328024493617</v>
      </c>
      <c r="I101" s="39" t="n">
        <v>0.119288126773821</v>
      </c>
      <c r="J101" s="39" t="n">
        <v>0.0111296262226531</v>
      </c>
      <c r="K101" s="38" t="n">
        <f aca="false">E101*Scorecard!$E$18+F101*Scorecard!$E$19+G101*Scorecard!$E$20+H101*Scorecard!$E$21+I101*Scorecard!$E$22+J101*Scorecard!$E$23</f>
        <v>3.43019009388852</v>
      </c>
      <c r="M101" s="0" t="str">
        <f aca="false">IF(AND(T101&gt;=U101,T101&gt;=V101),"A. Distribution",IF(U101&gt;=V101,"B. Manufacturing","C. Prof. services"))</f>
        <v>A. Distribution</v>
      </c>
      <c r="N101" s="39" t="n">
        <v>0.164598698135556</v>
      </c>
      <c r="O101" s="39" t="n">
        <v>0.321257336967799</v>
      </c>
      <c r="P101" s="39" t="n">
        <v>0.240738896436669</v>
      </c>
      <c r="Q101" s="39" t="n">
        <v>0.0945048684226361</v>
      </c>
      <c r="R101" s="39" t="n">
        <v>0.14099980398233</v>
      </c>
      <c r="S101" s="39" t="n">
        <v>0.0379003960550095</v>
      </c>
      <c r="T101" s="38" t="n">
        <f aca="false">N101*Scorecard!$C$18+O101*Scorecard!$C$19+P101*Scorecard!$C$20+Q101*Scorecard!$C$21+R101*Scorecard!$C$22+S101*Scorecard!$C$23</f>
        <v>4.22205849170567</v>
      </c>
      <c r="U101" s="38" t="n">
        <f aca="false">N101*Scorecard!$D$18+O101*Scorecard!$D$19+P101*Scorecard!$D$20+Q101*Scorecard!$D$21+R101*Scorecard!$D$22+S101*Scorecard!$D$23</f>
        <v>2.69991151498547</v>
      </c>
      <c r="V101" s="38" t="n">
        <f aca="false">N101*Scorecard!$E$18+O101*Scorecard!$E$19+P101*Scorecard!$E$20+Q101*Scorecard!$E$21+R101*Scorecard!$E$22+S101*Scorecard!$E$23</f>
        <v>3.28669939521337</v>
      </c>
    </row>
    <row r="102" customFormat="false" ht="15" hidden="false" customHeight="false" outlineLevel="0" collapsed="false">
      <c r="A102" s="0" t="n">
        <v>97</v>
      </c>
      <c r="B102" s="38" t="n">
        <f aca="false">E102*Scorecard!$C$18+F102*Scorecard!$C$19+G102*Scorecard!$C$20+H102*Scorecard!$C$21+I102*Scorecard!$C$22+J102*Scorecard!$C$23</f>
        <v>3.81388233812708</v>
      </c>
      <c r="C102" s="38" t="n">
        <f aca="false">E102*Scorecard!$D$18+F102*Scorecard!$D$19+G102*Scorecard!$D$20+H102*Scorecard!$D$21+I102*Scorecard!$D$22+J102*Scorecard!$D$23</f>
        <v>3.31182970339113</v>
      </c>
      <c r="D102" s="0" t="str">
        <f aca="false">IF(AND(B102&gt;=C102,B102&gt;=K102),"A. Distribution",IF(C102&gt;=K102,"B. Manufacturing","C. Prof. services"))</f>
        <v>A. Distribution</v>
      </c>
      <c r="E102" s="39" t="n">
        <v>0.633734076783112</v>
      </c>
      <c r="F102" s="39" t="n">
        <v>0.118516961006619</v>
      </c>
      <c r="G102" s="39" t="n">
        <v>0.0445546047632125</v>
      </c>
      <c r="H102" s="39" t="n">
        <v>0.0759134030624597</v>
      </c>
      <c r="I102" s="39" t="n">
        <v>0.00449373142561537</v>
      </c>
      <c r="J102" s="39" t="n">
        <v>0.122787222958982</v>
      </c>
      <c r="K102" s="38" t="n">
        <f aca="false">E102*Scorecard!$E$18+F102*Scorecard!$E$19+G102*Scorecard!$E$20+H102*Scorecard!$E$21+I102*Scorecard!$E$22+J102*Scorecard!$E$23</f>
        <v>3.57053011685852</v>
      </c>
      <c r="M102" s="0" t="str">
        <f aca="false">IF(AND(T102&gt;=U102,T102&gt;=V102),"A. Distribution",IF(U102&gt;=V102,"B. Manufacturing","C. Prof. services"))</f>
        <v>A. Distribution</v>
      </c>
      <c r="N102" s="39" t="n">
        <v>0.171412426879378</v>
      </c>
      <c r="O102" s="39" t="n">
        <v>0.211898999229857</v>
      </c>
      <c r="P102" s="39" t="n">
        <v>0.195712056116836</v>
      </c>
      <c r="Q102" s="39" t="n">
        <v>0.135077520501114</v>
      </c>
      <c r="R102" s="39" t="n">
        <v>0.156368188391731</v>
      </c>
      <c r="S102" s="39" t="n">
        <v>0.129530808881084</v>
      </c>
      <c r="T102" s="38" t="n">
        <f aca="false">N102*Scorecard!$C$18+O102*Scorecard!$C$19+P102*Scorecard!$C$20+Q102*Scorecard!$C$21+R102*Scorecard!$C$22+S102*Scorecard!$C$23</f>
        <v>3.92452054896085</v>
      </c>
      <c r="U102" s="38" t="n">
        <f aca="false">N102*Scorecard!$D$18+O102*Scorecard!$D$19+P102*Scorecard!$D$20+Q102*Scorecard!$D$21+R102*Scorecard!$D$22+S102*Scorecard!$D$23</f>
        <v>2.64229144021935</v>
      </c>
      <c r="V102" s="38" t="n">
        <f aca="false">N102*Scorecard!$E$18+O102*Scorecard!$E$19+P102*Scorecard!$E$20+Q102*Scorecard!$E$21+R102*Scorecard!$E$22+S102*Scorecard!$E$23</f>
        <v>3.42095185021988</v>
      </c>
    </row>
    <row r="103" customFormat="false" ht="15" hidden="false" customHeight="false" outlineLevel="0" collapsed="false">
      <c r="A103" s="0" t="n">
        <v>98</v>
      </c>
      <c r="B103" s="38" t="n">
        <f aca="false">E103*Scorecard!$C$18+F103*Scorecard!$C$19+G103*Scorecard!$C$20+H103*Scorecard!$C$21+I103*Scorecard!$C$22+J103*Scorecard!$C$23</f>
        <v>3.88020469670578</v>
      </c>
      <c r="C103" s="38" t="n">
        <f aca="false">E103*Scorecard!$D$18+F103*Scorecard!$D$19+G103*Scorecard!$D$20+H103*Scorecard!$D$21+I103*Scorecard!$D$22+J103*Scorecard!$D$23</f>
        <v>2.81803786321149</v>
      </c>
      <c r="D103" s="0" t="str">
        <f aca="false">IF(AND(B103&gt;=C103,B103&gt;=K103),"A. Distribution",IF(C103&gt;=K103,"B. Manufacturing","C. Prof. services"))</f>
        <v>A. Distribution</v>
      </c>
      <c r="E103" s="39" t="n">
        <v>0.242851966843242</v>
      </c>
      <c r="F103" s="39" t="n">
        <v>0.119085140746339</v>
      </c>
      <c r="G103" s="39" t="n">
        <v>0.219110290945827</v>
      </c>
      <c r="H103" s="39" t="n">
        <v>0.0996725818064941</v>
      </c>
      <c r="I103" s="39" t="n">
        <v>0.214958587454218</v>
      </c>
      <c r="J103" s="39" t="n">
        <v>0.10432143220388</v>
      </c>
      <c r="K103" s="38" t="n">
        <f aca="false">E103*Scorecard!$E$18+F103*Scorecard!$E$19+G103*Scorecard!$E$20+H103*Scorecard!$E$21+I103*Scorecard!$E$22+J103*Scorecard!$E$23</f>
        <v>3.39750623589682</v>
      </c>
      <c r="M103" s="0" t="str">
        <f aca="false">IF(AND(T103&gt;=U103,T103&gt;=V103),"A. Distribution",IF(U103&gt;=V103,"B. Manufacturing","C. Prof. services"))</f>
        <v>A. Distribution</v>
      </c>
      <c r="N103" s="39" t="n">
        <v>0.236429147241411</v>
      </c>
      <c r="O103" s="39" t="n">
        <v>0.249357025653446</v>
      </c>
      <c r="P103" s="39" t="n">
        <v>0.121951164633599</v>
      </c>
      <c r="Q103" s="39" t="n">
        <v>0.204388748475035</v>
      </c>
      <c r="R103" s="39" t="n">
        <v>0.123406639048691</v>
      </c>
      <c r="S103" s="39" t="n">
        <v>0.0644672749478178</v>
      </c>
      <c r="T103" s="38" t="n">
        <f aca="false">N103*Scorecard!$C$18+O103*Scorecard!$C$19+P103*Scorecard!$C$20+Q103*Scorecard!$C$21+R103*Scorecard!$C$22+S103*Scorecard!$C$23</f>
        <v>4.07941733517066</v>
      </c>
      <c r="U103" s="38" t="n">
        <f aca="false">N103*Scorecard!$D$18+O103*Scorecard!$D$19+P103*Scorecard!$D$20+Q103*Scorecard!$D$21+R103*Scorecard!$D$22+S103*Scorecard!$D$23</f>
        <v>2.80252943398764</v>
      </c>
      <c r="V103" s="38" t="n">
        <f aca="false">N103*Scorecard!$E$18+O103*Scorecard!$E$19+P103*Scorecard!$E$20+Q103*Scorecard!$E$21+R103*Scorecard!$E$22+S103*Scorecard!$E$23</f>
        <v>3.34340070973953</v>
      </c>
    </row>
    <row r="104" customFormat="false" ht="15" hidden="false" customHeight="false" outlineLevel="0" collapsed="false">
      <c r="A104" s="0" t="n">
        <v>99</v>
      </c>
      <c r="B104" s="38" t="n">
        <f aca="false">E104*Scorecard!$C$18+F104*Scorecard!$C$19+G104*Scorecard!$C$20+H104*Scorecard!$C$21+I104*Scorecard!$C$22+J104*Scorecard!$C$23</f>
        <v>4.13631164777264</v>
      </c>
      <c r="C104" s="38" t="n">
        <f aca="false">E104*Scorecard!$D$18+F104*Scorecard!$D$19+G104*Scorecard!$D$20+H104*Scorecard!$D$21+I104*Scorecard!$D$22+J104*Scorecard!$D$23</f>
        <v>2.68071029259295</v>
      </c>
      <c r="D104" s="0" t="str">
        <f aca="false">IF(AND(B104&gt;=C104,B104&gt;=K104),"A. Distribution",IF(C104&gt;=K104,"B. Manufacturing","C. Prof. services"))</f>
        <v>A. Distribution</v>
      </c>
      <c r="E104" s="39" t="n">
        <v>0.0894357870421127</v>
      </c>
      <c r="F104" s="39" t="n">
        <v>0.168165313744144</v>
      </c>
      <c r="G104" s="39" t="n">
        <v>0.384175091843276</v>
      </c>
      <c r="H104" s="39" t="n">
        <v>0.0470656998009612</v>
      </c>
      <c r="I104" s="39" t="n">
        <v>0.301357208284363</v>
      </c>
      <c r="J104" s="39" t="n">
        <v>0.00980089928514358</v>
      </c>
      <c r="K104" s="38" t="n">
        <f aca="false">E104*Scorecard!$E$18+F104*Scorecard!$E$19+G104*Scorecard!$E$20+H104*Scorecard!$E$21+I104*Scorecard!$E$22+J104*Scorecard!$E$23</f>
        <v>3.24148859127137</v>
      </c>
      <c r="M104" s="0" t="str">
        <f aca="false">IF(AND(T104&gt;=U104,T104&gt;=V104),"A. Distribution",IF(U104&gt;=V104,"B. Manufacturing","C. Prof. services"))</f>
        <v>A. Distribution</v>
      </c>
      <c r="N104" s="39" t="n">
        <v>0.16424002893044</v>
      </c>
      <c r="O104" s="39" t="n">
        <v>0.0762279053276024</v>
      </c>
      <c r="P104" s="39" t="n">
        <v>0.303592915237839</v>
      </c>
      <c r="Q104" s="39" t="n">
        <v>0.225990149325718</v>
      </c>
      <c r="R104" s="39" t="n">
        <v>0.142888652009829</v>
      </c>
      <c r="S104" s="39" t="n">
        <v>0.0870603491685706</v>
      </c>
      <c r="T104" s="38" t="n">
        <f aca="false">N104*Scorecard!$C$18+O104*Scorecard!$C$19+P104*Scorecard!$C$20+Q104*Scorecard!$C$21+R104*Scorecard!$C$22+S104*Scorecard!$C$23</f>
        <v>3.86457033405765</v>
      </c>
      <c r="U104" s="38" t="n">
        <f aca="false">N104*Scorecard!$D$18+O104*Scorecard!$D$19+P104*Scorecard!$D$20+Q104*Scorecard!$D$21+R104*Scorecard!$D$22+S104*Scorecard!$D$23</f>
        <v>2.58573229128527</v>
      </c>
      <c r="V104" s="38" t="n">
        <f aca="false">N104*Scorecard!$E$18+O104*Scorecard!$E$19+P104*Scorecard!$E$20+Q104*Scorecard!$E$21+R104*Scorecard!$E$22+S104*Scorecard!$E$23</f>
        <v>3.55821751713812</v>
      </c>
    </row>
    <row r="105" customFormat="false" ht="15" hidden="false" customHeight="false" outlineLevel="0" collapsed="false">
      <c r="A105" s="0" t="n">
        <v>100</v>
      </c>
      <c r="B105" s="38" t="n">
        <f aca="false">E105*Scorecard!$C$18+F105*Scorecard!$C$19+G105*Scorecard!$C$20+H105*Scorecard!$C$21+I105*Scorecard!$C$22+J105*Scorecard!$C$23</f>
        <v>3.11578169884934</v>
      </c>
      <c r="C105" s="38" t="n">
        <f aca="false">E105*Scorecard!$D$18+F105*Scorecard!$D$19+G105*Scorecard!$D$20+H105*Scorecard!$D$21+I105*Scorecard!$D$22+J105*Scorecard!$D$23</f>
        <v>2.14507135124782</v>
      </c>
      <c r="D105" s="0" t="str">
        <f aca="false">IF(AND(B105&gt;=C105,B105&gt;=K105),"A. Distribution",IF(C105&gt;=K105,"B. Manufacturing","C. Prof. services"))</f>
        <v>C. Prof. services</v>
      </c>
      <c r="E105" s="39" t="n">
        <v>0.100765080591688</v>
      </c>
      <c r="F105" s="39" t="n">
        <v>0.0779180346431836</v>
      </c>
      <c r="G105" s="39" t="n">
        <v>0.0957038810861114</v>
      </c>
      <c r="H105" s="39" t="n">
        <v>0.204853833954265</v>
      </c>
      <c r="I105" s="39" t="n">
        <v>0.0547726137544778</v>
      </c>
      <c r="J105" s="39" t="n">
        <v>0.465986555970274</v>
      </c>
      <c r="K105" s="38" t="n">
        <f aca="false">E105*Scorecard!$E$18+F105*Scorecard!$E$19+G105*Scorecard!$E$20+H105*Scorecard!$E$21+I105*Scorecard!$E$22+J105*Scorecard!$E$23</f>
        <v>3.93117386207258</v>
      </c>
      <c r="M105" s="0" t="str">
        <f aca="false">IF(AND(T105&gt;=U105,T105&gt;=V105),"A. Distribution",IF(U105&gt;=V105,"B. Manufacturing","C. Prof. services"))</f>
        <v>A. Distribution</v>
      </c>
      <c r="N105" s="39" t="n">
        <v>0.208676132162639</v>
      </c>
      <c r="O105" s="39" t="n">
        <v>0.190989867398476</v>
      </c>
      <c r="P105" s="39" t="n">
        <v>0.158391157318319</v>
      </c>
      <c r="Q105" s="39" t="n">
        <v>0.0915614870918076</v>
      </c>
      <c r="R105" s="39" t="n">
        <v>0.27206423733163</v>
      </c>
      <c r="S105" s="39" t="n">
        <v>0.0783171186971277</v>
      </c>
      <c r="T105" s="38" t="n">
        <f aca="false">N105*Scorecard!$C$18+O105*Scorecard!$C$19+P105*Scorecard!$C$20+Q105*Scorecard!$C$21+R105*Scorecard!$C$22+S105*Scorecard!$C$23</f>
        <v>4.00773589302829</v>
      </c>
      <c r="U105" s="38" t="n">
        <f aca="false">N105*Scorecard!$D$18+O105*Scorecard!$D$19+P105*Scorecard!$D$20+Q105*Scorecard!$D$21+R105*Scorecard!$D$22+S105*Scorecard!$D$23</f>
        <v>2.87375594712598</v>
      </c>
      <c r="V105" s="38" t="n">
        <f aca="false">N105*Scorecard!$E$18+O105*Scorecard!$E$19+P105*Scorecard!$E$20+Q105*Scorecard!$E$21+R105*Scorecard!$E$22+S105*Scorecard!$E$23</f>
        <v>3.22311074358897</v>
      </c>
    </row>
    <row r="106" customFormat="false" ht="15" hidden="false" customHeight="false" outlineLevel="0" collapsed="false">
      <c r="A106" s="0" t="n">
        <v>101</v>
      </c>
      <c r="B106" s="38" t="n">
        <f aca="false">E106*Scorecard!$C$18+F106*Scorecard!$C$19+G106*Scorecard!$C$20+H106*Scorecard!$C$21+I106*Scorecard!$C$22+J106*Scorecard!$C$23</f>
        <v>4.28334698543539</v>
      </c>
      <c r="C106" s="38" t="n">
        <f aca="false">E106*Scorecard!$D$18+F106*Scorecard!$D$19+G106*Scorecard!$D$20+H106*Scorecard!$D$21+I106*Scorecard!$D$22+J106*Scorecard!$D$23</f>
        <v>2.74773311375349</v>
      </c>
      <c r="D106" s="0" t="str">
        <f aca="false">IF(AND(B106&gt;=C106,B106&gt;=K106),"A. Distribution",IF(C106&gt;=K106,"B. Manufacturing","C. Prof. services"))</f>
        <v>A. Distribution</v>
      </c>
      <c r="E106" s="39" t="n">
        <v>0.177155002431084</v>
      </c>
      <c r="F106" s="39" t="n">
        <v>0.326166213826416</v>
      </c>
      <c r="G106" s="39" t="n">
        <v>0.198435776986227</v>
      </c>
      <c r="H106" s="39" t="n">
        <v>0.164449169423553</v>
      </c>
      <c r="I106" s="39" t="n">
        <v>0.128355572020592</v>
      </c>
      <c r="J106" s="39" t="n">
        <v>0.00543826531212934</v>
      </c>
      <c r="K106" s="38" t="n">
        <f aca="false">E106*Scorecard!$E$18+F106*Scorecard!$E$19+G106*Scorecard!$E$20+H106*Scorecard!$E$21+I106*Scorecard!$E$22+J106*Scorecard!$E$23</f>
        <v>3.25651906996957</v>
      </c>
      <c r="M106" s="0" t="str">
        <f aca="false">IF(AND(T106&gt;=U106,T106&gt;=V106),"A. Distribution",IF(U106&gt;=V106,"B. Manufacturing","C. Prof. services"))</f>
        <v>A. Distribution</v>
      </c>
      <c r="N106" s="39" t="n">
        <v>0.200607613446852</v>
      </c>
      <c r="O106" s="39" t="n">
        <v>0.216509845437088</v>
      </c>
      <c r="P106" s="39" t="n">
        <v>0.20465497582481</v>
      </c>
      <c r="Q106" s="39" t="n">
        <v>0.169761481856156</v>
      </c>
      <c r="R106" s="39" t="n">
        <v>0.15436952241845</v>
      </c>
      <c r="S106" s="39" t="n">
        <v>0.0540965610166442</v>
      </c>
      <c r="T106" s="38" t="n">
        <f aca="false">N106*Scorecard!$C$18+O106*Scorecard!$C$19+P106*Scorecard!$C$20+Q106*Scorecard!$C$21+R106*Scorecard!$C$22+S106*Scorecard!$C$23</f>
        <v>4.07391868642526</v>
      </c>
      <c r="U106" s="38" t="n">
        <f aca="false">N106*Scorecard!$D$18+O106*Scorecard!$D$19+P106*Scorecard!$D$20+Q106*Scorecard!$D$21+R106*Scorecard!$D$22+S106*Scorecard!$D$23</f>
        <v>2.74899524050676</v>
      </c>
      <c r="V106" s="38" t="n">
        <f aca="false">N106*Scorecard!$E$18+O106*Scorecard!$E$19+P106*Scorecard!$E$20+Q106*Scorecard!$E$21+R106*Scorecard!$E$22+S106*Scorecard!$E$23</f>
        <v>3.35511213590145</v>
      </c>
    </row>
    <row r="107" customFormat="false" ht="15" hidden="false" customHeight="false" outlineLevel="0" collapsed="false">
      <c r="A107" s="0" t="n">
        <v>102</v>
      </c>
      <c r="B107" s="38" t="n">
        <f aca="false">E107*Scorecard!$C$18+F107*Scorecard!$C$19+G107*Scorecard!$C$20+H107*Scorecard!$C$21+I107*Scorecard!$C$22+J107*Scorecard!$C$23</f>
        <v>3.95161876705883</v>
      </c>
      <c r="C107" s="38" t="n">
        <f aca="false">E107*Scorecard!$D$18+F107*Scorecard!$D$19+G107*Scorecard!$D$20+H107*Scorecard!$D$21+I107*Scorecard!$D$22+J107*Scorecard!$D$23</f>
        <v>2.83383197461247</v>
      </c>
      <c r="D107" s="0" t="str">
        <f aca="false">IF(AND(B107&gt;=C107,B107&gt;=K107),"A. Distribution",IF(C107&gt;=K107,"B. Manufacturing","C. Prof. services"))</f>
        <v>A. Distribution</v>
      </c>
      <c r="E107" s="39" t="n">
        <v>0.284643974938125</v>
      </c>
      <c r="F107" s="39" t="n">
        <v>0.0754719034529604</v>
      </c>
      <c r="G107" s="39" t="n">
        <v>0.199954179106607</v>
      </c>
      <c r="H107" s="39" t="n">
        <v>0.292976443240816</v>
      </c>
      <c r="I107" s="39" t="n">
        <v>0.112237695840801</v>
      </c>
      <c r="J107" s="39" t="n">
        <v>0.0347158034206911</v>
      </c>
      <c r="K107" s="38" t="n">
        <f aca="false">E107*Scorecard!$E$18+F107*Scorecard!$E$19+G107*Scorecard!$E$20+H107*Scorecard!$E$21+I107*Scorecard!$E$22+J107*Scorecard!$E$23</f>
        <v>3.50192336171119</v>
      </c>
      <c r="M107" s="0" t="str">
        <f aca="false">IF(AND(T107&gt;=U107,T107&gt;=V107),"A. Distribution",IF(U107&gt;=V107,"B. Manufacturing","C. Prof. services"))</f>
        <v>A. Distribution</v>
      </c>
      <c r="N107" s="39" t="n">
        <v>0.14817691391033</v>
      </c>
      <c r="O107" s="39" t="n">
        <v>0.258680325342878</v>
      </c>
      <c r="P107" s="39" t="n">
        <v>0.135996742956905</v>
      </c>
      <c r="Q107" s="39" t="n">
        <v>0.123980542189763</v>
      </c>
      <c r="R107" s="39" t="n">
        <v>0.156736417012778</v>
      </c>
      <c r="S107" s="39" t="n">
        <v>0.176429058587346</v>
      </c>
      <c r="T107" s="38" t="n">
        <f aca="false">N107*Scorecard!$C$18+O107*Scorecard!$C$19+P107*Scorecard!$C$20+Q107*Scorecard!$C$21+R107*Scorecard!$C$22+S107*Scorecard!$C$23</f>
        <v>3.88056658591467</v>
      </c>
      <c r="U107" s="38" t="n">
        <f aca="false">N107*Scorecard!$D$18+O107*Scorecard!$D$19+P107*Scorecard!$D$20+Q107*Scorecard!$D$21+R107*Scorecard!$D$22+S107*Scorecard!$D$23</f>
        <v>2.59386253905043</v>
      </c>
      <c r="V107" s="38" t="n">
        <f aca="false">N107*Scorecard!$E$18+O107*Scorecard!$E$19+P107*Scorecard!$E$20+Q107*Scorecard!$E$21+R107*Scorecard!$E$22+S107*Scorecard!$E$23</f>
        <v>3.40311131581032</v>
      </c>
    </row>
    <row r="108" customFormat="false" ht="15" hidden="false" customHeight="false" outlineLevel="0" collapsed="false">
      <c r="A108" s="0" t="n">
        <v>103</v>
      </c>
      <c r="B108" s="38" t="n">
        <f aca="false">E108*Scorecard!$C$18+F108*Scorecard!$C$19+G108*Scorecard!$C$20+H108*Scorecard!$C$21+I108*Scorecard!$C$22+J108*Scorecard!$C$23</f>
        <v>3.47895102606393</v>
      </c>
      <c r="C108" s="38" t="n">
        <f aca="false">E108*Scorecard!$D$18+F108*Scorecard!$D$19+G108*Scorecard!$D$20+H108*Scorecard!$D$21+I108*Scorecard!$D$22+J108*Scorecard!$D$23</f>
        <v>2.43716660692087</v>
      </c>
      <c r="D108" s="0" t="str">
        <f aca="false">IF(AND(B108&gt;=C108,B108&gt;=K108),"A. Distribution",IF(C108&gt;=K108,"B. Manufacturing","C. Prof. services"))</f>
        <v>C. Prof. services</v>
      </c>
      <c r="E108" s="39" t="n">
        <v>0.0671081952101778</v>
      </c>
      <c r="F108" s="39" t="n">
        <v>0.0105466336004138</v>
      </c>
      <c r="G108" s="39" t="n">
        <v>0.250814754679235</v>
      </c>
      <c r="H108" s="39" t="n">
        <v>0.12438867708662</v>
      </c>
      <c r="I108" s="39" t="n">
        <v>0.290739362308218</v>
      </c>
      <c r="J108" s="39" t="n">
        <v>0.256402377115336</v>
      </c>
      <c r="K108" s="38" t="n">
        <f aca="false">E108*Scorecard!$E$18+F108*Scorecard!$E$19+G108*Scorecard!$E$20+H108*Scorecard!$E$21+I108*Scorecard!$E$22+J108*Scorecard!$E$23</f>
        <v>3.55677963187593</v>
      </c>
      <c r="M108" s="0" t="str">
        <f aca="false">IF(AND(T108&gt;=U108,T108&gt;=V108),"A. Distribution",IF(U108&gt;=V108,"B. Manufacturing","C. Prof. services"))</f>
        <v>A. Distribution</v>
      </c>
      <c r="N108" s="39" t="n">
        <v>0.282496570947958</v>
      </c>
      <c r="O108" s="39" t="n">
        <v>0.127876785636991</v>
      </c>
      <c r="P108" s="39" t="n">
        <v>0.219347907614316</v>
      </c>
      <c r="Q108" s="39" t="n">
        <v>0.156613991736953</v>
      </c>
      <c r="R108" s="39" t="n">
        <v>0.12171470363823</v>
      </c>
      <c r="S108" s="39" t="n">
        <v>0.091950040425553</v>
      </c>
      <c r="T108" s="38" t="n">
        <f aca="false">N108*Scorecard!$C$18+O108*Scorecard!$C$19+P108*Scorecard!$C$20+Q108*Scorecard!$C$21+R108*Scorecard!$C$22+S108*Scorecard!$C$23</f>
        <v>3.90442071753488</v>
      </c>
      <c r="U108" s="38" t="n">
        <f aca="false">N108*Scorecard!$D$18+O108*Scorecard!$D$19+P108*Scorecard!$D$20+Q108*Scorecard!$D$21+R108*Scorecard!$D$22+S108*Scorecard!$D$23</f>
        <v>2.80141587876851</v>
      </c>
      <c r="V108" s="38" t="n">
        <f aca="false">N108*Scorecard!$E$18+O108*Scorecard!$E$19+P108*Scorecard!$E$20+Q108*Scorecard!$E$21+R108*Scorecard!$E$22+S108*Scorecard!$E$23</f>
        <v>3.49777397009065</v>
      </c>
    </row>
    <row r="109" customFormat="false" ht="15" hidden="false" customHeight="false" outlineLevel="0" collapsed="false">
      <c r="A109" s="0" t="n">
        <v>104</v>
      </c>
      <c r="B109" s="38" t="n">
        <f aca="false">E109*Scorecard!$C$18+F109*Scorecard!$C$19+G109*Scorecard!$C$20+H109*Scorecard!$C$21+I109*Scorecard!$C$22+J109*Scorecard!$C$23</f>
        <v>4.14205646820325</v>
      </c>
      <c r="C109" s="38" t="n">
        <f aca="false">E109*Scorecard!$D$18+F109*Scorecard!$D$19+G109*Scorecard!$D$20+H109*Scorecard!$D$21+I109*Scorecard!$D$22+J109*Scorecard!$D$23</f>
        <v>2.59664699897597</v>
      </c>
      <c r="D109" s="0" t="str">
        <f aca="false">IF(AND(B109&gt;=C109,B109&gt;=K109),"A. Distribution",IF(C109&gt;=K109,"B. Manufacturing","C. Prof. services"))</f>
        <v>A. Distribution</v>
      </c>
      <c r="E109" s="39" t="n">
        <v>0.0108790096717381</v>
      </c>
      <c r="F109" s="39" t="n">
        <v>0.467705732268244</v>
      </c>
      <c r="G109" s="39" t="n">
        <v>0.0386835098038285</v>
      </c>
      <c r="H109" s="39" t="n">
        <v>0.020254448508484</v>
      </c>
      <c r="I109" s="39" t="n">
        <v>0.30118060235502</v>
      </c>
      <c r="J109" s="39" t="n">
        <v>0.161296697392685</v>
      </c>
      <c r="K109" s="38" t="n">
        <f aca="false">E109*Scorecard!$E$18+F109*Scorecard!$E$19+G109*Scorecard!$E$20+H109*Scorecard!$E$21+I109*Scorecard!$E$22+J109*Scorecard!$E$23</f>
        <v>3.0075025126664</v>
      </c>
      <c r="M109" s="0" t="str">
        <f aca="false">IF(AND(T109&gt;=U109,T109&gt;=V109),"A. Distribution",IF(U109&gt;=V109,"B. Manufacturing","C. Prof. services"))</f>
        <v>A. Distribution</v>
      </c>
      <c r="N109" s="39" t="n">
        <v>0.151137730174663</v>
      </c>
      <c r="O109" s="39" t="n">
        <v>0.186921755393517</v>
      </c>
      <c r="P109" s="39" t="n">
        <v>0.162497698583578</v>
      </c>
      <c r="Q109" s="39" t="n">
        <v>0.154981540786756</v>
      </c>
      <c r="R109" s="39" t="n">
        <v>0.125596080297701</v>
      </c>
      <c r="S109" s="39" t="n">
        <v>0.218865194763785</v>
      </c>
      <c r="T109" s="38" t="n">
        <f aca="false">N109*Scorecard!$C$18+O109*Scorecard!$C$19+P109*Scorecard!$C$20+Q109*Scorecard!$C$21+R109*Scorecard!$C$22+S109*Scorecard!$C$23</f>
        <v>3.72035765344221</v>
      </c>
      <c r="U109" s="38" t="n">
        <f aca="false">N109*Scorecard!$D$18+O109*Scorecard!$D$19+P109*Scorecard!$D$20+Q109*Scorecard!$D$21+R109*Scorecard!$D$22+S109*Scorecard!$D$23</f>
        <v>2.50815738687748</v>
      </c>
      <c r="V109" s="38" t="n">
        <f aca="false">N109*Scorecard!$E$18+O109*Scorecard!$E$19+P109*Scorecard!$E$20+Q109*Scorecard!$E$21+R109*Scorecard!$E$22+S109*Scorecard!$E$23</f>
        <v>3.55039238894561</v>
      </c>
    </row>
    <row r="110" customFormat="false" ht="15" hidden="false" customHeight="false" outlineLevel="0" collapsed="false">
      <c r="A110" s="0" t="n">
        <v>105</v>
      </c>
      <c r="B110" s="38" t="n">
        <f aca="false">E110*Scorecard!$C$18+F110*Scorecard!$C$19+G110*Scorecard!$C$20+H110*Scorecard!$C$21+I110*Scorecard!$C$22+J110*Scorecard!$C$23</f>
        <v>4.39399195789174</v>
      </c>
      <c r="C110" s="38" t="n">
        <f aca="false">E110*Scorecard!$D$18+F110*Scorecard!$D$19+G110*Scorecard!$D$20+H110*Scorecard!$D$21+I110*Scorecard!$D$22+J110*Scorecard!$D$23</f>
        <v>2.77493548775888</v>
      </c>
      <c r="D110" s="0" t="str">
        <f aca="false">IF(AND(B110&gt;=C110,B110&gt;=K110),"A. Distribution",IF(C110&gt;=K110,"B. Manufacturing","C. Prof. services"))</f>
        <v>A. Distribution</v>
      </c>
      <c r="E110" s="39" t="n">
        <v>0.240374795462213</v>
      </c>
      <c r="F110" s="39" t="n">
        <v>0.49900872682517</v>
      </c>
      <c r="G110" s="39" t="n">
        <v>0.0839397291768623</v>
      </c>
      <c r="H110" s="39" t="n">
        <v>0.140933680584989</v>
      </c>
      <c r="I110" s="39" t="n">
        <v>0.000476985056468585</v>
      </c>
      <c r="J110" s="39" t="n">
        <v>0.0352660828942973</v>
      </c>
      <c r="K110" s="38" t="n">
        <f aca="false">E110*Scorecard!$E$18+F110*Scorecard!$E$19+G110*Scorecard!$E$20+H110*Scorecard!$E$21+I110*Scorecard!$E$22+J110*Scorecard!$E$23</f>
        <v>3.25403060846266</v>
      </c>
      <c r="M110" s="0" t="str">
        <f aca="false">IF(AND(T110&gt;=U110,T110&gt;=V110),"A. Distribution",IF(U110&gt;=V110,"B. Manufacturing","C. Prof. services"))</f>
        <v>A. Distribution</v>
      </c>
      <c r="N110" s="39" t="n">
        <v>0.224581547629054</v>
      </c>
      <c r="O110" s="39" t="n">
        <v>0.207317018751182</v>
      </c>
      <c r="P110" s="39" t="n">
        <v>0.194160596479212</v>
      </c>
      <c r="Q110" s="39" t="n">
        <v>0.133530034050767</v>
      </c>
      <c r="R110" s="39" t="n">
        <v>0.0833154617587276</v>
      </c>
      <c r="S110" s="39" t="n">
        <v>0.157095341331058</v>
      </c>
      <c r="T110" s="38" t="n">
        <f aca="false">N110*Scorecard!$C$18+O110*Scorecard!$C$19+P110*Scorecard!$C$20+Q110*Scorecard!$C$21+R110*Scorecard!$C$22+S110*Scorecard!$C$23</f>
        <v>3.8607074690883</v>
      </c>
      <c r="U110" s="38" t="n">
        <f aca="false">N110*Scorecard!$D$18+O110*Scorecard!$D$19+P110*Scorecard!$D$20+Q110*Scorecard!$D$21+R110*Scorecard!$D$22+S110*Scorecard!$D$23</f>
        <v>2.63580663226225</v>
      </c>
      <c r="V110" s="38" t="n">
        <f aca="false">N110*Scorecard!$E$18+O110*Scorecard!$E$19+P110*Scorecard!$E$20+Q110*Scorecard!$E$21+R110*Scorecard!$E$22+S110*Scorecard!$E$23</f>
        <v>3.53589006317069</v>
      </c>
    </row>
    <row r="111" customFormat="false" ht="15" hidden="false" customHeight="false" outlineLevel="0" collapsed="false">
      <c r="A111" s="0" t="n">
        <v>106</v>
      </c>
      <c r="B111" s="38" t="n">
        <f aca="false">E111*Scorecard!$C$18+F111*Scorecard!$C$19+G111*Scorecard!$C$20+H111*Scorecard!$C$21+I111*Scorecard!$C$22+J111*Scorecard!$C$23</f>
        <v>3.08295185939652</v>
      </c>
      <c r="C111" s="38" t="n">
        <f aca="false">E111*Scorecard!$D$18+F111*Scorecard!$D$19+G111*Scorecard!$D$20+H111*Scorecard!$D$21+I111*Scorecard!$D$22+J111*Scorecard!$D$23</f>
        <v>2.23759830046885</v>
      </c>
      <c r="D111" s="0" t="str">
        <f aca="false">IF(AND(B111&gt;=C111,B111&gt;=K111),"A. Distribution",IF(C111&gt;=K111,"B. Manufacturing","C. Prof. services"))</f>
        <v>C. Prof. services</v>
      </c>
      <c r="E111" s="39" t="n">
        <v>0.190958999738618</v>
      </c>
      <c r="F111" s="39" t="n">
        <v>0.00212865962676244</v>
      </c>
      <c r="G111" s="39" t="n">
        <v>0.178472394357322</v>
      </c>
      <c r="H111" s="39" t="n">
        <v>0.169052692721445</v>
      </c>
      <c r="I111" s="39" t="n">
        <v>0.0165723576836847</v>
      </c>
      <c r="J111" s="39" t="n">
        <v>0.442814895872167</v>
      </c>
      <c r="K111" s="38" t="n">
        <f aca="false">E111*Scorecard!$E$18+F111*Scorecard!$E$19+G111*Scorecard!$E$20+H111*Scorecard!$E$21+I111*Scorecard!$E$22+J111*Scorecard!$E$23</f>
        <v>4.04046911455612</v>
      </c>
      <c r="M111" s="0" t="str">
        <f aca="false">IF(AND(T111&gt;=U111,T111&gt;=V111),"A. Distribution",IF(U111&gt;=V111,"B. Manufacturing","C. Prof. services"))</f>
        <v>A. Distribution</v>
      </c>
      <c r="N111" s="39" t="n">
        <v>0.19342817648796</v>
      </c>
      <c r="O111" s="39" t="n">
        <v>0.09328253904728</v>
      </c>
      <c r="P111" s="39" t="n">
        <v>0.177492070187334</v>
      </c>
      <c r="Q111" s="39" t="n">
        <v>0.232676877465244</v>
      </c>
      <c r="R111" s="39" t="n">
        <v>0.192967106996202</v>
      </c>
      <c r="S111" s="39" t="n">
        <v>0.11015322981598</v>
      </c>
      <c r="T111" s="38" t="n">
        <f aca="false">N111*Scorecard!$C$18+O111*Scorecard!$C$19+P111*Scorecard!$C$20+Q111*Scorecard!$C$21+R111*Scorecard!$C$22+S111*Scorecard!$C$23</f>
        <v>3.83237528545805</v>
      </c>
      <c r="U111" s="38" t="n">
        <f aca="false">N111*Scorecard!$D$18+O111*Scorecard!$D$19+P111*Scorecard!$D$20+Q111*Scorecard!$D$21+R111*Scorecard!$D$22+S111*Scorecard!$D$23</f>
        <v>2.71100287036506</v>
      </c>
      <c r="V111" s="38" t="n">
        <f aca="false">N111*Scorecard!$E$18+O111*Scorecard!$E$19+P111*Scorecard!$E$20+Q111*Scorecard!$E$21+R111*Scorecard!$E$22+S111*Scorecard!$E$23</f>
        <v>3.44912963849395</v>
      </c>
    </row>
    <row r="112" customFormat="false" ht="15" hidden="false" customHeight="false" outlineLevel="0" collapsed="false">
      <c r="A112" s="0" t="n">
        <v>107</v>
      </c>
      <c r="B112" s="38" t="n">
        <f aca="false">E112*Scorecard!$C$18+F112*Scorecard!$C$19+G112*Scorecard!$C$20+H112*Scorecard!$C$21+I112*Scorecard!$C$22+J112*Scorecard!$C$23</f>
        <v>3.5540398008778</v>
      </c>
      <c r="C112" s="38" t="n">
        <f aca="false">E112*Scorecard!$D$18+F112*Scorecard!$D$19+G112*Scorecard!$D$20+H112*Scorecard!$D$21+I112*Scorecard!$D$22+J112*Scorecard!$D$23</f>
        <v>2.41140730193103</v>
      </c>
      <c r="D112" s="0" t="str">
        <f aca="false">IF(AND(B112&gt;=C112,B112&gt;=K112),"A. Distribution",IF(C112&gt;=K112,"B. Manufacturing","C. Prof. services"))</f>
        <v>C. Prof. services</v>
      </c>
      <c r="E112" s="39" t="n">
        <v>0.163403248908056</v>
      </c>
      <c r="F112" s="39" t="n">
        <v>0.269807171588108</v>
      </c>
      <c r="G112" s="39" t="n">
        <v>0.0187096070353537</v>
      </c>
      <c r="H112" s="39" t="n">
        <v>0.157953113346748</v>
      </c>
      <c r="I112" s="39" t="n">
        <v>0.0473125037740604</v>
      </c>
      <c r="J112" s="39" t="n">
        <v>0.342814355347675</v>
      </c>
      <c r="K112" s="38" t="n">
        <f aca="false">E112*Scorecard!$E$18+F112*Scorecard!$E$19+G112*Scorecard!$E$20+H112*Scorecard!$E$21+I112*Scorecard!$E$22+J112*Scorecard!$E$23</f>
        <v>3.63665479358203</v>
      </c>
      <c r="M112" s="0" t="str">
        <f aca="false">IF(AND(T112&gt;=U112,T112&gt;=V112),"A. Distribution",IF(U112&gt;=V112,"B. Manufacturing","C. Prof. services"))</f>
        <v>A. Distribution</v>
      </c>
      <c r="N112" s="39" t="n">
        <v>0.159541632474537</v>
      </c>
      <c r="O112" s="39" t="n">
        <v>0.158758364660831</v>
      </c>
      <c r="P112" s="39" t="n">
        <v>0.331623862109188</v>
      </c>
      <c r="Q112" s="39" t="n">
        <v>0.191361321934644</v>
      </c>
      <c r="R112" s="39" t="n">
        <v>0.063078129061007</v>
      </c>
      <c r="S112" s="39" t="n">
        <v>0.0956366897597923</v>
      </c>
      <c r="T112" s="38" t="n">
        <f aca="false">N112*Scorecard!$C$18+O112*Scorecard!$C$19+P112*Scorecard!$C$20+Q112*Scorecard!$C$21+R112*Scorecard!$C$22+S112*Scorecard!$C$23</f>
        <v>3.93405660776445</v>
      </c>
      <c r="U112" s="38" t="n">
        <f aca="false">N112*Scorecard!$D$18+O112*Scorecard!$D$19+P112*Scorecard!$D$20+Q112*Scorecard!$D$21+R112*Scorecard!$D$22+S112*Scorecard!$D$23</f>
        <v>2.49913157483977</v>
      </c>
      <c r="V112" s="38" t="n">
        <f aca="false">N112*Scorecard!$E$18+O112*Scorecard!$E$19+P112*Scorecard!$E$20+Q112*Scorecard!$E$21+R112*Scorecard!$E$22+S112*Scorecard!$E$23</f>
        <v>3.61054293417959</v>
      </c>
    </row>
    <row r="113" customFormat="false" ht="15" hidden="false" customHeight="false" outlineLevel="0" collapsed="false">
      <c r="A113" s="0" t="n">
        <v>108</v>
      </c>
      <c r="B113" s="38" t="n">
        <f aca="false">E113*Scorecard!$C$18+F113*Scorecard!$C$19+G113*Scorecard!$C$20+H113*Scorecard!$C$21+I113*Scorecard!$C$22+J113*Scorecard!$C$23</f>
        <v>3.74584888344486</v>
      </c>
      <c r="C113" s="38" t="n">
        <f aca="false">E113*Scorecard!$D$18+F113*Scorecard!$D$19+G113*Scorecard!$D$20+H113*Scorecard!$D$21+I113*Scorecard!$D$22+J113*Scorecard!$D$23</f>
        <v>2.66675985788044</v>
      </c>
      <c r="D113" s="0" t="str">
        <f aca="false">IF(AND(B113&gt;=C113,B113&gt;=K113),"A. Distribution",IF(C113&gt;=K113,"B. Manufacturing","C. Prof. services"))</f>
        <v>A. Distribution</v>
      </c>
      <c r="E113" s="39" t="n">
        <v>0.131468008342101</v>
      </c>
      <c r="F113" s="39" t="n">
        <v>0.190728319488009</v>
      </c>
      <c r="G113" s="39" t="n">
        <v>0.064461676496112</v>
      </c>
      <c r="H113" s="39" t="n">
        <v>0.127290053907904</v>
      </c>
      <c r="I113" s="39" t="n">
        <v>0.275747583741291</v>
      </c>
      <c r="J113" s="39" t="n">
        <v>0.210304358024583</v>
      </c>
      <c r="K113" s="38" t="n">
        <f aca="false">E113*Scorecard!$E$18+F113*Scorecard!$E$19+G113*Scorecard!$E$20+H113*Scorecard!$E$21+I113*Scorecard!$E$22+J113*Scorecard!$E$23</f>
        <v>3.31019610078602</v>
      </c>
      <c r="M113" s="0" t="str">
        <f aca="false">IF(AND(T113&gt;=U113,T113&gt;=V113),"A. Distribution",IF(U113&gt;=V113,"B. Manufacturing","C. Prof. services"))</f>
        <v>A. Distribution</v>
      </c>
      <c r="N113" s="39" t="n">
        <v>0.257248377893722</v>
      </c>
      <c r="O113" s="39" t="n">
        <v>0.191642243990075</v>
      </c>
      <c r="P113" s="39" t="n">
        <v>0.205184328713783</v>
      </c>
      <c r="Q113" s="39" t="n">
        <v>0.084565551108679</v>
      </c>
      <c r="R113" s="39" t="n">
        <v>0.122759990036556</v>
      </c>
      <c r="S113" s="39" t="n">
        <v>0.138599508257185</v>
      </c>
      <c r="T113" s="38" t="n">
        <f aca="false">N113*Scorecard!$C$18+O113*Scorecard!$C$19+P113*Scorecard!$C$20+Q113*Scorecard!$C$21+R113*Scorecard!$C$22+S113*Scorecard!$C$23</f>
        <v>3.88467759789601</v>
      </c>
      <c r="U113" s="38" t="n">
        <f aca="false">N113*Scorecard!$D$18+O113*Scorecard!$D$19+P113*Scorecard!$D$20+Q113*Scorecard!$D$21+R113*Scorecard!$D$22+S113*Scorecard!$D$23</f>
        <v>2.74112590891098</v>
      </c>
      <c r="V113" s="38" t="n">
        <f aca="false">N113*Scorecard!$E$18+O113*Scorecard!$E$19+P113*Scorecard!$E$20+Q113*Scorecard!$E$21+R113*Scorecard!$E$22+S113*Scorecard!$E$23</f>
        <v>3.47931954315225</v>
      </c>
    </row>
    <row r="114" customFormat="false" ht="15" hidden="false" customHeight="false" outlineLevel="0" collapsed="false">
      <c r="A114" s="0" t="n">
        <v>109</v>
      </c>
      <c r="B114" s="38" t="n">
        <f aca="false">E114*Scorecard!$C$18+F114*Scorecard!$C$19+G114*Scorecard!$C$20+H114*Scorecard!$C$21+I114*Scorecard!$C$22+J114*Scorecard!$C$23</f>
        <v>3.8399585767826</v>
      </c>
      <c r="C114" s="38" t="n">
        <f aca="false">E114*Scorecard!$D$18+F114*Scorecard!$D$19+G114*Scorecard!$D$20+H114*Scorecard!$D$21+I114*Scorecard!$D$22+J114*Scorecard!$D$23</f>
        <v>2.4942408345397</v>
      </c>
      <c r="D114" s="0" t="str">
        <f aca="false">IF(AND(B114&gt;=C114,B114&gt;=K114),"A. Distribution",IF(C114&gt;=K114,"B. Manufacturing","C. Prof. services"))</f>
        <v>A. Distribution</v>
      </c>
      <c r="E114" s="39" t="n">
        <v>0.00423949596293409</v>
      </c>
      <c r="F114" s="39" t="n">
        <v>0.0108515914342745</v>
      </c>
      <c r="G114" s="39" t="n">
        <v>0.185376983493491</v>
      </c>
      <c r="H114" s="39" t="n">
        <v>0.456101201188921</v>
      </c>
      <c r="I114" s="39" t="n">
        <v>0.282726994352067</v>
      </c>
      <c r="J114" s="39" t="n">
        <v>0.0607037335683121</v>
      </c>
      <c r="K114" s="38" t="n">
        <f aca="false">E114*Scorecard!$E$18+F114*Scorecard!$E$19+G114*Scorecard!$E$20+H114*Scorecard!$E$21+I114*Scorecard!$E$22+J114*Scorecard!$E$23</f>
        <v>3.39485917803282</v>
      </c>
      <c r="M114" s="0" t="str">
        <f aca="false">IF(AND(T114&gt;=U114,T114&gt;=V114),"A. Distribution",IF(U114&gt;=V114,"B. Manufacturing","C. Prof. services"))</f>
        <v>A. Distribution</v>
      </c>
      <c r="N114" s="39" t="n">
        <v>0.138341909532257</v>
      </c>
      <c r="O114" s="39" t="n">
        <v>0.266184358132122</v>
      </c>
      <c r="P114" s="39" t="n">
        <v>0.170466231263451</v>
      </c>
      <c r="Q114" s="39" t="n">
        <v>0.150897840358223</v>
      </c>
      <c r="R114" s="39" t="n">
        <v>0.163972846554685</v>
      </c>
      <c r="S114" s="39" t="n">
        <v>0.110136814159262</v>
      </c>
      <c r="T114" s="38" t="n">
        <f aca="false">N114*Scorecard!$C$18+O114*Scorecard!$C$19+P114*Scorecard!$C$20+Q114*Scorecard!$C$21+R114*Scorecard!$C$22+S114*Scorecard!$C$23</f>
        <v>4.0185443736399</v>
      </c>
      <c r="U114" s="38" t="n">
        <f aca="false">N114*Scorecard!$D$18+O114*Scorecard!$D$19+P114*Scorecard!$D$20+Q114*Scorecard!$D$21+R114*Scorecard!$D$22+S114*Scorecard!$D$23</f>
        <v>2.62860050426523</v>
      </c>
      <c r="V114" s="38" t="n">
        <f aca="false">N114*Scorecard!$E$18+O114*Scorecard!$E$19+P114*Scorecard!$E$20+Q114*Scorecard!$E$21+R114*Scorecard!$E$22+S114*Scorecard!$E$23</f>
        <v>3.34504728515505</v>
      </c>
    </row>
    <row r="115" customFormat="false" ht="15" hidden="false" customHeight="false" outlineLevel="0" collapsed="false">
      <c r="A115" s="0" t="n">
        <v>110</v>
      </c>
      <c r="B115" s="38" t="n">
        <f aca="false">E115*Scorecard!$C$18+F115*Scorecard!$C$19+G115*Scorecard!$C$20+H115*Scorecard!$C$21+I115*Scorecard!$C$22+J115*Scorecard!$C$23</f>
        <v>4.35428661657548</v>
      </c>
      <c r="C115" s="38" t="n">
        <f aca="false">E115*Scorecard!$D$18+F115*Scorecard!$D$19+G115*Scorecard!$D$20+H115*Scorecard!$D$21+I115*Scorecard!$D$22+J115*Scorecard!$D$23</f>
        <v>2.83985821954122</v>
      </c>
      <c r="D115" s="0" t="str">
        <f aca="false">IF(AND(B115&gt;=C115,B115&gt;=K115),"A. Distribution",IF(C115&gt;=K115,"B. Manufacturing","C. Prof. services"))</f>
        <v>A. Distribution</v>
      </c>
      <c r="E115" s="39" t="n">
        <v>0.232113490963786</v>
      </c>
      <c r="F115" s="39" t="n">
        <v>0.482266543638655</v>
      </c>
      <c r="G115" s="39" t="n">
        <v>0.0586893970105778</v>
      </c>
      <c r="H115" s="39" t="n">
        <v>0.0930040082703808</v>
      </c>
      <c r="I115" s="39" t="n">
        <v>0.0842650362641126</v>
      </c>
      <c r="J115" s="39" t="n">
        <v>0.0496615238524881</v>
      </c>
      <c r="K115" s="38" t="n">
        <f aca="false">E115*Scorecard!$E$18+F115*Scorecard!$E$19+G115*Scorecard!$E$20+H115*Scorecard!$E$21+I115*Scorecard!$E$22+J115*Scorecard!$E$23</f>
        <v>3.16139998096168</v>
      </c>
      <c r="M115" s="0" t="str">
        <f aca="false">IF(AND(T115&gt;=U115,T115&gt;=V115),"A. Distribution",IF(U115&gt;=V115,"B. Manufacturing","C. Prof. services"))</f>
        <v>A. Distribution</v>
      </c>
      <c r="N115" s="39" t="n">
        <v>0.205246204622862</v>
      </c>
      <c r="O115" s="39" t="n">
        <v>0.220369826503149</v>
      </c>
      <c r="P115" s="39" t="n">
        <v>0.122094079026512</v>
      </c>
      <c r="Q115" s="39" t="n">
        <v>0.196566448748244</v>
      </c>
      <c r="R115" s="39" t="n">
        <v>0.14742207379113</v>
      </c>
      <c r="S115" s="39" t="n">
        <v>0.108301367308103</v>
      </c>
      <c r="T115" s="38" t="n">
        <f aca="false">N115*Scorecard!$C$18+O115*Scorecard!$C$19+P115*Scorecard!$C$20+Q115*Scorecard!$C$21+R115*Scorecard!$C$22+S115*Scorecard!$C$23</f>
        <v>3.96610838648509</v>
      </c>
      <c r="U115" s="38" t="n">
        <f aca="false">N115*Scorecard!$D$18+O115*Scorecard!$D$19+P115*Scorecard!$D$20+Q115*Scorecard!$D$21+R115*Scorecard!$D$22+S115*Scorecard!$D$23</f>
        <v>2.73189462493132</v>
      </c>
      <c r="V115" s="38" t="n">
        <f aca="false">N115*Scorecard!$E$18+O115*Scorecard!$E$19+P115*Scorecard!$E$20+Q115*Scorecard!$E$21+R115*Scorecard!$E$22+S115*Scorecard!$E$23</f>
        <v>3.37809300867354</v>
      </c>
    </row>
    <row r="116" customFormat="false" ht="15" hidden="false" customHeight="false" outlineLevel="0" collapsed="false">
      <c r="A116" s="0" t="n">
        <v>111</v>
      </c>
      <c r="B116" s="38" t="n">
        <f aca="false">E116*Scorecard!$C$18+F116*Scorecard!$C$19+G116*Scorecard!$C$20+H116*Scorecard!$C$21+I116*Scorecard!$C$22+J116*Scorecard!$C$23</f>
        <v>2.86744933356953</v>
      </c>
      <c r="C116" s="38" t="n">
        <f aca="false">E116*Scorecard!$D$18+F116*Scorecard!$D$19+G116*Scorecard!$D$20+H116*Scorecard!$D$21+I116*Scorecard!$D$22+J116*Scorecard!$D$23</f>
        <v>2.12158047847658</v>
      </c>
      <c r="D116" s="0" t="str">
        <f aca="false">IF(AND(B116&gt;=C116,B116&gt;=K116),"A. Distribution",IF(C116&gt;=K116,"B. Manufacturing","C. Prof. services"))</f>
        <v>C. Prof. services</v>
      </c>
      <c r="E116" s="39" t="n">
        <v>0.11971852631134</v>
      </c>
      <c r="F116" s="39" t="n">
        <v>0.100620878930877</v>
      </c>
      <c r="G116" s="39" t="n">
        <v>0.0570320007485946</v>
      </c>
      <c r="H116" s="39" t="n">
        <v>0.0168371481740663</v>
      </c>
      <c r="I116" s="39" t="n">
        <v>0.0949186864563757</v>
      </c>
      <c r="J116" s="39" t="n">
        <v>0.610872759378746</v>
      </c>
      <c r="K116" s="38" t="n">
        <f aca="false">E116*Scorecard!$E$18+F116*Scorecard!$E$19+G116*Scorecard!$E$20+H116*Scorecard!$E$21+I116*Scorecard!$E$22+J116*Scorecard!$E$23</f>
        <v>3.96158510159878</v>
      </c>
      <c r="M116" s="0" t="str">
        <f aca="false">IF(AND(T116&gt;=U116,T116&gt;=V116),"A. Distribution",IF(U116&gt;=V116,"B. Manufacturing","C. Prof. services"))</f>
        <v>A. Distribution</v>
      </c>
      <c r="N116" s="39" t="n">
        <v>0.185340924713999</v>
      </c>
      <c r="O116" s="39" t="n">
        <v>0.21595030512052</v>
      </c>
      <c r="P116" s="39" t="n">
        <v>0.191051997784165</v>
      </c>
      <c r="Q116" s="39" t="n">
        <v>0.138372236659811</v>
      </c>
      <c r="R116" s="39" t="n">
        <v>0.175021305683158</v>
      </c>
      <c r="S116" s="39" t="n">
        <v>0.0942632300383467</v>
      </c>
      <c r="T116" s="38" t="n">
        <f aca="false">N116*Scorecard!$C$18+O116*Scorecard!$C$19+P116*Scorecard!$C$20+Q116*Scorecard!$C$21+R116*Scorecard!$C$22+S116*Scorecard!$C$23</f>
        <v>3.9976337308097</v>
      </c>
      <c r="U116" s="38" t="n">
        <f aca="false">N116*Scorecard!$D$18+O116*Scorecard!$D$19+P116*Scorecard!$D$20+Q116*Scorecard!$D$21+R116*Scorecard!$D$22+S116*Scorecard!$D$23</f>
        <v>2.71608676365589</v>
      </c>
      <c r="V116" s="38" t="n">
        <f aca="false">N116*Scorecard!$E$18+O116*Scorecard!$E$19+P116*Scorecard!$E$20+Q116*Scorecard!$E$21+R116*Scorecard!$E$22+S116*Scorecard!$E$23</f>
        <v>3.35934403508274</v>
      </c>
    </row>
    <row r="117" customFormat="false" ht="15" hidden="false" customHeight="false" outlineLevel="0" collapsed="false">
      <c r="A117" s="0" t="n">
        <v>112</v>
      </c>
      <c r="B117" s="38" t="n">
        <f aca="false">E117*Scorecard!$C$18+F117*Scorecard!$C$19+G117*Scorecard!$C$20+H117*Scorecard!$C$21+I117*Scorecard!$C$22+J117*Scorecard!$C$23</f>
        <v>3.59784119157034</v>
      </c>
      <c r="C117" s="38" t="n">
        <f aca="false">E117*Scorecard!$D$18+F117*Scorecard!$D$19+G117*Scorecard!$D$20+H117*Scorecard!$D$21+I117*Scorecard!$D$22+J117*Scorecard!$D$23</f>
        <v>2.452259932622</v>
      </c>
      <c r="D117" s="0" t="str">
        <f aca="false">IF(AND(B117&gt;=C117,B117&gt;=K117),"A. Distribution",IF(C117&gt;=K117,"B. Manufacturing","C. Prof. services"))</f>
        <v>A. Distribution</v>
      </c>
      <c r="E117" s="39" t="n">
        <v>0.072982776474912</v>
      </c>
      <c r="F117" s="39" t="n">
        <v>0.0507119230440623</v>
      </c>
      <c r="G117" s="39" t="n">
        <v>0.292006072319259</v>
      </c>
      <c r="H117" s="39" t="n">
        <v>0.0971810592561443</v>
      </c>
      <c r="I117" s="39" t="n">
        <v>0.268848237011139</v>
      </c>
      <c r="J117" s="39" t="n">
        <v>0.218269931894484</v>
      </c>
      <c r="K117" s="38" t="n">
        <f aca="false">E117*Scorecard!$E$18+F117*Scorecard!$E$19+G117*Scorecard!$E$20+H117*Scorecard!$E$21+I117*Scorecard!$E$22+J117*Scorecard!$E$23</f>
        <v>3.53214669831576</v>
      </c>
      <c r="M117" s="0" t="str">
        <f aca="false">IF(AND(T117&gt;=U117,T117&gt;=V117),"A. Distribution",IF(U117&gt;=V117,"B. Manufacturing","C. Prof. services"))</f>
        <v>A. Distribution</v>
      </c>
      <c r="N117" s="39" t="n">
        <v>0.253108005284663</v>
      </c>
      <c r="O117" s="39" t="n">
        <v>0.178100833095988</v>
      </c>
      <c r="P117" s="39" t="n">
        <v>0.318360248202824</v>
      </c>
      <c r="Q117" s="39" t="n">
        <v>0.0801704496904101</v>
      </c>
      <c r="R117" s="39" t="n">
        <v>0.113358193979492</v>
      </c>
      <c r="S117" s="39" t="n">
        <v>0.0569022697466234</v>
      </c>
      <c r="T117" s="38" t="n">
        <f aca="false">N117*Scorecard!$C$18+O117*Scorecard!$C$19+P117*Scorecard!$C$20+Q117*Scorecard!$C$21+R117*Scorecard!$C$22+S117*Scorecard!$C$23</f>
        <v>4.03533665593096</v>
      </c>
      <c r="U117" s="38" t="n">
        <f aca="false">N117*Scorecard!$D$18+O117*Scorecard!$D$19+P117*Scorecard!$D$20+Q117*Scorecard!$D$21+R117*Scorecard!$D$22+S117*Scorecard!$D$23</f>
        <v>2.75260271334072</v>
      </c>
      <c r="V117" s="38" t="n">
        <f aca="false">N117*Scorecard!$E$18+O117*Scorecard!$E$19+P117*Scorecard!$E$20+Q117*Scorecard!$E$21+R117*Scorecard!$E$22+S117*Scorecard!$E$23</f>
        <v>3.47383626225282</v>
      </c>
    </row>
    <row r="118" customFormat="false" ht="15" hidden="false" customHeight="false" outlineLevel="0" collapsed="false">
      <c r="A118" s="0" t="n">
        <v>113</v>
      </c>
      <c r="B118" s="38" t="n">
        <f aca="false">E118*Scorecard!$C$18+F118*Scorecard!$C$19+G118*Scorecard!$C$20+H118*Scorecard!$C$21+I118*Scorecard!$C$22+J118*Scorecard!$C$23</f>
        <v>3.68396292010312</v>
      </c>
      <c r="C118" s="38" t="n">
        <f aca="false">E118*Scorecard!$D$18+F118*Scorecard!$D$19+G118*Scorecard!$D$20+H118*Scorecard!$D$21+I118*Scorecard!$D$22+J118*Scorecard!$D$23</f>
        <v>2.58408685793056</v>
      </c>
      <c r="D118" s="0" t="str">
        <f aca="false">IF(AND(B118&gt;=C118,B118&gt;=K118),"A. Distribution",IF(C118&gt;=K118,"B. Manufacturing","C. Prof. services"))</f>
        <v>A. Distribution</v>
      </c>
      <c r="E118" s="39" t="n">
        <v>0.14779129179242</v>
      </c>
      <c r="F118" s="39" t="n">
        <v>0.0462858994418434</v>
      </c>
      <c r="G118" s="39" t="n">
        <v>0.10863693618084</v>
      </c>
      <c r="H118" s="39" t="n">
        <v>0.369231056964192</v>
      </c>
      <c r="I118" s="39" t="n">
        <v>0.17271860034101</v>
      </c>
      <c r="J118" s="39" t="n">
        <v>0.155336215279694</v>
      </c>
      <c r="K118" s="38" t="n">
        <f aca="false">E118*Scorecard!$E$18+F118*Scorecard!$E$19+G118*Scorecard!$E$20+H118*Scorecard!$E$21+I118*Scorecard!$E$22+J118*Scorecard!$E$23</f>
        <v>3.53980482237448</v>
      </c>
      <c r="M118" s="0" t="str">
        <f aca="false">IF(AND(T118&gt;=U118,T118&gt;=V118),"A. Distribution",IF(U118&gt;=V118,"B. Manufacturing","C. Prof. services"))</f>
        <v>A. Distribution</v>
      </c>
      <c r="N118" s="39" t="n">
        <v>0.2598016419699</v>
      </c>
      <c r="O118" s="39" t="n">
        <v>0.156125327484283</v>
      </c>
      <c r="P118" s="39" t="n">
        <v>0.338754135095034</v>
      </c>
      <c r="Q118" s="39" t="n">
        <v>0.0833941566240708</v>
      </c>
      <c r="R118" s="39" t="n">
        <v>0.116704484715116</v>
      </c>
      <c r="S118" s="39" t="n">
        <v>0.0452202541115959</v>
      </c>
      <c r="T118" s="38" t="n">
        <f aca="false">N118*Scorecard!$C$18+O118*Scorecard!$C$19+P118*Scorecard!$C$20+Q118*Scorecard!$C$21+R118*Scorecard!$C$22+S118*Scorecard!$C$23</f>
        <v>4.03584041479414</v>
      </c>
      <c r="U118" s="38" t="n">
        <f aca="false">N118*Scorecard!$D$18+O118*Scorecard!$D$19+P118*Scorecard!$D$20+Q118*Scorecard!$D$21+R118*Scorecard!$D$22+S118*Scorecard!$D$23</f>
        <v>2.76574789891057</v>
      </c>
      <c r="V118" s="38" t="n">
        <f aca="false">N118*Scorecard!$E$18+O118*Scorecard!$E$19+P118*Scorecard!$E$20+Q118*Scorecard!$E$21+R118*Scorecard!$E$22+S118*Scorecard!$E$23</f>
        <v>3.48428669313639</v>
      </c>
    </row>
    <row r="119" customFormat="false" ht="15" hidden="false" customHeight="false" outlineLevel="0" collapsed="false">
      <c r="A119" s="0" t="n">
        <v>114</v>
      </c>
      <c r="B119" s="38" t="n">
        <f aca="false">E119*Scorecard!$C$18+F119*Scorecard!$C$19+G119*Scorecard!$C$20+H119*Scorecard!$C$21+I119*Scorecard!$C$22+J119*Scorecard!$C$23</f>
        <v>4.23580245137015</v>
      </c>
      <c r="C119" s="38" t="n">
        <f aca="false">E119*Scorecard!$D$18+F119*Scorecard!$D$19+G119*Scorecard!$D$20+H119*Scorecard!$D$21+I119*Scorecard!$D$22+J119*Scorecard!$D$23</f>
        <v>2.71103750750929</v>
      </c>
      <c r="D119" s="0" t="str">
        <f aca="false">IF(AND(B119&gt;=C119,B119&gt;=K119),"A. Distribution",IF(C119&gt;=K119,"B. Manufacturing","C. Prof. services"))</f>
        <v>A. Distribution</v>
      </c>
      <c r="E119" s="39" t="n">
        <v>0.188541291635478</v>
      </c>
      <c r="F119" s="39" t="n">
        <v>0.363443919158023</v>
      </c>
      <c r="G119" s="39" t="n">
        <v>0.22838448573968</v>
      </c>
      <c r="H119" s="39" t="n">
        <v>0.055939267372404</v>
      </c>
      <c r="I119" s="39" t="n">
        <v>0.11045273247563</v>
      </c>
      <c r="J119" s="39" t="n">
        <v>0.0532383036187843</v>
      </c>
      <c r="K119" s="38" t="n">
        <f aca="false">E119*Scorecard!$E$18+F119*Scorecard!$E$19+G119*Scorecard!$E$20+H119*Scorecard!$E$21+I119*Scorecard!$E$22+J119*Scorecard!$E$23</f>
        <v>3.29549312920074</v>
      </c>
      <c r="M119" s="0" t="str">
        <f aca="false">IF(AND(T119&gt;=U119,T119&gt;=V119),"A. Distribution",IF(U119&gt;=V119,"B. Manufacturing","C. Prof. services"))</f>
        <v>A. Distribution</v>
      </c>
      <c r="N119" s="39" t="n">
        <v>0.17665492674214</v>
      </c>
      <c r="O119" s="39" t="n">
        <v>0.204502066348809</v>
      </c>
      <c r="P119" s="39" t="n">
        <v>0.095453966408376</v>
      </c>
      <c r="Q119" s="39" t="n">
        <v>0.117147543989584</v>
      </c>
      <c r="R119" s="39" t="n">
        <v>0.222317344160115</v>
      </c>
      <c r="S119" s="39" t="n">
        <v>0.183924152350977</v>
      </c>
      <c r="T119" s="38" t="n">
        <f aca="false">N119*Scorecard!$C$18+O119*Scorecard!$C$19+P119*Scorecard!$C$20+Q119*Scorecard!$C$21+R119*Scorecard!$C$22+S119*Scorecard!$C$23</f>
        <v>3.80984799124011</v>
      </c>
      <c r="U119" s="38" t="n">
        <f aca="false">N119*Scorecard!$D$18+O119*Scorecard!$D$19+P119*Scorecard!$D$20+Q119*Scorecard!$D$21+R119*Scorecard!$D$22+S119*Scorecard!$D$23</f>
        <v>2.70447260801771</v>
      </c>
      <c r="V119" s="38" t="n">
        <f aca="false">N119*Scorecard!$E$18+O119*Scorecard!$E$19+P119*Scorecard!$E$20+Q119*Scorecard!$E$21+R119*Scorecard!$E$22+S119*Scorecard!$E$23</f>
        <v>3.35031670292102</v>
      </c>
    </row>
    <row r="120" customFormat="false" ht="15" hidden="false" customHeight="false" outlineLevel="0" collapsed="false">
      <c r="A120" s="0" t="n">
        <v>115</v>
      </c>
      <c r="B120" s="38" t="n">
        <f aca="false">E120*Scorecard!$C$18+F120*Scorecard!$C$19+G120*Scorecard!$C$20+H120*Scorecard!$C$21+I120*Scorecard!$C$22+J120*Scorecard!$C$23</f>
        <v>3.83208584648197</v>
      </c>
      <c r="C120" s="38" t="n">
        <f aca="false">E120*Scorecard!$D$18+F120*Scorecard!$D$19+G120*Scorecard!$D$20+H120*Scorecard!$D$21+I120*Scorecard!$D$22+J120*Scorecard!$D$23</f>
        <v>3.33474700637935</v>
      </c>
      <c r="D120" s="0" t="str">
        <f aca="false">IF(AND(B120&gt;=C120,B120&gt;=K120),"A. Distribution",IF(C120&gt;=K120,"B. Manufacturing","C. Prof. services"))</f>
        <v>A. Distribution</v>
      </c>
      <c r="E120" s="39" t="n">
        <v>0.507620641379705</v>
      </c>
      <c r="F120" s="39" t="n">
        <v>0.0468351794141732</v>
      </c>
      <c r="G120" s="39" t="n">
        <v>0.0430160822989259</v>
      </c>
      <c r="H120" s="39" t="n">
        <v>0.10013092918639</v>
      </c>
      <c r="I120" s="39" t="n">
        <v>0.220794695753251</v>
      </c>
      <c r="J120" s="39" t="n">
        <v>0.0816024719675544</v>
      </c>
      <c r="K120" s="38" t="n">
        <f aca="false">E120*Scorecard!$E$18+F120*Scorecard!$E$19+G120*Scorecard!$E$20+H120*Scorecard!$E$21+I120*Scorecard!$E$22+J120*Scorecard!$E$23</f>
        <v>3.33025437137605</v>
      </c>
      <c r="M120" s="0" t="str">
        <f aca="false">IF(AND(T120&gt;=U120,T120&gt;=V120),"A. Distribution",IF(U120&gt;=V120,"B. Manufacturing","C. Prof. services"))</f>
        <v>A. Distribution</v>
      </c>
      <c r="N120" s="39" t="n">
        <v>0.282198918784878</v>
      </c>
      <c r="O120" s="39" t="n">
        <v>0.0697903486977646</v>
      </c>
      <c r="P120" s="39" t="n">
        <v>0.218850919311816</v>
      </c>
      <c r="Q120" s="39" t="n">
        <v>0.259945635095669</v>
      </c>
      <c r="R120" s="39" t="n">
        <v>0.123858087737161</v>
      </c>
      <c r="S120" s="39" t="n">
        <v>0.0453560903727115</v>
      </c>
      <c r="T120" s="38" t="n">
        <f aca="false">N120*Scorecard!$C$18+O120*Scorecard!$C$19+P120*Scorecard!$C$20+Q120*Scorecard!$C$21+R120*Scorecard!$C$22+S120*Scorecard!$C$23</f>
        <v>3.92841203302537</v>
      </c>
      <c r="U120" s="38" t="n">
        <f aca="false">N120*Scorecard!$D$18+O120*Scorecard!$D$19+P120*Scorecard!$D$20+Q120*Scorecard!$D$21+R120*Scorecard!$D$22+S120*Scorecard!$D$23</f>
        <v>2.82639397630144</v>
      </c>
      <c r="V120" s="38" t="n">
        <f aca="false">N120*Scorecard!$E$18+O120*Scorecard!$E$19+P120*Scorecard!$E$20+Q120*Scorecard!$E$21+R120*Scorecard!$E$22+S120*Scorecard!$E$23</f>
        <v>3.50669373768102</v>
      </c>
    </row>
    <row r="121" customFormat="false" ht="15" hidden="false" customHeight="false" outlineLevel="0" collapsed="false">
      <c r="A121" s="0" t="n">
        <v>116</v>
      </c>
      <c r="B121" s="38" t="n">
        <f aca="false">E121*Scorecard!$C$18+F121*Scorecard!$C$19+G121*Scorecard!$C$20+H121*Scorecard!$C$21+I121*Scorecard!$C$22+J121*Scorecard!$C$23</f>
        <v>3.918783984311</v>
      </c>
      <c r="C121" s="38" t="n">
        <f aca="false">E121*Scorecard!$D$18+F121*Scorecard!$D$19+G121*Scorecard!$D$20+H121*Scorecard!$D$21+I121*Scorecard!$D$22+J121*Scorecard!$D$23</f>
        <v>2.39278340914628</v>
      </c>
      <c r="D121" s="0" t="str">
        <f aca="false">IF(AND(B121&gt;=C121,B121&gt;=K121),"A. Distribution",IF(C121&gt;=K121,"B. Manufacturing","C. Prof. services"))</f>
        <v>A. Distribution</v>
      </c>
      <c r="E121" s="39" t="n">
        <v>0.109633971927161</v>
      </c>
      <c r="F121" s="39" t="n">
        <v>0.064661758369768</v>
      </c>
      <c r="G121" s="39" t="n">
        <v>0.42734533871135</v>
      </c>
      <c r="H121" s="39" t="n">
        <v>0.285253676130221</v>
      </c>
      <c r="I121" s="39" t="n">
        <v>0.0599355721730557</v>
      </c>
      <c r="J121" s="39" t="n">
        <v>0.0531696826884453</v>
      </c>
      <c r="K121" s="38" t="n">
        <f aca="false">E121*Scorecard!$E$18+F121*Scorecard!$E$19+G121*Scorecard!$E$20+H121*Scorecard!$E$21+I121*Scorecard!$E$22+J121*Scorecard!$E$23</f>
        <v>3.7012758254016</v>
      </c>
      <c r="M121" s="0" t="str">
        <f aca="false">IF(AND(T121&gt;=U121,T121&gt;=V121),"A. Distribution",IF(U121&gt;=V121,"B. Manufacturing","C. Prof. services"))</f>
        <v>A. Distribution</v>
      </c>
      <c r="N121" s="39" t="n">
        <v>0.281360757870543</v>
      </c>
      <c r="O121" s="39" t="n">
        <v>0.297908234545027</v>
      </c>
      <c r="P121" s="39" t="n">
        <v>0.184391443369984</v>
      </c>
      <c r="Q121" s="39" t="n">
        <v>0.0743572739108168</v>
      </c>
      <c r="R121" s="39" t="n">
        <v>0.0562966141326108</v>
      </c>
      <c r="S121" s="39" t="n">
        <v>0.105685676171018</v>
      </c>
      <c r="T121" s="38" t="n">
        <f aca="false">N121*Scorecard!$C$18+O121*Scorecard!$C$19+P121*Scorecard!$C$20+Q121*Scorecard!$C$21+R121*Scorecard!$C$22+S121*Scorecard!$C$23</f>
        <v>4.0559352953317</v>
      </c>
      <c r="U121" s="38" t="n">
        <f aca="false">N121*Scorecard!$D$18+O121*Scorecard!$D$19+P121*Scorecard!$D$20+Q121*Scorecard!$D$21+R121*Scorecard!$D$22+S121*Scorecard!$D$23</f>
        <v>2.77107266618536</v>
      </c>
      <c r="V121" s="38" t="n">
        <f aca="false">N121*Scorecard!$E$18+O121*Scorecard!$E$19+P121*Scorecard!$E$20+Q121*Scorecard!$E$21+R121*Scorecard!$E$22+S121*Scorecard!$E$23</f>
        <v>3.43788754158415</v>
      </c>
    </row>
    <row r="122" customFormat="false" ht="15" hidden="false" customHeight="false" outlineLevel="0" collapsed="false">
      <c r="A122" s="0" t="n">
        <v>117</v>
      </c>
      <c r="B122" s="38" t="n">
        <f aca="false">E122*Scorecard!$C$18+F122*Scorecard!$C$19+G122*Scorecard!$C$20+H122*Scorecard!$C$21+I122*Scorecard!$C$22+J122*Scorecard!$C$23</f>
        <v>4.20205752369927</v>
      </c>
      <c r="C122" s="38" t="n">
        <f aca="false">E122*Scorecard!$D$18+F122*Scorecard!$D$19+G122*Scorecard!$D$20+H122*Scorecard!$D$21+I122*Scorecard!$D$22+J122*Scorecard!$D$23</f>
        <v>2.45066035639559</v>
      </c>
      <c r="D122" s="0" t="str">
        <f aca="false">IF(AND(B122&gt;=C122,B122&gt;=K122),"A. Distribution",IF(C122&gt;=K122,"B. Manufacturing","C. Prof. services"))</f>
        <v>A. Distribution</v>
      </c>
      <c r="E122" s="39" t="n">
        <v>0.0158494422622355</v>
      </c>
      <c r="F122" s="39" t="n">
        <v>0.218258988674013</v>
      </c>
      <c r="G122" s="39" t="n">
        <v>0.466795834373509</v>
      </c>
      <c r="H122" s="39" t="n">
        <v>0.0871797290975081</v>
      </c>
      <c r="I122" s="39" t="n">
        <v>0.209148356866595</v>
      </c>
      <c r="J122" s="39" t="n">
        <v>0.00276764872613976</v>
      </c>
      <c r="K122" s="38" t="n">
        <f aca="false">E122*Scorecard!$E$18+F122*Scorecard!$E$19+G122*Scorecard!$E$20+H122*Scorecard!$E$21+I122*Scorecard!$E$22+J122*Scorecard!$E$23</f>
        <v>3.35544641841418</v>
      </c>
      <c r="M122" s="0" t="str">
        <f aca="false">IF(AND(T122&gt;=U122,T122&gt;=V122),"A. Distribution",IF(U122&gt;=V122,"B. Manufacturing","C. Prof. services"))</f>
        <v>A. Distribution</v>
      </c>
      <c r="N122" s="39" t="n">
        <v>0.202572471869084</v>
      </c>
      <c r="O122" s="39" t="n">
        <v>0.254887438704353</v>
      </c>
      <c r="P122" s="39" t="n">
        <v>0.244063471138386</v>
      </c>
      <c r="Q122" s="39" t="n">
        <v>0.125957010007741</v>
      </c>
      <c r="R122" s="39" t="n">
        <v>0.0775574068171605</v>
      </c>
      <c r="S122" s="39" t="n">
        <v>0.0949622014632762</v>
      </c>
      <c r="T122" s="38" t="n">
        <f aca="false">N122*Scorecard!$C$18+O122*Scorecard!$C$19+P122*Scorecard!$C$20+Q122*Scorecard!$C$21+R122*Scorecard!$C$22+S122*Scorecard!$C$23</f>
        <v>4.03512720420569</v>
      </c>
      <c r="U122" s="38" t="n">
        <f aca="false">N122*Scorecard!$D$18+O122*Scorecard!$D$19+P122*Scorecard!$D$20+Q122*Scorecard!$D$21+R122*Scorecard!$D$22+S122*Scorecard!$D$23</f>
        <v>2.63765476653177</v>
      </c>
      <c r="V122" s="38" t="n">
        <f aca="false">N122*Scorecard!$E$18+O122*Scorecard!$E$19+P122*Scorecard!$E$20+Q122*Scorecard!$E$21+R122*Scorecard!$E$22+S122*Scorecard!$E$23</f>
        <v>3.47103539494784</v>
      </c>
    </row>
    <row r="123" customFormat="false" ht="15" hidden="false" customHeight="false" outlineLevel="0" collapsed="false">
      <c r="A123" s="0" t="n">
        <v>118</v>
      </c>
      <c r="B123" s="38" t="n">
        <f aca="false">E123*Scorecard!$C$18+F123*Scorecard!$C$19+G123*Scorecard!$C$20+H123*Scorecard!$C$21+I123*Scorecard!$C$22+J123*Scorecard!$C$23</f>
        <v>3.8679239255961</v>
      </c>
      <c r="C123" s="38" t="n">
        <f aca="false">E123*Scorecard!$D$18+F123*Scorecard!$D$19+G123*Scorecard!$D$20+H123*Scorecard!$D$21+I123*Scorecard!$D$22+J123*Scorecard!$D$23</f>
        <v>3.55813229589743</v>
      </c>
      <c r="D123" s="0" t="str">
        <f aca="false">IF(AND(B123&gt;=C123,B123&gt;=K123),"A. Distribution",IF(C123&gt;=K123,"B. Manufacturing","C. Prof. services"))</f>
        <v>A. Distribution</v>
      </c>
      <c r="E123" s="39" t="n">
        <v>0.753456120183975</v>
      </c>
      <c r="F123" s="39" t="n">
        <v>0.010829348961336</v>
      </c>
      <c r="G123" s="39" t="n">
        <v>0.154197086626305</v>
      </c>
      <c r="H123" s="39" t="n">
        <v>0.00555854871877596</v>
      </c>
      <c r="I123" s="39" t="n">
        <v>0.0350519320796583</v>
      </c>
      <c r="J123" s="39" t="n">
        <v>0.0409069634299508</v>
      </c>
      <c r="K123" s="38" t="n">
        <f aca="false">E123*Scorecard!$E$18+F123*Scorecard!$E$19+G123*Scorecard!$E$20+H123*Scorecard!$E$21+I123*Scorecard!$E$22+J123*Scorecard!$E$23</f>
        <v>3.57054070021741</v>
      </c>
      <c r="M123" s="0" t="str">
        <f aca="false">IF(AND(T123&gt;=U123,T123&gt;=V123),"A. Distribution",IF(U123&gt;=V123,"B. Manufacturing","C. Prof. services"))</f>
        <v>A. Distribution</v>
      </c>
      <c r="N123" s="39" t="n">
        <v>0.228076047423009</v>
      </c>
      <c r="O123" s="39" t="n">
        <v>0.232339407808077</v>
      </c>
      <c r="P123" s="39" t="n">
        <v>0.16232226343999</v>
      </c>
      <c r="Q123" s="39" t="n">
        <v>0.272349296333037</v>
      </c>
      <c r="R123" s="39" t="n">
        <v>0.0910965335614477</v>
      </c>
      <c r="S123" s="39" t="n">
        <v>0.0138164514344406</v>
      </c>
      <c r="T123" s="38" t="n">
        <f aca="false">N123*Scorecard!$C$18+O123*Scorecard!$C$19+P123*Scorecard!$C$20+Q123*Scorecard!$C$21+R123*Scorecard!$C$22+S123*Scorecard!$C$23</f>
        <v>4.1570492188602</v>
      </c>
      <c r="U123" s="38" t="n">
        <f aca="false">N123*Scorecard!$D$18+O123*Scorecard!$D$19+P123*Scorecard!$D$20+Q123*Scorecard!$D$21+R123*Scorecard!$D$22+S123*Scorecard!$D$23</f>
        <v>2.77872140742546</v>
      </c>
      <c r="V123" s="38" t="n">
        <f aca="false">N123*Scorecard!$E$18+O123*Scorecard!$E$19+P123*Scorecard!$E$20+Q123*Scorecard!$E$21+R123*Scorecard!$E$22+S123*Scorecard!$E$23</f>
        <v>3.37421801709519</v>
      </c>
    </row>
    <row r="124" customFormat="false" ht="15" hidden="false" customHeight="false" outlineLevel="0" collapsed="false">
      <c r="A124" s="0" t="n">
        <v>119</v>
      </c>
      <c r="B124" s="38" t="n">
        <f aca="false">E124*Scorecard!$C$18+F124*Scorecard!$C$19+G124*Scorecard!$C$20+H124*Scorecard!$C$21+I124*Scorecard!$C$22+J124*Scorecard!$C$23</f>
        <v>3.05786878890558</v>
      </c>
      <c r="C124" s="38" t="n">
        <f aca="false">E124*Scorecard!$D$18+F124*Scorecard!$D$19+G124*Scorecard!$D$20+H124*Scorecard!$D$21+I124*Scorecard!$D$22+J124*Scorecard!$D$23</f>
        <v>2.43265000574473</v>
      </c>
      <c r="D124" s="0" t="str">
        <f aca="false">IF(AND(B124&gt;=C124,B124&gt;=K124),"A. Distribution",IF(C124&gt;=K124,"B. Manufacturing","C. Prof. services"))</f>
        <v>C. Prof. services</v>
      </c>
      <c r="E124" s="39" t="n">
        <v>0.292143851536093</v>
      </c>
      <c r="F124" s="39" t="n">
        <v>0.0183803746871981</v>
      </c>
      <c r="G124" s="39" t="n">
        <v>0.124089662391022</v>
      </c>
      <c r="H124" s="39" t="n">
        <v>0.0669325192134247</v>
      </c>
      <c r="I124" s="39" t="n">
        <v>0.0335314517698169</v>
      </c>
      <c r="J124" s="39" t="n">
        <v>0.464922140402446</v>
      </c>
      <c r="K124" s="38" t="n">
        <f aca="false">E124*Scorecard!$E$18+F124*Scorecard!$E$19+G124*Scorecard!$E$20+H124*Scorecard!$E$21+I124*Scorecard!$E$22+J124*Scorecard!$E$23</f>
        <v>3.98663803375256</v>
      </c>
      <c r="M124" s="0" t="str">
        <f aca="false">IF(AND(T124&gt;=U124,T124&gt;=V124),"A. Distribution",IF(U124&gt;=V124,"B. Manufacturing","C. Prof. services"))</f>
        <v>A. Distribution</v>
      </c>
      <c r="N124" s="39" t="n">
        <v>0.285547812392593</v>
      </c>
      <c r="O124" s="39" t="n">
        <v>0.205362142418782</v>
      </c>
      <c r="P124" s="39" t="n">
        <v>0.165036804999326</v>
      </c>
      <c r="Q124" s="39" t="n">
        <v>0.179085146952614</v>
      </c>
      <c r="R124" s="39" t="n">
        <v>0.129456743022963</v>
      </c>
      <c r="S124" s="39" t="n">
        <v>0.0355113502137227</v>
      </c>
      <c r="T124" s="38" t="n">
        <f aca="false">N124*Scorecard!$C$18+O124*Scorecard!$C$19+P124*Scorecard!$C$20+Q124*Scorecard!$C$21+R124*Scorecard!$C$22+S124*Scorecard!$C$23</f>
        <v>4.09211720025397</v>
      </c>
      <c r="U124" s="38" t="n">
        <f aca="false">N124*Scorecard!$D$18+O124*Scorecard!$D$19+P124*Scorecard!$D$20+Q124*Scorecard!$D$21+R124*Scorecard!$D$22+S124*Scorecard!$D$23</f>
        <v>2.89375228937401</v>
      </c>
      <c r="V124" s="38" t="n">
        <f aca="false">N124*Scorecard!$E$18+O124*Scorecard!$E$19+P124*Scorecard!$E$20+Q124*Scorecard!$E$21+R124*Scorecard!$E$22+S124*Scorecard!$E$23</f>
        <v>3.35514818067242</v>
      </c>
    </row>
    <row r="125" customFormat="false" ht="15" hidden="false" customHeight="false" outlineLevel="0" collapsed="false">
      <c r="A125" s="0" t="n">
        <v>120</v>
      </c>
      <c r="B125" s="38" t="n">
        <f aca="false">E125*Scorecard!$C$18+F125*Scorecard!$C$19+G125*Scorecard!$C$20+H125*Scorecard!$C$21+I125*Scorecard!$C$22+J125*Scorecard!$C$23</f>
        <v>3.87541289301769</v>
      </c>
      <c r="C125" s="38" t="n">
        <f aca="false">E125*Scorecard!$D$18+F125*Scorecard!$D$19+G125*Scorecard!$D$20+H125*Scorecard!$D$21+I125*Scorecard!$D$22+J125*Scorecard!$D$23</f>
        <v>2.70515679426049</v>
      </c>
      <c r="D125" s="0" t="str">
        <f aca="false">IF(AND(B125&gt;=C125,B125&gt;=K125),"A. Distribution",IF(C125&gt;=K125,"B. Manufacturing","C. Prof. services"))</f>
        <v>A. Distribution</v>
      </c>
      <c r="E125" s="39" t="n">
        <v>0.329666381098138</v>
      </c>
      <c r="F125" s="39" t="n">
        <v>0.0671807857202616</v>
      </c>
      <c r="G125" s="39" t="n">
        <v>0.392723892243507</v>
      </c>
      <c r="H125" s="39" t="n">
        <v>0.134254782898022</v>
      </c>
      <c r="I125" s="39" t="n">
        <v>0.000757152270691222</v>
      </c>
      <c r="J125" s="39" t="n">
        <v>0.0754170057693804</v>
      </c>
      <c r="K125" s="38" t="n">
        <f aca="false">E125*Scorecard!$E$18+F125*Scorecard!$E$19+G125*Scorecard!$E$20+H125*Scorecard!$E$21+I125*Scorecard!$E$22+J125*Scorecard!$E$23</f>
        <v>3.74739274966548</v>
      </c>
      <c r="M125" s="0" t="str">
        <f aca="false">IF(AND(T125&gt;=U125,T125&gt;=V125),"A. Distribution",IF(U125&gt;=V125,"B. Manufacturing","C. Prof. services"))</f>
        <v>A. Distribution</v>
      </c>
      <c r="N125" s="39" t="n">
        <v>0.141988143872675</v>
      </c>
      <c r="O125" s="39" t="n">
        <v>0.207336407942017</v>
      </c>
      <c r="P125" s="39" t="n">
        <v>0.186112296655656</v>
      </c>
      <c r="Q125" s="39" t="n">
        <v>0.262297690389238</v>
      </c>
      <c r="R125" s="39" t="n">
        <v>0.12874371161515</v>
      </c>
      <c r="S125" s="39" t="n">
        <v>0.0735217495252646</v>
      </c>
      <c r="T125" s="38" t="n">
        <f aca="false">N125*Scorecard!$C$18+O125*Scorecard!$C$19+P125*Scorecard!$C$20+Q125*Scorecard!$C$21+R125*Scorecard!$C$22+S125*Scorecard!$C$23</f>
        <v>4.02063040912252</v>
      </c>
      <c r="U125" s="38" t="n">
        <f aca="false">N125*Scorecard!$D$18+O125*Scorecard!$D$19+P125*Scorecard!$D$20+Q125*Scorecard!$D$21+R125*Scorecard!$D$22+S125*Scorecard!$D$23</f>
        <v>2.60869480001722</v>
      </c>
      <c r="V125" s="38" t="n">
        <f aca="false">N125*Scorecard!$E$18+O125*Scorecard!$E$19+P125*Scorecard!$E$20+Q125*Scorecard!$E$21+R125*Scorecard!$E$22+S125*Scorecard!$E$23</f>
        <v>3.41754474112974</v>
      </c>
    </row>
    <row r="126" customFormat="false" ht="15" hidden="false" customHeight="false" outlineLevel="0" collapsed="false">
      <c r="A126" s="0" t="n">
        <v>121</v>
      </c>
      <c r="B126" s="38" t="n">
        <f aca="false">E126*Scorecard!$C$18+F126*Scorecard!$C$19+G126*Scorecard!$C$20+H126*Scorecard!$C$21+I126*Scorecard!$C$22+J126*Scorecard!$C$23</f>
        <v>3.48838669796448</v>
      </c>
      <c r="C126" s="38" t="n">
        <f aca="false">E126*Scorecard!$D$18+F126*Scorecard!$D$19+G126*Scorecard!$D$20+H126*Scorecard!$D$21+I126*Scorecard!$D$22+J126*Scorecard!$D$23</f>
        <v>2.75314526191634</v>
      </c>
      <c r="D126" s="0" t="str">
        <f aca="false">IF(AND(B126&gt;=C126,B126&gt;=K126),"A. Distribution",IF(C126&gt;=K126,"B. Manufacturing","C. Prof. services"))</f>
        <v>C. Prof. services</v>
      </c>
      <c r="E126" s="39" t="n">
        <v>0.34362602749749</v>
      </c>
      <c r="F126" s="39" t="n">
        <v>0.000499181330378795</v>
      </c>
      <c r="G126" s="39" t="n">
        <v>0.137226527905227</v>
      </c>
      <c r="H126" s="39" t="n">
        <v>0.201390883452191</v>
      </c>
      <c r="I126" s="39" t="n">
        <v>0.0858454433016515</v>
      </c>
      <c r="J126" s="39" t="n">
        <v>0.231411936513062</v>
      </c>
      <c r="K126" s="38" t="n">
        <f aca="false">E126*Scorecard!$E$18+F126*Scorecard!$E$19+G126*Scorecard!$E$20+H126*Scorecard!$E$21+I126*Scorecard!$E$22+J126*Scorecard!$E$23</f>
        <v>3.73434753698753</v>
      </c>
      <c r="M126" s="0" t="str">
        <f aca="false">IF(AND(T126&gt;=U126,T126&gt;=V126),"A. Distribution",IF(U126&gt;=V126,"B. Manufacturing","C. Prof. services"))</f>
        <v>A. Distribution</v>
      </c>
      <c r="N126" s="39" t="n">
        <v>0.193808021018659</v>
      </c>
      <c r="O126" s="39" t="n">
        <v>0.187122827288206</v>
      </c>
      <c r="P126" s="39" t="n">
        <v>0.189612872252502</v>
      </c>
      <c r="Q126" s="39" t="n">
        <v>0.101352932562369</v>
      </c>
      <c r="R126" s="39" t="n">
        <v>0.212254944125184</v>
      </c>
      <c r="S126" s="39" t="n">
        <v>0.115848402753081</v>
      </c>
      <c r="T126" s="38" t="n">
        <f aca="false">N126*Scorecard!$C$18+O126*Scorecard!$C$19+P126*Scorecard!$C$20+Q126*Scorecard!$C$21+R126*Scorecard!$C$22+S126*Scorecard!$C$23</f>
        <v>3.92894496345824</v>
      </c>
      <c r="U126" s="38" t="n">
        <f aca="false">N126*Scorecard!$D$18+O126*Scorecard!$D$19+P126*Scorecard!$D$20+Q126*Scorecard!$D$21+R126*Scorecard!$D$22+S126*Scorecard!$D$23</f>
        <v>2.74597643962491</v>
      </c>
      <c r="V126" s="38" t="n">
        <f aca="false">N126*Scorecard!$E$18+O126*Scorecard!$E$19+P126*Scorecard!$E$20+Q126*Scorecard!$E$21+R126*Scorecard!$E$22+S126*Scorecard!$E$23</f>
        <v>3.35041477479803</v>
      </c>
    </row>
    <row r="127" customFormat="false" ht="15" hidden="false" customHeight="false" outlineLevel="0" collapsed="false">
      <c r="A127" s="0" t="n">
        <v>122</v>
      </c>
      <c r="B127" s="38" t="n">
        <f aca="false">E127*Scorecard!$C$18+F127*Scorecard!$C$19+G127*Scorecard!$C$20+H127*Scorecard!$C$21+I127*Scorecard!$C$22+J127*Scorecard!$C$23</f>
        <v>3.32030429168346</v>
      </c>
      <c r="C127" s="38" t="n">
        <f aca="false">E127*Scorecard!$D$18+F127*Scorecard!$D$19+G127*Scorecard!$D$20+H127*Scorecard!$D$21+I127*Scorecard!$D$22+J127*Scorecard!$D$23</f>
        <v>2.61142199624825</v>
      </c>
      <c r="D127" s="0" t="str">
        <f aca="false">IF(AND(B127&gt;=C127,B127&gt;=K127),"A. Distribution",IF(C127&gt;=K127,"B. Manufacturing","C. Prof. services"))</f>
        <v>C. Prof. services</v>
      </c>
      <c r="E127" s="39" t="n">
        <v>0.297472068980941</v>
      </c>
      <c r="F127" s="39" t="n">
        <v>0.101889168563541</v>
      </c>
      <c r="G127" s="39" t="n">
        <v>0.0956036100471755</v>
      </c>
      <c r="H127" s="39" t="n">
        <v>0.0246858332042467</v>
      </c>
      <c r="I127" s="39" t="n">
        <v>0.102828373337598</v>
      </c>
      <c r="J127" s="39" t="n">
        <v>0.377520945866498</v>
      </c>
      <c r="K127" s="38" t="n">
        <f aca="false">E127*Scorecard!$E$18+F127*Scorecard!$E$19+G127*Scorecard!$E$20+H127*Scorecard!$E$21+I127*Scorecard!$E$22+J127*Scorecard!$E$23</f>
        <v>3.73876609701395</v>
      </c>
      <c r="M127" s="0" t="str">
        <f aca="false">IF(AND(T127&gt;=U127,T127&gt;=V127),"A. Distribution",IF(U127&gt;=V127,"B. Manufacturing","C. Prof. services"))</f>
        <v>A. Distribution</v>
      </c>
      <c r="N127" s="39" t="n">
        <v>0.168227150234382</v>
      </c>
      <c r="O127" s="39" t="n">
        <v>0.0890909486910003</v>
      </c>
      <c r="P127" s="39" t="n">
        <v>0.211262164801326</v>
      </c>
      <c r="Q127" s="39" t="n">
        <v>0.166569065683335</v>
      </c>
      <c r="R127" s="39" t="n">
        <v>0.255775609362026</v>
      </c>
      <c r="S127" s="39" t="n">
        <v>0.109075061227931</v>
      </c>
      <c r="T127" s="38" t="n">
        <f aca="false">N127*Scorecard!$C$18+O127*Scorecard!$C$19+P127*Scorecard!$C$20+Q127*Scorecard!$C$21+R127*Scorecard!$C$22+S127*Scorecard!$C$23</f>
        <v>3.83948649683484</v>
      </c>
      <c r="U127" s="38" t="n">
        <f aca="false">N127*Scorecard!$D$18+O127*Scorecard!$D$19+P127*Scorecard!$D$20+Q127*Scorecard!$D$21+R127*Scorecard!$D$22+S127*Scorecard!$D$23</f>
        <v>2.72275235367103</v>
      </c>
      <c r="V127" s="38" t="n">
        <f aca="false">N127*Scorecard!$E$18+O127*Scorecard!$E$19+P127*Scorecard!$E$20+Q127*Scorecard!$E$21+R127*Scorecard!$E$22+S127*Scorecard!$E$23</f>
        <v>3.38314110549917</v>
      </c>
    </row>
    <row r="128" customFormat="false" ht="15" hidden="false" customHeight="false" outlineLevel="0" collapsed="false">
      <c r="A128" s="0" t="n">
        <v>123</v>
      </c>
      <c r="B128" s="38" t="n">
        <f aca="false">E128*Scorecard!$C$18+F128*Scorecard!$C$19+G128*Scorecard!$C$20+H128*Scorecard!$C$21+I128*Scorecard!$C$22+J128*Scorecard!$C$23</f>
        <v>3.47092953277986</v>
      </c>
      <c r="C128" s="38" t="n">
        <f aca="false">E128*Scorecard!$D$18+F128*Scorecard!$D$19+G128*Scorecard!$D$20+H128*Scorecard!$D$21+I128*Scorecard!$D$22+J128*Scorecard!$D$23</f>
        <v>2.10280985975257</v>
      </c>
      <c r="D128" s="0" t="str">
        <f aca="false">IF(AND(B128&gt;=C128,B128&gt;=K128),"A. Distribution",IF(C128&gt;=K128,"B. Manufacturing","C. Prof. services"))</f>
        <v>C. Prof. services</v>
      </c>
      <c r="E128" s="39" t="n">
        <v>0.0865784221081451</v>
      </c>
      <c r="F128" s="39" t="n">
        <v>0.10825116040498</v>
      </c>
      <c r="G128" s="39" t="n">
        <v>0.427140525797718</v>
      </c>
      <c r="H128" s="39" t="n">
        <v>0.0593450402874022</v>
      </c>
      <c r="I128" s="39" t="n">
        <v>0.006696820058019</v>
      </c>
      <c r="J128" s="39" t="n">
        <v>0.311988031343736</v>
      </c>
      <c r="K128" s="38" t="n">
        <f aca="false">E128*Scorecard!$E$18+F128*Scorecard!$E$19+G128*Scorecard!$E$20+H128*Scorecard!$E$21+I128*Scorecard!$E$22+J128*Scorecard!$E$23</f>
        <v>3.95272749475943</v>
      </c>
      <c r="M128" s="0" t="str">
        <f aca="false">IF(AND(T128&gt;=U128,T128&gt;=V128),"A. Distribution",IF(U128&gt;=V128,"B. Manufacturing","C. Prof. services"))</f>
        <v>A. Distribution</v>
      </c>
      <c r="N128" s="39" t="n">
        <v>0.2871875072351</v>
      </c>
      <c r="O128" s="39" t="n">
        <v>0.112776706207399</v>
      </c>
      <c r="P128" s="39" t="n">
        <v>0.271311272559767</v>
      </c>
      <c r="Q128" s="39" t="n">
        <v>0.136977762302559</v>
      </c>
      <c r="R128" s="39" t="n">
        <v>0.129133678536782</v>
      </c>
      <c r="S128" s="39" t="n">
        <v>0.0626130731583944</v>
      </c>
      <c r="T128" s="38" t="n">
        <f aca="false">N128*Scorecard!$C$18+O128*Scorecard!$C$19+P128*Scorecard!$C$20+Q128*Scorecard!$C$21+R128*Scorecard!$C$22+S128*Scorecard!$C$23</f>
        <v>3.94973376775233</v>
      </c>
      <c r="U128" s="38" t="n">
        <f aca="false">N128*Scorecard!$D$18+O128*Scorecard!$D$19+P128*Scorecard!$D$20+Q128*Scorecard!$D$21+R128*Scorecard!$D$22+S128*Scorecard!$D$23</f>
        <v>2.8217279504925</v>
      </c>
      <c r="V128" s="38" t="n">
        <f aca="false">N128*Scorecard!$E$18+O128*Scorecard!$E$19+P128*Scorecard!$E$20+Q128*Scorecard!$E$21+R128*Scorecard!$E$22+S128*Scorecard!$E$23</f>
        <v>3.49286825626229</v>
      </c>
    </row>
    <row r="129" customFormat="false" ht="15" hidden="false" customHeight="false" outlineLevel="0" collapsed="false">
      <c r="A129" s="0" t="n">
        <v>124</v>
      </c>
      <c r="B129" s="38" t="n">
        <f aca="false">E129*Scorecard!$C$18+F129*Scorecard!$C$19+G129*Scorecard!$C$20+H129*Scorecard!$C$21+I129*Scorecard!$C$22+J129*Scorecard!$C$23</f>
        <v>3.98538673398176</v>
      </c>
      <c r="C129" s="38" t="n">
        <f aca="false">E129*Scorecard!$D$18+F129*Scorecard!$D$19+G129*Scorecard!$D$20+H129*Scorecard!$D$21+I129*Scorecard!$D$22+J129*Scorecard!$D$23</f>
        <v>3.17432144708283</v>
      </c>
      <c r="D129" s="0" t="str">
        <f aca="false">IF(AND(B129&gt;=C129,B129&gt;=K129),"A. Distribution",IF(C129&gt;=K129,"B. Manufacturing","C. Prof. services"))</f>
        <v>A. Distribution</v>
      </c>
      <c r="E129" s="39" t="n">
        <v>0.216633059802362</v>
      </c>
      <c r="F129" s="39" t="n">
        <v>0.0447977049247497</v>
      </c>
      <c r="G129" s="39" t="n">
        <v>0.0275074311891469</v>
      </c>
      <c r="H129" s="39" t="n">
        <v>0.209364704944794</v>
      </c>
      <c r="I129" s="39" t="n">
        <v>0.491967583097936</v>
      </c>
      <c r="J129" s="39" t="n">
        <v>0.0097295160410112</v>
      </c>
      <c r="K129" s="38" t="n">
        <f aca="false">E129*Scorecard!$E$18+F129*Scorecard!$E$19+G129*Scorecard!$E$20+H129*Scorecard!$E$21+I129*Scorecard!$E$22+J129*Scorecard!$E$23</f>
        <v>2.95455574073996</v>
      </c>
      <c r="M129" s="0" t="str">
        <f aca="false">IF(AND(T129&gt;=U129,T129&gt;=V129),"A. Distribution",IF(U129&gt;=V129,"B. Manufacturing","C. Prof. services"))</f>
        <v>A. Distribution</v>
      </c>
      <c r="N129" s="39" t="n">
        <v>0.147401117230803</v>
      </c>
      <c r="O129" s="39" t="n">
        <v>0.135221692699648</v>
      </c>
      <c r="P129" s="39" t="n">
        <v>0.319945399501631</v>
      </c>
      <c r="Q129" s="39" t="n">
        <v>0.114917517678534</v>
      </c>
      <c r="R129" s="39" t="n">
        <v>0.160627325673085</v>
      </c>
      <c r="S129" s="39" t="n">
        <v>0.121886947216298</v>
      </c>
      <c r="T129" s="38" t="n">
        <f aca="false">N129*Scorecard!$C$18+O129*Scorecard!$C$19+P129*Scorecard!$C$20+Q129*Scorecard!$C$21+R129*Scorecard!$C$22+S129*Scorecard!$C$23</f>
        <v>3.86723100843385</v>
      </c>
      <c r="U129" s="38" t="n">
        <f aca="false">N129*Scorecard!$D$18+O129*Scorecard!$D$19+P129*Scorecard!$D$20+Q129*Scorecard!$D$21+R129*Scorecard!$D$22+S129*Scorecard!$D$23</f>
        <v>2.55669198804268</v>
      </c>
      <c r="V129" s="38" t="n">
        <f aca="false">N129*Scorecard!$E$18+O129*Scorecard!$E$19+P129*Scorecard!$E$20+Q129*Scorecard!$E$21+R129*Scorecard!$E$22+S129*Scorecard!$E$23</f>
        <v>3.52029215673868</v>
      </c>
    </row>
    <row r="130" customFormat="false" ht="15" hidden="false" customHeight="false" outlineLevel="0" collapsed="false">
      <c r="A130" s="0" t="n">
        <v>125</v>
      </c>
      <c r="B130" s="38" t="n">
        <f aca="false">E130*Scorecard!$C$18+F130*Scorecard!$C$19+G130*Scorecard!$C$20+H130*Scorecard!$C$21+I130*Scorecard!$C$22+J130*Scorecard!$C$23</f>
        <v>2.84883083141882</v>
      </c>
      <c r="C130" s="38" t="n">
        <f aca="false">E130*Scorecard!$D$18+F130*Scorecard!$D$19+G130*Scorecard!$D$20+H130*Scorecard!$D$21+I130*Scorecard!$D$22+J130*Scorecard!$D$23</f>
        <v>1.8852088439457</v>
      </c>
      <c r="D130" s="0" t="str">
        <f aca="false">IF(AND(B130&gt;=C130,B130&gt;=K130),"A. Distribution",IF(C130&gt;=K130,"B. Manufacturing","C. Prof. services"))</f>
        <v>C. Prof. services</v>
      </c>
      <c r="E130" s="39" t="n">
        <v>0.0219534724337063</v>
      </c>
      <c r="F130" s="39" t="n">
        <v>0.0336636326204528</v>
      </c>
      <c r="G130" s="39" t="n">
        <v>0.0512427452064523</v>
      </c>
      <c r="H130" s="39" t="n">
        <v>0.300775513548967</v>
      </c>
      <c r="I130" s="39" t="n">
        <v>0.0170338913464104</v>
      </c>
      <c r="J130" s="39" t="n">
        <v>0.575330744844011</v>
      </c>
      <c r="K130" s="38" t="n">
        <f aca="false">E130*Scorecard!$E$18+F130*Scorecard!$E$19+G130*Scorecard!$E$20+H130*Scorecard!$E$21+I130*Scorecard!$E$22+J130*Scorecard!$E$23</f>
        <v>4.10967973955308</v>
      </c>
      <c r="M130" s="0" t="str">
        <f aca="false">IF(AND(T130&gt;=U130,T130&gt;=V130),"A. Distribution",IF(U130&gt;=V130,"B. Manufacturing","C. Prof. services"))</f>
        <v>A. Distribution</v>
      </c>
      <c r="N130" s="39" t="n">
        <v>0.219327053387105</v>
      </c>
      <c r="O130" s="39" t="n">
        <v>0.179296758378943</v>
      </c>
      <c r="P130" s="39" t="n">
        <v>0.300051355837643</v>
      </c>
      <c r="Q130" s="39" t="n">
        <v>0.148383017494298</v>
      </c>
      <c r="R130" s="39" t="n">
        <v>0.0899648738204773</v>
      </c>
      <c r="S130" s="39" t="n">
        <v>0.0629769410815341</v>
      </c>
      <c r="T130" s="38" t="n">
        <f aca="false">N130*Scorecard!$C$18+O130*Scorecard!$C$19+P130*Scorecard!$C$20+Q130*Scorecard!$C$21+R130*Scorecard!$C$22+S130*Scorecard!$C$23</f>
        <v>4.01974545791367</v>
      </c>
      <c r="U130" s="38" t="n">
        <f aca="false">N130*Scorecard!$D$18+O130*Scorecard!$D$19+P130*Scorecard!$D$20+Q130*Scorecard!$D$21+R130*Scorecard!$D$22+S130*Scorecard!$D$23</f>
        <v>2.67059535495776</v>
      </c>
      <c r="V130" s="38" t="n">
        <f aca="false">N130*Scorecard!$E$18+O130*Scorecard!$E$19+P130*Scorecard!$E$20+Q130*Scorecard!$E$21+R130*Scorecard!$E$22+S130*Scorecard!$E$23</f>
        <v>3.50901340886971</v>
      </c>
    </row>
    <row r="131" customFormat="false" ht="15" hidden="false" customHeight="false" outlineLevel="0" collapsed="false">
      <c r="A131" s="0" t="n">
        <v>126</v>
      </c>
      <c r="B131" s="38" t="n">
        <f aca="false">E131*Scorecard!$C$18+F131*Scorecard!$C$19+G131*Scorecard!$C$20+H131*Scorecard!$C$21+I131*Scorecard!$C$22+J131*Scorecard!$C$23</f>
        <v>4.54194791757833</v>
      </c>
      <c r="C131" s="38" t="n">
        <f aca="false">E131*Scorecard!$D$18+F131*Scorecard!$D$19+G131*Scorecard!$D$20+H131*Scorecard!$D$21+I131*Scorecard!$D$22+J131*Scorecard!$D$23</f>
        <v>3.0239739350053</v>
      </c>
      <c r="D131" s="0" t="str">
        <f aca="false">IF(AND(B131&gt;=C131,B131&gt;=K131),"A. Distribution",IF(C131&gt;=K131,"B. Manufacturing","C. Prof. services"))</f>
        <v>A. Distribution</v>
      </c>
      <c r="E131" s="39" t="n">
        <v>0.294720662055928</v>
      </c>
      <c r="F131" s="39" t="n">
        <v>0.584700482495682</v>
      </c>
      <c r="G131" s="39" t="n">
        <v>0.00114641464804751</v>
      </c>
      <c r="H131" s="39" t="n">
        <v>0.0253310817756322</v>
      </c>
      <c r="I131" s="39" t="n">
        <v>0.085920881305652</v>
      </c>
      <c r="J131" s="39" t="n">
        <v>0.00818047771905809</v>
      </c>
      <c r="K131" s="38" t="n">
        <f aca="false">E131*Scorecard!$E$18+F131*Scorecard!$E$19+G131*Scorecard!$E$20+H131*Scorecard!$E$21+I131*Scorecard!$E$22+J131*Scorecard!$E$23</f>
        <v>3.00627887193067</v>
      </c>
      <c r="M131" s="0" t="str">
        <f aca="false">IF(AND(T131&gt;=U131,T131&gt;=V131),"A. Distribution",IF(U131&gt;=V131,"B. Manufacturing","C. Prof. services"))</f>
        <v>A. Distribution</v>
      </c>
      <c r="N131" s="39" t="n">
        <v>0.0970956010905455</v>
      </c>
      <c r="O131" s="39" t="n">
        <v>0.215000718480093</v>
      </c>
      <c r="P131" s="39" t="n">
        <v>0.241080988375955</v>
      </c>
      <c r="Q131" s="39" t="n">
        <v>0.190975019382587</v>
      </c>
      <c r="R131" s="39" t="n">
        <v>0.17547390343629</v>
      </c>
      <c r="S131" s="39" t="n">
        <v>0.0803737692345304</v>
      </c>
      <c r="T131" s="38" t="n">
        <f aca="false">N131*Scorecard!$C$18+O131*Scorecard!$C$19+P131*Scorecard!$C$20+Q131*Scorecard!$C$21+R131*Scorecard!$C$22+S131*Scorecard!$C$23</f>
        <v>4.02588001723548</v>
      </c>
      <c r="U131" s="38" t="n">
        <f aca="false">N131*Scorecard!$D$18+O131*Scorecard!$D$19+P131*Scorecard!$D$20+Q131*Scorecard!$D$21+R131*Scorecard!$D$22+S131*Scorecard!$D$23</f>
        <v>2.55995691367629</v>
      </c>
      <c r="V131" s="38" t="n">
        <f aca="false">N131*Scorecard!$E$18+O131*Scorecard!$E$19+P131*Scorecard!$E$20+Q131*Scorecard!$E$21+R131*Scorecard!$E$22+S131*Scorecard!$E$23</f>
        <v>3.3796976769539</v>
      </c>
    </row>
    <row r="132" customFormat="false" ht="15" hidden="false" customHeight="false" outlineLevel="0" collapsed="false">
      <c r="A132" s="0" t="n">
        <v>127</v>
      </c>
      <c r="B132" s="38" t="n">
        <f aca="false">E132*Scorecard!$C$18+F132*Scorecard!$C$19+G132*Scorecard!$C$20+H132*Scorecard!$C$21+I132*Scorecard!$C$22+J132*Scorecard!$C$23</f>
        <v>4.10017895222626</v>
      </c>
      <c r="C132" s="38" t="n">
        <f aca="false">E132*Scorecard!$D$18+F132*Scorecard!$D$19+G132*Scorecard!$D$20+H132*Scorecard!$D$21+I132*Scorecard!$D$22+J132*Scorecard!$D$23</f>
        <v>3.00714293984269</v>
      </c>
      <c r="D132" s="0" t="str">
        <f aca="false">IF(AND(B132&gt;=C132,B132&gt;=K132),"A. Distribution",IF(C132&gt;=K132,"B. Manufacturing","C. Prof. services"))</f>
        <v>A. Distribution</v>
      </c>
      <c r="E132" s="39" t="n">
        <v>0.316993905067943</v>
      </c>
      <c r="F132" s="39" t="n">
        <v>0.25857330922567</v>
      </c>
      <c r="G132" s="39" t="n">
        <v>0.0526757867843173</v>
      </c>
      <c r="H132" s="39" t="n">
        <v>0.153925287733274</v>
      </c>
      <c r="I132" s="39" t="n">
        <v>0.15965251139446</v>
      </c>
      <c r="J132" s="39" t="n">
        <v>0.0581791997943354</v>
      </c>
      <c r="K132" s="38" t="n">
        <f aca="false">E132*Scorecard!$E$18+F132*Scorecard!$E$19+G132*Scorecard!$E$20+H132*Scorecard!$E$21+I132*Scorecard!$E$22+J132*Scorecard!$E$23</f>
        <v>3.24505136335673</v>
      </c>
      <c r="M132" s="0" t="str">
        <f aca="false">IF(AND(T132&gt;=U132,T132&gt;=V132),"A. Distribution",IF(U132&gt;=V132,"B. Manufacturing","C. Prof. services"))</f>
        <v>A. Distribution</v>
      </c>
      <c r="N132" s="39" t="n">
        <v>0.219290335282003</v>
      </c>
      <c r="O132" s="39" t="n">
        <v>0.219545868400826</v>
      </c>
      <c r="P132" s="39" t="n">
        <v>0.320782727326327</v>
      </c>
      <c r="Q132" s="39" t="n">
        <v>0.0578270693987588</v>
      </c>
      <c r="R132" s="39" t="n">
        <v>0.128919982087388</v>
      </c>
      <c r="S132" s="39" t="n">
        <v>0.0536340175046978</v>
      </c>
      <c r="T132" s="38" t="n">
        <f aca="false">N132*Scorecard!$C$18+O132*Scorecard!$C$19+P132*Scorecard!$C$20+Q132*Scorecard!$C$21+R132*Scorecard!$C$22+S132*Scorecard!$C$23</f>
        <v>4.0884408196132</v>
      </c>
      <c r="U132" s="38" t="n">
        <f aca="false">N132*Scorecard!$D$18+O132*Scorecard!$D$19+P132*Scorecard!$D$20+Q132*Scorecard!$D$21+R132*Scorecard!$D$22+S132*Scorecard!$D$23</f>
        <v>2.72198918441494</v>
      </c>
      <c r="V132" s="38" t="n">
        <f aca="false">N132*Scorecard!$E$18+O132*Scorecard!$E$19+P132*Scorecard!$E$20+Q132*Scorecard!$E$21+R132*Scorecard!$E$22+S132*Scorecard!$E$23</f>
        <v>3.42093797427967</v>
      </c>
    </row>
    <row r="133" customFormat="false" ht="15" hidden="false" customHeight="false" outlineLevel="0" collapsed="false">
      <c r="A133" s="0" t="n">
        <v>128</v>
      </c>
      <c r="B133" s="38" t="n">
        <f aca="false">E133*Scorecard!$C$18+F133*Scorecard!$C$19+G133*Scorecard!$C$20+H133*Scorecard!$C$21+I133*Scorecard!$C$22+J133*Scorecard!$C$23</f>
        <v>4.04550532566105</v>
      </c>
      <c r="C133" s="38" t="n">
        <f aca="false">E133*Scorecard!$D$18+F133*Scorecard!$D$19+G133*Scorecard!$D$20+H133*Scorecard!$D$21+I133*Scorecard!$D$22+J133*Scorecard!$D$23</f>
        <v>2.52025704370778</v>
      </c>
      <c r="D133" s="0" t="str">
        <f aca="false">IF(AND(B133&gt;=C133,B133&gt;=K133),"A. Distribution",IF(C133&gt;=K133,"B. Manufacturing","C. Prof. services"))</f>
        <v>A. Distribution</v>
      </c>
      <c r="E133" s="39" t="n">
        <v>0.0672099169777179</v>
      </c>
      <c r="F133" s="39" t="n">
        <v>0.275952475320308</v>
      </c>
      <c r="G133" s="39" t="n">
        <v>0.0822979215267082</v>
      </c>
      <c r="H133" s="39" t="n">
        <v>0.341388617763428</v>
      </c>
      <c r="I133" s="39" t="n">
        <v>0.139017939163417</v>
      </c>
      <c r="J133" s="39" t="n">
        <v>0.0941331292484209</v>
      </c>
      <c r="K133" s="38" t="n">
        <f aca="false">E133*Scorecard!$E$18+F133*Scorecard!$E$19+G133*Scorecard!$E$20+H133*Scorecard!$E$21+I133*Scorecard!$E$22+J133*Scorecard!$E$23</f>
        <v>3.34022187363604</v>
      </c>
      <c r="M133" s="0" t="str">
        <f aca="false">IF(AND(T133&gt;=U133,T133&gt;=V133),"A. Distribution",IF(U133&gt;=V133,"B. Manufacturing","C. Prof. services"))</f>
        <v>A. Distribution</v>
      </c>
      <c r="N133" s="39" t="n">
        <v>0.344694925821679</v>
      </c>
      <c r="O133" s="39" t="n">
        <v>0.258844171165982</v>
      </c>
      <c r="P133" s="39" t="n">
        <v>0.138077754490792</v>
      </c>
      <c r="Q133" s="39" t="n">
        <v>0.0594817173860833</v>
      </c>
      <c r="R133" s="39" t="n">
        <v>0.0679325120914179</v>
      </c>
      <c r="S133" s="39" t="n">
        <v>0.130968919044046</v>
      </c>
      <c r="T133" s="38" t="n">
        <f aca="false">N133*Scorecard!$C$18+O133*Scorecard!$C$19+P133*Scorecard!$C$20+Q133*Scorecard!$C$21+R133*Scorecard!$C$22+S133*Scorecard!$C$23</f>
        <v>3.96282270025865</v>
      </c>
      <c r="U133" s="38" t="n">
        <f aca="false">N133*Scorecard!$D$18+O133*Scorecard!$D$19+P133*Scorecard!$D$20+Q133*Scorecard!$D$21+R133*Scorecard!$D$22+S133*Scorecard!$D$23</f>
        <v>2.87704636941571</v>
      </c>
      <c r="V133" s="38" t="n">
        <f aca="false">N133*Scorecard!$E$18+O133*Scorecard!$E$19+P133*Scorecard!$E$20+Q133*Scorecard!$E$21+R133*Scorecard!$E$22+S133*Scorecard!$E$23</f>
        <v>3.45103184967217</v>
      </c>
    </row>
    <row r="134" customFormat="false" ht="15" hidden="false" customHeight="false" outlineLevel="0" collapsed="false">
      <c r="A134" s="0" t="n">
        <v>129</v>
      </c>
      <c r="B134" s="38" t="n">
        <f aca="false">E134*Scorecard!$C$18+F134*Scorecard!$C$19+G134*Scorecard!$C$20+H134*Scorecard!$C$21+I134*Scorecard!$C$22+J134*Scorecard!$C$23</f>
        <v>4.18866576845066</v>
      </c>
      <c r="C134" s="38" t="n">
        <f aca="false">E134*Scorecard!$D$18+F134*Scorecard!$D$19+G134*Scorecard!$D$20+H134*Scorecard!$D$21+I134*Scorecard!$D$22+J134*Scorecard!$D$23</f>
        <v>3.14164222936292</v>
      </c>
      <c r="D134" s="0" t="str">
        <f aca="false">IF(AND(B134&gt;=C134,B134&gt;=K134),"A. Distribution",IF(C134&gt;=K134,"B. Manufacturing","C. Prof. services"))</f>
        <v>A. Distribution</v>
      </c>
      <c r="E134" s="39" t="n">
        <v>0.356506159741186</v>
      </c>
      <c r="F134" s="39" t="n">
        <v>0.244178840383329</v>
      </c>
      <c r="G134" s="39" t="n">
        <v>0.157257451677474</v>
      </c>
      <c r="H134" s="39" t="n">
        <v>0.00758143095201262</v>
      </c>
      <c r="I134" s="39" t="n">
        <v>0.221439397451483</v>
      </c>
      <c r="J134" s="39" t="n">
        <v>0.0130367197945154</v>
      </c>
      <c r="K134" s="38" t="n">
        <f aca="false">E134*Scorecard!$E$18+F134*Scorecard!$E$19+G134*Scorecard!$E$20+H134*Scorecard!$E$21+I134*Scorecard!$E$22+J134*Scorecard!$E$23</f>
        <v>3.16481673693475</v>
      </c>
      <c r="M134" s="0" t="str">
        <f aca="false">IF(AND(T134&gt;=U134,T134&gt;=V134),"A. Distribution",IF(U134&gt;=V134,"B. Manufacturing","C. Prof. services"))</f>
        <v>A. Distribution</v>
      </c>
      <c r="N134" s="39" t="n">
        <v>0.115067349749596</v>
      </c>
      <c r="O134" s="39" t="n">
        <v>0.230532937606793</v>
      </c>
      <c r="P134" s="39" t="n">
        <v>0.311595840023502</v>
      </c>
      <c r="Q134" s="39" t="n">
        <v>0.0902358736739621</v>
      </c>
      <c r="R134" s="39" t="n">
        <v>0.168580262102172</v>
      </c>
      <c r="S134" s="39" t="n">
        <v>0.0839877368439749</v>
      </c>
      <c r="T134" s="38" t="n">
        <f aca="false">N134*Scorecard!$C$18+O134*Scorecard!$C$19+P134*Scorecard!$C$20+Q134*Scorecard!$C$21+R134*Scorecard!$C$22+S134*Scorecard!$C$23</f>
        <v>4.04359610952318</v>
      </c>
      <c r="U134" s="38" t="n">
        <f aca="false">N134*Scorecard!$D$18+O134*Scorecard!$D$19+P134*Scorecard!$D$20+Q134*Scorecard!$D$21+R134*Scorecard!$D$22+S134*Scorecard!$D$23</f>
        <v>2.56410744019679</v>
      </c>
      <c r="V134" s="38" t="n">
        <f aca="false">N134*Scorecard!$E$18+O134*Scorecard!$E$19+P134*Scorecard!$E$20+Q134*Scorecard!$E$21+R134*Scorecard!$E$22+S134*Scorecard!$E$23</f>
        <v>3.39839026103105</v>
      </c>
    </row>
    <row r="135" customFormat="false" ht="15" hidden="false" customHeight="false" outlineLevel="0" collapsed="false">
      <c r="A135" s="0" t="n">
        <v>130</v>
      </c>
      <c r="B135" s="38" t="n">
        <f aca="false">E135*Scorecard!$C$18+F135*Scorecard!$C$19+G135*Scorecard!$C$20+H135*Scorecard!$C$21+I135*Scorecard!$C$22+J135*Scorecard!$C$23</f>
        <v>3.75127677595665</v>
      </c>
      <c r="C135" s="38" t="n">
        <f aca="false">E135*Scorecard!$D$18+F135*Scorecard!$D$19+G135*Scorecard!$D$20+H135*Scorecard!$D$21+I135*Scorecard!$D$22+J135*Scorecard!$D$23</f>
        <v>2.16949305537941</v>
      </c>
      <c r="D135" s="0" t="str">
        <f aca="false">IF(AND(B135&gt;=C135,B135&gt;=K135),"A. Distribution",IF(C135&gt;=K135,"B. Manufacturing","C. Prof. services"))</f>
        <v>A. Distribution</v>
      </c>
      <c r="E135" s="39" t="n">
        <v>0.0211789112860611</v>
      </c>
      <c r="F135" s="39" t="n">
        <v>0.27979360203301</v>
      </c>
      <c r="G135" s="39" t="n">
        <v>0.209275212791837</v>
      </c>
      <c r="H135" s="39" t="n">
        <v>0.203425432623174</v>
      </c>
      <c r="I135" s="39" t="n">
        <v>0.0338782263049114</v>
      </c>
      <c r="J135" s="39" t="n">
        <v>0.252448614961007</v>
      </c>
      <c r="K135" s="38" t="n">
        <f aca="false">E135*Scorecard!$E$18+F135*Scorecard!$E$19+G135*Scorecard!$E$20+H135*Scorecard!$E$21+I135*Scorecard!$E$22+J135*Scorecard!$E$23</f>
        <v>3.65816414734416</v>
      </c>
      <c r="M135" s="0" t="str">
        <f aca="false">IF(AND(T135&gt;=U135,T135&gt;=V135),"A. Distribution",IF(U135&gt;=V135,"B. Manufacturing","C. Prof. services"))</f>
        <v>A. Distribution</v>
      </c>
      <c r="N135" s="39" t="n">
        <v>0.144789358698277</v>
      </c>
      <c r="O135" s="39" t="n">
        <v>0.134925515991303</v>
      </c>
      <c r="P135" s="39" t="n">
        <v>0.253395419556161</v>
      </c>
      <c r="Q135" s="39" t="n">
        <v>0.245623710581597</v>
      </c>
      <c r="R135" s="39" t="n">
        <v>0.117129696799113</v>
      </c>
      <c r="S135" s="39" t="n">
        <v>0.104136298373549</v>
      </c>
      <c r="T135" s="38" t="n">
        <f aca="false">N135*Scorecard!$C$18+O135*Scorecard!$C$19+P135*Scorecard!$C$20+Q135*Scorecard!$C$21+R135*Scorecard!$C$22+S135*Scorecard!$C$23</f>
        <v>3.88856215008826</v>
      </c>
      <c r="U135" s="38" t="n">
        <f aca="false">N135*Scorecard!$D$18+O135*Scorecard!$D$19+P135*Scorecard!$D$20+Q135*Scorecard!$D$21+R135*Scorecard!$D$22+S135*Scorecard!$D$23</f>
        <v>2.54033229524901</v>
      </c>
      <c r="V135" s="38" t="n">
        <f aca="false">N135*Scorecard!$E$18+O135*Scorecard!$E$19+P135*Scorecard!$E$20+Q135*Scorecard!$E$21+R135*Scorecard!$E$22+S135*Scorecard!$E$23</f>
        <v>3.54282343040209</v>
      </c>
    </row>
    <row r="136" customFormat="false" ht="15" hidden="false" customHeight="false" outlineLevel="0" collapsed="false">
      <c r="A136" s="0" t="n">
        <v>131</v>
      </c>
      <c r="B136" s="38" t="n">
        <f aca="false">E136*Scorecard!$C$18+F136*Scorecard!$C$19+G136*Scorecard!$C$20+H136*Scorecard!$C$21+I136*Scorecard!$C$22+J136*Scorecard!$C$23</f>
        <v>3.85846233996343</v>
      </c>
      <c r="C136" s="38" t="n">
        <f aca="false">E136*Scorecard!$D$18+F136*Scorecard!$D$19+G136*Scorecard!$D$20+H136*Scorecard!$D$21+I136*Scorecard!$D$22+J136*Scorecard!$D$23</f>
        <v>3.00298860920149</v>
      </c>
      <c r="D136" s="0" t="str">
        <f aca="false">IF(AND(B136&gt;=C136,B136&gt;=K136),"A. Distribution",IF(C136&gt;=K136,"B. Manufacturing","C. Prof. services"))</f>
        <v>A. Distribution</v>
      </c>
      <c r="E136" s="39" t="n">
        <v>0.405571535626017</v>
      </c>
      <c r="F136" s="39" t="n">
        <v>0.0158511100213102</v>
      </c>
      <c r="G136" s="39" t="n">
        <v>0.092588931375165</v>
      </c>
      <c r="H136" s="39" t="n">
        <v>0.381593514194207</v>
      </c>
      <c r="I136" s="39" t="n">
        <v>0.0625400009663305</v>
      </c>
      <c r="J136" s="39" t="n">
        <v>0.0418549078169709</v>
      </c>
      <c r="K136" s="38" t="n">
        <f aca="false">E136*Scorecard!$E$18+F136*Scorecard!$E$19+G136*Scorecard!$E$20+H136*Scorecard!$E$21+I136*Scorecard!$E$22+J136*Scorecard!$E$23</f>
        <v>3.5701475546152</v>
      </c>
      <c r="M136" s="0" t="str">
        <f aca="false">IF(AND(T136&gt;=U136,T136&gt;=V136),"A. Distribution",IF(U136&gt;=V136,"B. Manufacturing","C. Prof. services"))</f>
        <v>A. Distribution</v>
      </c>
      <c r="N136" s="39" t="n">
        <v>0.277565787838987</v>
      </c>
      <c r="O136" s="39" t="n">
        <v>0.123436850376345</v>
      </c>
      <c r="P136" s="39" t="n">
        <v>0.243246857319307</v>
      </c>
      <c r="Q136" s="39" t="n">
        <v>0.0695111646281656</v>
      </c>
      <c r="R136" s="39" t="n">
        <v>0.159312821675996</v>
      </c>
      <c r="S136" s="39" t="n">
        <v>0.1269265181612</v>
      </c>
      <c r="T136" s="38" t="n">
        <f aca="false">N136*Scorecard!$C$18+O136*Scorecard!$C$19+P136*Scorecard!$C$20+Q136*Scorecard!$C$21+R136*Scorecard!$C$22+S136*Scorecard!$C$23</f>
        <v>3.83980908419467</v>
      </c>
      <c r="U136" s="38" t="n">
        <f aca="false">N136*Scorecard!$D$18+O136*Scorecard!$D$19+P136*Scorecard!$D$20+Q136*Scorecard!$D$21+R136*Scorecard!$D$22+S136*Scorecard!$D$23</f>
        <v>2.7962705539155</v>
      </c>
      <c r="V136" s="38" t="n">
        <f aca="false">N136*Scorecard!$E$18+O136*Scorecard!$E$19+P136*Scorecard!$E$20+Q136*Scorecard!$E$21+R136*Scorecard!$E$22+S136*Scorecard!$E$23</f>
        <v>3.48885962392156</v>
      </c>
    </row>
    <row r="137" customFormat="false" ht="15" hidden="false" customHeight="false" outlineLevel="0" collapsed="false">
      <c r="A137" s="0" t="n">
        <v>132</v>
      </c>
      <c r="B137" s="38" t="n">
        <f aca="false">E137*Scorecard!$C$18+F137*Scorecard!$C$19+G137*Scorecard!$C$20+H137*Scorecard!$C$21+I137*Scorecard!$C$22+J137*Scorecard!$C$23</f>
        <v>3.11808428620489</v>
      </c>
      <c r="C137" s="38" t="n">
        <f aca="false">E137*Scorecard!$D$18+F137*Scorecard!$D$19+G137*Scorecard!$D$20+H137*Scorecard!$D$21+I137*Scorecard!$D$22+J137*Scorecard!$D$23</f>
        <v>2.40071501621854</v>
      </c>
      <c r="D137" s="0" t="str">
        <f aca="false">IF(AND(B137&gt;=C137,B137&gt;=K137),"A. Distribution",IF(C137&gt;=K137,"B. Manufacturing","C. Prof. services"))</f>
        <v>C. Prof. services</v>
      </c>
      <c r="E137" s="39" t="n">
        <v>0.221417631807363</v>
      </c>
      <c r="F137" s="39" t="n">
        <v>0.000923553705746916</v>
      </c>
      <c r="G137" s="39" t="n">
        <v>0.00545884098866295</v>
      </c>
      <c r="H137" s="39" t="n">
        <v>0.301816923302811</v>
      </c>
      <c r="I137" s="39" t="n">
        <v>0.0541123451856347</v>
      </c>
      <c r="J137" s="39" t="n">
        <v>0.416270705009783</v>
      </c>
      <c r="K137" s="38" t="n">
        <f aca="false">E137*Scorecard!$E$18+F137*Scorecard!$E$19+G137*Scorecard!$E$20+H137*Scorecard!$E$21+I137*Scorecard!$E$22+J137*Scorecard!$E$23</f>
        <v>3.90741644274985</v>
      </c>
      <c r="M137" s="0" t="str">
        <f aca="false">IF(AND(T137&gt;=U137,T137&gt;=V137),"A. Distribution",IF(U137&gt;=V137,"B. Manufacturing","C. Prof. services"))</f>
        <v>A. Distribution</v>
      </c>
      <c r="N137" s="39" t="n">
        <v>0.199169588845923</v>
      </c>
      <c r="O137" s="39" t="n">
        <v>0.1685357512034</v>
      </c>
      <c r="P137" s="39" t="n">
        <v>0.214652169180212</v>
      </c>
      <c r="Q137" s="39" t="n">
        <v>0.0727671030877716</v>
      </c>
      <c r="R137" s="39" t="n">
        <v>0.194030713307583</v>
      </c>
      <c r="S137" s="39" t="n">
        <v>0.150844674375111</v>
      </c>
      <c r="T137" s="38" t="n">
        <f aca="false">N137*Scorecard!$C$18+O137*Scorecard!$C$19+P137*Scorecard!$C$20+Q137*Scorecard!$C$21+R137*Scorecard!$C$22+S137*Scorecard!$C$23</f>
        <v>3.84301502105663</v>
      </c>
      <c r="U137" s="38" t="n">
        <f aca="false">N137*Scorecard!$D$18+O137*Scorecard!$D$19+P137*Scorecard!$D$20+Q137*Scorecard!$D$21+R137*Scorecard!$D$22+S137*Scorecard!$D$23</f>
        <v>2.69682551845037</v>
      </c>
      <c r="V137" s="38" t="n">
        <f aca="false">N137*Scorecard!$E$18+O137*Scorecard!$E$19+P137*Scorecard!$E$20+Q137*Scorecard!$E$21+R137*Scorecard!$E$22+S137*Scorecard!$E$23</f>
        <v>3.4271755121052</v>
      </c>
    </row>
    <row r="138" customFormat="false" ht="15" hidden="false" customHeight="false" outlineLevel="0" collapsed="false">
      <c r="A138" s="0" t="n">
        <v>133</v>
      </c>
      <c r="B138" s="38" t="n">
        <f aca="false">E138*Scorecard!$C$18+F138*Scorecard!$C$19+G138*Scorecard!$C$20+H138*Scorecard!$C$21+I138*Scorecard!$C$22+J138*Scorecard!$C$23</f>
        <v>3.61205177517108</v>
      </c>
      <c r="C138" s="38" t="n">
        <f aca="false">E138*Scorecard!$D$18+F138*Scorecard!$D$19+G138*Scorecard!$D$20+H138*Scorecard!$D$21+I138*Scorecard!$D$22+J138*Scorecard!$D$23</f>
        <v>2.6578183336281</v>
      </c>
      <c r="D138" s="0" t="str">
        <f aca="false">IF(AND(B138&gt;=C138,B138&gt;=K138),"A. Distribution",IF(C138&gt;=K138,"B. Manufacturing","C. Prof. services"))</f>
        <v>C. Prof. services</v>
      </c>
      <c r="E138" s="39" t="n">
        <v>0.320438208009672</v>
      </c>
      <c r="F138" s="39" t="n">
        <v>0.239438480609066</v>
      </c>
      <c r="G138" s="39" t="n">
        <v>0.0891542078587699</v>
      </c>
      <c r="H138" s="39" t="n">
        <v>0.0359011082514846</v>
      </c>
      <c r="I138" s="39" t="n">
        <v>0.0161722999415282</v>
      </c>
      <c r="J138" s="39" t="n">
        <v>0.298895695329479</v>
      </c>
      <c r="K138" s="38" t="n">
        <f aca="false">E138*Scorecard!$E$18+F138*Scorecard!$E$19+G138*Scorecard!$E$20+H138*Scorecard!$E$21+I138*Scorecard!$E$22+J138*Scorecard!$E$23</f>
        <v>3.6643029022364</v>
      </c>
      <c r="M138" s="0" t="str">
        <f aca="false">IF(AND(T138&gt;=U138,T138&gt;=V138),"A. Distribution",IF(U138&gt;=V138,"B. Manufacturing","C. Prof. services"))</f>
        <v>A. Distribution</v>
      </c>
      <c r="N138" s="39" t="n">
        <v>0.112461897106042</v>
      </c>
      <c r="O138" s="39" t="n">
        <v>0.136778278532487</v>
      </c>
      <c r="P138" s="39" t="n">
        <v>0.274114060870377</v>
      </c>
      <c r="Q138" s="39" t="n">
        <v>0.156307600658287</v>
      </c>
      <c r="R138" s="39" t="n">
        <v>0.16806514379323</v>
      </c>
      <c r="S138" s="39" t="n">
        <v>0.152273019039577</v>
      </c>
      <c r="T138" s="38" t="n">
        <f aca="false">N138*Scorecard!$C$18+O138*Scorecard!$C$19+P138*Scorecard!$C$20+Q138*Scorecard!$C$21+R138*Scorecard!$C$22+S138*Scorecard!$C$23</f>
        <v>3.80636080208594</v>
      </c>
      <c r="U138" s="38" t="n">
        <f aca="false">N138*Scorecard!$D$18+O138*Scorecard!$D$19+P138*Scorecard!$D$20+Q138*Scorecard!$D$21+R138*Scorecard!$D$22+S138*Scorecard!$D$23</f>
        <v>2.49364415841802</v>
      </c>
      <c r="V138" s="38" t="n">
        <f aca="false">N138*Scorecard!$E$18+O138*Scorecard!$E$19+P138*Scorecard!$E$20+Q138*Scorecard!$E$21+R138*Scorecard!$E$22+S138*Scorecard!$E$23</f>
        <v>3.5251597254182</v>
      </c>
    </row>
    <row r="139" customFormat="false" ht="15" hidden="false" customHeight="false" outlineLevel="0" collapsed="false">
      <c r="A139" s="0" t="n">
        <v>134</v>
      </c>
      <c r="B139" s="38" t="n">
        <f aca="false">E139*Scorecard!$C$18+F139*Scorecard!$C$19+G139*Scorecard!$C$20+H139*Scorecard!$C$21+I139*Scorecard!$C$22+J139*Scorecard!$C$23</f>
        <v>4.02527904069226</v>
      </c>
      <c r="C139" s="38" t="n">
        <f aca="false">E139*Scorecard!$D$18+F139*Scorecard!$D$19+G139*Scorecard!$D$20+H139*Scorecard!$D$21+I139*Scorecard!$D$22+J139*Scorecard!$D$23</f>
        <v>2.76801659654198</v>
      </c>
      <c r="D139" s="0" t="str">
        <f aca="false">IF(AND(B139&gt;=C139,B139&gt;=K139),"A. Distribution",IF(C139&gt;=K139,"B. Manufacturing","C. Prof. services"))</f>
        <v>A. Distribution</v>
      </c>
      <c r="E139" s="39" t="n">
        <v>0.0464194621928492</v>
      </c>
      <c r="F139" s="39" t="n">
        <v>0.0902685565212473</v>
      </c>
      <c r="G139" s="39" t="n">
        <v>0.33914865492427</v>
      </c>
      <c r="H139" s="39" t="n">
        <v>0.0174493524753755</v>
      </c>
      <c r="I139" s="39" t="n">
        <v>0.477022739341253</v>
      </c>
      <c r="J139" s="39" t="n">
        <v>0.0296912345450048</v>
      </c>
      <c r="K139" s="38" t="n">
        <f aca="false">E139*Scorecard!$E$18+F139*Scorecard!$E$19+G139*Scorecard!$E$20+H139*Scorecard!$E$21+I139*Scorecard!$E$22+J139*Scorecard!$E$23</f>
        <v>3.08296616229297</v>
      </c>
      <c r="M139" s="0" t="str">
        <f aca="false">IF(AND(T139&gt;=U139,T139&gt;=V139),"A. Distribution",IF(U139&gt;=V139,"B. Manufacturing","C. Prof. services"))</f>
        <v>A. Distribution</v>
      </c>
      <c r="N139" s="39" t="n">
        <v>0.207838758825284</v>
      </c>
      <c r="O139" s="39" t="n">
        <v>0.0985486523044891</v>
      </c>
      <c r="P139" s="39" t="n">
        <v>0.221572801137776</v>
      </c>
      <c r="Q139" s="39" t="n">
        <v>0.074554204778274</v>
      </c>
      <c r="R139" s="39" t="n">
        <v>0.263161743365221</v>
      </c>
      <c r="S139" s="39" t="n">
        <v>0.134323839588956</v>
      </c>
      <c r="T139" s="38" t="n">
        <f aca="false">N139*Scorecard!$C$18+O139*Scorecard!$C$19+P139*Scorecard!$C$20+Q139*Scorecard!$C$21+R139*Scorecard!$C$22+S139*Scorecard!$C$23</f>
        <v>3.80518101080195</v>
      </c>
      <c r="U139" s="38" t="n">
        <f aca="false">N139*Scorecard!$D$18+O139*Scorecard!$D$19+P139*Scorecard!$D$20+Q139*Scorecard!$D$21+R139*Scorecard!$D$22+S139*Scorecard!$D$23</f>
        <v>2.77824069817376</v>
      </c>
      <c r="V139" s="38" t="n">
        <f aca="false">N139*Scorecard!$E$18+O139*Scorecard!$E$19+P139*Scorecard!$E$20+Q139*Scorecard!$E$21+R139*Scorecard!$E$22+S139*Scorecard!$E$23</f>
        <v>3.38243914646819</v>
      </c>
    </row>
    <row r="140" customFormat="false" ht="15" hidden="false" customHeight="false" outlineLevel="0" collapsed="false">
      <c r="A140" s="0" t="n">
        <v>135</v>
      </c>
      <c r="B140" s="38" t="n">
        <f aca="false">E140*Scorecard!$C$18+F140*Scorecard!$C$19+G140*Scorecard!$C$20+H140*Scorecard!$C$21+I140*Scorecard!$C$22+J140*Scorecard!$C$23</f>
        <v>3.69304915633326</v>
      </c>
      <c r="C140" s="38" t="n">
        <f aca="false">E140*Scorecard!$D$18+F140*Scorecard!$D$19+G140*Scorecard!$D$20+H140*Scorecard!$D$21+I140*Scorecard!$D$22+J140*Scorecard!$D$23</f>
        <v>2.30703013035672</v>
      </c>
      <c r="D140" s="0" t="str">
        <f aca="false">IF(AND(B140&gt;=C140,B140&gt;=K140),"A. Distribution",IF(C140&gt;=K140,"B. Manufacturing","C. Prof. services"))</f>
        <v>A. Distribution</v>
      </c>
      <c r="E140" s="39" t="n">
        <v>0.0234864567396963</v>
      </c>
      <c r="F140" s="39" t="n">
        <v>0.00946341798691954</v>
      </c>
      <c r="G140" s="39" t="n">
        <v>0.268598750911636</v>
      </c>
      <c r="H140" s="39" t="n">
        <v>0.4122404818111</v>
      </c>
      <c r="I140" s="39" t="n">
        <v>0.151156164530379</v>
      </c>
      <c r="J140" s="39" t="n">
        <v>0.13505472802027</v>
      </c>
      <c r="K140" s="38" t="n">
        <f aca="false">E140*Scorecard!$E$18+F140*Scorecard!$E$19+G140*Scorecard!$E$20+H140*Scorecard!$E$21+I140*Scorecard!$E$22+J140*Scorecard!$E$23</f>
        <v>3.65770552496678</v>
      </c>
      <c r="M140" s="0" t="str">
        <f aca="false">IF(AND(T140&gt;=U140,T140&gt;=V140),"A. Distribution",IF(U140&gt;=V140,"B. Manufacturing","C. Prof. services"))</f>
        <v>A. Distribution</v>
      </c>
      <c r="N140" s="39" t="n">
        <v>0.21111282609388</v>
      </c>
      <c r="O140" s="39" t="n">
        <v>0.152077606421414</v>
      </c>
      <c r="P140" s="39" t="n">
        <v>0.209127661727344</v>
      </c>
      <c r="Q140" s="39" t="n">
        <v>0.136849015012294</v>
      </c>
      <c r="R140" s="39" t="n">
        <v>0.260028888811591</v>
      </c>
      <c r="S140" s="39" t="n">
        <v>0.0308040019334774</v>
      </c>
      <c r="T140" s="38" t="n">
        <f aca="false">N140*Scorecard!$C$18+O140*Scorecard!$C$19+P140*Scorecard!$C$20+Q140*Scorecard!$C$21+R140*Scorecard!$C$22+S140*Scorecard!$C$23</f>
        <v>4.05877447358049</v>
      </c>
      <c r="U140" s="38" t="n">
        <f aca="false">N140*Scorecard!$D$18+O140*Scorecard!$D$19+P140*Scorecard!$D$20+Q140*Scorecard!$D$21+R140*Scorecard!$D$22+S140*Scorecard!$D$23</f>
        <v>2.87901579733205</v>
      </c>
      <c r="V140" s="38" t="n">
        <f aca="false">N140*Scorecard!$E$18+O140*Scorecard!$E$19+P140*Scorecard!$E$20+Q140*Scorecard!$E$21+R140*Scorecard!$E$22+S140*Scorecard!$E$23</f>
        <v>3.24989911832753</v>
      </c>
    </row>
    <row r="141" customFormat="false" ht="15" hidden="false" customHeight="false" outlineLevel="0" collapsed="false">
      <c r="A141" s="0" t="n">
        <v>136</v>
      </c>
      <c r="B141" s="38" t="n">
        <f aca="false">E141*Scorecard!$C$18+F141*Scorecard!$C$19+G141*Scorecard!$C$20+H141*Scorecard!$C$21+I141*Scorecard!$C$22+J141*Scorecard!$C$23</f>
        <v>3.6757516772149</v>
      </c>
      <c r="C141" s="38" t="n">
        <f aca="false">E141*Scorecard!$D$18+F141*Scorecard!$D$19+G141*Scorecard!$D$20+H141*Scorecard!$D$21+I141*Scorecard!$D$22+J141*Scorecard!$D$23</f>
        <v>2.39942712091152</v>
      </c>
      <c r="D141" s="0" t="str">
        <f aca="false">IF(AND(B141&gt;=C141,B141&gt;=K141),"A. Distribution",IF(C141&gt;=K141,"B. Manufacturing","C. Prof. services"))</f>
        <v>A. Distribution</v>
      </c>
      <c r="E141" s="39" t="n">
        <v>0.0399061047873965</v>
      </c>
      <c r="F141" s="39" t="n">
        <v>0.154802068526964</v>
      </c>
      <c r="G141" s="39" t="n">
        <v>0.162151807078762</v>
      </c>
      <c r="H141" s="39" t="n">
        <v>0.195962241977653</v>
      </c>
      <c r="I141" s="39" t="n">
        <v>0.219812071420628</v>
      </c>
      <c r="J141" s="39" t="n">
        <v>0.227365706208597</v>
      </c>
      <c r="K141" s="38" t="n">
        <f aca="false">E141*Scorecard!$E$18+F141*Scorecard!$E$19+G141*Scorecard!$E$20+H141*Scorecard!$E$21+I141*Scorecard!$E$22+J141*Scorecard!$E$23</f>
        <v>3.47822132272198</v>
      </c>
      <c r="M141" s="0" t="str">
        <f aca="false">IF(AND(T141&gt;=U141,T141&gt;=V141),"A. Distribution",IF(U141&gt;=V141,"B. Manufacturing","C. Prof. services"))</f>
        <v>A. Distribution</v>
      </c>
      <c r="N141" s="39" t="n">
        <v>0.100924895397502</v>
      </c>
      <c r="O141" s="39" t="n">
        <v>0.253751250780712</v>
      </c>
      <c r="P141" s="39" t="n">
        <v>0.145702031046662</v>
      </c>
      <c r="Q141" s="39" t="n">
        <v>0.119692258767468</v>
      </c>
      <c r="R141" s="39" t="n">
        <v>0.214355332389887</v>
      </c>
      <c r="S141" s="39" t="n">
        <v>0.16557423161777</v>
      </c>
      <c r="T141" s="38" t="n">
        <f aca="false">N141*Scorecard!$C$18+O141*Scorecard!$C$19+P141*Scorecard!$C$20+Q141*Scorecard!$C$21+R141*Scorecard!$C$22+S141*Scorecard!$C$23</f>
        <v>3.90160294237651</v>
      </c>
      <c r="U141" s="38" t="n">
        <f aca="false">N141*Scorecard!$D$18+O141*Scorecard!$D$19+P141*Scorecard!$D$20+Q141*Scorecard!$D$21+R141*Scorecard!$D$22+S141*Scorecard!$D$23</f>
        <v>2.57664205811863</v>
      </c>
      <c r="V141" s="38" t="n">
        <f aca="false">N141*Scorecard!$E$18+O141*Scorecard!$E$19+P141*Scorecard!$E$20+Q141*Scorecard!$E$21+R141*Scorecard!$E$22+S141*Scorecard!$E$23</f>
        <v>3.33257136387759</v>
      </c>
    </row>
    <row r="142" customFormat="false" ht="15" hidden="false" customHeight="false" outlineLevel="0" collapsed="false">
      <c r="A142" s="0" t="n">
        <v>137</v>
      </c>
      <c r="B142" s="38" t="n">
        <f aca="false">E142*Scorecard!$C$18+F142*Scorecard!$C$19+G142*Scorecard!$C$20+H142*Scorecard!$C$21+I142*Scorecard!$C$22+J142*Scorecard!$C$23</f>
        <v>3.76405956304777</v>
      </c>
      <c r="C142" s="38" t="n">
        <f aca="false">E142*Scorecard!$D$18+F142*Scorecard!$D$19+G142*Scorecard!$D$20+H142*Scorecard!$D$21+I142*Scorecard!$D$22+J142*Scorecard!$D$23</f>
        <v>2.15897161547665</v>
      </c>
      <c r="D142" s="0" t="str">
        <f aca="false">IF(AND(B142&gt;=C142,B142&gt;=K142),"A. Distribution",IF(C142&gt;=K142,"B. Manufacturing","C. Prof. services"))</f>
        <v>A. Distribution</v>
      </c>
      <c r="E142" s="39" t="n">
        <v>0.00357439763553339</v>
      </c>
      <c r="F142" s="39" t="n">
        <v>0.214410512061986</v>
      </c>
      <c r="G142" s="39" t="n">
        <v>0.178295357974385</v>
      </c>
      <c r="H142" s="39" t="n">
        <v>0.375956046896413</v>
      </c>
      <c r="I142" s="39" t="n">
        <v>0.0229864416810225</v>
      </c>
      <c r="J142" s="39" t="n">
        <v>0.204777243750661</v>
      </c>
      <c r="K142" s="38" t="n">
        <f aca="false">E142*Scorecard!$E$18+F142*Scorecard!$E$19+G142*Scorecard!$E$20+H142*Scorecard!$E$21+I142*Scorecard!$E$22+J142*Scorecard!$E$23</f>
        <v>3.68301359203131</v>
      </c>
      <c r="M142" s="0" t="str">
        <f aca="false">IF(AND(T142&gt;=U142,T142&gt;=V142),"A. Distribution",IF(U142&gt;=V142,"B. Manufacturing","C. Prof. services"))</f>
        <v>A. Distribution</v>
      </c>
      <c r="N142" s="39" t="n">
        <v>0.302504244359023</v>
      </c>
      <c r="O142" s="39" t="n">
        <v>0.248699143077277</v>
      </c>
      <c r="P142" s="39" t="n">
        <v>0.173810118132128</v>
      </c>
      <c r="Q142" s="39" t="n">
        <v>0.12083186125324</v>
      </c>
      <c r="R142" s="39" t="n">
        <v>0.114223027700435</v>
      </c>
      <c r="S142" s="39" t="n">
        <v>0.0399316054778979</v>
      </c>
      <c r="T142" s="38" t="n">
        <f aca="false">N142*Scorecard!$C$18+O142*Scorecard!$C$19+P142*Scorecard!$C$20+Q142*Scorecard!$C$21+R142*Scorecard!$C$22+S142*Scorecard!$C$23</f>
        <v>4.1315291389168</v>
      </c>
      <c r="U142" s="38" t="n">
        <f aca="false">N142*Scorecard!$D$18+O142*Scorecard!$D$19+P142*Scorecard!$D$20+Q142*Scorecard!$D$21+R142*Scorecard!$D$22+S142*Scorecard!$D$23</f>
        <v>2.91147446890466</v>
      </c>
      <c r="V142" s="38" t="n">
        <f aca="false">N142*Scorecard!$E$18+O142*Scorecard!$E$19+P142*Scorecard!$E$20+Q142*Scorecard!$E$21+R142*Scorecard!$E$22+S142*Scorecard!$E$23</f>
        <v>3.34151753295472</v>
      </c>
    </row>
    <row r="143" customFormat="false" ht="15" hidden="false" customHeight="false" outlineLevel="0" collapsed="false">
      <c r="A143" s="0" t="n">
        <v>138</v>
      </c>
      <c r="B143" s="38" t="n">
        <f aca="false">E143*Scorecard!$C$18+F143*Scorecard!$C$19+G143*Scorecard!$C$20+H143*Scorecard!$C$21+I143*Scorecard!$C$22+J143*Scorecard!$C$23</f>
        <v>4.06198528963053</v>
      </c>
      <c r="C143" s="38" t="n">
        <f aca="false">E143*Scorecard!$D$18+F143*Scorecard!$D$19+G143*Scorecard!$D$20+H143*Scorecard!$D$21+I143*Scorecard!$D$22+J143*Scorecard!$D$23</f>
        <v>2.79453134849019</v>
      </c>
      <c r="D143" s="0" t="str">
        <f aca="false">IF(AND(B143&gt;=C143,B143&gt;=K143),"A. Distribution",IF(C143&gt;=K143,"B. Manufacturing","C. Prof. services"))</f>
        <v>A. Distribution</v>
      </c>
      <c r="E143" s="39" t="n">
        <v>0.172105505758204</v>
      </c>
      <c r="F143" s="39" t="n">
        <v>0.176265630297931</v>
      </c>
      <c r="G143" s="39" t="n">
        <v>0.0437248888185028</v>
      </c>
      <c r="H143" s="39" t="n">
        <v>0.387911430951958</v>
      </c>
      <c r="I143" s="39" t="n">
        <v>0.190660113733489</v>
      </c>
      <c r="J143" s="39" t="n">
        <v>0.0293324304399155</v>
      </c>
      <c r="K143" s="38" t="n">
        <f aca="false">E143*Scorecard!$E$18+F143*Scorecard!$E$19+G143*Scorecard!$E$20+H143*Scorecard!$E$21+I143*Scorecard!$E$22+J143*Scorecard!$E$23</f>
        <v>3.27325268586862</v>
      </c>
      <c r="M143" s="0" t="str">
        <f aca="false">IF(AND(T143&gt;=U143,T143&gt;=V143),"A. Distribution",IF(U143&gt;=V143,"B. Manufacturing","C. Prof. services"))</f>
        <v>A. Distribution</v>
      </c>
      <c r="N143" s="39" t="n">
        <v>0.132414205616363</v>
      </c>
      <c r="O143" s="39" t="n">
        <v>0.298002128747217</v>
      </c>
      <c r="P143" s="39" t="n">
        <v>0.145843261176154</v>
      </c>
      <c r="Q143" s="39" t="n">
        <v>0.0779912748148309</v>
      </c>
      <c r="R143" s="39" t="n">
        <v>0.242067220774395</v>
      </c>
      <c r="S143" s="39" t="n">
        <v>0.103681908871041</v>
      </c>
      <c r="T143" s="38" t="n">
        <f aca="false">N143*Scorecard!$C$18+O143*Scorecard!$C$19+P143*Scorecard!$C$20+Q143*Scorecard!$C$21+R143*Scorecard!$C$22+S143*Scorecard!$C$23</f>
        <v>4.07160359626245</v>
      </c>
      <c r="U143" s="38" t="n">
        <f aca="false">N143*Scorecard!$D$18+O143*Scorecard!$D$19+P143*Scorecard!$D$20+Q143*Scorecard!$D$21+R143*Scorecard!$D$22+S143*Scorecard!$D$23</f>
        <v>2.71950664013262</v>
      </c>
      <c r="V143" s="38" t="n">
        <f aca="false">N143*Scorecard!$E$18+O143*Scorecard!$E$19+P143*Scorecard!$E$20+Q143*Scorecard!$E$21+R143*Scorecard!$E$22+S143*Scorecard!$E$23</f>
        <v>3.20043422734849</v>
      </c>
    </row>
    <row r="144" customFormat="false" ht="15" hidden="false" customHeight="false" outlineLevel="0" collapsed="false">
      <c r="A144" s="0" t="n">
        <v>139</v>
      </c>
      <c r="B144" s="38" t="n">
        <f aca="false">E144*Scorecard!$C$18+F144*Scorecard!$C$19+G144*Scorecard!$C$20+H144*Scorecard!$C$21+I144*Scorecard!$C$22+J144*Scorecard!$C$23</f>
        <v>3.80070217160462</v>
      </c>
      <c r="C144" s="38" t="n">
        <f aca="false">E144*Scorecard!$D$18+F144*Scorecard!$D$19+G144*Scorecard!$D$20+H144*Scorecard!$D$21+I144*Scorecard!$D$22+J144*Scorecard!$D$23</f>
        <v>3.17250401972473</v>
      </c>
      <c r="D144" s="0" t="str">
        <f aca="false">IF(AND(B144&gt;=C144,B144&gt;=K144),"A. Distribution",IF(C144&gt;=K144,"B. Manufacturing","C. Prof. services"))</f>
        <v>A. Distribution</v>
      </c>
      <c r="E144" s="39" t="n">
        <v>0.479174787887926</v>
      </c>
      <c r="F144" s="39" t="n">
        <v>0.0599788277993115</v>
      </c>
      <c r="G144" s="39" t="n">
        <v>0.0328261991437225</v>
      </c>
      <c r="H144" s="39" t="n">
        <v>0.209156856940264</v>
      </c>
      <c r="I144" s="39" t="n">
        <v>0.119729085601452</v>
      </c>
      <c r="J144" s="39" t="n">
        <v>0.0991342426273239</v>
      </c>
      <c r="K144" s="38" t="n">
        <f aca="false">E144*Scorecard!$E$18+F144*Scorecard!$E$19+G144*Scorecard!$E$20+H144*Scorecard!$E$21+I144*Scorecard!$E$22+J144*Scorecard!$E$23</f>
        <v>3.47031733730459</v>
      </c>
      <c r="M144" s="0" t="str">
        <f aca="false">IF(AND(T144&gt;=U144,T144&gt;=V144),"A. Distribution",IF(U144&gt;=V144,"B. Manufacturing","C. Prof. services"))</f>
        <v>A. Distribution</v>
      </c>
      <c r="N144" s="39" t="n">
        <v>0.0675682844043964</v>
      </c>
      <c r="O144" s="39" t="n">
        <v>0.347402753489478</v>
      </c>
      <c r="P144" s="39" t="n">
        <v>0.33231912220723</v>
      </c>
      <c r="Q144" s="39" t="n">
        <v>0.0771399692093072</v>
      </c>
      <c r="R144" s="39" t="n">
        <v>0.129869001944625</v>
      </c>
      <c r="S144" s="39" t="n">
        <v>0.0457008687449646</v>
      </c>
      <c r="T144" s="38" t="n">
        <f aca="false">N144*Scorecard!$C$18+O144*Scorecard!$C$19+P144*Scorecard!$C$20+Q144*Scorecard!$C$21+R144*Scorecard!$C$22+S144*Scorecard!$C$23</f>
        <v>4.24226429961706</v>
      </c>
      <c r="U144" s="38" t="n">
        <f aca="false">N144*Scorecard!$D$18+O144*Scorecard!$D$19+P144*Scorecard!$D$20+Q144*Scorecard!$D$21+R144*Scorecard!$D$22+S144*Scorecard!$D$23</f>
        <v>2.49362331433492</v>
      </c>
      <c r="V144" s="38" t="n">
        <f aca="false">N144*Scorecard!$E$18+O144*Scorecard!$E$19+P144*Scorecard!$E$20+Q144*Scorecard!$E$21+R144*Scorecard!$E$22+S144*Scorecard!$E$23</f>
        <v>3.3320914814912</v>
      </c>
    </row>
    <row r="145" customFormat="false" ht="15" hidden="false" customHeight="false" outlineLevel="0" collapsed="false">
      <c r="A145" s="0" t="n">
        <v>140</v>
      </c>
      <c r="B145" s="38" t="n">
        <f aca="false">E145*Scorecard!$C$18+F145*Scorecard!$C$19+G145*Scorecard!$C$20+H145*Scorecard!$C$21+I145*Scorecard!$C$22+J145*Scorecard!$C$23</f>
        <v>4.06717827849753</v>
      </c>
      <c r="C145" s="38" t="n">
        <f aca="false">E145*Scorecard!$D$18+F145*Scorecard!$D$19+G145*Scorecard!$D$20+H145*Scorecard!$D$21+I145*Scorecard!$D$22+J145*Scorecard!$D$23</f>
        <v>2.4658384328868</v>
      </c>
      <c r="D145" s="0" t="str">
        <f aca="false">IF(AND(B145&gt;=C145,B145&gt;=K145),"A. Distribution",IF(C145&gt;=K145,"B. Manufacturing","C. Prof. services"))</f>
        <v>A. Distribution</v>
      </c>
      <c r="E145" s="39" t="n">
        <v>0.0122991348263431</v>
      </c>
      <c r="F145" s="39" t="n">
        <v>0.192031267681241</v>
      </c>
      <c r="G145" s="39" t="n">
        <v>0.373202318810767</v>
      </c>
      <c r="H145" s="39" t="n">
        <v>0.117295774655774</v>
      </c>
      <c r="I145" s="39" t="n">
        <v>0.249558082624258</v>
      </c>
      <c r="J145" s="39" t="n">
        <v>0.0556134214016171</v>
      </c>
      <c r="K145" s="38" t="n">
        <f aca="false">E145*Scorecard!$E$18+F145*Scorecard!$E$19+G145*Scorecard!$E$20+H145*Scorecard!$E$21+I145*Scorecard!$E$22+J145*Scorecard!$E$23</f>
        <v>3.33779642994185</v>
      </c>
      <c r="M145" s="0" t="str">
        <f aca="false">IF(AND(T145&gt;=U145,T145&gt;=V145),"A. Distribution",IF(U145&gt;=V145,"B. Manufacturing","C. Prof. services"))</f>
        <v>A. Distribution</v>
      </c>
      <c r="N145" s="39" t="n">
        <v>0.128644135771679</v>
      </c>
      <c r="O145" s="39" t="n">
        <v>0.165566788980487</v>
      </c>
      <c r="P145" s="39" t="n">
        <v>0.25108086312635</v>
      </c>
      <c r="Q145" s="39" t="n">
        <v>0.191934358206373</v>
      </c>
      <c r="R145" s="39" t="n">
        <v>0.181113217082884</v>
      </c>
      <c r="S145" s="39" t="n">
        <v>0.0816606368322269</v>
      </c>
      <c r="T145" s="38" t="n">
        <f aca="false">N145*Scorecard!$C$18+O145*Scorecard!$C$19+P145*Scorecard!$C$20+Q145*Scorecard!$C$21+R145*Scorecard!$C$22+S145*Scorecard!$C$23</f>
        <v>3.97123605321317</v>
      </c>
      <c r="U145" s="38" t="n">
        <f aca="false">N145*Scorecard!$D$18+O145*Scorecard!$D$19+P145*Scorecard!$D$20+Q145*Scorecard!$D$21+R145*Scorecard!$D$22+S145*Scorecard!$D$23</f>
        <v>2.60475473411028</v>
      </c>
      <c r="V145" s="38" t="n">
        <f aca="false">N145*Scorecard!$E$18+O145*Scorecard!$E$19+P145*Scorecard!$E$20+Q145*Scorecard!$E$21+R145*Scorecard!$E$22+S145*Scorecard!$E$23</f>
        <v>3.41394823513715</v>
      </c>
    </row>
    <row r="146" customFormat="false" ht="15" hidden="false" customHeight="false" outlineLevel="0" collapsed="false">
      <c r="A146" s="0" t="n">
        <v>141</v>
      </c>
      <c r="B146" s="38" t="n">
        <f aca="false">E146*Scorecard!$C$18+F146*Scorecard!$C$19+G146*Scorecard!$C$20+H146*Scorecard!$C$21+I146*Scorecard!$C$22+J146*Scorecard!$C$23</f>
        <v>4.14933283836277</v>
      </c>
      <c r="C146" s="38" t="n">
        <f aca="false">E146*Scorecard!$D$18+F146*Scorecard!$D$19+G146*Scorecard!$D$20+H146*Scorecard!$D$21+I146*Scorecard!$D$22+J146*Scorecard!$D$23</f>
        <v>2.38746697035596</v>
      </c>
      <c r="D146" s="0" t="str">
        <f aca="false">IF(AND(B146&gt;=C146,B146&gt;=K146),"A. Distribution",IF(C146&gt;=K146,"B. Manufacturing","C. Prof. services"))</f>
        <v>A. Distribution</v>
      </c>
      <c r="E146" s="39" t="n">
        <v>0.0323478499922633</v>
      </c>
      <c r="F146" s="39" t="n">
        <v>0.467692949637265</v>
      </c>
      <c r="G146" s="39" t="n">
        <v>0.117953262841484</v>
      </c>
      <c r="H146" s="39" t="n">
        <v>0.154586609437945</v>
      </c>
      <c r="I146" s="39" t="n">
        <v>0.0778662236193109</v>
      </c>
      <c r="J146" s="39" t="n">
        <v>0.149553104471732</v>
      </c>
      <c r="K146" s="38" t="n">
        <f aca="false">E146*Scorecard!$E$18+F146*Scorecard!$E$19+G146*Scorecard!$E$20+H146*Scorecard!$E$21+I146*Scorecard!$E$22+J146*Scorecard!$E$23</f>
        <v>3.31917285102187</v>
      </c>
      <c r="M146" s="0" t="str">
        <f aca="false">IF(AND(T146&gt;=U146,T146&gt;=V146),"A. Distribution",IF(U146&gt;=V146,"B. Manufacturing","C. Prof. services"))</f>
        <v>A. Distribution</v>
      </c>
      <c r="N146" s="39" t="n">
        <v>0.264567970883404</v>
      </c>
      <c r="O146" s="39" t="n">
        <v>0.12040235005083</v>
      </c>
      <c r="P146" s="39" t="n">
        <v>0.222443738053926</v>
      </c>
      <c r="Q146" s="39" t="n">
        <v>0.150427387652547</v>
      </c>
      <c r="R146" s="39" t="n">
        <v>0.131367622644693</v>
      </c>
      <c r="S146" s="39" t="n">
        <v>0.1107909307146</v>
      </c>
      <c r="T146" s="38" t="n">
        <f aca="false">N146*Scorecard!$C$18+O146*Scorecard!$C$19+P146*Scorecard!$C$20+Q146*Scorecard!$C$21+R146*Scorecard!$C$22+S146*Scorecard!$C$23</f>
        <v>3.86137054101399</v>
      </c>
      <c r="U146" s="38" t="n">
        <f aca="false">N146*Scorecard!$D$18+O146*Scorecard!$D$19+P146*Scorecard!$D$20+Q146*Scorecard!$D$21+R146*Scorecard!$D$22+S146*Scorecard!$D$23</f>
        <v>2.76282196078842</v>
      </c>
      <c r="V146" s="38" t="n">
        <f aca="false">N146*Scorecard!$E$18+O146*Scorecard!$E$19+P146*Scorecard!$E$20+Q146*Scorecard!$E$21+R146*Scorecard!$E$22+S146*Scorecard!$E$23</f>
        <v>3.51102875903438</v>
      </c>
    </row>
    <row r="147" customFormat="false" ht="15" hidden="false" customHeight="false" outlineLevel="0" collapsed="false">
      <c r="A147" s="0" t="n">
        <v>142</v>
      </c>
      <c r="B147" s="38" t="n">
        <f aca="false">E147*Scorecard!$C$18+F147*Scorecard!$C$19+G147*Scorecard!$C$20+H147*Scorecard!$C$21+I147*Scorecard!$C$22+J147*Scorecard!$C$23</f>
        <v>3.21078585112217</v>
      </c>
      <c r="C147" s="38" t="n">
        <f aca="false">E147*Scorecard!$D$18+F147*Scorecard!$D$19+G147*Scorecard!$D$20+H147*Scorecard!$D$21+I147*Scorecard!$D$22+J147*Scorecard!$D$23</f>
        <v>2.0676734430213</v>
      </c>
      <c r="D147" s="0" t="str">
        <f aca="false">IF(AND(B147&gt;=C147,B147&gt;=K147),"A. Distribution",IF(C147&gt;=K147,"B. Manufacturing","C. Prof. services"))</f>
        <v>C. Prof. services</v>
      </c>
      <c r="E147" s="39" t="n">
        <v>0.0711265108858632</v>
      </c>
      <c r="F147" s="39" t="n">
        <v>0.0115282185886309</v>
      </c>
      <c r="G147" s="39" t="n">
        <v>0.405606797184499</v>
      </c>
      <c r="H147" s="39" t="n">
        <v>0.0380804710178735</v>
      </c>
      <c r="I147" s="39" t="n">
        <v>0.0781936741148071</v>
      </c>
      <c r="J147" s="39" t="n">
        <v>0.395464328208326</v>
      </c>
      <c r="K147" s="38" t="n">
        <f aca="false">E147*Scorecard!$E$18+F147*Scorecard!$E$19+G147*Scorecard!$E$20+H147*Scorecard!$E$21+I147*Scorecard!$E$22+J147*Scorecard!$E$23</f>
        <v>4.00560727027603</v>
      </c>
      <c r="M147" s="0" t="str">
        <f aca="false">IF(AND(T147&gt;=U147,T147&gt;=V147),"A. Distribution",IF(U147&gt;=V147,"B. Manufacturing","C. Prof. services"))</f>
        <v>A. Distribution</v>
      </c>
      <c r="N147" s="39" t="n">
        <v>0.103089124559679</v>
      </c>
      <c r="O147" s="39" t="n">
        <v>0.173227189687697</v>
      </c>
      <c r="P147" s="39" t="n">
        <v>0.323482069263072</v>
      </c>
      <c r="Q147" s="39" t="n">
        <v>0.192125152445957</v>
      </c>
      <c r="R147" s="39" t="n">
        <v>0.0873348588694828</v>
      </c>
      <c r="S147" s="39" t="n">
        <v>0.120741605174112</v>
      </c>
      <c r="T147" s="38" t="n">
        <f aca="false">N147*Scorecard!$C$18+O147*Scorecard!$C$19+P147*Scorecard!$C$20+Q147*Scorecard!$C$21+R147*Scorecard!$C$22+S147*Scorecard!$C$23</f>
        <v>3.90276568840011</v>
      </c>
      <c r="U147" s="38" t="n">
        <f aca="false">N147*Scorecard!$D$18+O147*Scorecard!$D$19+P147*Scorecard!$D$20+Q147*Scorecard!$D$21+R147*Scorecard!$D$22+S147*Scorecard!$D$23</f>
        <v>2.41258779028577</v>
      </c>
      <c r="V147" s="38" t="n">
        <f aca="false">N147*Scorecard!$E$18+O147*Scorecard!$E$19+P147*Scorecard!$E$20+Q147*Scorecard!$E$21+R147*Scorecard!$E$22+S147*Scorecard!$E$23</f>
        <v>3.5933468289836</v>
      </c>
    </row>
    <row r="148" customFormat="false" ht="15" hidden="false" customHeight="false" outlineLevel="0" collapsed="false">
      <c r="A148" s="0" t="n">
        <v>143</v>
      </c>
      <c r="B148" s="38" t="n">
        <f aca="false">E148*Scorecard!$C$18+F148*Scorecard!$C$19+G148*Scorecard!$C$20+H148*Scorecard!$C$21+I148*Scorecard!$C$22+J148*Scorecard!$C$23</f>
        <v>3.91202002461171</v>
      </c>
      <c r="C148" s="38" t="n">
        <f aca="false">E148*Scorecard!$D$18+F148*Scorecard!$D$19+G148*Scorecard!$D$20+H148*Scorecard!$D$21+I148*Scorecard!$D$22+J148*Scorecard!$D$23</f>
        <v>2.58893966117146</v>
      </c>
      <c r="D148" s="0" t="str">
        <f aca="false">IF(AND(B148&gt;=C148,B148&gt;=K148),"A. Distribution",IF(C148&gt;=K148,"B. Manufacturing","C. Prof. services"))</f>
        <v>A. Distribution</v>
      </c>
      <c r="E148" s="39" t="n">
        <v>0.195132545231062</v>
      </c>
      <c r="F148" s="39" t="n">
        <v>0.155250782362844</v>
      </c>
      <c r="G148" s="39" t="n">
        <v>0.386760966174902</v>
      </c>
      <c r="H148" s="39" t="n">
        <v>0.0318396295669999</v>
      </c>
      <c r="I148" s="39" t="n">
        <v>0.118949348242949</v>
      </c>
      <c r="J148" s="39" t="n">
        <v>0.112066728421244</v>
      </c>
      <c r="K148" s="38" t="n">
        <f aca="false">E148*Scorecard!$E$18+F148*Scorecard!$E$19+G148*Scorecard!$E$20+H148*Scorecard!$E$21+I148*Scorecard!$E$22+J148*Scorecard!$E$23</f>
        <v>3.56421065046848</v>
      </c>
      <c r="M148" s="0" t="str">
        <f aca="false">IF(AND(T148&gt;=U148,T148&gt;=V148),"A. Distribution",IF(U148&gt;=V148,"B. Manufacturing","C. Prof. services"))</f>
        <v>A. Distribution</v>
      </c>
      <c r="N148" s="39" t="n">
        <v>0.171562739552758</v>
      </c>
      <c r="O148" s="39" t="n">
        <v>0.328912103204745</v>
      </c>
      <c r="P148" s="39" t="n">
        <v>0.130951505831959</v>
      </c>
      <c r="Q148" s="39" t="n">
        <v>0.0893278034251155</v>
      </c>
      <c r="R148" s="39" t="n">
        <v>0.188436516659386</v>
      </c>
      <c r="S148" s="39" t="n">
        <v>0.0908093313260367</v>
      </c>
      <c r="T148" s="38" t="n">
        <f aca="false">N148*Scorecard!$C$18+O148*Scorecard!$C$19+P148*Scorecard!$C$20+Q148*Scorecard!$C$21+R148*Scorecard!$C$22+S148*Scorecard!$C$23</f>
        <v>4.12389409878756</v>
      </c>
      <c r="U148" s="38" t="n">
        <f aca="false">N148*Scorecard!$D$18+O148*Scorecard!$D$19+P148*Scorecard!$D$20+Q148*Scorecard!$D$21+R148*Scorecard!$D$22+S148*Scorecard!$D$23</f>
        <v>2.75333749068605</v>
      </c>
      <c r="V148" s="38" t="n">
        <f aca="false">N148*Scorecard!$E$18+O148*Scorecard!$E$19+P148*Scorecard!$E$20+Q148*Scorecard!$E$21+R148*Scorecard!$E$22+S148*Scorecard!$E$23</f>
        <v>3.22315172002435</v>
      </c>
    </row>
    <row r="149" customFormat="false" ht="15" hidden="false" customHeight="false" outlineLevel="0" collapsed="false">
      <c r="A149" s="0" t="n">
        <v>144</v>
      </c>
      <c r="B149" s="38" t="n">
        <f aca="false">E149*Scorecard!$C$18+F149*Scorecard!$C$19+G149*Scorecard!$C$20+H149*Scorecard!$C$21+I149*Scorecard!$C$22+J149*Scorecard!$C$23</f>
        <v>4.15736060460346</v>
      </c>
      <c r="C149" s="38" t="n">
        <f aca="false">E149*Scorecard!$D$18+F149*Scorecard!$D$19+G149*Scorecard!$D$20+H149*Scorecard!$D$21+I149*Scorecard!$D$22+J149*Scorecard!$D$23</f>
        <v>3.35775760455562</v>
      </c>
      <c r="D149" s="0" t="str">
        <f aca="false">IF(AND(B149&gt;=C149,B149&gt;=K149),"A. Distribution",IF(C149&gt;=K149,"B. Manufacturing","C. Prof. services"))</f>
        <v>A. Distribution</v>
      </c>
      <c r="E149" s="39" t="n">
        <v>0.555424151476123</v>
      </c>
      <c r="F149" s="39" t="n">
        <v>0.274460478594482</v>
      </c>
      <c r="G149" s="39" t="n">
        <v>0.0350708064688827</v>
      </c>
      <c r="H149" s="39" t="n">
        <v>0.0265891114011379</v>
      </c>
      <c r="I149" s="39" t="n">
        <v>0.0736346173062639</v>
      </c>
      <c r="J149" s="39" t="n">
        <v>0.034820834753111</v>
      </c>
      <c r="K149" s="38" t="n">
        <f aca="false">E149*Scorecard!$E$18+F149*Scorecard!$E$19+G149*Scorecard!$E$20+H149*Scorecard!$E$21+I149*Scorecard!$E$22+J149*Scorecard!$E$23</f>
        <v>3.28017985576319</v>
      </c>
      <c r="M149" s="0" t="str">
        <f aca="false">IF(AND(T149&gt;=U149,T149&gt;=V149),"A. Distribution",IF(U149&gt;=V149,"B. Manufacturing","C. Prof. services"))</f>
        <v>A. Distribution</v>
      </c>
      <c r="N149" s="39" t="n">
        <v>0.15971657085444</v>
      </c>
      <c r="O149" s="39" t="n">
        <v>0.388915071727154</v>
      </c>
      <c r="P149" s="39" t="n">
        <v>0.224658714504508</v>
      </c>
      <c r="Q149" s="39" t="n">
        <v>0.108552234905153</v>
      </c>
      <c r="R149" s="39" t="n">
        <v>0.0541003310646814</v>
      </c>
      <c r="S149" s="39" t="n">
        <v>0.0640570769440633</v>
      </c>
      <c r="T149" s="38" t="n">
        <f aca="false">N149*Scorecard!$C$18+O149*Scorecard!$C$19+P149*Scorecard!$C$20+Q149*Scorecard!$C$21+R149*Scorecard!$C$22+S149*Scorecard!$C$23</f>
        <v>4.23628122294453</v>
      </c>
      <c r="U149" s="38" t="n">
        <f aca="false">N149*Scorecard!$D$18+O149*Scorecard!$D$19+P149*Scorecard!$D$20+Q149*Scorecard!$D$21+R149*Scorecard!$D$22+S149*Scorecard!$D$23</f>
        <v>2.6010440027041</v>
      </c>
      <c r="V149" s="38" t="n">
        <f aca="false">N149*Scorecard!$E$18+O149*Scorecard!$E$19+P149*Scorecard!$E$20+Q149*Scorecard!$E$21+R149*Scorecard!$E$22+S149*Scorecard!$E$23</f>
        <v>3.36158031869822</v>
      </c>
    </row>
    <row r="150" customFormat="false" ht="15" hidden="false" customHeight="false" outlineLevel="0" collapsed="false">
      <c r="A150" s="0" t="n">
        <v>145</v>
      </c>
      <c r="B150" s="38" t="n">
        <f aca="false">E150*Scorecard!$C$18+F150*Scorecard!$C$19+G150*Scorecard!$C$20+H150*Scorecard!$C$21+I150*Scorecard!$C$22+J150*Scorecard!$C$23</f>
        <v>2.6620999722684</v>
      </c>
      <c r="C150" s="38" t="n">
        <f aca="false">E150*Scorecard!$D$18+F150*Scorecard!$D$19+G150*Scorecard!$D$20+H150*Scorecard!$D$21+I150*Scorecard!$D$22+J150*Scorecard!$D$23</f>
        <v>1.89784199063994</v>
      </c>
      <c r="D150" s="0" t="str">
        <f aca="false">IF(AND(B150&gt;=C150,B150&gt;=K150),"A. Distribution",IF(C150&gt;=K150,"B. Manufacturing","C. Prof. services"))</f>
        <v>C. Prof. services</v>
      </c>
      <c r="E150" s="39" t="n">
        <v>0.0785002453234905</v>
      </c>
      <c r="F150" s="39" t="n">
        <v>0.0189744949956105</v>
      </c>
      <c r="G150" s="39" t="n">
        <v>0.150805073678801</v>
      </c>
      <c r="H150" s="39" t="n">
        <v>0.0374732753059288</v>
      </c>
      <c r="I150" s="39" t="n">
        <v>0.0409797986775692</v>
      </c>
      <c r="J150" s="39" t="n">
        <v>0.6732671120186</v>
      </c>
      <c r="K150" s="38" t="n">
        <f aca="false">E150*Scorecard!$E$18+F150*Scorecard!$E$19+G150*Scorecard!$E$20+H150*Scorecard!$E$21+I150*Scorecard!$E$22+J150*Scorecard!$E$23</f>
        <v>4.19414334685687</v>
      </c>
      <c r="M150" s="0" t="str">
        <f aca="false">IF(AND(T150&gt;=U150,T150&gt;=V150),"A. Distribution",IF(U150&gt;=V150,"B. Manufacturing","C. Prof. services"))</f>
        <v>A. Distribution</v>
      </c>
      <c r="N150" s="39" t="n">
        <v>0.138251822329856</v>
      </c>
      <c r="O150" s="39" t="n">
        <v>0.160122485882416</v>
      </c>
      <c r="P150" s="39" t="n">
        <v>0.162366762661325</v>
      </c>
      <c r="Q150" s="39" t="n">
        <v>0.273966126479755</v>
      </c>
      <c r="R150" s="39" t="n">
        <v>0.0820877212407434</v>
      </c>
      <c r="S150" s="39" t="n">
        <v>0.183205081405905</v>
      </c>
      <c r="T150" s="38" t="n">
        <f aca="false">N150*Scorecard!$C$18+O150*Scorecard!$C$19+P150*Scorecard!$C$20+Q150*Scorecard!$C$21+R150*Scorecard!$C$22+S150*Scorecard!$C$23</f>
        <v>3.75309251966107</v>
      </c>
      <c r="U150" s="38" t="n">
        <f aca="false">N150*Scorecard!$D$18+O150*Scorecard!$D$19+P150*Scorecard!$D$20+Q150*Scorecard!$D$21+R150*Scorecard!$D$22+S150*Scorecard!$D$23</f>
        <v>2.46248239416829</v>
      </c>
      <c r="V150" s="38" t="n">
        <f aca="false">N150*Scorecard!$E$18+O150*Scorecard!$E$19+P150*Scorecard!$E$20+Q150*Scorecard!$E$21+R150*Scorecard!$E$22+S150*Scorecard!$E$23</f>
        <v>3.60464001909471</v>
      </c>
    </row>
    <row r="151" customFormat="false" ht="15" hidden="false" customHeight="false" outlineLevel="0" collapsed="false">
      <c r="A151" s="0" t="n">
        <v>146</v>
      </c>
      <c r="B151" s="38" t="n">
        <f aca="false">E151*Scorecard!$C$18+F151*Scorecard!$C$19+G151*Scorecard!$C$20+H151*Scorecard!$C$21+I151*Scorecard!$C$22+J151*Scorecard!$C$23</f>
        <v>3.7622494292971</v>
      </c>
      <c r="C151" s="38" t="n">
        <f aca="false">E151*Scorecard!$D$18+F151*Scorecard!$D$19+G151*Scorecard!$D$20+H151*Scorecard!$D$21+I151*Scorecard!$D$22+J151*Scorecard!$D$23</f>
        <v>2.6847852842705</v>
      </c>
      <c r="D151" s="0" t="str">
        <f aca="false">IF(AND(B151&gt;=C151,B151&gt;=K151),"A. Distribution",IF(C151&gt;=K151,"B. Manufacturing","C. Prof. services"))</f>
        <v>A. Distribution</v>
      </c>
      <c r="E151" s="39" t="n">
        <v>0.263582740594094</v>
      </c>
      <c r="F151" s="39" t="n">
        <v>0.333342407970569</v>
      </c>
      <c r="G151" s="39" t="n">
        <v>0.0102125693573536</v>
      </c>
      <c r="H151" s="39" t="n">
        <v>0.0475979804641716</v>
      </c>
      <c r="I151" s="39" t="n">
        <v>0.0728632711185631</v>
      </c>
      <c r="J151" s="39" t="n">
        <v>0.272401030495249</v>
      </c>
      <c r="K151" s="38" t="n">
        <f aca="false">E151*Scorecard!$E$18+F151*Scorecard!$E$19+G151*Scorecard!$E$20+H151*Scorecard!$E$21+I151*Scorecard!$E$22+J151*Scorecard!$E$23</f>
        <v>3.46891624682552</v>
      </c>
      <c r="M151" s="0" t="str">
        <f aca="false">IF(AND(T151&gt;=U151,T151&gt;=V151),"A. Distribution",IF(U151&gt;=V151,"B. Manufacturing","C. Prof. services"))</f>
        <v>A. Distribution</v>
      </c>
      <c r="N151" s="39" t="n">
        <v>0.215779578742472</v>
      </c>
      <c r="O151" s="39" t="n">
        <v>0.214502276927902</v>
      </c>
      <c r="P151" s="39" t="n">
        <v>0.120734669865084</v>
      </c>
      <c r="Q151" s="39" t="n">
        <v>0.18823856732722</v>
      </c>
      <c r="R151" s="39" t="n">
        <v>0.0774998749547642</v>
      </c>
      <c r="S151" s="39" t="n">
        <v>0.183245032182558</v>
      </c>
      <c r="T151" s="38" t="n">
        <f aca="false">N151*Scorecard!$C$18+O151*Scorecard!$C$19+P151*Scorecard!$C$20+Q151*Scorecard!$C$21+R151*Scorecard!$C$22+S151*Scorecard!$C$23</f>
        <v>3.81040515066614</v>
      </c>
      <c r="U151" s="38" t="n">
        <f aca="false">N151*Scorecard!$D$18+O151*Scorecard!$D$19+P151*Scorecard!$D$20+Q151*Scorecard!$D$21+R151*Scorecard!$D$22+S151*Scorecard!$D$23</f>
        <v>2.61696524760154</v>
      </c>
      <c r="V151" s="38" t="n">
        <f aca="false">N151*Scorecard!$E$18+O151*Scorecard!$E$19+P151*Scorecard!$E$20+Q151*Scorecard!$E$21+R151*Scorecard!$E$22+S151*Scorecard!$E$23</f>
        <v>3.53657550618627</v>
      </c>
    </row>
    <row r="152" customFormat="false" ht="15" hidden="false" customHeight="false" outlineLevel="0" collapsed="false">
      <c r="A152" s="0" t="n">
        <v>147</v>
      </c>
      <c r="B152" s="38" t="n">
        <f aca="false">E152*Scorecard!$C$18+F152*Scorecard!$C$19+G152*Scorecard!$C$20+H152*Scorecard!$C$21+I152*Scorecard!$C$22+J152*Scorecard!$C$23</f>
        <v>3.8790883251961</v>
      </c>
      <c r="C152" s="38" t="n">
        <f aca="false">E152*Scorecard!$D$18+F152*Scorecard!$D$19+G152*Scorecard!$D$20+H152*Scorecard!$D$21+I152*Scorecard!$D$22+J152*Scorecard!$D$23</f>
        <v>3.07622176765647</v>
      </c>
      <c r="D152" s="0" t="str">
        <f aca="false">IF(AND(B152&gt;=C152,B152&gt;=K152),"A. Distribution",IF(C152&gt;=K152,"B. Manufacturing","C. Prof. services"))</f>
        <v>A. Distribution</v>
      </c>
      <c r="E152" s="39" t="n">
        <v>0.104317939497404</v>
      </c>
      <c r="F152" s="39" t="n">
        <v>0.000683426084575278</v>
      </c>
      <c r="G152" s="39" t="n">
        <v>0.0371035966976448</v>
      </c>
      <c r="H152" s="39" t="n">
        <v>0.185998084573957</v>
      </c>
      <c r="I152" s="39" t="n">
        <v>0.625307779384842</v>
      </c>
      <c r="J152" s="39" t="n">
        <v>0.0465891737615764</v>
      </c>
      <c r="K152" s="38" t="n">
        <f aca="false">E152*Scorecard!$E$18+F152*Scorecard!$E$19+G152*Scorecard!$E$20+H152*Scorecard!$E$21+I152*Scorecard!$E$22+J152*Scorecard!$E$23</f>
        <v>2.86728268675087</v>
      </c>
      <c r="M152" s="0" t="str">
        <f aca="false">IF(AND(T152&gt;=U152,T152&gt;=V152),"A. Distribution",IF(U152&gt;=V152,"B. Manufacturing","C. Prof. services"))</f>
        <v>A. Distribution</v>
      </c>
      <c r="N152" s="39" t="n">
        <v>0.212962374974161</v>
      </c>
      <c r="O152" s="39" t="n">
        <v>0.262876085100586</v>
      </c>
      <c r="P152" s="39" t="n">
        <v>0.14346120957115</v>
      </c>
      <c r="Q152" s="39" t="n">
        <v>0.0962808627781174</v>
      </c>
      <c r="R152" s="39" t="n">
        <v>0.0849905835587066</v>
      </c>
      <c r="S152" s="39" t="n">
        <v>0.199428884017278</v>
      </c>
      <c r="T152" s="38" t="n">
        <f aca="false">N152*Scorecard!$C$18+O152*Scorecard!$C$19+P152*Scorecard!$C$20+Q152*Scorecard!$C$21+R152*Scorecard!$C$22+S152*Scorecard!$C$23</f>
        <v>3.83654593599186</v>
      </c>
      <c r="U152" s="38" t="n">
        <f aca="false">N152*Scorecard!$D$18+O152*Scorecard!$D$19+P152*Scorecard!$D$20+Q152*Scorecard!$D$21+R152*Scorecard!$D$22+S152*Scorecard!$D$23</f>
        <v>2.61191330096322</v>
      </c>
      <c r="V152" s="38" t="n">
        <f aca="false">N152*Scorecard!$E$18+O152*Scorecard!$E$19+P152*Scorecard!$E$20+Q152*Scorecard!$E$21+R152*Scorecard!$E$22+S152*Scorecard!$E$23</f>
        <v>3.50584148674746</v>
      </c>
    </row>
    <row r="153" customFormat="false" ht="15" hidden="false" customHeight="false" outlineLevel="0" collapsed="false">
      <c r="A153" s="0" t="n">
        <v>148</v>
      </c>
      <c r="B153" s="38" t="n">
        <f aca="false">E153*Scorecard!$C$18+F153*Scorecard!$C$19+G153*Scorecard!$C$20+H153*Scorecard!$C$21+I153*Scorecard!$C$22+J153*Scorecard!$C$23</f>
        <v>4.04473353479124</v>
      </c>
      <c r="C153" s="38" t="n">
        <f aca="false">E153*Scorecard!$D$18+F153*Scorecard!$D$19+G153*Scorecard!$D$20+H153*Scorecard!$D$21+I153*Scorecard!$D$22+J153*Scorecard!$D$23</f>
        <v>2.81214608680087</v>
      </c>
      <c r="D153" s="0" t="str">
        <f aca="false">IF(AND(B153&gt;=C153,B153&gt;=K153),"A. Distribution",IF(C153&gt;=K153,"B. Manufacturing","C. Prof. services"))</f>
        <v>A. Distribution</v>
      </c>
      <c r="E153" s="39" t="n">
        <v>0.0999744162236733</v>
      </c>
      <c r="F153" s="39" t="n">
        <v>0.148519623339874</v>
      </c>
      <c r="G153" s="39" t="n">
        <v>0.09994927943705</v>
      </c>
      <c r="H153" s="39" t="n">
        <v>0.265071764232384</v>
      </c>
      <c r="I153" s="39" t="n">
        <v>0.352886003136271</v>
      </c>
      <c r="J153" s="39" t="n">
        <v>0.0335989136307485</v>
      </c>
      <c r="K153" s="38" t="n">
        <f aca="false">E153*Scorecard!$E$18+F153*Scorecard!$E$19+G153*Scorecard!$E$20+H153*Scorecard!$E$21+I153*Scorecard!$E$22+J153*Scorecard!$E$23</f>
        <v>3.11441554406065</v>
      </c>
      <c r="M153" s="0" t="str">
        <f aca="false">IF(AND(T153&gt;=U153,T153&gt;=V153),"A. Distribution",IF(U153&gt;=V153,"B. Manufacturing","C. Prof. services"))</f>
        <v>A. Distribution</v>
      </c>
      <c r="N153" s="39" t="n">
        <v>0.273924359682122</v>
      </c>
      <c r="O153" s="39" t="n">
        <v>0.126953927314734</v>
      </c>
      <c r="P153" s="39" t="n">
        <v>0.35618286459314</v>
      </c>
      <c r="Q153" s="39" t="n">
        <v>0.143840221226087</v>
      </c>
      <c r="R153" s="39" t="n">
        <v>0.0366223243821184</v>
      </c>
      <c r="S153" s="39" t="n">
        <v>0.0624763028017987</v>
      </c>
      <c r="T153" s="38" t="n">
        <f aca="false">N153*Scorecard!$C$18+O153*Scorecard!$C$19+P153*Scorecard!$C$20+Q153*Scorecard!$C$21+R153*Scorecard!$C$22+S153*Scorecard!$C$23</f>
        <v>3.96450995089851</v>
      </c>
      <c r="U153" s="38" t="n">
        <f aca="false">N153*Scorecard!$D$18+O153*Scorecard!$D$19+P153*Scorecard!$D$20+Q153*Scorecard!$D$21+R153*Scorecard!$D$22+S153*Scorecard!$D$23</f>
        <v>2.6811323222377</v>
      </c>
      <c r="V153" s="38" t="n">
        <f aca="false">N153*Scorecard!$E$18+O153*Scorecard!$E$19+P153*Scorecard!$E$20+Q153*Scorecard!$E$21+R153*Scorecard!$E$22+S153*Scorecard!$E$23</f>
        <v>3.63442786829256</v>
      </c>
    </row>
    <row r="154" customFormat="false" ht="15" hidden="false" customHeight="false" outlineLevel="0" collapsed="false">
      <c r="A154" s="0" t="n">
        <v>149</v>
      </c>
      <c r="B154" s="38" t="n">
        <f aca="false">E154*Scorecard!$C$18+F154*Scorecard!$C$19+G154*Scorecard!$C$20+H154*Scorecard!$C$21+I154*Scorecard!$C$22+J154*Scorecard!$C$23</f>
        <v>3.90658035679942</v>
      </c>
      <c r="C154" s="38" t="n">
        <f aca="false">E154*Scorecard!$D$18+F154*Scorecard!$D$19+G154*Scorecard!$D$20+H154*Scorecard!$D$21+I154*Scorecard!$D$22+J154*Scorecard!$D$23</f>
        <v>3.05563671929336</v>
      </c>
      <c r="D154" s="0" t="str">
        <f aca="false">IF(AND(B154&gt;=C154,B154&gt;=K154),"A. Distribution",IF(C154&gt;=K154,"B. Manufacturing","C. Prof. services"))</f>
        <v>A. Distribution</v>
      </c>
      <c r="E154" s="39" t="n">
        <v>0.364939063429172</v>
      </c>
      <c r="F154" s="39" t="n">
        <v>0.0511951092197076</v>
      </c>
      <c r="G154" s="39" t="n">
        <v>0.0807933238024868</v>
      </c>
      <c r="H154" s="39" t="n">
        <v>0.291769110031429</v>
      </c>
      <c r="I154" s="39" t="n">
        <v>0.169365053377664</v>
      </c>
      <c r="J154" s="39" t="n">
        <v>0.0419383401395409</v>
      </c>
      <c r="K154" s="38" t="n">
        <f aca="false">E154*Scorecard!$E$18+F154*Scorecard!$E$19+G154*Scorecard!$E$20+H154*Scorecard!$E$21+I154*Scorecard!$E$22+J154*Scorecard!$E$23</f>
        <v>3.39958872687416</v>
      </c>
      <c r="M154" s="0" t="str">
        <f aca="false">IF(AND(T154&gt;=U154,T154&gt;=V154),"A. Distribution",IF(U154&gt;=V154,"B. Manufacturing","C. Prof. services"))</f>
        <v>A. Distribution</v>
      </c>
      <c r="N154" s="39" t="n">
        <v>0.256275014335334</v>
      </c>
      <c r="O154" s="39" t="n">
        <v>0.203692921700683</v>
      </c>
      <c r="P154" s="39" t="n">
        <v>0.219931531208568</v>
      </c>
      <c r="Q154" s="39" t="n">
        <v>0.22201400073582</v>
      </c>
      <c r="R154" s="39" t="n">
        <v>0.0482750514005279</v>
      </c>
      <c r="S154" s="39" t="n">
        <v>0.0498114806190672</v>
      </c>
      <c r="T154" s="38" t="n">
        <f aca="false">N154*Scorecard!$C$18+O154*Scorecard!$C$19+P154*Scorecard!$C$20+Q154*Scorecard!$C$21+R154*Scorecard!$C$22+S154*Scorecard!$C$23</f>
        <v>4.05957232799823</v>
      </c>
      <c r="U154" s="38" t="n">
        <f aca="false">N154*Scorecard!$D$18+O154*Scorecard!$D$19+P154*Scorecard!$D$20+Q154*Scorecard!$D$21+R154*Scorecard!$D$22+S154*Scorecard!$D$23</f>
        <v>2.7307967122206</v>
      </c>
      <c r="V154" s="38" t="n">
        <f aca="false">N154*Scorecard!$E$18+O154*Scorecard!$E$19+P154*Scorecard!$E$20+Q154*Scorecard!$E$21+R154*Scorecard!$E$22+S154*Scorecard!$E$23</f>
        <v>3.50019459720912</v>
      </c>
    </row>
    <row r="155" customFormat="false" ht="15" hidden="false" customHeight="false" outlineLevel="0" collapsed="false">
      <c r="A155" s="0" t="n">
        <v>150</v>
      </c>
      <c r="B155" s="38" t="n">
        <f aca="false">E155*Scorecard!$C$18+F155*Scorecard!$C$19+G155*Scorecard!$C$20+H155*Scorecard!$C$21+I155*Scorecard!$C$22+J155*Scorecard!$C$23</f>
        <v>4.16682243469548</v>
      </c>
      <c r="C155" s="38" t="n">
        <f aca="false">E155*Scorecard!$D$18+F155*Scorecard!$D$19+G155*Scorecard!$D$20+H155*Scorecard!$D$21+I155*Scorecard!$D$22+J155*Scorecard!$D$23</f>
        <v>2.68232682188032</v>
      </c>
      <c r="D155" s="0" t="str">
        <f aca="false">IF(AND(B155&gt;=C155,B155&gt;=K155),"A. Distribution",IF(C155&gt;=K155,"B. Manufacturing","C. Prof. services"))</f>
        <v>A. Distribution</v>
      </c>
      <c r="E155" s="39" t="n">
        <v>0.156978135035777</v>
      </c>
      <c r="F155" s="39" t="n">
        <v>0.281050088729243</v>
      </c>
      <c r="G155" s="39" t="n">
        <v>0.274195872247444</v>
      </c>
      <c r="H155" s="39" t="n">
        <v>0.0793146136640991</v>
      </c>
      <c r="I155" s="39" t="n">
        <v>0.161922195245173</v>
      </c>
      <c r="J155" s="39" t="n">
        <v>0.0465390950782646</v>
      </c>
      <c r="K155" s="38" t="n">
        <f aca="false">E155*Scorecard!$E$18+F155*Scorecard!$E$19+G155*Scorecard!$E$20+H155*Scorecard!$E$21+I155*Scorecard!$E$22+J155*Scorecard!$E$23</f>
        <v>3.31299051252426</v>
      </c>
      <c r="M155" s="0" t="str">
        <f aca="false">IF(AND(T155&gt;=U155,T155&gt;=V155),"A. Distribution",IF(U155&gt;=V155,"B. Manufacturing","C. Prof. services"))</f>
        <v>A. Distribution</v>
      </c>
      <c r="N155" s="39" t="n">
        <v>0.212383752755401</v>
      </c>
      <c r="O155" s="39" t="n">
        <v>0.316107789720262</v>
      </c>
      <c r="P155" s="39" t="n">
        <v>0.131637112297307</v>
      </c>
      <c r="Q155" s="39" t="n">
        <v>0.129457820360746</v>
      </c>
      <c r="R155" s="39" t="n">
        <v>0.151622748843584</v>
      </c>
      <c r="S155" s="39" t="n">
        <v>0.0587907760226998</v>
      </c>
      <c r="T155" s="38" t="n">
        <f aca="false">N155*Scorecard!$C$18+O155*Scorecard!$C$19+P155*Scorecard!$C$20+Q155*Scorecard!$C$21+R155*Scorecard!$C$22+S155*Scorecard!$C$23</f>
        <v>4.16752547566287</v>
      </c>
      <c r="U155" s="38" t="n">
        <f aca="false">N155*Scorecard!$D$18+O155*Scorecard!$D$19+P155*Scorecard!$D$20+Q155*Scorecard!$D$21+R155*Scorecard!$D$22+S155*Scorecard!$D$23</f>
        <v>2.80780216580917</v>
      </c>
      <c r="V155" s="38" t="n">
        <f aca="false">N155*Scorecard!$E$18+O155*Scorecard!$E$19+P155*Scorecard!$E$20+Q155*Scorecard!$E$21+R155*Scorecard!$E$22+S155*Scorecard!$E$23</f>
        <v>3.25027039234229</v>
      </c>
    </row>
    <row r="156" customFormat="false" ht="15" hidden="false" customHeight="false" outlineLevel="0" collapsed="false">
      <c r="A156" s="0" t="n">
        <v>151</v>
      </c>
      <c r="B156" s="38" t="n">
        <f aca="false">E156*Scorecard!$C$18+F156*Scorecard!$C$19+G156*Scorecard!$C$20+H156*Scorecard!$C$21+I156*Scorecard!$C$22+J156*Scorecard!$C$23</f>
        <v>3.78476425764375</v>
      </c>
      <c r="C156" s="38" t="n">
        <f aca="false">E156*Scorecard!$D$18+F156*Scorecard!$D$19+G156*Scorecard!$D$20+H156*Scorecard!$D$21+I156*Scorecard!$D$22+J156*Scorecard!$D$23</f>
        <v>2.29669974233129</v>
      </c>
      <c r="D156" s="0" t="str">
        <f aca="false">IF(AND(B156&gt;=C156,B156&gt;=K156),"A. Distribution",IF(C156&gt;=K156,"B. Manufacturing","C. Prof. services"))</f>
        <v>A. Distribution</v>
      </c>
      <c r="E156" s="39" t="n">
        <v>0.0461415419574147</v>
      </c>
      <c r="F156" s="39" t="n">
        <v>0.0683852141540591</v>
      </c>
      <c r="G156" s="39" t="n">
        <v>0.500990636245043</v>
      </c>
      <c r="H156" s="39" t="n">
        <v>0.0943868734422511</v>
      </c>
      <c r="I156" s="39" t="n">
        <v>0.155222654171996</v>
      </c>
      <c r="J156" s="39" t="n">
        <v>0.134873080029236</v>
      </c>
      <c r="K156" s="38" t="n">
        <f aca="false">E156*Scorecard!$E$18+F156*Scorecard!$E$19+G156*Scorecard!$E$20+H156*Scorecard!$E$21+I156*Scorecard!$E$22+J156*Scorecard!$E$23</f>
        <v>3.67303558770908</v>
      </c>
      <c r="M156" s="0" t="str">
        <f aca="false">IF(AND(T156&gt;=U156,T156&gt;=V156),"A. Distribution",IF(U156&gt;=V156,"B. Manufacturing","C. Prof. services"))</f>
        <v>A. Distribution</v>
      </c>
      <c r="N156" s="39" t="n">
        <v>0.181829693507678</v>
      </c>
      <c r="O156" s="39" t="n">
        <v>0.171587501191784</v>
      </c>
      <c r="P156" s="39" t="n">
        <v>0.14575379146443</v>
      </c>
      <c r="Q156" s="39" t="n">
        <v>0.190711758123919</v>
      </c>
      <c r="R156" s="39" t="n">
        <v>0.174945635245773</v>
      </c>
      <c r="S156" s="39" t="n">
        <v>0.135171620466416</v>
      </c>
      <c r="T156" s="38" t="n">
        <f aca="false">N156*Scorecard!$C$18+O156*Scorecard!$C$19+P156*Scorecard!$C$20+Q156*Scorecard!$C$21+R156*Scorecard!$C$22+S156*Scorecard!$C$23</f>
        <v>3.86609643729282</v>
      </c>
      <c r="U156" s="38" t="n">
        <f aca="false">N156*Scorecard!$D$18+O156*Scorecard!$D$19+P156*Scorecard!$D$20+Q156*Scorecard!$D$21+R156*Scorecard!$D$22+S156*Scorecard!$D$23</f>
        <v>2.68022039055649</v>
      </c>
      <c r="V156" s="38" t="n">
        <f aca="false">N156*Scorecard!$E$18+O156*Scorecard!$E$19+P156*Scorecard!$E$20+Q156*Scorecard!$E$21+R156*Scorecard!$E$22+S156*Scorecard!$E$23</f>
        <v>3.4175930715129</v>
      </c>
    </row>
    <row r="157" customFormat="false" ht="15" hidden="false" customHeight="false" outlineLevel="0" collapsed="false">
      <c r="A157" s="0" t="n">
        <v>152</v>
      </c>
      <c r="B157" s="38" t="n">
        <f aca="false">E157*Scorecard!$C$18+F157*Scorecard!$C$19+G157*Scorecard!$C$20+H157*Scorecard!$C$21+I157*Scorecard!$C$22+J157*Scorecard!$C$23</f>
        <v>3.82753427157074</v>
      </c>
      <c r="C157" s="38" t="n">
        <f aca="false">E157*Scorecard!$D$18+F157*Scorecard!$D$19+G157*Scorecard!$D$20+H157*Scorecard!$D$21+I157*Scorecard!$D$22+J157*Scorecard!$D$23</f>
        <v>2.49646910658357</v>
      </c>
      <c r="D157" s="0" t="str">
        <f aca="false">IF(AND(B157&gt;=C157,B157&gt;=K157),"A. Distribution",IF(C157&gt;=K157,"B. Manufacturing","C. Prof. services"))</f>
        <v>A. Distribution</v>
      </c>
      <c r="E157" s="39" t="n">
        <v>0.161904382627055</v>
      </c>
      <c r="F157" s="39" t="n">
        <v>0.343131128285416</v>
      </c>
      <c r="G157" s="39" t="n">
        <v>0.0498682024106831</v>
      </c>
      <c r="H157" s="39" t="n">
        <v>0.154580162239188</v>
      </c>
      <c r="I157" s="39" t="n">
        <v>0.0475451377896842</v>
      </c>
      <c r="J157" s="39" t="n">
        <v>0.242970986647974</v>
      </c>
      <c r="K157" s="38" t="n">
        <f aca="false">E157*Scorecard!$E$18+F157*Scorecard!$E$19+G157*Scorecard!$E$20+H157*Scorecard!$E$21+I157*Scorecard!$E$22+J157*Scorecard!$E$23</f>
        <v>3.50054523961261</v>
      </c>
      <c r="M157" s="0" t="str">
        <f aca="false">IF(AND(T157&gt;=U157,T157&gt;=V157),"A. Distribution",IF(U157&gt;=V157,"B. Manufacturing","C. Prof. services"))</f>
        <v>A. Distribution</v>
      </c>
      <c r="N157" s="39" t="n">
        <v>0.261839034467483</v>
      </c>
      <c r="O157" s="39" t="n">
        <v>0.333272376088975</v>
      </c>
      <c r="P157" s="39" t="n">
        <v>0.093227688755803</v>
      </c>
      <c r="Q157" s="39" t="n">
        <v>0.0636426211154194</v>
      </c>
      <c r="R157" s="39" t="n">
        <v>0.183508318650734</v>
      </c>
      <c r="S157" s="39" t="n">
        <v>0.0645099609215858</v>
      </c>
      <c r="T157" s="38" t="n">
        <f aca="false">N157*Scorecard!$C$18+O157*Scorecard!$C$19+P157*Scorecard!$C$20+Q157*Scorecard!$C$21+R157*Scorecard!$C$22+S157*Scorecard!$C$23</f>
        <v>4.17637271365356</v>
      </c>
      <c r="U157" s="38" t="n">
        <f aca="false">N157*Scorecard!$D$18+O157*Scorecard!$D$19+P157*Scorecard!$D$20+Q157*Scorecard!$D$21+R157*Scorecard!$D$22+S157*Scorecard!$D$23</f>
        <v>2.93737806349427</v>
      </c>
      <c r="V157" s="38" t="n">
        <f aca="false">N157*Scorecard!$E$18+O157*Scorecard!$E$19+P157*Scorecard!$E$20+Q157*Scorecard!$E$21+R157*Scorecard!$E$22+S157*Scorecard!$E$23</f>
        <v>3.17626636788279</v>
      </c>
    </row>
    <row r="158" customFormat="false" ht="15" hidden="false" customHeight="false" outlineLevel="0" collapsed="false">
      <c r="A158" s="0" t="n">
        <v>153</v>
      </c>
      <c r="B158" s="38" t="n">
        <f aca="false">E158*Scorecard!$C$18+F158*Scorecard!$C$19+G158*Scorecard!$C$20+H158*Scorecard!$C$21+I158*Scorecard!$C$22+J158*Scorecard!$C$23</f>
        <v>3.35638293672554</v>
      </c>
      <c r="C158" s="38" t="n">
        <f aca="false">E158*Scorecard!$D$18+F158*Scorecard!$D$19+G158*Scorecard!$D$20+H158*Scorecard!$D$21+I158*Scorecard!$D$22+J158*Scorecard!$D$23</f>
        <v>2.19914373077482</v>
      </c>
      <c r="D158" s="0" t="str">
        <f aca="false">IF(AND(B158&gt;=C158,B158&gt;=K158),"A. Distribution",IF(C158&gt;=K158,"B. Manufacturing","C. Prof. services"))</f>
        <v>C. Prof. services</v>
      </c>
      <c r="E158" s="39" t="n">
        <v>0.0669142247586136</v>
      </c>
      <c r="F158" s="39" t="n">
        <v>0.065077192104844</v>
      </c>
      <c r="G158" s="39" t="n">
        <v>0.335481242176729</v>
      </c>
      <c r="H158" s="39" t="n">
        <v>0.0382522557796883</v>
      </c>
      <c r="I158" s="39" t="n">
        <v>0.144674972542193</v>
      </c>
      <c r="J158" s="39" t="n">
        <v>0.349600112637932</v>
      </c>
      <c r="K158" s="38" t="n">
        <f aca="false">E158*Scorecard!$E$18+F158*Scorecard!$E$19+G158*Scorecard!$E$20+H158*Scorecard!$E$21+I158*Scorecard!$E$22+J158*Scorecard!$E$23</f>
        <v>3.80990732856809</v>
      </c>
      <c r="M158" s="0" t="str">
        <f aca="false">IF(AND(T158&gt;=U158,T158&gt;=V158),"A. Distribution",IF(U158&gt;=V158,"B. Manufacturing","C. Prof. services"))</f>
        <v>A. Distribution</v>
      </c>
      <c r="N158" s="39" t="n">
        <v>0.127708079497399</v>
      </c>
      <c r="O158" s="39" t="n">
        <v>0.11978311630828</v>
      </c>
      <c r="P158" s="39" t="n">
        <v>0.227875847873012</v>
      </c>
      <c r="Q158" s="39" t="n">
        <v>0.288994280186673</v>
      </c>
      <c r="R158" s="39" t="n">
        <v>0.179913530944059</v>
      </c>
      <c r="S158" s="39" t="n">
        <v>0.0557251451905776</v>
      </c>
      <c r="T158" s="38" t="n">
        <f aca="false">N158*Scorecard!$C$18+O158*Scorecard!$C$19+P158*Scorecard!$C$20+Q158*Scorecard!$C$21+R158*Scorecard!$C$22+S158*Scorecard!$C$23</f>
        <v>3.96694025321231</v>
      </c>
      <c r="U158" s="38" t="n">
        <f aca="false">N158*Scorecard!$D$18+O158*Scorecard!$D$19+P158*Scorecard!$D$20+Q158*Scorecard!$D$21+R158*Scorecard!$D$22+S158*Scorecard!$D$23</f>
        <v>2.61833978370652</v>
      </c>
      <c r="V158" s="38" t="n">
        <f aca="false">N158*Scorecard!$E$18+O158*Scorecard!$E$19+P158*Scorecard!$E$20+Q158*Scorecard!$E$21+R158*Scorecard!$E$22+S158*Scorecard!$E$23</f>
        <v>3.42643271087465</v>
      </c>
    </row>
    <row r="159" customFormat="false" ht="15" hidden="false" customHeight="false" outlineLevel="0" collapsed="false">
      <c r="A159" s="0" t="n">
        <v>154</v>
      </c>
      <c r="B159" s="38" t="n">
        <f aca="false">E159*Scorecard!$C$18+F159*Scorecard!$C$19+G159*Scorecard!$C$20+H159*Scorecard!$C$21+I159*Scorecard!$C$22+J159*Scorecard!$C$23</f>
        <v>4.00215063284483</v>
      </c>
      <c r="C159" s="38" t="n">
        <f aca="false">E159*Scorecard!$D$18+F159*Scorecard!$D$19+G159*Scorecard!$D$20+H159*Scorecard!$D$21+I159*Scorecard!$D$22+J159*Scorecard!$D$23</f>
        <v>2.40101091041032</v>
      </c>
      <c r="D159" s="0" t="str">
        <f aca="false">IF(AND(B159&gt;=C159,B159&gt;=K159),"A. Distribution",IF(C159&gt;=K159,"B. Manufacturing","C. Prof. services"))</f>
        <v>A. Distribution</v>
      </c>
      <c r="E159" s="39" t="n">
        <v>0.0474788293060392</v>
      </c>
      <c r="F159" s="39" t="n">
        <v>0.413834300270358</v>
      </c>
      <c r="G159" s="39" t="n">
        <v>0.122468804447492</v>
      </c>
      <c r="H159" s="39" t="n">
        <v>0.101224596229407</v>
      </c>
      <c r="I159" s="39" t="n">
        <v>0.116511101823341</v>
      </c>
      <c r="J159" s="39" t="n">
        <v>0.198482367923363</v>
      </c>
      <c r="K159" s="38" t="n">
        <f aca="false">E159*Scorecard!$E$18+F159*Scorecard!$E$19+G159*Scorecard!$E$20+H159*Scorecard!$E$21+I159*Scorecard!$E$22+J159*Scorecard!$E$23</f>
        <v>3.35349960076579</v>
      </c>
      <c r="M159" s="0" t="str">
        <f aca="false">IF(AND(T159&gt;=U159,T159&gt;=V159),"A. Distribution",IF(U159&gt;=V159,"B. Manufacturing","C. Prof. services"))</f>
        <v>A. Distribution</v>
      </c>
      <c r="N159" s="39" t="n">
        <v>0.395626294426074</v>
      </c>
      <c r="O159" s="39" t="n">
        <v>0.152017778285638</v>
      </c>
      <c r="P159" s="39" t="n">
        <v>0.0788738273124554</v>
      </c>
      <c r="Q159" s="39" t="n">
        <v>0.189726719556682</v>
      </c>
      <c r="R159" s="39" t="n">
        <v>0.0820154274595329</v>
      </c>
      <c r="S159" s="39" t="n">
        <v>0.101739952959618</v>
      </c>
      <c r="T159" s="38" t="n">
        <f aca="false">N159*Scorecard!$C$18+O159*Scorecard!$C$19+P159*Scorecard!$C$20+Q159*Scorecard!$C$21+R159*Scorecard!$C$22+S159*Scorecard!$C$23</f>
        <v>3.89633114896398</v>
      </c>
      <c r="U159" s="38" t="n">
        <f aca="false">N159*Scorecard!$D$18+O159*Scorecard!$D$19+P159*Scorecard!$D$20+Q159*Scorecard!$D$21+R159*Scorecard!$D$22+S159*Scorecard!$D$23</f>
        <v>2.99495669612967</v>
      </c>
      <c r="V159" s="38" t="n">
        <f aca="false">N159*Scorecard!$E$18+O159*Scorecard!$E$19+P159*Scorecard!$E$20+Q159*Scorecard!$E$21+R159*Scorecard!$E$22+S159*Scorecard!$E$23</f>
        <v>3.47258189717917</v>
      </c>
    </row>
    <row r="160" customFormat="false" ht="15" hidden="false" customHeight="false" outlineLevel="0" collapsed="false">
      <c r="A160" s="0" t="n">
        <v>155</v>
      </c>
      <c r="B160" s="38" t="n">
        <f aca="false">E160*Scorecard!$C$18+F160*Scorecard!$C$19+G160*Scorecard!$C$20+H160*Scorecard!$C$21+I160*Scorecard!$C$22+J160*Scorecard!$C$23</f>
        <v>4.09205775354623</v>
      </c>
      <c r="C160" s="38" t="n">
        <f aca="false">E160*Scorecard!$D$18+F160*Scorecard!$D$19+G160*Scorecard!$D$20+H160*Scorecard!$D$21+I160*Scorecard!$D$22+J160*Scorecard!$D$23</f>
        <v>2.39796736308256</v>
      </c>
      <c r="D160" s="0" t="str">
        <f aca="false">IF(AND(B160&gt;=C160,B160&gt;=K160),"A. Distribution",IF(C160&gt;=K160,"B. Manufacturing","C. Prof. services"))</f>
        <v>A. Distribution</v>
      </c>
      <c r="E160" s="39" t="n">
        <v>0.049268140550163</v>
      </c>
      <c r="F160" s="39" t="n">
        <v>0.19247692728156</v>
      </c>
      <c r="G160" s="39" t="n">
        <v>0.347893389537764</v>
      </c>
      <c r="H160" s="39" t="n">
        <v>0.278488272673381</v>
      </c>
      <c r="I160" s="39" t="n">
        <v>0.0986451104685752</v>
      </c>
      <c r="J160" s="39" t="n">
        <v>0.0332281594885558</v>
      </c>
      <c r="K160" s="38" t="n">
        <f aca="false">E160*Scorecard!$E$18+F160*Scorecard!$E$19+G160*Scorecard!$E$20+H160*Scorecard!$E$21+I160*Scorecard!$E$22+J160*Scorecard!$E$23</f>
        <v>3.50639103005696</v>
      </c>
      <c r="M160" s="0" t="str">
        <f aca="false">IF(AND(T160&gt;=U160,T160&gt;=V160),"A. Distribution",IF(U160&gt;=V160,"B. Manufacturing","C. Prof. services"))</f>
        <v>A. Distribution</v>
      </c>
      <c r="N160" s="39" t="n">
        <v>0.182893309908482</v>
      </c>
      <c r="O160" s="39" t="n">
        <v>0.398504245713901</v>
      </c>
      <c r="P160" s="39" t="n">
        <v>0.269128789450166</v>
      </c>
      <c r="Q160" s="39" t="n">
        <v>0.049092101832412</v>
      </c>
      <c r="R160" s="39" t="n">
        <v>0.0516932478504999</v>
      </c>
      <c r="S160" s="39" t="n">
        <v>0.0486883052445394</v>
      </c>
      <c r="T160" s="38" t="n">
        <f aca="false">N160*Scorecard!$C$18+O160*Scorecard!$C$19+P160*Scorecard!$C$20+Q160*Scorecard!$C$21+R160*Scorecard!$C$22+S160*Scorecard!$C$23</f>
        <v>4.28115401899971</v>
      </c>
      <c r="U160" s="38" t="n">
        <f aca="false">N160*Scorecard!$D$18+O160*Scorecard!$D$19+P160*Scorecard!$D$20+Q160*Scorecard!$D$21+R160*Scorecard!$D$22+S160*Scorecard!$D$23</f>
        <v>2.6401151796097</v>
      </c>
      <c r="V160" s="38" t="n">
        <f aca="false">N160*Scorecard!$E$18+O160*Scorecard!$E$19+P160*Scorecard!$E$20+Q160*Scorecard!$E$21+R160*Scorecard!$E$22+S160*Scorecard!$E$23</f>
        <v>3.35430434843338</v>
      </c>
    </row>
    <row r="161" customFormat="false" ht="15" hidden="false" customHeight="false" outlineLevel="0" collapsed="false">
      <c r="A161" s="0" t="n">
        <v>156</v>
      </c>
      <c r="B161" s="38" t="n">
        <f aca="false">E161*Scorecard!$C$18+F161*Scorecard!$C$19+G161*Scorecard!$C$20+H161*Scorecard!$C$21+I161*Scorecard!$C$22+J161*Scorecard!$C$23</f>
        <v>3.54354032947227</v>
      </c>
      <c r="C161" s="38" t="n">
        <f aca="false">E161*Scorecard!$D$18+F161*Scorecard!$D$19+G161*Scorecard!$D$20+H161*Scorecard!$D$21+I161*Scorecard!$D$22+J161*Scorecard!$D$23</f>
        <v>2.13100690883385</v>
      </c>
      <c r="D161" s="0" t="str">
        <f aca="false">IF(AND(B161&gt;=C161,B161&gt;=K161),"A. Distribution",IF(C161&gt;=K161,"B. Manufacturing","C. Prof. services"))</f>
        <v>C. Prof. services</v>
      </c>
      <c r="E161" s="39" t="n">
        <v>0.0623710350272779</v>
      </c>
      <c r="F161" s="39" t="n">
        <v>0.305940160400994</v>
      </c>
      <c r="G161" s="39" t="n">
        <v>0.175852494091105</v>
      </c>
      <c r="H161" s="39" t="n">
        <v>0.0751239240667372</v>
      </c>
      <c r="I161" s="39" t="n">
        <v>0.00606357892970932</v>
      </c>
      <c r="J161" s="39" t="n">
        <v>0.374648807484177</v>
      </c>
      <c r="K161" s="38" t="n">
        <f aca="false">E161*Scorecard!$E$18+F161*Scorecard!$E$19+G161*Scorecard!$E$20+H161*Scorecard!$E$21+I161*Scorecard!$E$22+J161*Scorecard!$E$23</f>
        <v>3.75573510645458</v>
      </c>
      <c r="M161" s="0" t="str">
        <f aca="false">IF(AND(T161&gt;=U161,T161&gt;=V161),"A. Distribution",IF(U161&gt;=V161,"B. Manufacturing","C. Prof. services"))</f>
        <v>A. Distribution</v>
      </c>
      <c r="N161" s="39" t="n">
        <v>0.369444412256086</v>
      </c>
      <c r="O161" s="39" t="n">
        <v>0.0880387697101676</v>
      </c>
      <c r="P161" s="39" t="n">
        <v>0.13926109873024</v>
      </c>
      <c r="Q161" s="39" t="n">
        <v>0.096449369743272</v>
      </c>
      <c r="R161" s="39" t="n">
        <v>0.16667688195767</v>
      </c>
      <c r="S161" s="39" t="n">
        <v>0.140129467602564</v>
      </c>
      <c r="T161" s="38" t="n">
        <f aca="false">N161*Scorecard!$C$18+O161*Scorecard!$C$19+P161*Scorecard!$C$20+Q161*Scorecard!$C$21+R161*Scorecard!$C$22+S161*Scorecard!$C$23</f>
        <v>3.76772585908084</v>
      </c>
      <c r="U161" s="38" t="n">
        <f aca="false">N161*Scorecard!$D$18+O161*Scorecard!$D$19+P161*Scorecard!$D$20+Q161*Scorecard!$D$21+R161*Scorecard!$D$22+S161*Scorecard!$D$23</f>
        <v>2.97450685246281</v>
      </c>
      <c r="V161" s="38" t="n">
        <f aca="false">N161*Scorecard!$E$18+O161*Scorecard!$E$19+P161*Scorecard!$E$20+Q161*Scorecard!$E$21+R161*Scorecard!$E$22+S161*Scorecard!$E$23</f>
        <v>3.47075277690689</v>
      </c>
    </row>
    <row r="162" customFormat="false" ht="15" hidden="false" customHeight="false" outlineLevel="0" collapsed="false">
      <c r="A162" s="0" t="n">
        <v>157</v>
      </c>
      <c r="B162" s="38" t="n">
        <f aca="false">E162*Scorecard!$C$18+F162*Scorecard!$C$19+G162*Scorecard!$C$20+H162*Scorecard!$C$21+I162*Scorecard!$C$22+J162*Scorecard!$C$23</f>
        <v>3.93354179169288</v>
      </c>
      <c r="C162" s="38" t="n">
        <f aca="false">E162*Scorecard!$D$18+F162*Scorecard!$D$19+G162*Scorecard!$D$20+H162*Scorecard!$D$21+I162*Scorecard!$D$22+J162*Scorecard!$D$23</f>
        <v>2.37467321212002</v>
      </c>
      <c r="D162" s="0" t="str">
        <f aca="false">IF(AND(B162&gt;=C162,B162&gt;=K162),"A. Distribution",IF(C162&gt;=K162,"B. Manufacturing","C. Prof. services"))</f>
        <v>A. Distribution</v>
      </c>
      <c r="E162" s="39" t="n">
        <v>0.0867748718767025</v>
      </c>
      <c r="F162" s="39" t="n">
        <v>0.312719968800531</v>
      </c>
      <c r="G162" s="39" t="n">
        <v>0.164358383614486</v>
      </c>
      <c r="H162" s="39" t="n">
        <v>0.219592549118651</v>
      </c>
      <c r="I162" s="39" t="n">
        <v>0.0422791882186953</v>
      </c>
      <c r="J162" s="39" t="n">
        <v>0.174275038370934</v>
      </c>
      <c r="K162" s="38" t="n">
        <f aca="false">E162*Scorecard!$E$18+F162*Scorecard!$E$19+G162*Scorecard!$E$20+H162*Scorecard!$E$21+I162*Scorecard!$E$22+J162*Scorecard!$E$23</f>
        <v>3.52762884915213</v>
      </c>
      <c r="M162" s="0" t="str">
        <f aca="false">IF(AND(T162&gt;=U162,T162&gt;=V162),"A. Distribution",IF(U162&gt;=V162,"B. Manufacturing","C. Prof. services"))</f>
        <v>A. Distribution</v>
      </c>
      <c r="N162" s="39" t="n">
        <v>0.206380938563021</v>
      </c>
      <c r="O162" s="39" t="n">
        <v>0.181016653027049</v>
      </c>
      <c r="P162" s="39" t="n">
        <v>0.0845310561478752</v>
      </c>
      <c r="Q162" s="39" t="n">
        <v>0.125035776674379</v>
      </c>
      <c r="R162" s="39" t="n">
        <v>0.216273283069886</v>
      </c>
      <c r="S162" s="39" t="n">
        <v>0.186762292517791</v>
      </c>
      <c r="T162" s="38" t="n">
        <f aca="false">N162*Scorecard!$C$18+O162*Scorecard!$C$19+P162*Scorecard!$C$20+Q162*Scorecard!$C$21+R162*Scorecard!$C$22+S162*Scorecard!$C$23</f>
        <v>3.77744973035506</v>
      </c>
      <c r="U162" s="38" t="n">
        <f aca="false">N162*Scorecard!$D$18+O162*Scorecard!$D$19+P162*Scorecard!$D$20+Q162*Scorecard!$D$21+R162*Scorecard!$D$22+S162*Scorecard!$D$23</f>
        <v>2.74500293877042</v>
      </c>
      <c r="V162" s="38" t="n">
        <f aca="false">N162*Scorecard!$E$18+O162*Scorecard!$E$19+P162*Scorecard!$E$20+Q162*Scorecard!$E$21+R162*Scorecard!$E$22+S162*Scorecard!$E$23</f>
        <v>3.37244124092869</v>
      </c>
    </row>
    <row r="163" customFormat="false" ht="15" hidden="false" customHeight="false" outlineLevel="0" collapsed="false">
      <c r="A163" s="0" t="n">
        <v>158</v>
      </c>
      <c r="B163" s="38" t="n">
        <f aca="false">E163*Scorecard!$C$18+F163*Scorecard!$C$19+G163*Scorecard!$C$20+H163*Scorecard!$C$21+I163*Scorecard!$C$22+J163*Scorecard!$C$23</f>
        <v>3.91060686743404</v>
      </c>
      <c r="C163" s="38" t="n">
        <f aca="false">E163*Scorecard!$D$18+F163*Scorecard!$D$19+G163*Scorecard!$D$20+H163*Scorecard!$D$21+I163*Scorecard!$D$22+J163*Scorecard!$D$23</f>
        <v>3.11445168758406</v>
      </c>
      <c r="D163" s="0" t="str">
        <f aca="false">IF(AND(B163&gt;=C163,B163&gt;=K163),"A. Distribution",IF(C163&gt;=K163,"B. Manufacturing","C. Prof. services"))</f>
        <v>A. Distribution</v>
      </c>
      <c r="E163" s="39" t="n">
        <v>0.462874808318485</v>
      </c>
      <c r="F163" s="39" t="n">
        <v>0.111660643081776</v>
      </c>
      <c r="G163" s="39" t="n">
        <v>0.107926380309192</v>
      </c>
      <c r="H163" s="39" t="n">
        <v>0.163860268767739</v>
      </c>
      <c r="I163" s="39" t="n">
        <v>0.0805603938206534</v>
      </c>
      <c r="J163" s="39" t="n">
        <v>0.0731175057021542</v>
      </c>
      <c r="K163" s="38" t="n">
        <f aca="false">E163*Scorecard!$E$18+F163*Scorecard!$E$19+G163*Scorecard!$E$20+H163*Scorecard!$E$21+I163*Scorecard!$E$22+J163*Scorecard!$E$23</f>
        <v>3.48377546001185</v>
      </c>
      <c r="M163" s="0" t="str">
        <f aca="false">IF(AND(T163&gt;=U163,T163&gt;=V163),"A. Distribution",IF(U163&gt;=V163,"B. Manufacturing","C. Prof. services"))</f>
        <v>A. Distribution</v>
      </c>
      <c r="N163" s="39" t="n">
        <v>0.289763633563003</v>
      </c>
      <c r="O163" s="39" t="n">
        <v>0.114554031453184</v>
      </c>
      <c r="P163" s="39" t="n">
        <v>0.291775935177378</v>
      </c>
      <c r="Q163" s="39" t="n">
        <v>0.169432951451266</v>
      </c>
      <c r="R163" s="39" t="n">
        <v>0.0783364722418441</v>
      </c>
      <c r="S163" s="39" t="n">
        <v>0.0561369761133246</v>
      </c>
      <c r="T163" s="38" t="n">
        <f aca="false">N163*Scorecard!$C$18+O163*Scorecard!$C$19+P163*Scorecard!$C$20+Q163*Scorecard!$C$21+R163*Scorecard!$C$22+S163*Scorecard!$C$23</f>
        <v>3.96075939254592</v>
      </c>
      <c r="U163" s="38" t="n">
        <f aca="false">N163*Scorecard!$D$18+O163*Scorecard!$D$19+P163*Scorecard!$D$20+Q163*Scorecard!$D$21+R163*Scorecard!$D$22+S163*Scorecard!$D$23</f>
        <v>2.7728778308221</v>
      </c>
      <c r="V163" s="38" t="n">
        <f aca="false">N163*Scorecard!$E$18+O163*Scorecard!$E$19+P163*Scorecard!$E$20+Q163*Scorecard!$E$21+R163*Scorecard!$E$22+S163*Scorecard!$E$23</f>
        <v>3.56026589424959</v>
      </c>
    </row>
    <row r="164" customFormat="false" ht="15" hidden="false" customHeight="false" outlineLevel="0" collapsed="false">
      <c r="A164" s="0" t="n">
        <v>159</v>
      </c>
      <c r="B164" s="38" t="n">
        <f aca="false">E164*Scorecard!$C$18+F164*Scorecard!$C$19+G164*Scorecard!$C$20+H164*Scorecard!$C$21+I164*Scorecard!$C$22+J164*Scorecard!$C$23</f>
        <v>4.10285631518093</v>
      </c>
      <c r="C164" s="38" t="n">
        <f aca="false">E164*Scorecard!$D$18+F164*Scorecard!$D$19+G164*Scorecard!$D$20+H164*Scorecard!$D$21+I164*Scorecard!$D$22+J164*Scorecard!$D$23</f>
        <v>2.43244707164526</v>
      </c>
      <c r="D164" s="0" t="str">
        <f aca="false">IF(AND(B164&gt;=C164,B164&gt;=K164),"A. Distribution",IF(C164&gt;=K164,"B. Manufacturing","C. Prof. services"))</f>
        <v>A. Distribution</v>
      </c>
      <c r="E164" s="39" t="n">
        <v>0.00409303500686922</v>
      </c>
      <c r="F164" s="39" t="n">
        <v>0.326561498054436</v>
      </c>
      <c r="G164" s="39" t="n">
        <v>0.252638308566489</v>
      </c>
      <c r="H164" s="39" t="n">
        <v>0.105799692947431</v>
      </c>
      <c r="I164" s="39" t="n">
        <v>0.204919171771266</v>
      </c>
      <c r="J164" s="39" t="n">
        <v>0.105988293653508</v>
      </c>
      <c r="K164" s="38" t="n">
        <f aca="false">E164*Scorecard!$E$18+F164*Scorecard!$E$19+G164*Scorecard!$E$20+H164*Scorecard!$E$21+I164*Scorecard!$E$22+J164*Scorecard!$E$23</f>
        <v>3.28442681139917</v>
      </c>
      <c r="M164" s="0" t="str">
        <f aca="false">IF(AND(T164&gt;=U164,T164&gt;=V164),"A. Distribution",IF(U164&gt;=V164,"B. Manufacturing","C. Prof. services"))</f>
        <v>A. Distribution</v>
      </c>
      <c r="N164" s="39" t="n">
        <v>0.107320942029735</v>
      </c>
      <c r="O164" s="39" t="n">
        <v>0.210216348969099</v>
      </c>
      <c r="P164" s="39" t="n">
        <v>0.298919267888625</v>
      </c>
      <c r="Q164" s="39" t="n">
        <v>0.149389564001748</v>
      </c>
      <c r="R164" s="39" t="n">
        <v>0.163265997824198</v>
      </c>
      <c r="S164" s="39" t="n">
        <v>0.0708878792865951</v>
      </c>
      <c r="T164" s="38" t="n">
        <f aca="false">N164*Scorecard!$C$18+O164*Scorecard!$C$19+P164*Scorecard!$C$20+Q164*Scorecard!$C$21+R164*Scorecard!$C$22+S164*Scorecard!$C$23</f>
        <v>4.04372732522508</v>
      </c>
      <c r="U164" s="38" t="n">
        <f aca="false">N164*Scorecard!$D$18+O164*Scorecard!$D$19+P164*Scorecard!$D$20+Q164*Scorecard!$D$21+R164*Scorecard!$D$22+S164*Scorecard!$D$23</f>
        <v>2.55442316739932</v>
      </c>
      <c r="V164" s="38" t="n">
        <f aca="false">N164*Scorecard!$E$18+O164*Scorecard!$E$19+P164*Scorecard!$E$20+Q164*Scorecard!$E$21+R164*Scorecard!$E$22+S164*Scorecard!$E$23</f>
        <v>3.40950989613041</v>
      </c>
    </row>
    <row r="165" customFormat="false" ht="15" hidden="false" customHeight="false" outlineLevel="0" collapsed="false">
      <c r="A165" s="0" t="n">
        <v>160</v>
      </c>
      <c r="B165" s="38" t="n">
        <f aca="false">E165*Scorecard!$C$18+F165*Scorecard!$C$19+G165*Scorecard!$C$20+H165*Scorecard!$C$21+I165*Scorecard!$C$22+J165*Scorecard!$C$23</f>
        <v>3.58160303668211</v>
      </c>
      <c r="C165" s="38" t="n">
        <f aca="false">E165*Scorecard!$D$18+F165*Scorecard!$D$19+G165*Scorecard!$D$20+H165*Scorecard!$D$21+I165*Scorecard!$D$22+J165*Scorecard!$D$23</f>
        <v>2.08726912126827</v>
      </c>
      <c r="D165" s="0" t="str">
        <f aca="false">IF(AND(B165&gt;=C165,B165&gt;=K165),"A. Distribution",IF(C165&gt;=K165,"B. Manufacturing","C. Prof. services"))</f>
        <v>C. Prof. services</v>
      </c>
      <c r="E165" s="39" t="n">
        <v>0.0181789128933822</v>
      </c>
      <c r="F165" s="39" t="n">
        <v>0.0231736906173235</v>
      </c>
      <c r="G165" s="39" t="n">
        <v>0.494664054098734</v>
      </c>
      <c r="H165" s="39" t="n">
        <v>0.18783779552338</v>
      </c>
      <c r="I165" s="39" t="n">
        <v>0.0662097993613014</v>
      </c>
      <c r="J165" s="39" t="n">
        <v>0.209935747505879</v>
      </c>
      <c r="K165" s="38" t="n">
        <f aca="false">E165*Scorecard!$E$18+F165*Scorecard!$E$19+G165*Scorecard!$E$20+H165*Scorecard!$E$21+I165*Scorecard!$E$22+J165*Scorecard!$E$23</f>
        <v>3.89638709678761</v>
      </c>
      <c r="M165" s="0" t="str">
        <f aca="false">IF(AND(T165&gt;=U165,T165&gt;=V165),"A. Distribution",IF(U165&gt;=V165,"B. Manufacturing","C. Prof. services"))</f>
        <v>A. Distribution</v>
      </c>
      <c r="N165" s="39" t="n">
        <v>0.159726953281364</v>
      </c>
      <c r="O165" s="39" t="n">
        <v>0.254881522372742</v>
      </c>
      <c r="P165" s="39" t="n">
        <v>0.22827706204226</v>
      </c>
      <c r="Q165" s="39" t="n">
        <v>0.0979501088112433</v>
      </c>
      <c r="R165" s="39" t="n">
        <v>0.164910013081991</v>
      </c>
      <c r="S165" s="39" t="n">
        <v>0.0942543404104006</v>
      </c>
      <c r="T165" s="38" t="n">
        <f aca="false">N165*Scorecard!$C$18+O165*Scorecard!$C$19+P165*Scorecard!$C$20+Q165*Scorecard!$C$21+R165*Scorecard!$C$22+S165*Scorecard!$C$23</f>
        <v>4.04299469839389</v>
      </c>
      <c r="U165" s="38" t="n">
        <f aca="false">N165*Scorecard!$D$18+O165*Scorecard!$D$19+P165*Scorecard!$D$20+Q165*Scorecard!$D$21+R165*Scorecard!$D$22+S165*Scorecard!$D$23</f>
        <v>2.65959662930855</v>
      </c>
      <c r="V165" s="38" t="n">
        <f aca="false">N165*Scorecard!$E$18+O165*Scorecard!$E$19+P165*Scorecard!$E$20+Q165*Scorecard!$E$21+R165*Scorecard!$E$22+S165*Scorecard!$E$23</f>
        <v>3.35568108730148</v>
      </c>
    </row>
    <row r="166" customFormat="false" ht="15" hidden="false" customHeight="false" outlineLevel="0" collapsed="false">
      <c r="A166" s="0" t="n">
        <v>161</v>
      </c>
      <c r="B166" s="38" t="n">
        <f aca="false">E166*Scorecard!$C$18+F166*Scorecard!$C$19+G166*Scorecard!$C$20+H166*Scorecard!$C$21+I166*Scorecard!$C$22+J166*Scorecard!$C$23</f>
        <v>3.19903230919927</v>
      </c>
      <c r="C166" s="38" t="n">
        <f aca="false">E166*Scorecard!$D$18+F166*Scorecard!$D$19+G166*Scorecard!$D$20+H166*Scorecard!$D$21+I166*Scorecard!$D$22+J166*Scorecard!$D$23</f>
        <v>2.06068477092823</v>
      </c>
      <c r="D166" s="0" t="str">
        <f aca="false">IF(AND(B166&gt;=C166,B166&gt;=K166),"A. Distribution",IF(C166&gt;=K166,"B. Manufacturing","C. Prof. services"))</f>
        <v>C. Prof. services</v>
      </c>
      <c r="E166" s="39" t="n">
        <v>0.0797879034823283</v>
      </c>
      <c r="F166" s="39" t="n">
        <v>0.169805065359148</v>
      </c>
      <c r="G166" s="39" t="n">
        <v>0.120783995691626</v>
      </c>
      <c r="H166" s="39" t="n">
        <v>0.155167480107257</v>
      </c>
      <c r="I166" s="39" t="n">
        <v>0.000631827398475221</v>
      </c>
      <c r="J166" s="39" t="n">
        <v>0.473823727961166</v>
      </c>
      <c r="K166" s="38" t="n">
        <f aca="false">E166*Scorecard!$E$18+F166*Scorecard!$E$19+G166*Scorecard!$E$20+H166*Scorecard!$E$21+I166*Scorecard!$E$22+J166*Scorecard!$E$23</f>
        <v>3.94222527340853</v>
      </c>
      <c r="M166" s="0" t="str">
        <f aca="false">IF(AND(T166&gt;=U166,T166&gt;=V166),"A. Distribution",IF(U166&gt;=V166,"B. Manufacturing","C. Prof. services"))</f>
        <v>A. Distribution</v>
      </c>
      <c r="N166" s="39" t="n">
        <v>0.151401051553506</v>
      </c>
      <c r="O166" s="39" t="n">
        <v>0.133624837762226</v>
      </c>
      <c r="P166" s="39" t="n">
        <v>0.202075833054912</v>
      </c>
      <c r="Q166" s="39" t="n">
        <v>0.096539771944563</v>
      </c>
      <c r="R166" s="39" t="n">
        <v>0.30914246925178</v>
      </c>
      <c r="S166" s="39" t="n">
        <v>0.107216036433013</v>
      </c>
      <c r="T166" s="38" t="n">
        <f aca="false">N166*Scorecard!$C$18+O166*Scorecard!$C$19+P166*Scorecard!$C$20+Q166*Scorecard!$C$21+R166*Scorecard!$C$22+S166*Scorecard!$C$23</f>
        <v>3.89663504613558</v>
      </c>
      <c r="U166" s="38" t="n">
        <f aca="false">N166*Scorecard!$D$18+O166*Scorecard!$D$19+P166*Scorecard!$D$20+Q166*Scorecard!$D$21+R166*Scorecard!$D$22+S166*Scorecard!$D$23</f>
        <v>2.763918521306</v>
      </c>
      <c r="V166" s="38" t="n">
        <f aca="false">N166*Scorecard!$E$18+O166*Scorecard!$E$19+P166*Scorecard!$E$20+Q166*Scorecard!$E$21+R166*Scorecard!$E$22+S166*Scorecard!$E$23</f>
        <v>3.27134636973478</v>
      </c>
    </row>
    <row r="167" customFormat="false" ht="15" hidden="false" customHeight="false" outlineLevel="0" collapsed="false">
      <c r="A167" s="0" t="n">
        <v>162</v>
      </c>
      <c r="B167" s="38" t="n">
        <f aca="false">E167*Scorecard!$C$18+F167*Scorecard!$C$19+G167*Scorecard!$C$20+H167*Scorecard!$C$21+I167*Scorecard!$C$22+J167*Scorecard!$C$23</f>
        <v>3.78018849397459</v>
      </c>
      <c r="C167" s="38" t="n">
        <f aca="false">E167*Scorecard!$D$18+F167*Scorecard!$D$19+G167*Scorecard!$D$20+H167*Scorecard!$D$21+I167*Scorecard!$D$22+J167*Scorecard!$D$23</f>
        <v>2.48601864964451</v>
      </c>
      <c r="D167" s="0" t="str">
        <f aca="false">IF(AND(B167&gt;=C167,B167&gt;=K167),"A. Distribution",IF(C167&gt;=K167,"B. Manufacturing","C. Prof. services"))</f>
        <v>A. Distribution</v>
      </c>
      <c r="E167" s="39" t="n">
        <v>0.0255463311532591</v>
      </c>
      <c r="F167" s="39" t="n">
        <v>0.268082028116413</v>
      </c>
      <c r="G167" s="39" t="n">
        <v>0.0710317160378225</v>
      </c>
      <c r="H167" s="39" t="n">
        <v>0.116163702020233</v>
      </c>
      <c r="I167" s="39" t="n">
        <v>0.282513325360774</v>
      </c>
      <c r="J167" s="39" t="n">
        <v>0.236662897311499</v>
      </c>
      <c r="K167" s="38" t="n">
        <f aca="false">E167*Scorecard!$E$18+F167*Scorecard!$E$19+G167*Scorecard!$E$20+H167*Scorecard!$E$21+I167*Scorecard!$E$22+J167*Scorecard!$E$23</f>
        <v>3.27622888742613</v>
      </c>
      <c r="M167" s="0" t="str">
        <f aca="false">IF(AND(T167&gt;=U167,T167&gt;=V167),"A. Distribution",IF(U167&gt;=V167,"B. Manufacturing","C. Prof. services"))</f>
        <v>A. Distribution</v>
      </c>
      <c r="N167" s="39" t="n">
        <v>0.306768750978906</v>
      </c>
      <c r="O167" s="39" t="n">
        <v>0.241863882296155</v>
      </c>
      <c r="P167" s="39" t="n">
        <v>0.219959318445465</v>
      </c>
      <c r="Q167" s="39" t="n">
        <v>0.066199530308663</v>
      </c>
      <c r="R167" s="39" t="n">
        <v>0.129675656448639</v>
      </c>
      <c r="S167" s="39" t="n">
        <v>0.0355328615221711</v>
      </c>
      <c r="T167" s="38" t="n">
        <f aca="false">N167*Scorecard!$C$18+O167*Scorecard!$C$19+P167*Scorecard!$C$20+Q167*Scorecard!$C$21+R167*Scorecard!$C$22+S167*Scorecard!$C$23</f>
        <v>4.13903564829482</v>
      </c>
      <c r="U167" s="38" t="n">
        <f aca="false">N167*Scorecard!$D$18+O167*Scorecard!$D$19+P167*Scorecard!$D$20+Q167*Scorecard!$D$21+R167*Scorecard!$D$22+S167*Scorecard!$D$23</f>
        <v>2.92331638116299</v>
      </c>
      <c r="V167" s="38" t="n">
        <f aca="false">N167*Scorecard!$E$18+O167*Scorecard!$E$19+P167*Scorecard!$E$20+Q167*Scorecard!$E$21+R167*Scorecard!$E$22+S167*Scorecard!$E$23</f>
        <v>3.33747091956322</v>
      </c>
    </row>
    <row r="168" customFormat="false" ht="15" hidden="false" customHeight="false" outlineLevel="0" collapsed="false">
      <c r="A168" s="0" t="n">
        <v>163</v>
      </c>
      <c r="B168" s="38" t="n">
        <f aca="false">E168*Scorecard!$C$18+F168*Scorecard!$C$19+G168*Scorecard!$C$20+H168*Scorecard!$C$21+I168*Scorecard!$C$22+J168*Scorecard!$C$23</f>
        <v>3.80763238589459</v>
      </c>
      <c r="C168" s="38" t="n">
        <f aca="false">E168*Scorecard!$D$18+F168*Scorecard!$D$19+G168*Scorecard!$D$20+H168*Scorecard!$D$21+I168*Scorecard!$D$22+J168*Scorecard!$D$23</f>
        <v>2.757507731318</v>
      </c>
      <c r="D168" s="0" t="str">
        <f aca="false">IF(AND(B168&gt;=C168,B168&gt;=K168),"A. Distribution",IF(C168&gt;=K168,"B. Manufacturing","C. Prof. services"))</f>
        <v>A. Distribution</v>
      </c>
      <c r="E168" s="39" t="n">
        <v>0.333325047272562</v>
      </c>
      <c r="F168" s="39" t="n">
        <v>0.0561114969281607</v>
      </c>
      <c r="G168" s="39" t="n">
        <v>0.346950608727954</v>
      </c>
      <c r="H168" s="39" t="n">
        <v>0.100699283535155</v>
      </c>
      <c r="I168" s="39" t="n">
        <v>0.0574800074760793</v>
      </c>
      <c r="J168" s="39" t="n">
        <v>0.105433556060089</v>
      </c>
      <c r="K168" s="38" t="n">
        <f aca="false">E168*Scorecard!$E$18+F168*Scorecard!$E$19+G168*Scorecard!$E$20+H168*Scorecard!$E$21+I168*Scorecard!$E$22+J168*Scorecard!$E$23</f>
        <v>3.69023932894234</v>
      </c>
      <c r="M168" s="0" t="str">
        <f aca="false">IF(AND(T168&gt;=U168,T168&gt;=V168),"A. Distribution",IF(U168&gt;=V168,"B. Manufacturing","C. Prof. services"))</f>
        <v>A. Distribution</v>
      </c>
      <c r="N168" s="39" t="n">
        <v>0.0992952435068549</v>
      </c>
      <c r="O168" s="39" t="n">
        <v>0.127296248959566</v>
      </c>
      <c r="P168" s="39" t="n">
        <v>0.351236626922455</v>
      </c>
      <c r="Q168" s="39" t="n">
        <v>0.275972358274148</v>
      </c>
      <c r="R168" s="39" t="n">
        <v>0.109904334516845</v>
      </c>
      <c r="S168" s="39" t="n">
        <v>0.036295187820131</v>
      </c>
      <c r="T168" s="38" t="n">
        <f aca="false">N168*Scorecard!$C$18+O168*Scorecard!$C$19+P168*Scorecard!$C$20+Q168*Scorecard!$C$21+R168*Scorecard!$C$22+S168*Scorecard!$C$23</f>
        <v>4.01699759521262</v>
      </c>
      <c r="U168" s="38" t="n">
        <f aca="false">N168*Scorecard!$D$18+O168*Scorecard!$D$19+P168*Scorecard!$D$20+Q168*Scorecard!$D$21+R168*Scorecard!$D$22+S168*Scorecard!$D$23</f>
        <v>2.47739767942683</v>
      </c>
      <c r="V168" s="38" t="n">
        <f aca="false">N168*Scorecard!$E$18+O168*Scorecard!$E$19+P168*Scorecard!$E$20+Q168*Scorecard!$E$21+R168*Scorecard!$E$22+S168*Scorecard!$E$23</f>
        <v>3.54288629906729</v>
      </c>
    </row>
    <row r="169" customFormat="false" ht="15" hidden="false" customHeight="false" outlineLevel="0" collapsed="false">
      <c r="A169" s="0" t="n">
        <v>164</v>
      </c>
      <c r="B169" s="38" t="n">
        <f aca="false">E169*Scorecard!$C$18+F169*Scorecard!$C$19+G169*Scorecard!$C$20+H169*Scorecard!$C$21+I169*Scorecard!$C$22+J169*Scorecard!$C$23</f>
        <v>3.67814321293917</v>
      </c>
      <c r="C169" s="38" t="n">
        <f aca="false">E169*Scorecard!$D$18+F169*Scorecard!$D$19+G169*Scorecard!$D$20+H169*Scorecard!$D$21+I169*Scorecard!$D$22+J169*Scorecard!$D$23</f>
        <v>2.5106286372574</v>
      </c>
      <c r="D169" s="0" t="str">
        <f aca="false">IF(AND(B169&gt;=C169,B169&gt;=K169),"A. Distribution",IF(C169&gt;=K169,"B. Manufacturing","C. Prof. services"))</f>
        <v>C. Prof. services</v>
      </c>
      <c r="E169" s="39" t="n">
        <v>0.190165071785844</v>
      </c>
      <c r="F169" s="39" t="n">
        <v>0.0655382241377393</v>
      </c>
      <c r="G169" s="39" t="n">
        <v>0.0640004698084913</v>
      </c>
      <c r="H169" s="39" t="n">
        <v>0.50388460147388</v>
      </c>
      <c r="I169" s="39" t="n">
        <v>0.0174949278058267</v>
      </c>
      <c r="J169" s="39" t="n">
        <v>0.158916704988219</v>
      </c>
      <c r="K169" s="38" t="n">
        <f aca="false">E169*Scorecard!$E$18+F169*Scorecard!$E$19+G169*Scorecard!$E$20+H169*Scorecard!$E$21+I169*Scorecard!$E$22+J169*Scorecard!$E$23</f>
        <v>3.71206297808231</v>
      </c>
      <c r="M169" s="0" t="str">
        <f aca="false">IF(AND(T169&gt;=U169,T169&gt;=V169),"A. Distribution",IF(U169&gt;=V169,"B. Manufacturing","C. Prof. services"))</f>
        <v>A. Distribution</v>
      </c>
      <c r="N169" s="39" t="n">
        <v>0.141794115133913</v>
      </c>
      <c r="O169" s="39" t="n">
        <v>0.225145728952394</v>
      </c>
      <c r="P169" s="39" t="n">
        <v>0.252370424850104</v>
      </c>
      <c r="Q169" s="39" t="n">
        <v>0.137771938986136</v>
      </c>
      <c r="R169" s="39" t="n">
        <v>0.149437901963025</v>
      </c>
      <c r="S169" s="39" t="n">
        <v>0.0934798901144276</v>
      </c>
      <c r="T169" s="38" t="n">
        <f aca="false">N169*Scorecard!$C$18+O169*Scorecard!$C$19+P169*Scorecard!$C$20+Q169*Scorecard!$C$21+R169*Scorecard!$C$22+S169*Scorecard!$C$23</f>
        <v>4.01195674968149</v>
      </c>
      <c r="U169" s="38" t="n">
        <f aca="false">N169*Scorecard!$D$18+O169*Scorecard!$D$19+P169*Scorecard!$D$20+Q169*Scorecard!$D$21+R169*Scorecard!$D$22+S169*Scorecard!$D$23</f>
        <v>2.59895506964308</v>
      </c>
      <c r="V169" s="38" t="n">
        <f aca="false">N169*Scorecard!$E$18+O169*Scorecard!$E$19+P169*Scorecard!$E$20+Q169*Scorecard!$E$21+R169*Scorecard!$E$22+S169*Scorecard!$E$23</f>
        <v>3.41256959598444</v>
      </c>
    </row>
    <row r="170" customFormat="false" ht="15" hidden="false" customHeight="false" outlineLevel="0" collapsed="false">
      <c r="A170" s="0" t="n">
        <v>165</v>
      </c>
      <c r="B170" s="38" t="n">
        <f aca="false">E170*Scorecard!$C$18+F170*Scorecard!$C$19+G170*Scorecard!$C$20+H170*Scorecard!$C$21+I170*Scorecard!$C$22+J170*Scorecard!$C$23</f>
        <v>3.97675095739697</v>
      </c>
      <c r="C170" s="38" t="n">
        <f aca="false">E170*Scorecard!$D$18+F170*Scorecard!$D$19+G170*Scorecard!$D$20+H170*Scorecard!$D$21+I170*Scorecard!$D$22+J170*Scorecard!$D$23</f>
        <v>3.2072824715805</v>
      </c>
      <c r="D170" s="0" t="str">
        <f aca="false">IF(AND(B170&gt;=C170,B170&gt;=K170),"A. Distribution",IF(C170&gt;=K170,"B. Manufacturing","C. Prof. services"))</f>
        <v>A. Distribution</v>
      </c>
      <c r="E170" s="39" t="n">
        <v>0.348379850260707</v>
      </c>
      <c r="F170" s="39" t="n">
        <v>0.0435580717742577</v>
      </c>
      <c r="G170" s="39" t="n">
        <v>0.191892792911254</v>
      </c>
      <c r="H170" s="39" t="n">
        <v>0.0424096642397398</v>
      </c>
      <c r="I170" s="39" t="n">
        <v>0.356626043506645</v>
      </c>
      <c r="J170" s="39" t="n">
        <v>0.0171335773073964</v>
      </c>
      <c r="K170" s="38" t="n">
        <f aca="false">E170*Scorecard!$E$18+F170*Scorecard!$E$19+G170*Scorecard!$E$20+H170*Scorecard!$E$21+I170*Scorecard!$E$22+J170*Scorecard!$E$23</f>
        <v>3.17404695559368</v>
      </c>
      <c r="M170" s="0" t="str">
        <f aca="false">IF(AND(T170&gt;=U170,T170&gt;=V170),"A. Distribution",IF(U170&gt;=V170,"B. Manufacturing","C. Prof. services"))</f>
        <v>A. Distribution</v>
      </c>
      <c r="N170" s="39" t="n">
        <v>0.104053122522043</v>
      </c>
      <c r="O170" s="39" t="n">
        <v>0.118446732384011</v>
      </c>
      <c r="P170" s="39" t="n">
        <v>0.4205179574555</v>
      </c>
      <c r="Q170" s="39" t="n">
        <v>0.176772918661138</v>
      </c>
      <c r="R170" s="39" t="n">
        <v>0.0482910283982141</v>
      </c>
      <c r="S170" s="39" t="n">
        <v>0.131918240579095</v>
      </c>
      <c r="T170" s="38" t="n">
        <f aca="false">N170*Scorecard!$C$18+O170*Scorecard!$C$19+P170*Scorecard!$C$20+Q170*Scorecard!$C$21+R170*Scorecard!$C$22+S170*Scorecard!$C$23</f>
        <v>3.82720877620105</v>
      </c>
      <c r="U170" s="38" t="n">
        <f aca="false">N170*Scorecard!$D$18+O170*Scorecard!$D$19+P170*Scorecard!$D$20+Q170*Scorecard!$D$21+R170*Scorecard!$D$22+S170*Scorecard!$D$23</f>
        <v>2.32338203489386</v>
      </c>
      <c r="V170" s="38" t="n">
        <f aca="false">N170*Scorecard!$E$18+O170*Scorecard!$E$19+P170*Scorecard!$E$20+Q170*Scorecard!$E$21+R170*Scorecard!$E$22+S170*Scorecard!$E$23</f>
        <v>3.73403439250893</v>
      </c>
    </row>
    <row r="171" customFormat="false" ht="15" hidden="false" customHeight="false" outlineLevel="0" collapsed="false">
      <c r="A171" s="0" t="n">
        <v>166</v>
      </c>
      <c r="B171" s="38" t="n">
        <f aca="false">E171*Scorecard!$C$18+F171*Scorecard!$C$19+G171*Scorecard!$C$20+H171*Scorecard!$C$21+I171*Scorecard!$C$22+J171*Scorecard!$C$23</f>
        <v>4.05389389040921</v>
      </c>
      <c r="C171" s="38" t="n">
        <f aca="false">E171*Scorecard!$D$18+F171*Scorecard!$D$19+G171*Scorecard!$D$20+H171*Scorecard!$D$21+I171*Scorecard!$D$22+J171*Scorecard!$D$23</f>
        <v>2.71160401894145</v>
      </c>
      <c r="D171" s="0" t="str">
        <f aca="false">IF(AND(B171&gt;=C171,B171&gt;=K171),"A. Distribution",IF(C171&gt;=K171,"B. Manufacturing","C. Prof. services"))</f>
        <v>A. Distribution</v>
      </c>
      <c r="E171" s="39" t="n">
        <v>0.102607160208175</v>
      </c>
      <c r="F171" s="39" t="n">
        <v>0.139326472836233</v>
      </c>
      <c r="G171" s="39" t="n">
        <v>0.264966893960169</v>
      </c>
      <c r="H171" s="39" t="n">
        <v>0.166101869223748</v>
      </c>
      <c r="I171" s="39" t="n">
        <v>0.297349098328006</v>
      </c>
      <c r="J171" s="39" t="n">
        <v>0.0296485054436687</v>
      </c>
      <c r="K171" s="38" t="n">
        <f aca="false">E171*Scorecard!$E$18+F171*Scorecard!$E$19+G171*Scorecard!$E$20+H171*Scorecard!$E$21+I171*Scorecard!$E$22+J171*Scorecard!$E$23</f>
        <v>3.24704764419778</v>
      </c>
      <c r="M171" s="0" t="str">
        <f aca="false">IF(AND(T171&gt;=U171,T171&gt;=V171),"A. Distribution",IF(U171&gt;=V171,"B. Manufacturing","C. Prof. services"))</f>
        <v>A. Distribution</v>
      </c>
      <c r="N171" s="39" t="n">
        <v>0.103523940205783</v>
      </c>
      <c r="O171" s="39" t="n">
        <v>0.238727918682454</v>
      </c>
      <c r="P171" s="39" t="n">
        <v>0.228262156629742</v>
      </c>
      <c r="Q171" s="39" t="n">
        <v>0.153549682766953</v>
      </c>
      <c r="R171" s="39" t="n">
        <v>0.125183886232657</v>
      </c>
      <c r="S171" s="39" t="n">
        <v>0.150752415482411</v>
      </c>
      <c r="T171" s="38" t="n">
        <f aca="false">N171*Scorecard!$C$18+O171*Scorecard!$C$19+P171*Scorecard!$C$20+Q171*Scorecard!$C$21+R171*Scorecard!$C$22+S171*Scorecard!$C$23</f>
        <v>3.91236641632782</v>
      </c>
      <c r="U171" s="38" t="n">
        <f aca="false">N171*Scorecard!$D$18+O171*Scorecard!$D$19+P171*Scorecard!$D$20+Q171*Scorecard!$D$21+R171*Scorecard!$D$22+S171*Scorecard!$D$23</f>
        <v>2.47235531254636</v>
      </c>
      <c r="V171" s="38" t="n">
        <f aca="false">N171*Scorecard!$E$18+O171*Scorecard!$E$19+P171*Scorecard!$E$20+Q171*Scorecard!$E$21+R171*Scorecard!$E$22+S171*Scorecard!$E$23</f>
        <v>3.47936820083357</v>
      </c>
    </row>
    <row r="172" customFormat="false" ht="15" hidden="false" customHeight="false" outlineLevel="0" collapsed="false">
      <c r="A172" s="0" t="n">
        <v>167</v>
      </c>
      <c r="B172" s="38" t="n">
        <f aca="false">E172*Scorecard!$C$18+F172*Scorecard!$C$19+G172*Scorecard!$C$20+H172*Scorecard!$C$21+I172*Scorecard!$C$22+J172*Scorecard!$C$23</f>
        <v>4.25780260414472</v>
      </c>
      <c r="C172" s="38" t="n">
        <f aca="false">E172*Scorecard!$D$18+F172*Scorecard!$D$19+G172*Scorecard!$D$20+H172*Scorecard!$D$21+I172*Scorecard!$D$22+J172*Scorecard!$D$23</f>
        <v>2.7460249752802</v>
      </c>
      <c r="D172" s="0" t="str">
        <f aca="false">IF(AND(B172&gt;=C172,B172&gt;=K172),"A. Distribution",IF(C172&gt;=K172,"B. Manufacturing","C. Prof. services"))</f>
        <v>A. Distribution</v>
      </c>
      <c r="E172" s="39" t="n">
        <v>0.24856513670836</v>
      </c>
      <c r="F172" s="39" t="n">
        <v>0.383062274554309</v>
      </c>
      <c r="G172" s="39" t="n">
        <v>0.223458334733189</v>
      </c>
      <c r="H172" s="39" t="n">
        <v>0.0600108214427747</v>
      </c>
      <c r="I172" s="39" t="n">
        <v>0.0354849441792883</v>
      </c>
      <c r="J172" s="39" t="n">
        <v>0.0494184883820791</v>
      </c>
      <c r="K172" s="38" t="n">
        <f aca="false">E172*Scorecard!$E$18+F172*Scorecard!$E$19+G172*Scorecard!$E$20+H172*Scorecard!$E$21+I172*Scorecard!$E$22+J172*Scorecard!$E$23</f>
        <v>3.36373626851542</v>
      </c>
      <c r="M172" s="0" t="str">
        <f aca="false">IF(AND(T172&gt;=U172,T172&gt;=V172),"A. Distribution",IF(U172&gt;=V172,"B. Manufacturing","C. Prof. services"))</f>
        <v>A. Distribution</v>
      </c>
      <c r="N172" s="39" t="n">
        <v>0.307472623172384</v>
      </c>
      <c r="O172" s="39" t="n">
        <v>0.117722839266574</v>
      </c>
      <c r="P172" s="39" t="n">
        <v>0.225564681221754</v>
      </c>
      <c r="Q172" s="39" t="n">
        <v>0.0958938970958778</v>
      </c>
      <c r="R172" s="39" t="n">
        <v>0.0741211142444634</v>
      </c>
      <c r="S172" s="39" t="n">
        <v>0.179224844998947</v>
      </c>
      <c r="T172" s="38" t="n">
        <f aca="false">N172*Scorecard!$C$18+O172*Scorecard!$C$19+P172*Scorecard!$C$20+Q172*Scorecard!$C$21+R172*Scorecard!$C$22+S172*Scorecard!$C$23</f>
        <v>3.7242545412394</v>
      </c>
      <c r="U172" s="38" t="n">
        <f aca="false">N172*Scorecard!$D$18+O172*Scorecard!$D$19+P172*Scorecard!$D$20+Q172*Scorecard!$D$21+R172*Scorecard!$D$22+S172*Scorecard!$D$23</f>
        <v>2.72173015703584</v>
      </c>
      <c r="V172" s="38" t="n">
        <f aca="false">N172*Scorecard!$E$18+O172*Scorecard!$E$19+P172*Scorecard!$E$20+Q172*Scorecard!$E$21+R172*Scorecard!$E$22+S172*Scorecard!$E$23</f>
        <v>3.64024586689724</v>
      </c>
    </row>
    <row r="173" customFormat="false" ht="15" hidden="false" customHeight="false" outlineLevel="0" collapsed="false">
      <c r="A173" s="0" t="n">
        <v>168</v>
      </c>
      <c r="B173" s="38" t="n">
        <f aca="false">E173*Scorecard!$C$18+F173*Scorecard!$C$19+G173*Scorecard!$C$20+H173*Scorecard!$C$21+I173*Scorecard!$C$22+J173*Scorecard!$C$23</f>
        <v>3.4102432784954</v>
      </c>
      <c r="C173" s="38" t="n">
        <f aca="false">E173*Scorecard!$D$18+F173*Scorecard!$D$19+G173*Scorecard!$D$20+H173*Scorecard!$D$21+I173*Scorecard!$D$22+J173*Scorecard!$D$23</f>
        <v>2.20028638255204</v>
      </c>
      <c r="D173" s="0" t="str">
        <f aca="false">IF(AND(B173&gt;=C173,B173&gt;=K173),"A. Distribution",IF(C173&gt;=K173,"B. Manufacturing","C. Prof. services"))</f>
        <v>C. Prof. services</v>
      </c>
      <c r="E173" s="39" t="n">
        <v>0.0210336958002921</v>
      </c>
      <c r="F173" s="39" t="n">
        <v>0.180013772808731</v>
      </c>
      <c r="G173" s="39" t="n">
        <v>0.131244868090929</v>
      </c>
      <c r="H173" s="39" t="n">
        <v>0.131427797809077</v>
      </c>
      <c r="I173" s="39" t="n">
        <v>0.159319693270342</v>
      </c>
      <c r="J173" s="39" t="n">
        <v>0.376960172220629</v>
      </c>
      <c r="K173" s="38" t="n">
        <f aca="false">E173*Scorecard!$E$18+F173*Scorecard!$E$19+G173*Scorecard!$E$20+H173*Scorecard!$E$21+I173*Scorecard!$E$22+J173*Scorecard!$E$23</f>
        <v>3.6542465359048</v>
      </c>
      <c r="M173" s="0" t="str">
        <f aca="false">IF(AND(T173&gt;=U173,T173&gt;=V173),"A. Distribution",IF(U173&gt;=V173,"B. Manufacturing","C. Prof. services"))</f>
        <v>A. Distribution</v>
      </c>
      <c r="N173" s="39" t="n">
        <v>0.197037393410946</v>
      </c>
      <c r="O173" s="39" t="n">
        <v>0.160996105197734</v>
      </c>
      <c r="P173" s="39" t="n">
        <v>0.100539191822698</v>
      </c>
      <c r="Q173" s="39" t="n">
        <v>0.203402160831364</v>
      </c>
      <c r="R173" s="39" t="n">
        <v>0.302552092592415</v>
      </c>
      <c r="S173" s="39" t="n">
        <v>0.0354730561448433</v>
      </c>
      <c r="T173" s="38" t="n">
        <f aca="false">N173*Scorecard!$C$18+O173*Scorecard!$C$19+P173*Scorecard!$C$20+Q173*Scorecard!$C$21+R173*Scorecard!$C$22+S173*Scorecard!$C$23</f>
        <v>4.05231379447093</v>
      </c>
      <c r="U173" s="38" t="n">
        <f aca="false">N173*Scorecard!$D$18+O173*Scorecard!$D$19+P173*Scorecard!$D$20+Q173*Scorecard!$D$21+R173*Scorecard!$D$22+S173*Scorecard!$D$23</f>
        <v>2.92907504488381</v>
      </c>
      <c r="V173" s="38" t="n">
        <f aca="false">N173*Scorecard!$E$18+O173*Scorecard!$E$19+P173*Scorecard!$E$20+Q173*Scorecard!$E$21+R173*Scorecard!$E$22+S173*Scorecard!$E$23</f>
        <v>3.15596867926285</v>
      </c>
    </row>
    <row r="174" customFormat="false" ht="15" hidden="false" customHeight="false" outlineLevel="0" collapsed="false">
      <c r="A174" s="0" t="n">
        <v>169</v>
      </c>
      <c r="B174" s="38" t="n">
        <f aca="false">E174*Scorecard!$C$18+F174*Scorecard!$C$19+G174*Scorecard!$C$20+H174*Scorecard!$C$21+I174*Scorecard!$C$22+J174*Scorecard!$C$23</f>
        <v>3.93207273691104</v>
      </c>
      <c r="C174" s="38" t="n">
        <f aca="false">E174*Scorecard!$D$18+F174*Scorecard!$D$19+G174*Scorecard!$D$20+H174*Scorecard!$D$21+I174*Scorecard!$D$22+J174*Scorecard!$D$23</f>
        <v>2.75790990923458</v>
      </c>
      <c r="D174" s="0" t="str">
        <f aca="false">IF(AND(B174&gt;=C174,B174&gt;=K174),"A. Distribution",IF(C174&gt;=K174,"B. Manufacturing","C. Prof. services"))</f>
        <v>A. Distribution</v>
      </c>
      <c r="E174" s="39" t="n">
        <v>0.0150803486290361</v>
      </c>
      <c r="F174" s="39" t="n">
        <v>0.112450073416044</v>
      </c>
      <c r="G174" s="39" t="n">
        <v>0.0546408251111209</v>
      </c>
      <c r="H174" s="39" t="n">
        <v>0.274191026003752</v>
      </c>
      <c r="I174" s="39" t="n">
        <v>0.468826556816523</v>
      </c>
      <c r="J174" s="39" t="n">
        <v>0.0748111700235254</v>
      </c>
      <c r="K174" s="38" t="n">
        <f aca="false">E174*Scorecard!$E$18+F174*Scorecard!$E$19+G174*Scorecard!$E$20+H174*Scorecard!$E$21+I174*Scorecard!$E$22+J174*Scorecard!$E$23</f>
        <v>3.02436608682828</v>
      </c>
      <c r="M174" s="0" t="str">
        <f aca="false">IF(AND(T174&gt;=U174,T174&gt;=V174),"A. Distribution",IF(U174&gt;=V174,"B. Manufacturing","C. Prof. services"))</f>
        <v>A. Distribution</v>
      </c>
      <c r="N174" s="39" t="n">
        <v>0.0792891048929735</v>
      </c>
      <c r="O174" s="39" t="n">
        <v>0.133647476403775</v>
      </c>
      <c r="P174" s="39" t="n">
        <v>0.175994806147248</v>
      </c>
      <c r="Q174" s="39" t="n">
        <v>0.0823928609898439</v>
      </c>
      <c r="R174" s="39" t="n">
        <v>0.459988593606715</v>
      </c>
      <c r="S174" s="39" t="n">
        <v>0.0686871579594451</v>
      </c>
      <c r="T174" s="38" t="n">
        <f aca="false">N174*Scorecard!$C$18+O174*Scorecard!$C$19+P174*Scorecard!$C$20+Q174*Scorecard!$C$21+R174*Scorecard!$C$22+S174*Scorecard!$C$23</f>
        <v>3.98102941509019</v>
      </c>
      <c r="U174" s="38" t="n">
        <f aca="false">N174*Scorecard!$D$18+O174*Scorecard!$D$19+P174*Scorecard!$D$20+Q174*Scorecard!$D$21+R174*Scorecard!$D$22+S174*Scorecard!$D$23</f>
        <v>2.8342772319065</v>
      </c>
      <c r="V174" s="38" t="n">
        <f aca="false">N174*Scorecard!$E$18+O174*Scorecard!$E$19+P174*Scorecard!$E$20+Q174*Scorecard!$E$21+R174*Scorecard!$E$22+S174*Scorecard!$E$23</f>
        <v>3.04132271811652</v>
      </c>
    </row>
    <row r="175" customFormat="false" ht="15" hidden="false" customHeight="false" outlineLevel="0" collapsed="false">
      <c r="A175" s="0" t="n">
        <v>170</v>
      </c>
      <c r="B175" s="38" t="n">
        <f aca="false">E175*Scorecard!$C$18+F175*Scorecard!$C$19+G175*Scorecard!$C$20+H175*Scorecard!$C$21+I175*Scorecard!$C$22+J175*Scorecard!$C$23</f>
        <v>3.5837654593719</v>
      </c>
      <c r="C175" s="38" t="n">
        <f aca="false">E175*Scorecard!$D$18+F175*Scorecard!$D$19+G175*Scorecard!$D$20+H175*Scorecard!$D$21+I175*Scorecard!$D$22+J175*Scorecard!$D$23</f>
        <v>2.71124054761427</v>
      </c>
      <c r="D175" s="0" t="str">
        <f aca="false">IF(AND(B175&gt;=C175,B175&gt;=K175),"A. Distribution",IF(C175&gt;=K175,"B. Manufacturing","C. Prof. services"))</f>
        <v>A. Distribution</v>
      </c>
      <c r="E175" s="39" t="n">
        <v>0.188963163782159</v>
      </c>
      <c r="F175" s="39" t="n">
        <v>0.0144851556387178</v>
      </c>
      <c r="G175" s="39" t="n">
        <v>0.191185456160457</v>
      </c>
      <c r="H175" s="39" t="n">
        <v>0.111424525568536</v>
      </c>
      <c r="I175" s="39" t="n">
        <v>0.292170500933062</v>
      </c>
      <c r="J175" s="39" t="n">
        <v>0.201771197917068</v>
      </c>
      <c r="K175" s="38" t="n">
        <f aca="false">E175*Scorecard!$E$18+F175*Scorecard!$E$19+G175*Scorecard!$E$20+H175*Scorecard!$E$21+I175*Scorecard!$E$22+J175*Scorecard!$E$23</f>
        <v>3.46568335924244</v>
      </c>
      <c r="M175" s="0" t="str">
        <f aca="false">IF(AND(T175&gt;=U175,T175&gt;=V175),"A. Distribution",IF(U175&gt;=V175,"B. Manufacturing","C. Prof. services"))</f>
        <v>A. Distribution</v>
      </c>
      <c r="N175" s="39" t="n">
        <v>0.134107496085565</v>
      </c>
      <c r="O175" s="39" t="n">
        <v>0.140572742080034</v>
      </c>
      <c r="P175" s="39" t="n">
        <v>0.345888004342952</v>
      </c>
      <c r="Q175" s="39" t="n">
        <v>0.120642188610077</v>
      </c>
      <c r="R175" s="39" t="n">
        <v>0.23610148406153</v>
      </c>
      <c r="S175" s="39" t="n">
        <v>0.0226880848198426</v>
      </c>
      <c r="T175" s="38" t="n">
        <f aca="false">N175*Scorecard!$C$18+O175*Scorecard!$C$19+P175*Scorecard!$C$20+Q175*Scorecard!$C$21+R175*Scorecard!$C$22+S175*Scorecard!$C$23</f>
        <v>4.07143024788294</v>
      </c>
      <c r="U175" s="38" t="n">
        <f aca="false">N175*Scorecard!$D$18+O175*Scorecard!$D$19+P175*Scorecard!$D$20+Q175*Scorecard!$D$21+R175*Scorecard!$D$22+S175*Scorecard!$D$23</f>
        <v>2.68453200989804</v>
      </c>
      <c r="V175" s="38" t="n">
        <f aca="false">N175*Scorecard!$E$18+O175*Scorecard!$E$19+P175*Scorecard!$E$20+Q175*Scorecard!$E$21+R175*Scorecard!$E$22+S175*Scorecard!$E$23</f>
        <v>3.34327761384075</v>
      </c>
    </row>
    <row r="176" customFormat="false" ht="15" hidden="false" customHeight="false" outlineLevel="0" collapsed="false">
      <c r="A176" s="0" t="n">
        <v>171</v>
      </c>
      <c r="B176" s="38" t="n">
        <f aca="false">E176*Scorecard!$C$18+F176*Scorecard!$C$19+G176*Scorecard!$C$20+H176*Scorecard!$C$21+I176*Scorecard!$C$22+J176*Scorecard!$C$23</f>
        <v>3.71881524011484</v>
      </c>
      <c r="C176" s="38" t="n">
        <f aca="false">E176*Scorecard!$D$18+F176*Scorecard!$D$19+G176*Scorecard!$D$20+H176*Scorecard!$D$21+I176*Scorecard!$D$22+J176*Scorecard!$D$23</f>
        <v>2.70198248014777</v>
      </c>
      <c r="D176" s="0" t="str">
        <f aca="false">IF(AND(B176&gt;=C176,B176&gt;=K176),"A. Distribution",IF(C176&gt;=K176,"B. Manufacturing","C. Prof. services"))</f>
        <v>A. Distribution</v>
      </c>
      <c r="E176" s="39" t="n">
        <v>0.258501046704213</v>
      </c>
      <c r="F176" s="39" t="n">
        <v>0.0886538693804598</v>
      </c>
      <c r="G176" s="39" t="n">
        <v>0.102041500418974</v>
      </c>
      <c r="H176" s="39" t="n">
        <v>0.299725204484391</v>
      </c>
      <c r="I176" s="39" t="n">
        <v>0.0926839549903376</v>
      </c>
      <c r="J176" s="39" t="n">
        <v>0.158394424021625</v>
      </c>
      <c r="K176" s="38" t="n">
        <f aca="false">E176*Scorecard!$E$18+F176*Scorecard!$E$19+G176*Scorecard!$E$20+H176*Scorecard!$E$21+I176*Scorecard!$E$22+J176*Scorecard!$E$23</f>
        <v>3.591459039248</v>
      </c>
      <c r="M176" s="0" t="str">
        <f aca="false">IF(AND(T176&gt;=U176,T176&gt;=V176),"A. Distribution",IF(U176&gt;=V176,"B. Manufacturing","C. Prof. services"))</f>
        <v>A. Distribution</v>
      </c>
      <c r="N176" s="39" t="n">
        <v>0.311594025322857</v>
      </c>
      <c r="O176" s="39" t="n">
        <v>0.144174910305352</v>
      </c>
      <c r="P176" s="39" t="n">
        <v>0.279441033438895</v>
      </c>
      <c r="Q176" s="39" t="n">
        <v>0.0988346545653166</v>
      </c>
      <c r="R176" s="39" t="n">
        <v>0.120654350119501</v>
      </c>
      <c r="S176" s="39" t="n">
        <v>0.0453010262480792</v>
      </c>
      <c r="T176" s="38" t="n">
        <f aca="false">N176*Scorecard!$C$18+O176*Scorecard!$C$19+P176*Scorecard!$C$20+Q176*Scorecard!$C$21+R176*Scorecard!$C$22+S176*Scorecard!$C$23</f>
        <v>4.01790648736278</v>
      </c>
      <c r="U176" s="38" t="n">
        <f aca="false">N176*Scorecard!$D$18+O176*Scorecard!$D$19+P176*Scorecard!$D$20+Q176*Scorecard!$D$21+R176*Scorecard!$D$22+S176*Scorecard!$D$23</f>
        <v>2.87394810293106</v>
      </c>
      <c r="V176" s="38" t="n">
        <f aca="false">N176*Scorecard!$E$18+O176*Scorecard!$E$19+P176*Scorecard!$E$20+Q176*Scorecard!$E$21+R176*Scorecard!$E$22+S176*Scorecard!$E$23</f>
        <v>3.46108317802221</v>
      </c>
    </row>
    <row r="177" customFormat="false" ht="15" hidden="false" customHeight="false" outlineLevel="0" collapsed="false">
      <c r="A177" s="0" t="n">
        <v>172</v>
      </c>
      <c r="B177" s="38" t="n">
        <f aca="false">E177*Scorecard!$C$18+F177*Scorecard!$C$19+G177*Scorecard!$C$20+H177*Scorecard!$C$21+I177*Scorecard!$C$22+J177*Scorecard!$C$23</f>
        <v>3.89780442894565</v>
      </c>
      <c r="C177" s="38" t="n">
        <f aca="false">E177*Scorecard!$D$18+F177*Scorecard!$D$19+G177*Scorecard!$D$20+H177*Scorecard!$D$21+I177*Scorecard!$D$22+J177*Scorecard!$D$23</f>
        <v>2.44655152701149</v>
      </c>
      <c r="D177" s="0" t="str">
        <f aca="false">IF(AND(B177&gt;=C177,B177&gt;=K177),"A. Distribution",IF(C177&gt;=K177,"B. Manufacturing","C. Prof. services"))</f>
        <v>A. Distribution</v>
      </c>
      <c r="E177" s="39" t="n">
        <v>0.0432752879973273</v>
      </c>
      <c r="F177" s="39" t="n">
        <v>0.242912808886044</v>
      </c>
      <c r="G177" s="39" t="n">
        <v>0.176581394662493</v>
      </c>
      <c r="H177" s="39" t="n">
        <v>0.183430754114461</v>
      </c>
      <c r="I177" s="39" t="n">
        <v>0.192865166653366</v>
      </c>
      <c r="J177" s="39" t="n">
        <v>0.160934587686309</v>
      </c>
      <c r="K177" s="38" t="n">
        <f aca="false">E177*Scorecard!$E$18+F177*Scorecard!$E$19+G177*Scorecard!$E$20+H177*Scorecard!$E$21+I177*Scorecard!$E$22+J177*Scorecard!$E$23</f>
        <v>3.38700315393416</v>
      </c>
      <c r="M177" s="0" t="str">
        <f aca="false">IF(AND(T177&gt;=U177,T177&gt;=V177),"A. Distribution",IF(U177&gt;=V177,"B. Manufacturing","C. Prof. services"))</f>
        <v>A. Distribution</v>
      </c>
      <c r="N177" s="39" t="n">
        <v>0.249211623783291</v>
      </c>
      <c r="O177" s="39" t="n">
        <v>0.26537781678361</v>
      </c>
      <c r="P177" s="39" t="n">
        <v>0.129359496758062</v>
      </c>
      <c r="Q177" s="39" t="n">
        <v>0.0574766635310949</v>
      </c>
      <c r="R177" s="39" t="n">
        <v>0.243478386085388</v>
      </c>
      <c r="S177" s="39" t="n">
        <v>0.0550960130585542</v>
      </c>
      <c r="T177" s="38" t="n">
        <f aca="false">N177*Scorecard!$C$18+O177*Scorecard!$C$19+P177*Scorecard!$C$20+Q177*Scorecard!$C$21+R177*Scorecard!$C$22+S177*Scorecard!$C$23</f>
        <v>4.12898424966282</v>
      </c>
      <c r="U177" s="38" t="n">
        <f aca="false">N177*Scorecard!$D$18+O177*Scorecard!$D$19+P177*Scorecard!$D$20+Q177*Scorecard!$D$21+R177*Scorecard!$D$22+S177*Scorecard!$D$23</f>
        <v>2.95871973470987</v>
      </c>
      <c r="V177" s="38" t="n">
        <f aca="false">N177*Scorecard!$E$18+O177*Scorecard!$E$19+P177*Scorecard!$E$20+Q177*Scorecard!$E$21+R177*Scorecard!$E$22+S177*Scorecard!$E$23</f>
        <v>3.1611001061352</v>
      </c>
    </row>
    <row r="178" customFormat="false" ht="15" hidden="false" customHeight="false" outlineLevel="0" collapsed="false">
      <c r="A178" s="0" t="n">
        <v>173</v>
      </c>
      <c r="B178" s="38" t="n">
        <f aca="false">E178*Scorecard!$C$18+F178*Scorecard!$C$19+G178*Scorecard!$C$20+H178*Scorecard!$C$21+I178*Scorecard!$C$22+J178*Scorecard!$C$23</f>
        <v>3.36349727590741</v>
      </c>
      <c r="C178" s="38" t="n">
        <f aca="false">E178*Scorecard!$D$18+F178*Scorecard!$D$19+G178*Scorecard!$D$20+H178*Scorecard!$D$21+I178*Scorecard!$D$22+J178*Scorecard!$D$23</f>
        <v>2.18956102310073</v>
      </c>
      <c r="D178" s="0" t="str">
        <f aca="false">IF(AND(B178&gt;=C178,B178&gt;=K178),"A. Distribution",IF(C178&gt;=K178,"B. Manufacturing","C. Prof. services"))</f>
        <v>C. Prof. services</v>
      </c>
      <c r="E178" s="39" t="n">
        <v>0.00906538969714105</v>
      </c>
      <c r="F178" s="39" t="n">
        <v>0.0410285347273277</v>
      </c>
      <c r="G178" s="39" t="n">
        <v>0.234121943055745</v>
      </c>
      <c r="H178" s="39" t="n">
        <v>0.195787092893102</v>
      </c>
      <c r="I178" s="39" t="n">
        <v>0.192143412727791</v>
      </c>
      <c r="J178" s="39" t="n">
        <v>0.327853626898894</v>
      </c>
      <c r="K178" s="38" t="n">
        <f aca="false">E178*Scorecard!$E$18+F178*Scorecard!$E$19+G178*Scorecard!$E$20+H178*Scorecard!$E$21+I178*Scorecard!$E$22+J178*Scorecard!$E$23</f>
        <v>3.72606521860876</v>
      </c>
      <c r="M178" s="0" t="str">
        <f aca="false">IF(AND(T178&gt;=U178,T178&gt;=V178),"A. Distribution",IF(U178&gt;=V178,"B. Manufacturing","C. Prof. services"))</f>
        <v>A. Distribution</v>
      </c>
      <c r="N178" s="39" t="n">
        <v>0.148962529241254</v>
      </c>
      <c r="O178" s="39" t="n">
        <v>0.105567133056804</v>
      </c>
      <c r="P178" s="39" t="n">
        <v>0.211524999465812</v>
      </c>
      <c r="Q178" s="39" t="n">
        <v>0.16401593080944</v>
      </c>
      <c r="R178" s="39" t="n">
        <v>0.232048494145056</v>
      </c>
      <c r="S178" s="39" t="n">
        <v>0.137880913281635</v>
      </c>
      <c r="T178" s="38" t="n">
        <f aca="false">N178*Scorecard!$C$18+O178*Scorecard!$C$19+P178*Scorecard!$C$20+Q178*Scorecard!$C$21+R178*Scorecard!$C$22+S178*Scorecard!$C$23</f>
        <v>3.80017277310451</v>
      </c>
      <c r="U178" s="38" t="n">
        <f aca="false">N178*Scorecard!$D$18+O178*Scorecard!$D$19+P178*Scorecard!$D$20+Q178*Scorecard!$D$21+R178*Scorecard!$D$22+S178*Scorecard!$D$23</f>
        <v>2.6457186140625</v>
      </c>
      <c r="V178" s="38" t="n">
        <f aca="false">N178*Scorecard!$E$18+O178*Scorecard!$E$19+P178*Scorecard!$E$20+Q178*Scorecard!$E$21+R178*Scorecard!$E$22+S178*Scorecard!$E$23</f>
        <v>3.42786146519861</v>
      </c>
    </row>
    <row r="179" customFormat="false" ht="15" hidden="false" customHeight="false" outlineLevel="0" collapsed="false">
      <c r="A179" s="0" t="n">
        <v>174</v>
      </c>
      <c r="B179" s="38" t="n">
        <f aca="false">E179*Scorecard!$C$18+F179*Scorecard!$C$19+G179*Scorecard!$C$20+H179*Scorecard!$C$21+I179*Scorecard!$C$22+J179*Scorecard!$C$23</f>
        <v>3.56015366560751</v>
      </c>
      <c r="C179" s="38" t="n">
        <f aca="false">E179*Scorecard!$D$18+F179*Scorecard!$D$19+G179*Scorecard!$D$20+H179*Scorecard!$D$21+I179*Scorecard!$D$22+J179*Scorecard!$D$23</f>
        <v>2.55073850326449</v>
      </c>
      <c r="D179" s="0" t="str">
        <f aca="false">IF(AND(B179&gt;=C179,B179&gt;=K179),"A. Distribution",IF(C179&gt;=K179,"B. Manufacturing","C. Prof. services"))</f>
        <v>C. Prof. services</v>
      </c>
      <c r="E179" s="39" t="n">
        <v>0.188844705323168</v>
      </c>
      <c r="F179" s="39" t="n">
        <v>0.175046478982811</v>
      </c>
      <c r="G179" s="39" t="n">
        <v>0.156160424693515</v>
      </c>
      <c r="H179" s="39" t="n">
        <v>0.015145532626228</v>
      </c>
      <c r="I179" s="39" t="n">
        <v>0.165753287586136</v>
      </c>
      <c r="J179" s="39" t="n">
        <v>0.299049570788143</v>
      </c>
      <c r="K179" s="38" t="n">
        <f aca="false">E179*Scorecard!$E$18+F179*Scorecard!$E$19+G179*Scorecard!$E$20+H179*Scorecard!$E$21+I179*Scorecard!$E$22+J179*Scorecard!$E$23</f>
        <v>3.56463396788812</v>
      </c>
      <c r="M179" s="0" t="str">
        <f aca="false">IF(AND(T179&gt;=U179,T179&gt;=V179),"A. Distribution",IF(U179&gt;=V179,"B. Manufacturing","C. Prof. services"))</f>
        <v>A. Distribution</v>
      </c>
      <c r="N179" s="39" t="n">
        <v>0.251575153837383</v>
      </c>
      <c r="O179" s="39" t="n">
        <v>0.162455544057311</v>
      </c>
      <c r="P179" s="39" t="n">
        <v>0.154131248484284</v>
      </c>
      <c r="Q179" s="39" t="n">
        <v>0.169054184210133</v>
      </c>
      <c r="R179" s="39" t="n">
        <v>0.115185292730917</v>
      </c>
      <c r="S179" s="39" t="n">
        <v>0.147598576679971</v>
      </c>
      <c r="T179" s="38" t="n">
        <f aca="false">N179*Scorecard!$C$18+O179*Scorecard!$C$19+P179*Scorecard!$C$20+Q179*Scorecard!$C$21+R179*Scorecard!$C$22+S179*Scorecard!$C$23</f>
        <v>3.82884454616822</v>
      </c>
      <c r="U179" s="38" t="n">
        <f aca="false">N179*Scorecard!$D$18+O179*Scorecard!$D$19+P179*Scorecard!$D$20+Q179*Scorecard!$D$21+R179*Scorecard!$D$22+S179*Scorecard!$D$23</f>
        <v>2.72427819941347</v>
      </c>
      <c r="V179" s="38" t="n">
        <f aca="false">N179*Scorecard!$E$18+O179*Scorecard!$E$19+P179*Scorecard!$E$20+Q179*Scorecard!$E$21+R179*Scorecard!$E$22+S179*Scorecard!$E$23</f>
        <v>3.50653655742349</v>
      </c>
    </row>
    <row r="180" customFormat="false" ht="15" hidden="false" customHeight="false" outlineLevel="0" collapsed="false">
      <c r="A180" s="0" t="n">
        <v>175</v>
      </c>
      <c r="B180" s="38" t="n">
        <f aca="false">E180*Scorecard!$C$18+F180*Scorecard!$C$19+G180*Scorecard!$C$20+H180*Scorecard!$C$21+I180*Scorecard!$C$22+J180*Scorecard!$C$23</f>
        <v>3.82041357636151</v>
      </c>
      <c r="C180" s="38" t="n">
        <f aca="false">E180*Scorecard!$D$18+F180*Scorecard!$D$19+G180*Scorecard!$D$20+H180*Scorecard!$D$21+I180*Scorecard!$D$22+J180*Scorecard!$D$23</f>
        <v>2.35096719283221</v>
      </c>
      <c r="D180" s="0" t="str">
        <f aca="false">IF(AND(B180&gt;=C180,B180&gt;=K180),"A. Distribution",IF(C180&gt;=K180,"B. Manufacturing","C. Prof. services"))</f>
        <v>A. Distribution</v>
      </c>
      <c r="E180" s="39" t="n">
        <v>0.0445141023128854</v>
      </c>
      <c r="F180" s="39" t="n">
        <v>0.301512467634287</v>
      </c>
      <c r="G180" s="39" t="n">
        <v>0.13569490433706</v>
      </c>
      <c r="H180" s="39" t="n">
        <v>0.161467459421562</v>
      </c>
      <c r="I180" s="39" t="n">
        <v>0.12674767419721</v>
      </c>
      <c r="J180" s="39" t="n">
        <v>0.230063392096995</v>
      </c>
      <c r="K180" s="38" t="n">
        <f aca="false">E180*Scorecard!$E$18+F180*Scorecard!$E$19+G180*Scorecard!$E$20+H180*Scorecard!$E$21+I180*Scorecard!$E$22+J180*Scorecard!$E$23</f>
        <v>3.46827874549076</v>
      </c>
      <c r="M180" s="0" t="str">
        <f aca="false">IF(AND(T180&gt;=U180,T180&gt;=V180),"A. Distribution",IF(U180&gt;=V180,"B. Manufacturing","C. Prof. services"))</f>
        <v>C. Prof. services</v>
      </c>
      <c r="N180" s="39" t="n">
        <v>0.135411466855099</v>
      </c>
      <c r="O180" s="39" t="n">
        <v>0.0927965516028014</v>
      </c>
      <c r="P180" s="39" t="n">
        <v>0.263959407849234</v>
      </c>
      <c r="Q180" s="39" t="n">
        <v>0.117564496153707</v>
      </c>
      <c r="R180" s="39" t="n">
        <v>0.0843341797056603</v>
      </c>
      <c r="S180" s="39" t="n">
        <v>0.305933897833499</v>
      </c>
      <c r="T180" s="38" t="n">
        <f aca="false">N180*Scorecard!$C$18+O180*Scorecard!$C$19+P180*Scorecard!$C$20+Q180*Scorecard!$C$21+R180*Scorecard!$C$22+S180*Scorecard!$C$23</f>
        <v>3.4573893629429</v>
      </c>
      <c r="U180" s="38" t="n">
        <f aca="false">N180*Scorecard!$D$18+O180*Scorecard!$D$19+P180*Scorecard!$D$20+Q180*Scorecard!$D$21+R180*Scorecard!$D$22+S180*Scorecard!$D$23</f>
        <v>2.31698383438669</v>
      </c>
      <c r="V180" s="38" t="n">
        <f aca="false">N180*Scorecard!$E$18+O180*Scorecard!$E$19+P180*Scorecard!$E$20+Q180*Scorecard!$E$21+R180*Scorecard!$E$22+S180*Scorecard!$E$23</f>
        <v>3.79531826102466</v>
      </c>
    </row>
    <row r="181" customFormat="false" ht="15" hidden="false" customHeight="false" outlineLevel="0" collapsed="false">
      <c r="A181" s="0" t="n">
        <v>176</v>
      </c>
      <c r="B181" s="38" t="n">
        <f aca="false">E181*Scorecard!$C$18+F181*Scorecard!$C$19+G181*Scorecard!$C$20+H181*Scorecard!$C$21+I181*Scorecard!$C$22+J181*Scorecard!$C$23</f>
        <v>3.33920707383648</v>
      </c>
      <c r="C181" s="38" t="n">
        <f aca="false">E181*Scorecard!$D$18+F181*Scorecard!$D$19+G181*Scorecard!$D$20+H181*Scorecard!$D$21+I181*Scorecard!$D$22+J181*Scorecard!$D$23</f>
        <v>2.29895131346493</v>
      </c>
      <c r="D181" s="0" t="str">
        <f aca="false">IF(AND(B181&gt;=C181,B181&gt;=K181),"A. Distribution",IF(C181&gt;=K181,"B. Manufacturing","C. Prof. services"))</f>
        <v>C. Prof. services</v>
      </c>
      <c r="E181" s="39" t="n">
        <v>0.138367371618505</v>
      </c>
      <c r="F181" s="39" t="n">
        <v>0.174574825560995</v>
      </c>
      <c r="G181" s="39" t="n">
        <v>0.0613378998250965</v>
      </c>
      <c r="H181" s="39" t="n">
        <v>0.161548046957104</v>
      </c>
      <c r="I181" s="39" t="n">
        <v>0.0607459634025519</v>
      </c>
      <c r="J181" s="39" t="n">
        <v>0.403425892635749</v>
      </c>
      <c r="K181" s="38" t="n">
        <f aca="false">E181*Scorecard!$E$18+F181*Scorecard!$E$19+G181*Scorecard!$E$20+H181*Scorecard!$E$21+I181*Scorecard!$E$22+J181*Scorecard!$E$23</f>
        <v>3.7697556046077</v>
      </c>
      <c r="M181" s="0" t="str">
        <f aca="false">IF(AND(T181&gt;=U181,T181&gt;=V181),"A. Distribution",IF(U181&gt;=V181,"B. Manufacturing","C. Prof. services"))</f>
        <v>A. Distribution</v>
      </c>
      <c r="N181" s="39" t="n">
        <v>0.240486959362413</v>
      </c>
      <c r="O181" s="39" t="n">
        <v>0.129164629927339</v>
      </c>
      <c r="P181" s="39" t="n">
        <v>0.179918644801576</v>
      </c>
      <c r="Q181" s="39" t="n">
        <v>0.15204587907142</v>
      </c>
      <c r="R181" s="39" t="n">
        <v>0.225251195254594</v>
      </c>
      <c r="S181" s="39" t="n">
        <v>0.0731326915826584</v>
      </c>
      <c r="T181" s="38" t="n">
        <f aca="false">N181*Scorecard!$C$18+O181*Scorecard!$C$19+P181*Scorecard!$C$20+Q181*Scorecard!$C$21+R181*Scorecard!$C$22+S181*Scorecard!$C$23</f>
        <v>3.94720829243213</v>
      </c>
      <c r="U181" s="38" t="n">
        <f aca="false">N181*Scorecard!$D$18+O181*Scorecard!$D$19+P181*Scorecard!$D$20+Q181*Scorecard!$D$21+R181*Scorecard!$D$22+S181*Scorecard!$D$23</f>
        <v>2.86321773061148</v>
      </c>
      <c r="V181" s="38" t="n">
        <f aca="false">N181*Scorecard!$E$18+O181*Scorecard!$E$19+P181*Scorecard!$E$20+Q181*Scorecard!$E$21+R181*Scorecard!$E$22+S181*Scorecard!$E$23</f>
        <v>3.33676043771715</v>
      </c>
    </row>
    <row r="182" customFormat="false" ht="15" hidden="false" customHeight="false" outlineLevel="0" collapsed="false">
      <c r="A182" s="0" t="n">
        <v>177</v>
      </c>
      <c r="B182" s="38" t="n">
        <f aca="false">E182*Scorecard!$C$18+F182*Scorecard!$C$19+G182*Scorecard!$C$20+H182*Scorecard!$C$21+I182*Scorecard!$C$22+J182*Scorecard!$C$23</f>
        <v>3.21218604295178</v>
      </c>
      <c r="C182" s="38" t="n">
        <f aca="false">E182*Scorecard!$D$18+F182*Scorecard!$D$19+G182*Scorecard!$D$20+H182*Scorecard!$D$21+I182*Scorecard!$D$22+J182*Scorecard!$D$23</f>
        <v>2.15188550403522</v>
      </c>
      <c r="D182" s="0" t="str">
        <f aca="false">IF(AND(B182&gt;=C182,B182&gt;=K182),"A. Distribution",IF(C182&gt;=K182,"B. Manufacturing","C. Prof. services"))</f>
        <v>C. Prof. services</v>
      </c>
      <c r="E182" s="39" t="n">
        <v>0.123780533558926</v>
      </c>
      <c r="F182" s="39" t="n">
        <v>0.121881400946825</v>
      </c>
      <c r="G182" s="39" t="n">
        <v>0.232557373397631</v>
      </c>
      <c r="H182" s="39" t="n">
        <v>0.0361533631253385</v>
      </c>
      <c r="I182" s="39" t="n">
        <v>0.0376963927481663</v>
      </c>
      <c r="J182" s="39" t="n">
        <v>0.447930936223113</v>
      </c>
      <c r="K182" s="38" t="n">
        <f aca="false">E182*Scorecard!$E$18+F182*Scorecard!$E$19+G182*Scorecard!$E$20+H182*Scorecard!$E$21+I182*Scorecard!$E$22+J182*Scorecard!$E$23</f>
        <v>3.94172250455468</v>
      </c>
      <c r="M182" s="0" t="str">
        <f aca="false">IF(AND(T182&gt;=U182,T182&gt;=V182),"A. Distribution",IF(U182&gt;=V182,"B. Manufacturing","C. Prof. services"))</f>
        <v>A. Distribution</v>
      </c>
      <c r="N182" s="39" t="n">
        <v>0.149518464805996</v>
      </c>
      <c r="O182" s="39" t="n">
        <v>0.178876430229888</v>
      </c>
      <c r="P182" s="39" t="n">
        <v>0.192752170113333</v>
      </c>
      <c r="Q182" s="39" t="n">
        <v>0.11231027903617</v>
      </c>
      <c r="R182" s="39" t="n">
        <v>0.254767111312485</v>
      </c>
      <c r="S182" s="39" t="n">
        <v>0.111775544502127</v>
      </c>
      <c r="T182" s="38" t="n">
        <f aca="false">N182*Scorecard!$C$18+O182*Scorecard!$C$19+P182*Scorecard!$C$20+Q182*Scorecard!$C$21+R182*Scorecard!$C$22+S182*Scorecard!$C$23</f>
        <v>3.93121948788439</v>
      </c>
      <c r="U182" s="38" t="n">
        <f aca="false">N182*Scorecard!$D$18+O182*Scorecard!$D$19+P182*Scorecard!$D$20+Q182*Scorecard!$D$21+R182*Scorecard!$D$22+S182*Scorecard!$D$23</f>
        <v>2.71391546527911</v>
      </c>
      <c r="V182" s="38" t="n">
        <f aca="false">N182*Scorecard!$E$18+O182*Scorecard!$E$19+P182*Scorecard!$E$20+Q182*Scorecard!$E$21+R182*Scorecard!$E$22+S182*Scorecard!$E$23</f>
        <v>3.30594210373703</v>
      </c>
    </row>
    <row r="183" customFormat="false" ht="15" hidden="false" customHeight="false" outlineLevel="0" collapsed="false">
      <c r="A183" s="0" t="n">
        <v>178</v>
      </c>
      <c r="B183" s="38" t="n">
        <f aca="false">E183*Scorecard!$C$18+F183*Scorecard!$C$19+G183*Scorecard!$C$20+H183*Scorecard!$C$21+I183*Scorecard!$C$22+J183*Scorecard!$C$23</f>
        <v>3.58094146252418</v>
      </c>
      <c r="C183" s="38" t="n">
        <f aca="false">E183*Scorecard!$D$18+F183*Scorecard!$D$19+G183*Scorecard!$D$20+H183*Scorecard!$D$21+I183*Scorecard!$D$22+J183*Scorecard!$D$23</f>
        <v>2.75007582042719</v>
      </c>
      <c r="D183" s="0" t="str">
        <f aca="false">IF(AND(B183&gt;=C183,B183&gt;=K183),"A. Distribution",IF(C183&gt;=K183,"B. Manufacturing","C. Prof. services"))</f>
        <v>A. Distribution</v>
      </c>
      <c r="E183" s="39" t="n">
        <v>0.146728563749882</v>
      </c>
      <c r="F183" s="39" t="n">
        <v>0.135384280638223</v>
      </c>
      <c r="G183" s="39" t="n">
        <v>0.00264583175452113</v>
      </c>
      <c r="H183" s="39" t="n">
        <v>0.079312769569989</v>
      </c>
      <c r="I183" s="39" t="n">
        <v>0.368870325322184</v>
      </c>
      <c r="J183" s="39" t="n">
        <v>0.267058228965202</v>
      </c>
      <c r="K183" s="38" t="n">
        <f aca="false">E183*Scorecard!$E$18+F183*Scorecard!$E$19+G183*Scorecard!$E$20+H183*Scorecard!$E$21+I183*Scorecard!$E$22+J183*Scorecard!$E$23</f>
        <v>3.25758655818809</v>
      </c>
      <c r="M183" s="0" t="str">
        <f aca="false">IF(AND(T183&gt;=U183,T183&gt;=V183),"A. Distribution",IF(U183&gt;=V183,"B. Manufacturing","C. Prof. services"))</f>
        <v>A. Distribution</v>
      </c>
      <c r="N183" s="39" t="n">
        <v>0.216982214729391</v>
      </c>
      <c r="O183" s="39" t="n">
        <v>0.213705400446926</v>
      </c>
      <c r="P183" s="39" t="n">
        <v>0.26228826861033</v>
      </c>
      <c r="Q183" s="39" t="n">
        <v>0.135513565071688</v>
      </c>
      <c r="R183" s="39" t="n">
        <v>0.0719218159279866</v>
      </c>
      <c r="S183" s="39" t="n">
        <v>0.0995887352136783</v>
      </c>
      <c r="T183" s="38" t="n">
        <f aca="false">N183*Scorecard!$C$18+O183*Scorecard!$C$19+P183*Scorecard!$C$20+Q183*Scorecard!$C$21+R183*Scorecard!$C$22+S183*Scorecard!$C$23</f>
        <v>3.98250546229408</v>
      </c>
      <c r="U183" s="38" t="n">
        <f aca="false">N183*Scorecard!$D$18+O183*Scorecard!$D$19+P183*Scorecard!$D$20+Q183*Scorecard!$D$21+R183*Scorecard!$D$22+S183*Scorecard!$D$23</f>
        <v>2.6379572643963</v>
      </c>
      <c r="V183" s="38" t="n">
        <f aca="false">N183*Scorecard!$E$18+O183*Scorecard!$E$19+P183*Scorecard!$E$20+Q183*Scorecard!$E$21+R183*Scorecard!$E$22+S183*Scorecard!$E$23</f>
        <v>3.52164066416843</v>
      </c>
    </row>
    <row r="184" customFormat="false" ht="15" hidden="false" customHeight="false" outlineLevel="0" collapsed="false">
      <c r="A184" s="0" t="n">
        <v>179</v>
      </c>
      <c r="B184" s="38" t="n">
        <f aca="false">E184*Scorecard!$C$18+F184*Scorecard!$C$19+G184*Scorecard!$C$20+H184*Scorecard!$C$21+I184*Scorecard!$C$22+J184*Scorecard!$C$23</f>
        <v>4.13741558757214</v>
      </c>
      <c r="C184" s="38" t="n">
        <f aca="false">E184*Scorecard!$D$18+F184*Scorecard!$D$19+G184*Scorecard!$D$20+H184*Scorecard!$D$21+I184*Scorecard!$D$22+J184*Scorecard!$D$23</f>
        <v>2.67076694060694</v>
      </c>
      <c r="D184" s="0" t="str">
        <f aca="false">IF(AND(B184&gt;=C184,B184&gt;=K184),"A. Distribution",IF(C184&gt;=K184,"B. Manufacturing","C. Prof. services"))</f>
        <v>A. Distribution</v>
      </c>
      <c r="E184" s="39" t="n">
        <v>0.15393168657748</v>
      </c>
      <c r="F184" s="39" t="n">
        <v>0.318094563691895</v>
      </c>
      <c r="G184" s="39" t="n">
        <v>0.140510187204771</v>
      </c>
      <c r="H184" s="39" t="n">
        <v>0.18204601924621</v>
      </c>
      <c r="I184" s="39" t="n">
        <v>0.13106517701954</v>
      </c>
      <c r="J184" s="39" t="n">
        <v>0.074352366260105</v>
      </c>
      <c r="K184" s="38" t="n">
        <f aca="false">E184*Scorecard!$E$18+F184*Scorecard!$E$19+G184*Scorecard!$E$20+H184*Scorecard!$E$21+I184*Scorecard!$E$22+J184*Scorecard!$E$23</f>
        <v>3.30196517214755</v>
      </c>
      <c r="M184" s="0" t="str">
        <f aca="false">IF(AND(T184&gt;=U184,T184&gt;=V184),"A. Distribution",IF(U184&gt;=V184,"B. Manufacturing","C. Prof. services"))</f>
        <v>A. Distribution</v>
      </c>
      <c r="N184" s="39" t="n">
        <v>0.230380838369294</v>
      </c>
      <c r="O184" s="39" t="n">
        <v>0.308669924714845</v>
      </c>
      <c r="P184" s="39" t="n">
        <v>0.112641877705593</v>
      </c>
      <c r="Q184" s="39" t="n">
        <v>0.0851216287463875</v>
      </c>
      <c r="R184" s="39" t="n">
        <v>0.138456852869603</v>
      </c>
      <c r="S184" s="39" t="n">
        <v>0.124728877594277</v>
      </c>
      <c r="T184" s="38" t="n">
        <f aca="false">N184*Scorecard!$C$18+O184*Scorecard!$C$19+P184*Scorecard!$C$20+Q184*Scorecard!$C$21+R184*Scorecard!$C$22+S184*Scorecard!$C$23</f>
        <v>4.03154373027076</v>
      </c>
      <c r="U184" s="38" t="n">
        <f aca="false">N184*Scorecard!$D$18+O184*Scorecard!$D$19+P184*Scorecard!$D$20+Q184*Scorecard!$D$21+R184*Scorecard!$D$22+S184*Scorecard!$D$23</f>
        <v>2.77679408700534</v>
      </c>
      <c r="V184" s="38" t="n">
        <f aca="false">N184*Scorecard!$E$18+O184*Scorecard!$E$19+P184*Scorecard!$E$20+Q184*Scorecard!$E$21+R184*Scorecard!$E$22+S184*Scorecard!$E$23</f>
        <v>3.31957715321243</v>
      </c>
    </row>
    <row r="185" customFormat="false" ht="15" hidden="false" customHeight="false" outlineLevel="0" collapsed="false">
      <c r="A185" s="0" t="n">
        <v>180</v>
      </c>
      <c r="B185" s="38" t="n">
        <f aca="false">E185*Scorecard!$C$18+F185*Scorecard!$C$19+G185*Scorecard!$C$20+H185*Scorecard!$C$21+I185*Scorecard!$C$22+J185*Scorecard!$C$23</f>
        <v>3.65803955681882</v>
      </c>
      <c r="C185" s="38" t="n">
        <f aca="false">E185*Scorecard!$D$18+F185*Scorecard!$D$19+G185*Scorecard!$D$20+H185*Scorecard!$D$21+I185*Scorecard!$D$22+J185*Scorecard!$D$23</f>
        <v>2.30814917287327</v>
      </c>
      <c r="D185" s="0" t="str">
        <f aca="false">IF(AND(B185&gt;=C185,B185&gt;=K185),"A. Distribution",IF(C185&gt;=K185,"B. Manufacturing","C. Prof. services"))</f>
        <v>C. Prof. services</v>
      </c>
      <c r="E185" s="39" t="n">
        <v>0.117860424732659</v>
      </c>
      <c r="F185" s="39" t="n">
        <v>0.100575094072092</v>
      </c>
      <c r="G185" s="39" t="n">
        <v>0.459251873396948</v>
      </c>
      <c r="H185" s="39" t="n">
        <v>0.0173740970482768</v>
      </c>
      <c r="I185" s="39" t="n">
        <v>0.0893380932147003</v>
      </c>
      <c r="J185" s="39" t="n">
        <v>0.215600417535324</v>
      </c>
      <c r="K185" s="38" t="n">
        <f aca="false">E185*Scorecard!$E$18+F185*Scorecard!$E$19+G185*Scorecard!$E$20+H185*Scorecard!$E$21+I185*Scorecard!$E$22+J185*Scorecard!$E$23</f>
        <v>3.77405826528038</v>
      </c>
      <c r="M185" s="0" t="str">
        <f aca="false">IF(AND(T185&gt;=U185,T185&gt;=V185),"A. Distribution",IF(U185&gt;=V185,"B. Manufacturing","C. Prof. services"))</f>
        <v>A. Distribution</v>
      </c>
      <c r="N185" s="39" t="n">
        <v>0.132342574112532</v>
      </c>
      <c r="O185" s="39" t="n">
        <v>0.145618102825856</v>
      </c>
      <c r="P185" s="39" t="n">
        <v>0.335303179038886</v>
      </c>
      <c r="Q185" s="39" t="n">
        <v>0.088931096767153</v>
      </c>
      <c r="R185" s="39" t="n">
        <v>0.109522820069197</v>
      </c>
      <c r="S185" s="39" t="n">
        <v>0.188282227186376</v>
      </c>
      <c r="T185" s="38" t="n">
        <f aca="false">N185*Scorecard!$C$18+O185*Scorecard!$C$19+P185*Scorecard!$C$20+Q185*Scorecard!$C$21+R185*Scorecard!$C$22+S185*Scorecard!$C$23</f>
        <v>3.74884591253774</v>
      </c>
      <c r="U185" s="38" t="n">
        <f aca="false">N185*Scorecard!$D$18+O185*Scorecard!$D$19+P185*Scorecard!$D$20+Q185*Scorecard!$D$21+R185*Scorecard!$D$22+S185*Scorecard!$D$23</f>
        <v>2.42280146260657</v>
      </c>
      <c r="V185" s="38" t="n">
        <f aca="false">N185*Scorecard!$E$18+O185*Scorecard!$E$19+P185*Scorecard!$E$20+Q185*Scorecard!$E$21+R185*Scorecard!$E$22+S185*Scorecard!$E$23</f>
        <v>3.64226642103357</v>
      </c>
    </row>
    <row r="186" customFormat="false" ht="15" hidden="false" customHeight="false" outlineLevel="0" collapsed="false">
      <c r="A186" s="0" t="n">
        <v>181</v>
      </c>
      <c r="B186" s="38" t="n">
        <f aca="false">E186*Scorecard!$C$18+F186*Scorecard!$C$19+G186*Scorecard!$C$20+H186*Scorecard!$C$21+I186*Scorecard!$C$22+J186*Scorecard!$C$23</f>
        <v>4.38926220410695</v>
      </c>
      <c r="C186" s="38" t="n">
        <f aca="false">E186*Scorecard!$D$18+F186*Scorecard!$D$19+G186*Scorecard!$D$20+H186*Scorecard!$D$21+I186*Scorecard!$D$22+J186*Scorecard!$D$23</f>
        <v>2.92093796449251</v>
      </c>
      <c r="D186" s="0" t="str">
        <f aca="false">IF(AND(B186&gt;=C186,B186&gt;=K186),"A. Distribution",IF(C186&gt;=K186,"B. Manufacturing","C. Prof. services"))</f>
        <v>A. Distribution</v>
      </c>
      <c r="E186" s="39" t="n">
        <v>0.116358513011809</v>
      </c>
      <c r="F186" s="39" t="n">
        <v>0.424078158884365</v>
      </c>
      <c r="G186" s="39" t="n">
        <v>0.0777547033534476</v>
      </c>
      <c r="H186" s="39" t="n">
        <v>0.0264185982699748</v>
      </c>
      <c r="I186" s="39" t="n">
        <v>0.344076383518161</v>
      </c>
      <c r="J186" s="39" t="n">
        <v>0.0113136429622424</v>
      </c>
      <c r="K186" s="38" t="n">
        <f aca="false">E186*Scorecard!$E$18+F186*Scorecard!$E$19+G186*Scorecard!$E$20+H186*Scorecard!$E$21+I186*Scorecard!$E$22+J186*Scorecard!$E$23</f>
        <v>2.85841388034358</v>
      </c>
      <c r="M186" s="0" t="str">
        <f aca="false">IF(AND(T186&gt;=U186,T186&gt;=V186),"A. Distribution",IF(U186&gt;=V186,"B. Manufacturing","C. Prof. services"))</f>
        <v>A. Distribution</v>
      </c>
      <c r="N186" s="39" t="n">
        <v>0.248840963991116</v>
      </c>
      <c r="O186" s="39" t="n">
        <v>0.146534125970468</v>
      </c>
      <c r="P186" s="39" t="n">
        <v>0.237041550309421</v>
      </c>
      <c r="Q186" s="39" t="n">
        <v>0.163310584073475</v>
      </c>
      <c r="R186" s="39" t="n">
        <v>0.133663101383376</v>
      </c>
      <c r="S186" s="39" t="n">
        <v>0.0706096742721444</v>
      </c>
      <c r="T186" s="38" t="n">
        <f aca="false">N186*Scorecard!$C$18+O186*Scorecard!$C$19+P186*Scorecard!$C$20+Q186*Scorecard!$C$21+R186*Scorecard!$C$22+S186*Scorecard!$C$23</f>
        <v>3.9677393284585</v>
      </c>
      <c r="U186" s="38" t="n">
        <f aca="false">N186*Scorecard!$D$18+O186*Scorecard!$D$19+P186*Scorecard!$D$20+Q186*Scorecard!$D$21+R186*Scorecard!$D$22+S186*Scorecard!$D$23</f>
        <v>2.77176277913289</v>
      </c>
      <c r="V186" s="38" t="n">
        <f aca="false">N186*Scorecard!$E$18+O186*Scorecard!$E$19+P186*Scorecard!$E$20+Q186*Scorecard!$E$21+R186*Scorecard!$E$22+S186*Scorecard!$E$23</f>
        <v>3.45952358092932</v>
      </c>
    </row>
    <row r="187" customFormat="false" ht="15" hidden="false" customHeight="false" outlineLevel="0" collapsed="false">
      <c r="A187" s="0" t="n">
        <v>182</v>
      </c>
      <c r="B187" s="38" t="n">
        <f aca="false">E187*Scorecard!$C$18+F187*Scorecard!$C$19+G187*Scorecard!$C$20+H187*Scorecard!$C$21+I187*Scorecard!$C$22+J187*Scorecard!$C$23</f>
        <v>3.38169675369679</v>
      </c>
      <c r="C187" s="38" t="n">
        <f aca="false">E187*Scorecard!$D$18+F187*Scorecard!$D$19+G187*Scorecard!$D$20+H187*Scorecard!$D$21+I187*Scorecard!$D$22+J187*Scorecard!$D$23</f>
        <v>2.28703147116973</v>
      </c>
      <c r="D187" s="0" t="str">
        <f aca="false">IF(AND(B187&gt;=C187,B187&gt;=K187),"A. Distribution",IF(C187&gt;=K187,"B. Manufacturing","C. Prof. services"))</f>
        <v>C. Prof. services</v>
      </c>
      <c r="E187" s="39" t="n">
        <v>0.0975539500072588</v>
      </c>
      <c r="F187" s="39" t="n">
        <v>0.0728888103422841</v>
      </c>
      <c r="G187" s="39" t="n">
        <v>0.160971678554739</v>
      </c>
      <c r="H187" s="39" t="n">
        <v>0.2271069496805</v>
      </c>
      <c r="I187" s="39" t="n">
        <v>0.112034182503669</v>
      </c>
      <c r="J187" s="39" t="n">
        <v>0.329444428911549</v>
      </c>
      <c r="K187" s="38" t="n">
        <f aca="false">E187*Scorecard!$E$18+F187*Scorecard!$E$19+G187*Scorecard!$E$20+H187*Scorecard!$E$21+I187*Scorecard!$E$22+J187*Scorecard!$E$23</f>
        <v>3.76780407687722</v>
      </c>
      <c r="M187" s="0" t="str">
        <f aca="false">IF(AND(T187&gt;=U187,T187&gt;=V187),"A. Distribution",IF(U187&gt;=V187,"B. Manufacturing","C. Prof. services"))</f>
        <v>A. Distribution</v>
      </c>
      <c r="N187" s="39" t="n">
        <v>0.246379905027651</v>
      </c>
      <c r="O187" s="39" t="n">
        <v>0.121264820034499</v>
      </c>
      <c r="P187" s="39" t="n">
        <v>0.245213787742619</v>
      </c>
      <c r="Q187" s="39" t="n">
        <v>0.164901469779436</v>
      </c>
      <c r="R187" s="39" t="n">
        <v>0.170636035620001</v>
      </c>
      <c r="S187" s="39" t="n">
        <v>0.0516039817957953</v>
      </c>
      <c r="T187" s="38" t="n">
        <f aca="false">N187*Scorecard!$C$18+O187*Scorecard!$C$19+P187*Scorecard!$C$20+Q187*Scorecard!$C$21+R187*Scorecard!$C$22+S187*Scorecard!$C$23</f>
        <v>3.98050757908638</v>
      </c>
      <c r="U187" s="38" t="n">
        <f aca="false">N187*Scorecard!$D$18+O187*Scorecard!$D$19+P187*Scorecard!$D$20+Q187*Scorecard!$D$21+R187*Scorecard!$D$22+S187*Scorecard!$D$23</f>
        <v>2.81265890787372</v>
      </c>
      <c r="V187" s="38" t="n">
        <f aca="false">N187*Scorecard!$E$18+O187*Scorecard!$E$19+P187*Scorecard!$E$20+Q187*Scorecard!$E$21+R187*Scorecard!$E$22+S187*Scorecard!$E$23</f>
        <v>3.41931551923009</v>
      </c>
    </row>
    <row r="188" customFormat="false" ht="15" hidden="false" customHeight="false" outlineLevel="0" collapsed="false">
      <c r="A188" s="0" t="n">
        <v>183</v>
      </c>
      <c r="B188" s="38" t="n">
        <f aca="false">E188*Scorecard!$C$18+F188*Scorecard!$C$19+G188*Scorecard!$C$20+H188*Scorecard!$C$21+I188*Scorecard!$C$22+J188*Scorecard!$C$23</f>
        <v>3.94393891811127</v>
      </c>
      <c r="C188" s="38" t="n">
        <f aca="false">E188*Scorecard!$D$18+F188*Scorecard!$D$19+G188*Scorecard!$D$20+H188*Scorecard!$D$21+I188*Scorecard!$D$22+J188*Scorecard!$D$23</f>
        <v>2.2462199605962</v>
      </c>
      <c r="D188" s="0" t="str">
        <f aca="false">IF(AND(B188&gt;=C188,B188&gt;=K188),"A. Distribution",IF(C188&gt;=K188,"B. Manufacturing","C. Prof. services"))</f>
        <v>A. Distribution</v>
      </c>
      <c r="E188" s="39" t="n">
        <v>0.0217501514831129</v>
      </c>
      <c r="F188" s="39" t="n">
        <v>0.18013940571154</v>
      </c>
      <c r="G188" s="39" t="n">
        <v>0.401939039249002</v>
      </c>
      <c r="H188" s="39" t="n">
        <v>0.219188193179877</v>
      </c>
      <c r="I188" s="39" t="n">
        <v>0.0715649195190029</v>
      </c>
      <c r="J188" s="39" t="n">
        <v>0.105418290857465</v>
      </c>
      <c r="K188" s="38" t="n">
        <f aca="false">E188*Scorecard!$E$18+F188*Scorecard!$E$19+G188*Scorecard!$E$20+H188*Scorecard!$E$21+I188*Scorecard!$E$22+J188*Scorecard!$E$23</f>
        <v>3.63552376235027</v>
      </c>
      <c r="M188" s="0" t="str">
        <f aca="false">IF(AND(T188&gt;=U188,T188&gt;=V188),"A. Distribution",IF(U188&gt;=V188,"B. Manufacturing","C. Prof. services"))</f>
        <v>A. Distribution</v>
      </c>
      <c r="N188" s="39" t="n">
        <v>0.309622665915479</v>
      </c>
      <c r="O188" s="39" t="n">
        <v>0.139096133359682</v>
      </c>
      <c r="P188" s="39" t="n">
        <v>0.148482459977166</v>
      </c>
      <c r="Q188" s="39" t="n">
        <v>0.124241452434875</v>
      </c>
      <c r="R188" s="39" t="n">
        <v>0.179764271454227</v>
      </c>
      <c r="S188" s="39" t="n">
        <v>0.0987930168585713</v>
      </c>
      <c r="T188" s="38" t="n">
        <f aca="false">N188*Scorecard!$C$18+O188*Scorecard!$C$19+P188*Scorecard!$C$20+Q188*Scorecard!$C$21+R188*Scorecard!$C$22+S188*Scorecard!$C$23</f>
        <v>3.90326440589985</v>
      </c>
      <c r="U188" s="38" t="n">
        <f aca="false">N188*Scorecard!$D$18+O188*Scorecard!$D$19+P188*Scorecard!$D$20+Q188*Scorecard!$D$21+R188*Scorecard!$D$22+S188*Scorecard!$D$23</f>
        <v>2.92675951462643</v>
      </c>
      <c r="V188" s="38" t="n">
        <f aca="false">N188*Scorecard!$E$18+O188*Scorecard!$E$19+P188*Scorecard!$E$20+Q188*Scorecard!$E$21+R188*Scorecard!$E$22+S188*Scorecard!$E$23</f>
        <v>3.38805765979662</v>
      </c>
    </row>
    <row r="189" customFormat="false" ht="15" hidden="false" customHeight="false" outlineLevel="0" collapsed="false">
      <c r="A189" s="0" t="n">
        <v>184</v>
      </c>
      <c r="B189" s="38" t="n">
        <f aca="false">E189*Scorecard!$C$18+F189*Scorecard!$C$19+G189*Scorecard!$C$20+H189*Scorecard!$C$21+I189*Scorecard!$C$22+J189*Scorecard!$C$23</f>
        <v>3.69302235053643</v>
      </c>
      <c r="C189" s="38" t="n">
        <f aca="false">E189*Scorecard!$D$18+F189*Scorecard!$D$19+G189*Scorecard!$D$20+H189*Scorecard!$D$21+I189*Scorecard!$D$22+J189*Scorecard!$D$23</f>
        <v>2.47167861042521</v>
      </c>
      <c r="D189" s="0" t="str">
        <f aca="false">IF(AND(B189&gt;=C189,B189&gt;=K189),"A. Distribution",IF(C189&gt;=K189,"B. Manufacturing","C. Prof. services"))</f>
        <v>A. Distribution</v>
      </c>
      <c r="E189" s="39" t="n">
        <v>0.0917292961725578</v>
      </c>
      <c r="F189" s="39" t="n">
        <v>0.0763496914814121</v>
      </c>
      <c r="G189" s="39" t="n">
        <v>0.237336419346551</v>
      </c>
      <c r="H189" s="39" t="n">
        <v>0.214914282770127</v>
      </c>
      <c r="I189" s="39" t="n">
        <v>0.203267534334152</v>
      </c>
      <c r="J189" s="39" t="n">
        <v>0.1764027758952</v>
      </c>
      <c r="K189" s="38" t="n">
        <f aca="false">E189*Scorecard!$E$18+F189*Scorecard!$E$19+G189*Scorecard!$E$20+H189*Scorecard!$E$21+I189*Scorecard!$E$22+J189*Scorecard!$E$23</f>
        <v>3.54198767639251</v>
      </c>
      <c r="M189" s="0" t="str">
        <f aca="false">IF(AND(T189&gt;=U189,T189&gt;=V189),"A. Distribution",IF(U189&gt;=V189,"B. Manufacturing","C. Prof. services"))</f>
        <v>A. Distribution</v>
      </c>
      <c r="N189" s="39" t="n">
        <v>0.0948958700960121</v>
      </c>
      <c r="O189" s="39" t="n">
        <v>0.194361093213565</v>
      </c>
      <c r="P189" s="39" t="n">
        <v>0.201126439760349</v>
      </c>
      <c r="Q189" s="39" t="n">
        <v>0.263513062464367</v>
      </c>
      <c r="R189" s="39" t="n">
        <v>0.122613149147285</v>
      </c>
      <c r="S189" s="39" t="n">
        <v>0.123490385318422</v>
      </c>
      <c r="T189" s="38" t="n">
        <f aca="false">N189*Scorecard!$C$18+O189*Scorecard!$C$19+P189*Scorecard!$C$20+Q189*Scorecard!$C$21+R189*Scorecard!$C$22+S189*Scorecard!$C$23</f>
        <v>3.91136775239401</v>
      </c>
      <c r="U189" s="38" t="n">
        <f aca="false">N189*Scorecard!$D$18+O189*Scorecard!$D$19+P189*Scorecard!$D$20+Q189*Scorecard!$D$21+R189*Scorecard!$D$22+S189*Scorecard!$D$23</f>
        <v>2.47373413287299</v>
      </c>
      <c r="V189" s="38" t="n">
        <f aca="false">N189*Scorecard!$E$18+O189*Scorecard!$E$19+P189*Scorecard!$E$20+Q189*Scorecard!$E$21+R189*Scorecard!$E$22+S189*Scorecard!$E$23</f>
        <v>3.49140641118532</v>
      </c>
    </row>
    <row r="190" customFormat="false" ht="15" hidden="false" customHeight="false" outlineLevel="0" collapsed="false">
      <c r="A190" s="0" t="n">
        <v>185</v>
      </c>
      <c r="B190" s="38" t="n">
        <f aca="false">E190*Scorecard!$C$18+F190*Scorecard!$C$19+G190*Scorecard!$C$20+H190*Scorecard!$C$21+I190*Scorecard!$C$22+J190*Scorecard!$C$23</f>
        <v>3.650641867351</v>
      </c>
      <c r="C190" s="38" t="n">
        <f aca="false">E190*Scorecard!$D$18+F190*Scorecard!$D$19+G190*Scorecard!$D$20+H190*Scorecard!$D$21+I190*Scorecard!$D$22+J190*Scorecard!$D$23</f>
        <v>2.35562658863607</v>
      </c>
      <c r="D190" s="0" t="str">
        <f aca="false">IF(AND(B190&gt;=C190,B190&gt;=K190),"A. Distribution",IF(C190&gt;=K190,"B. Manufacturing","C. Prof. services"))</f>
        <v>C. Prof. services</v>
      </c>
      <c r="E190" s="39" t="n">
        <v>0.140967943292012</v>
      </c>
      <c r="F190" s="39" t="n">
        <v>0.298426653734425</v>
      </c>
      <c r="G190" s="39" t="n">
        <v>0.0352182194369473</v>
      </c>
      <c r="H190" s="39" t="n">
        <v>0.217340960547537</v>
      </c>
      <c r="I190" s="39" t="n">
        <v>0.00152206836561467</v>
      </c>
      <c r="J190" s="39" t="n">
        <v>0.306524154623465</v>
      </c>
      <c r="K190" s="38" t="n">
        <f aca="false">E190*Scorecard!$E$18+F190*Scorecard!$E$19+G190*Scorecard!$E$20+H190*Scorecard!$E$21+I190*Scorecard!$E$22+J190*Scorecard!$E$23</f>
        <v>3.652409690417</v>
      </c>
      <c r="M190" s="0" t="str">
        <f aca="false">IF(AND(T190&gt;=U190,T190&gt;=V190),"A. Distribution",IF(U190&gt;=V190,"B. Manufacturing","C. Prof. services"))</f>
        <v>A. Distribution</v>
      </c>
      <c r="N190" s="39" t="n">
        <v>0.372741457395052</v>
      </c>
      <c r="O190" s="39" t="n">
        <v>0.217795457943851</v>
      </c>
      <c r="P190" s="39" t="n">
        <v>0.0894273773398313</v>
      </c>
      <c r="Q190" s="39" t="n">
        <v>0.143309522467028</v>
      </c>
      <c r="R190" s="39" t="n">
        <v>0.124757024253507</v>
      </c>
      <c r="S190" s="39" t="n">
        <v>0.0519691606007304</v>
      </c>
      <c r="T190" s="38" t="n">
        <f aca="false">N190*Scorecard!$C$18+O190*Scorecard!$C$19+P190*Scorecard!$C$20+Q190*Scorecard!$C$21+R190*Scorecard!$C$22+S190*Scorecard!$C$23</f>
        <v>4.06848924325365</v>
      </c>
      <c r="U190" s="38" t="n">
        <f aca="false">N190*Scorecard!$D$18+O190*Scorecard!$D$19+P190*Scorecard!$D$20+Q190*Scorecard!$D$21+R190*Scorecard!$D$22+S190*Scorecard!$D$23</f>
        <v>3.05180979546144</v>
      </c>
      <c r="V190" s="38" t="n">
        <f aca="false">N190*Scorecard!$E$18+O190*Scorecard!$E$19+P190*Scorecard!$E$20+Q190*Scorecard!$E$21+R190*Scorecard!$E$22+S190*Scorecard!$E$23</f>
        <v>3.32445161610029</v>
      </c>
    </row>
    <row r="191" customFormat="false" ht="15" hidden="false" customHeight="false" outlineLevel="0" collapsed="false">
      <c r="A191" s="0" t="n">
        <v>186</v>
      </c>
      <c r="B191" s="38" t="n">
        <f aca="false">E191*Scorecard!$C$18+F191*Scorecard!$C$19+G191*Scorecard!$C$20+H191*Scorecard!$C$21+I191*Scorecard!$C$22+J191*Scorecard!$C$23</f>
        <v>4.09522095760198</v>
      </c>
      <c r="C191" s="38" t="n">
        <f aca="false">E191*Scorecard!$D$18+F191*Scorecard!$D$19+G191*Scorecard!$D$20+H191*Scorecard!$D$21+I191*Scorecard!$D$22+J191*Scorecard!$D$23</f>
        <v>2.35131806832557</v>
      </c>
      <c r="D191" s="0" t="str">
        <f aca="false">IF(AND(B191&gt;=C191,B191&gt;=K191),"A. Distribution",IF(C191&gt;=K191,"B. Manufacturing","C. Prof. services"))</f>
        <v>A. Distribution</v>
      </c>
      <c r="E191" s="39" t="n">
        <v>0.108501916617566</v>
      </c>
      <c r="F191" s="39" t="n">
        <v>0.122514387029981</v>
      </c>
      <c r="G191" s="39" t="n">
        <v>0.585135873567301</v>
      </c>
      <c r="H191" s="39" t="n">
        <v>0.171097798553664</v>
      </c>
      <c r="I191" s="39" t="n">
        <v>0.012676887927268</v>
      </c>
      <c r="J191" s="39" t="n">
        <v>7.31363042191723E-005</v>
      </c>
      <c r="K191" s="38" t="n">
        <f aca="false">E191*Scorecard!$E$18+F191*Scorecard!$E$19+G191*Scorecard!$E$20+H191*Scorecard!$E$21+I191*Scorecard!$E$22+J191*Scorecard!$E$23</f>
        <v>3.72223917792313</v>
      </c>
      <c r="M191" s="0" t="str">
        <f aca="false">IF(AND(T191&gt;=U191,T191&gt;=V191),"A. Distribution",IF(U191&gt;=V191,"B. Manufacturing","C. Prof. services"))</f>
        <v>A. Distribution</v>
      </c>
      <c r="N191" s="39" t="n">
        <v>0.287239440220944</v>
      </c>
      <c r="O191" s="39" t="n">
        <v>0.136295505030201</v>
      </c>
      <c r="P191" s="39" t="n">
        <v>0.16138910789377</v>
      </c>
      <c r="Q191" s="39" t="n">
        <v>0.143654101360197</v>
      </c>
      <c r="R191" s="39" t="n">
        <v>0.127844762496921</v>
      </c>
      <c r="S191" s="39" t="n">
        <v>0.143577082997967</v>
      </c>
      <c r="T191" s="38" t="n">
        <f aca="false">N191*Scorecard!$C$18+O191*Scorecard!$C$19+P191*Scorecard!$C$20+Q191*Scorecard!$C$21+R191*Scorecard!$C$22+S191*Scorecard!$C$23</f>
        <v>3.81060099791304</v>
      </c>
      <c r="U191" s="38" t="n">
        <f aca="false">N191*Scorecard!$D$18+O191*Scorecard!$D$19+P191*Scorecard!$D$20+Q191*Scorecard!$D$21+R191*Scorecard!$D$22+S191*Scorecard!$D$23</f>
        <v>2.79404453645326</v>
      </c>
      <c r="V191" s="38" t="n">
        <f aca="false">N191*Scorecard!$E$18+O191*Scorecard!$E$19+P191*Scorecard!$E$20+Q191*Scorecard!$E$21+R191*Scorecard!$E$22+S191*Scorecard!$E$23</f>
        <v>3.50517406507306</v>
      </c>
    </row>
    <row r="192" customFormat="false" ht="15" hidden="false" customHeight="false" outlineLevel="0" collapsed="false">
      <c r="A192" s="0" t="n">
        <v>187</v>
      </c>
      <c r="B192" s="38" t="n">
        <f aca="false">E192*Scorecard!$C$18+F192*Scorecard!$C$19+G192*Scorecard!$C$20+H192*Scorecard!$C$21+I192*Scorecard!$C$22+J192*Scorecard!$C$23</f>
        <v>4.23389340427591</v>
      </c>
      <c r="C192" s="38" t="n">
        <f aca="false">E192*Scorecard!$D$18+F192*Scorecard!$D$19+G192*Scorecard!$D$20+H192*Scorecard!$D$21+I192*Scorecard!$D$22+J192*Scorecard!$D$23</f>
        <v>2.80098818903484</v>
      </c>
      <c r="D192" s="0" t="str">
        <f aca="false">IF(AND(B192&gt;=C192,B192&gt;=K192),"A. Distribution",IF(C192&gt;=K192,"B. Manufacturing","C. Prof. services"))</f>
        <v>A. Distribution</v>
      </c>
      <c r="E192" s="39" t="n">
        <v>0.0659089556388025</v>
      </c>
      <c r="F192" s="39" t="n">
        <v>0.344520765994446</v>
      </c>
      <c r="G192" s="39" t="n">
        <v>0.0253537798185344</v>
      </c>
      <c r="H192" s="39" t="n">
        <v>0.181070171311357</v>
      </c>
      <c r="I192" s="39" t="n">
        <v>0.340233663625378</v>
      </c>
      <c r="J192" s="39" t="n">
        <v>0.042912663611482</v>
      </c>
      <c r="K192" s="38" t="n">
        <f aca="false">E192*Scorecard!$E$18+F192*Scorecard!$E$19+G192*Scorecard!$E$20+H192*Scorecard!$E$21+I192*Scorecard!$E$22+J192*Scorecard!$E$23</f>
        <v>2.95036438632373</v>
      </c>
      <c r="M192" s="0" t="str">
        <f aca="false">IF(AND(T192&gt;=U192,T192&gt;=V192),"A. Distribution",IF(U192&gt;=V192,"B. Manufacturing","C. Prof. services"))</f>
        <v>A. Distribution</v>
      </c>
      <c r="N192" s="39" t="n">
        <v>0.202906676944162</v>
      </c>
      <c r="O192" s="39" t="n">
        <v>0.167252724701636</v>
      </c>
      <c r="P192" s="39" t="n">
        <v>0.323003232702705</v>
      </c>
      <c r="Q192" s="39" t="n">
        <v>0.200620337546635</v>
      </c>
      <c r="R192" s="39" t="n">
        <v>0.0707550042203676</v>
      </c>
      <c r="S192" s="39" t="n">
        <v>0.0354620238844944</v>
      </c>
      <c r="T192" s="38" t="n">
        <f aca="false">N192*Scorecard!$C$18+O192*Scorecard!$C$19+P192*Scorecard!$C$20+Q192*Scorecard!$C$21+R192*Scorecard!$C$22+S192*Scorecard!$C$23</f>
        <v>4.0584209957589</v>
      </c>
      <c r="U192" s="38" t="n">
        <f aca="false">N192*Scorecard!$D$18+O192*Scorecard!$D$19+P192*Scorecard!$D$20+Q192*Scorecard!$D$21+R192*Scorecard!$D$22+S192*Scorecard!$D$23</f>
        <v>2.63440281933866</v>
      </c>
      <c r="V192" s="38" t="n">
        <f aca="false">N192*Scorecard!$E$18+O192*Scorecard!$E$19+P192*Scorecard!$E$20+Q192*Scorecard!$E$21+R192*Scorecard!$E$22+S192*Scorecard!$E$23</f>
        <v>3.53279531969086</v>
      </c>
    </row>
    <row r="193" customFormat="false" ht="15" hidden="false" customHeight="false" outlineLevel="0" collapsed="false">
      <c r="A193" s="0" t="n">
        <v>188</v>
      </c>
      <c r="B193" s="38" t="n">
        <f aca="false">E193*Scorecard!$C$18+F193*Scorecard!$C$19+G193*Scorecard!$C$20+H193*Scorecard!$C$21+I193*Scorecard!$C$22+J193*Scorecard!$C$23</f>
        <v>4.50947598813083</v>
      </c>
      <c r="C193" s="38" t="n">
        <f aca="false">E193*Scorecard!$D$18+F193*Scorecard!$D$19+G193*Scorecard!$D$20+H193*Scorecard!$D$21+I193*Scorecard!$D$22+J193*Scorecard!$D$23</f>
        <v>2.64617020365343</v>
      </c>
      <c r="D193" s="0" t="str">
        <f aca="false">IF(AND(B193&gt;=C193,B193&gt;=K193),"A. Distribution",IF(C193&gt;=K193,"B. Manufacturing","C. Prof. services"))</f>
        <v>A. Distribution</v>
      </c>
      <c r="E193" s="39" t="n">
        <v>0.0366797825430728</v>
      </c>
      <c r="F193" s="39" t="n">
        <v>0.544215551825785</v>
      </c>
      <c r="G193" s="39" t="n">
        <v>0.129664348910857</v>
      </c>
      <c r="H193" s="39" t="n">
        <v>0.0776297099280514</v>
      </c>
      <c r="I193" s="39" t="n">
        <v>0.200095599010069</v>
      </c>
      <c r="J193" s="39" t="n">
        <v>0.0117150077821649</v>
      </c>
      <c r="K193" s="38" t="n">
        <f aca="false">E193*Scorecard!$E$18+F193*Scorecard!$E$19+G193*Scorecard!$E$20+H193*Scorecard!$E$21+I193*Scorecard!$E$22+J193*Scorecard!$E$23</f>
        <v>2.97806237588478</v>
      </c>
      <c r="M193" s="0" t="str">
        <f aca="false">IF(AND(T193&gt;=U193,T193&gt;=V193),"A. Distribution",IF(U193&gt;=V193,"B. Manufacturing","C. Prof. services"))</f>
        <v>A. Distribution</v>
      </c>
      <c r="N193" s="39" t="n">
        <v>0.161845290571087</v>
      </c>
      <c r="O193" s="39" t="n">
        <v>0.110805043628643</v>
      </c>
      <c r="P193" s="39" t="n">
        <v>0.291129362100432</v>
      </c>
      <c r="Q193" s="39" t="n">
        <v>0.108517807423576</v>
      </c>
      <c r="R193" s="39" t="n">
        <v>0.186117891330547</v>
      </c>
      <c r="S193" s="39" t="n">
        <v>0.141584604945716</v>
      </c>
      <c r="T193" s="38" t="n">
        <f aca="false">N193*Scorecard!$C$18+O193*Scorecard!$C$19+P193*Scorecard!$C$20+Q193*Scorecard!$C$21+R193*Scorecard!$C$22+S193*Scorecard!$C$23</f>
        <v>3.80294894038984</v>
      </c>
      <c r="U193" s="38" t="n">
        <f aca="false">N193*Scorecard!$D$18+O193*Scorecard!$D$19+P193*Scorecard!$D$20+Q193*Scorecard!$D$21+R193*Scorecard!$D$22+S193*Scorecard!$D$23</f>
        <v>2.59524815704294</v>
      </c>
      <c r="V193" s="38" t="n">
        <f aca="false">N193*Scorecard!$E$18+O193*Scorecard!$E$19+P193*Scorecard!$E$20+Q193*Scorecard!$E$21+R193*Scorecard!$E$22+S193*Scorecard!$E$23</f>
        <v>3.51171506694694</v>
      </c>
    </row>
    <row r="194" customFormat="false" ht="15" hidden="false" customHeight="false" outlineLevel="0" collapsed="false">
      <c r="A194" s="0" t="n">
        <v>189</v>
      </c>
      <c r="B194" s="38" t="n">
        <f aca="false">E194*Scorecard!$C$18+F194*Scorecard!$C$19+G194*Scorecard!$C$20+H194*Scorecard!$C$21+I194*Scorecard!$C$22+J194*Scorecard!$C$23</f>
        <v>3.71685398901096</v>
      </c>
      <c r="C194" s="38" t="n">
        <f aca="false">E194*Scorecard!$D$18+F194*Scorecard!$D$19+G194*Scorecard!$D$20+H194*Scorecard!$D$21+I194*Scorecard!$D$22+J194*Scorecard!$D$23</f>
        <v>2.72148307939845</v>
      </c>
      <c r="D194" s="0" t="str">
        <f aca="false">IF(AND(B194&gt;=C194,B194&gt;=K194),"A. Distribution",IF(C194&gt;=K194,"B. Manufacturing","C. Prof. services"))</f>
        <v>A. Distribution</v>
      </c>
      <c r="E194" s="39" t="n">
        <v>0.257657801566124</v>
      </c>
      <c r="F194" s="39" t="n">
        <v>0.227547071980371</v>
      </c>
      <c r="G194" s="39" t="n">
        <v>0.0754226510601137</v>
      </c>
      <c r="H194" s="39" t="n">
        <v>0.0605490242398191</v>
      </c>
      <c r="I194" s="39" t="n">
        <v>0.137082262679648</v>
      </c>
      <c r="J194" s="39" t="n">
        <v>0.241741188473924</v>
      </c>
      <c r="K194" s="38" t="n">
        <f aca="false">E194*Scorecard!$E$18+F194*Scorecard!$E$19+G194*Scorecard!$E$20+H194*Scorecard!$E$21+I194*Scorecard!$E$22+J194*Scorecard!$E$23</f>
        <v>3.47174868467471</v>
      </c>
      <c r="M194" s="0" t="str">
        <f aca="false">IF(AND(T194&gt;=U194,T194&gt;=V194),"A. Distribution",IF(U194&gt;=V194,"B. Manufacturing","C. Prof. services"))</f>
        <v>A. Distribution</v>
      </c>
      <c r="N194" s="39" t="n">
        <v>0.0741794417484329</v>
      </c>
      <c r="O194" s="39" t="n">
        <v>0.142829087226786</v>
      </c>
      <c r="P194" s="39" t="n">
        <v>0.165348277767916</v>
      </c>
      <c r="Q194" s="39" t="n">
        <v>0.150794562294395</v>
      </c>
      <c r="R194" s="39" t="n">
        <v>0.199863222474161</v>
      </c>
      <c r="S194" s="39" t="n">
        <v>0.266985408488309</v>
      </c>
      <c r="T194" s="38" t="n">
        <f aca="false">N194*Scorecard!$C$18+O194*Scorecard!$C$19+P194*Scorecard!$C$20+Q194*Scorecard!$C$21+R194*Scorecard!$C$22+S194*Scorecard!$C$23</f>
        <v>3.58665443976065</v>
      </c>
      <c r="U194" s="38" t="n">
        <f aca="false">N194*Scorecard!$D$18+O194*Scorecard!$D$19+P194*Scorecard!$D$20+Q194*Scorecard!$D$21+R194*Scorecard!$D$22+S194*Scorecard!$D$23</f>
        <v>2.40282091105172</v>
      </c>
      <c r="V194" s="38" t="n">
        <f aca="false">N194*Scorecard!$E$18+O194*Scorecard!$E$19+P194*Scorecard!$E$20+Q194*Scorecard!$E$21+R194*Scorecard!$E$22+S194*Scorecard!$E$23</f>
        <v>3.54322922556907</v>
      </c>
    </row>
    <row r="195" customFormat="false" ht="15" hidden="false" customHeight="false" outlineLevel="0" collapsed="false">
      <c r="A195" s="0" t="n">
        <v>190</v>
      </c>
      <c r="B195" s="38" t="n">
        <f aca="false">E195*Scorecard!$C$18+F195*Scorecard!$C$19+G195*Scorecard!$C$20+H195*Scorecard!$C$21+I195*Scorecard!$C$22+J195*Scorecard!$C$23</f>
        <v>4.2879637111546</v>
      </c>
      <c r="C195" s="38" t="n">
        <f aca="false">E195*Scorecard!$D$18+F195*Scorecard!$D$19+G195*Scorecard!$D$20+H195*Scorecard!$D$21+I195*Scorecard!$D$22+J195*Scorecard!$D$23</f>
        <v>3.05624152922878</v>
      </c>
      <c r="D195" s="0" t="str">
        <f aca="false">IF(AND(B195&gt;=C195,B195&gt;=K195),"A. Distribution",IF(C195&gt;=K195,"B. Manufacturing","C. Prof. services"))</f>
        <v>A. Distribution</v>
      </c>
      <c r="E195" s="39" t="n">
        <v>0.272304144685638</v>
      </c>
      <c r="F195" s="39" t="n">
        <v>0.383250572077503</v>
      </c>
      <c r="G195" s="39" t="n">
        <v>0.0341082529903092</v>
      </c>
      <c r="H195" s="39" t="n">
        <v>0.0469516049129861</v>
      </c>
      <c r="I195" s="39" t="n">
        <v>0.229202736731382</v>
      </c>
      <c r="J195" s="39" t="n">
        <v>0.0341826886021814</v>
      </c>
      <c r="K195" s="38" t="n">
        <f aca="false">E195*Scorecard!$E$18+F195*Scorecard!$E$19+G195*Scorecard!$E$20+H195*Scorecard!$E$21+I195*Scorecard!$E$22+J195*Scorecard!$E$23</f>
        <v>3.02542567938375</v>
      </c>
      <c r="M195" s="0" t="str">
        <f aca="false">IF(AND(T195&gt;=U195,T195&gt;=V195),"A. Distribution",IF(U195&gt;=V195,"B. Manufacturing","C. Prof. services"))</f>
        <v>A. Distribution</v>
      </c>
      <c r="N195" s="39" t="n">
        <v>0.296960423467081</v>
      </c>
      <c r="O195" s="39" t="n">
        <v>0.154498719698663</v>
      </c>
      <c r="P195" s="39" t="n">
        <v>0.153736240779627</v>
      </c>
      <c r="Q195" s="39" t="n">
        <v>0.227459818157877</v>
      </c>
      <c r="R195" s="39" t="n">
        <v>0.115935970687789</v>
      </c>
      <c r="S195" s="39" t="n">
        <v>0.0514088272089637</v>
      </c>
      <c r="T195" s="38" t="n">
        <f aca="false">N195*Scorecard!$C$18+O195*Scorecard!$C$19+P195*Scorecard!$C$20+Q195*Scorecard!$C$21+R195*Scorecard!$C$22+S195*Scorecard!$C$23</f>
        <v>4.00333014263304</v>
      </c>
      <c r="U195" s="38" t="n">
        <f aca="false">N195*Scorecard!$D$18+O195*Scorecard!$D$19+P195*Scorecard!$D$20+Q195*Scorecard!$D$21+R195*Scorecard!$D$22+S195*Scorecard!$D$23</f>
        <v>2.87805787696728</v>
      </c>
      <c r="V195" s="38" t="n">
        <f aca="false">N195*Scorecard!$E$18+O195*Scorecard!$E$19+P195*Scorecard!$E$20+Q195*Scorecard!$E$21+R195*Scorecard!$E$22+S195*Scorecard!$E$23</f>
        <v>3.42490655432901</v>
      </c>
    </row>
    <row r="196" customFormat="false" ht="15" hidden="false" customHeight="false" outlineLevel="0" collapsed="false">
      <c r="A196" s="0" t="n">
        <v>191</v>
      </c>
      <c r="B196" s="38" t="n">
        <f aca="false">E196*Scorecard!$C$18+F196*Scorecard!$C$19+G196*Scorecard!$C$20+H196*Scorecard!$C$21+I196*Scorecard!$C$22+J196*Scorecard!$C$23</f>
        <v>3.41196167676243</v>
      </c>
      <c r="C196" s="38" t="n">
        <f aca="false">E196*Scorecard!$D$18+F196*Scorecard!$D$19+G196*Scorecard!$D$20+H196*Scorecard!$D$21+I196*Scorecard!$D$22+J196*Scorecard!$D$23</f>
        <v>2.3994199567243</v>
      </c>
      <c r="D196" s="0" t="str">
        <f aca="false">IF(AND(B196&gt;=C196,B196&gt;=K196),"A. Distribution",IF(C196&gt;=K196,"B. Manufacturing","C. Prof. services"))</f>
        <v>C. Prof. services</v>
      </c>
      <c r="E196" s="39" t="n">
        <v>0.00289422636738204</v>
      </c>
      <c r="F196" s="39" t="n">
        <v>0.076490922165725</v>
      </c>
      <c r="G196" s="39" t="n">
        <v>0.11632359352975</v>
      </c>
      <c r="H196" s="39" t="n">
        <v>0.117161253285215</v>
      </c>
      <c r="I196" s="39" t="n">
        <v>0.361293662892359</v>
      </c>
      <c r="J196" s="39" t="n">
        <v>0.32583634175957</v>
      </c>
      <c r="K196" s="38" t="n">
        <f aca="false">E196*Scorecard!$E$18+F196*Scorecard!$E$19+G196*Scorecard!$E$20+H196*Scorecard!$E$21+I196*Scorecard!$E$22+J196*Scorecard!$E$23</f>
        <v>3.42954366756914</v>
      </c>
      <c r="M196" s="0" t="str">
        <f aca="false">IF(AND(T196&gt;=U196,T196&gt;=V196),"A. Distribution",IF(U196&gt;=V196,"B. Manufacturing","C. Prof. services"))</f>
        <v>A. Distribution</v>
      </c>
      <c r="N196" s="39" t="n">
        <v>0.350587550912416</v>
      </c>
      <c r="O196" s="39" t="n">
        <v>0.271753025802408</v>
      </c>
      <c r="P196" s="39" t="n">
        <v>0.12373689905739</v>
      </c>
      <c r="Q196" s="39" t="n">
        <v>0.150072626944783</v>
      </c>
      <c r="R196" s="39" t="n">
        <v>0.0885422721173155</v>
      </c>
      <c r="S196" s="39" t="n">
        <v>0.015307625165687</v>
      </c>
      <c r="T196" s="38" t="n">
        <f aca="false">N196*Scorecard!$C$18+O196*Scorecard!$C$19+P196*Scorecard!$C$20+Q196*Scorecard!$C$21+R196*Scorecard!$C$22+S196*Scorecard!$C$23</f>
        <v>4.19681981914153</v>
      </c>
      <c r="U196" s="38" t="n">
        <f aca="false">N196*Scorecard!$D$18+O196*Scorecard!$D$19+P196*Scorecard!$D$20+Q196*Scorecard!$D$21+R196*Scorecard!$D$22+S196*Scorecard!$D$23</f>
        <v>3.0075952551771</v>
      </c>
      <c r="V196" s="38" t="n">
        <f aca="false">N196*Scorecard!$E$18+O196*Scorecard!$E$19+P196*Scorecard!$E$20+Q196*Scorecard!$E$21+R196*Scorecard!$E$22+S196*Scorecard!$E$23</f>
        <v>3.31084302980425</v>
      </c>
    </row>
    <row r="197" customFormat="false" ht="15" hidden="false" customHeight="false" outlineLevel="0" collapsed="false">
      <c r="A197" s="0" t="n">
        <v>192</v>
      </c>
      <c r="B197" s="38" t="n">
        <f aca="false">E197*Scorecard!$C$18+F197*Scorecard!$C$19+G197*Scorecard!$C$20+H197*Scorecard!$C$21+I197*Scorecard!$C$22+J197*Scorecard!$C$23</f>
        <v>3.79311261054917</v>
      </c>
      <c r="C197" s="38" t="n">
        <f aca="false">E197*Scorecard!$D$18+F197*Scorecard!$D$19+G197*Scorecard!$D$20+H197*Scorecard!$D$21+I197*Scorecard!$D$22+J197*Scorecard!$D$23</f>
        <v>2.69521119045531</v>
      </c>
      <c r="D197" s="0" t="str">
        <f aca="false">IF(AND(B197&gt;=C197,B197&gt;=K197),"A. Distribution",IF(C197&gt;=K197,"B. Manufacturing","C. Prof. services"))</f>
        <v>A. Distribution</v>
      </c>
      <c r="E197" s="39" t="n">
        <v>0.0725540505810528</v>
      </c>
      <c r="F197" s="39" t="n">
        <v>0.159030606532189</v>
      </c>
      <c r="G197" s="39" t="n">
        <v>0.0821438110690471</v>
      </c>
      <c r="H197" s="39" t="n">
        <v>0.128174663875598</v>
      </c>
      <c r="I197" s="39" t="n">
        <v>0.384955882826423</v>
      </c>
      <c r="J197" s="39" t="n">
        <v>0.173140985115691</v>
      </c>
      <c r="K197" s="38" t="n">
        <f aca="false">E197*Scorecard!$E$18+F197*Scorecard!$E$19+G197*Scorecard!$E$20+H197*Scorecard!$E$21+I197*Scorecard!$E$22+J197*Scorecard!$E$23</f>
        <v>3.17665660526219</v>
      </c>
      <c r="M197" s="0" t="str">
        <f aca="false">IF(AND(T197&gt;=U197,T197&gt;=V197),"A. Distribution",IF(U197&gt;=V197,"B. Manufacturing","C. Prof. services"))</f>
        <v>A. Distribution</v>
      </c>
      <c r="N197" s="39" t="n">
        <v>0.355915689844964</v>
      </c>
      <c r="O197" s="39" t="n">
        <v>0.188604998848598</v>
      </c>
      <c r="P197" s="39" t="n">
        <v>0.159634057804164</v>
      </c>
      <c r="Q197" s="39" t="n">
        <v>0.102540044445131</v>
      </c>
      <c r="R197" s="39" t="n">
        <v>0.13258347084408</v>
      </c>
      <c r="S197" s="39" t="n">
        <v>0.0607217382130641</v>
      </c>
      <c r="T197" s="38" t="n">
        <f aca="false">N197*Scorecard!$C$18+O197*Scorecard!$C$19+P197*Scorecard!$C$20+Q197*Scorecard!$C$21+R197*Scorecard!$C$22+S197*Scorecard!$C$23</f>
        <v>4.02753745067474</v>
      </c>
      <c r="U197" s="38" t="n">
        <f aca="false">N197*Scorecard!$D$18+O197*Scorecard!$D$19+P197*Scorecard!$D$20+Q197*Scorecard!$D$21+R197*Scorecard!$D$22+S197*Scorecard!$D$23</f>
        <v>2.99644301696788</v>
      </c>
      <c r="V197" s="38" t="n">
        <f aca="false">N197*Scorecard!$E$18+O197*Scorecard!$E$19+P197*Scorecard!$E$20+Q197*Scorecard!$E$21+R197*Scorecard!$E$22+S197*Scorecard!$E$23</f>
        <v>3.37242596239174</v>
      </c>
    </row>
    <row r="198" customFormat="false" ht="15" hidden="false" customHeight="false" outlineLevel="0" collapsed="false">
      <c r="A198" s="0" t="n">
        <v>193</v>
      </c>
      <c r="B198" s="38" t="n">
        <f aca="false">E198*Scorecard!$C$18+F198*Scorecard!$C$19+G198*Scorecard!$C$20+H198*Scorecard!$C$21+I198*Scorecard!$C$22+J198*Scorecard!$C$23</f>
        <v>3.75793373027976</v>
      </c>
      <c r="C198" s="38" t="n">
        <f aca="false">E198*Scorecard!$D$18+F198*Scorecard!$D$19+G198*Scorecard!$D$20+H198*Scorecard!$D$21+I198*Scorecard!$D$22+J198*Scorecard!$D$23</f>
        <v>2.42292228678944</v>
      </c>
      <c r="D198" s="0" t="str">
        <f aca="false">IF(AND(B198&gt;=C198,B198&gt;=K198),"A. Distribution",IF(C198&gt;=K198,"B. Manufacturing","C. Prof. services"))</f>
        <v>A. Distribution</v>
      </c>
      <c r="E198" s="39" t="n">
        <v>0.0444504817968879</v>
      </c>
      <c r="F198" s="39" t="n">
        <v>0.0242883608933223</v>
      </c>
      <c r="G198" s="39" t="n">
        <v>0.402509674107317</v>
      </c>
      <c r="H198" s="39" t="n">
        <v>0.152809185967861</v>
      </c>
      <c r="I198" s="39" t="n">
        <v>0.25278201450163</v>
      </c>
      <c r="J198" s="39" t="n">
        <v>0.123160282732982</v>
      </c>
      <c r="K198" s="38" t="n">
        <f aca="false">E198*Scorecard!$E$18+F198*Scorecard!$E$19+G198*Scorecard!$E$20+H198*Scorecard!$E$21+I198*Scorecard!$E$22+J198*Scorecard!$E$23</f>
        <v>3.53902818291476</v>
      </c>
      <c r="M198" s="0" t="str">
        <f aca="false">IF(AND(T198&gt;=U198,T198&gt;=V198),"A. Distribution",IF(U198&gt;=V198,"B. Manufacturing","C. Prof. services"))</f>
        <v>A. Distribution</v>
      </c>
      <c r="N198" s="39" t="n">
        <v>0.104968478799483</v>
      </c>
      <c r="O198" s="39" t="n">
        <v>0.132955073464626</v>
      </c>
      <c r="P198" s="39" t="n">
        <v>0.277651314924927</v>
      </c>
      <c r="Q198" s="39" t="n">
        <v>0.182598470813507</v>
      </c>
      <c r="R198" s="39" t="n">
        <v>0.0944161975356898</v>
      </c>
      <c r="S198" s="39" t="n">
        <v>0.207410464461767</v>
      </c>
      <c r="T198" s="38" t="n">
        <f aca="false">N198*Scorecard!$C$18+O198*Scorecard!$C$19+P198*Scorecard!$C$20+Q198*Scorecard!$C$21+R198*Scorecard!$C$22+S198*Scorecard!$C$23</f>
        <v>3.69003147185284</v>
      </c>
      <c r="U198" s="38" t="n">
        <f aca="false">N198*Scorecard!$D$18+O198*Scorecard!$D$19+P198*Scorecard!$D$20+Q198*Scorecard!$D$21+R198*Scorecard!$D$22+S198*Scorecard!$D$23</f>
        <v>2.35837612436093</v>
      </c>
      <c r="V198" s="38" t="n">
        <f aca="false">N198*Scorecard!$E$18+O198*Scorecard!$E$19+P198*Scorecard!$E$20+Q198*Scorecard!$E$21+R198*Scorecard!$E$22+S198*Scorecard!$E$23</f>
        <v>3.6751970766996</v>
      </c>
    </row>
    <row r="199" customFormat="false" ht="15" hidden="false" customHeight="false" outlineLevel="0" collapsed="false">
      <c r="A199" s="0" t="n">
        <v>194</v>
      </c>
      <c r="B199" s="38" t="n">
        <f aca="false">E199*Scorecard!$C$18+F199*Scorecard!$C$19+G199*Scorecard!$C$20+H199*Scorecard!$C$21+I199*Scorecard!$C$22+J199*Scorecard!$C$23</f>
        <v>4.55343646140603</v>
      </c>
      <c r="C199" s="38" t="n">
        <f aca="false">E199*Scorecard!$D$18+F199*Scorecard!$D$19+G199*Scorecard!$D$20+H199*Scorecard!$D$21+I199*Scorecard!$D$22+J199*Scorecard!$D$23</f>
        <v>2.49998239511369</v>
      </c>
      <c r="D199" s="0" t="str">
        <f aca="false">IF(AND(B199&gt;=C199,B199&gt;=K199),"A. Distribution",IF(C199&gt;=K199,"B. Manufacturing","C. Prof. services"))</f>
        <v>A. Distribution</v>
      </c>
      <c r="E199" s="39" t="n">
        <v>0.0774850546628566</v>
      </c>
      <c r="F199" s="39" t="n">
        <v>0.639768943430853</v>
      </c>
      <c r="G199" s="39" t="n">
        <v>0.220339937670777</v>
      </c>
      <c r="H199" s="39" t="n">
        <v>0.00586804459107603</v>
      </c>
      <c r="I199" s="39" t="n">
        <v>0.0167984337087616</v>
      </c>
      <c r="J199" s="39" t="n">
        <v>0.0397395859356757</v>
      </c>
      <c r="K199" s="38" t="n">
        <f aca="false">E199*Scorecard!$E$18+F199*Scorecard!$E$19+G199*Scorecard!$E$20+H199*Scorecard!$E$21+I199*Scorecard!$E$22+J199*Scorecard!$E$23</f>
        <v>3.18641866887595</v>
      </c>
      <c r="M199" s="0" t="str">
        <f aca="false">IF(AND(T199&gt;=U199,T199&gt;=V199),"A. Distribution",IF(U199&gt;=V199,"B. Manufacturing","C. Prof. services"))</f>
        <v>A. Distribution</v>
      </c>
      <c r="N199" s="39" t="n">
        <v>0.163297039582277</v>
      </c>
      <c r="O199" s="39" t="n">
        <v>0.119930653492416</v>
      </c>
      <c r="P199" s="39" t="n">
        <v>0.194898740631869</v>
      </c>
      <c r="Q199" s="39" t="n">
        <v>0.247604071088664</v>
      </c>
      <c r="R199" s="39" t="n">
        <v>0.225317534180436</v>
      </c>
      <c r="S199" s="39" t="n">
        <v>0.0489519610243375</v>
      </c>
      <c r="T199" s="38" t="n">
        <f aca="false">N199*Scorecard!$C$18+O199*Scorecard!$C$19+P199*Scorecard!$C$20+Q199*Scorecard!$C$21+R199*Scorecard!$C$22+S199*Scorecard!$C$23</f>
        <v>3.9822366553285</v>
      </c>
      <c r="U199" s="38" t="n">
        <f aca="false">N199*Scorecard!$D$18+O199*Scorecard!$D$19+P199*Scorecard!$D$20+Q199*Scorecard!$D$21+R199*Scorecard!$D$22+S199*Scorecard!$D$23</f>
        <v>2.74225264777399</v>
      </c>
      <c r="V199" s="38" t="n">
        <f aca="false">N199*Scorecard!$E$18+O199*Scorecard!$E$19+P199*Scorecard!$E$20+Q199*Scorecard!$E$21+R199*Scorecard!$E$22+S199*Scorecard!$E$23</f>
        <v>3.34293815420091</v>
      </c>
    </row>
    <row r="200" customFormat="false" ht="15" hidden="false" customHeight="false" outlineLevel="0" collapsed="false">
      <c r="A200" s="0" t="n">
        <v>195</v>
      </c>
      <c r="B200" s="38" t="n">
        <f aca="false">E200*Scorecard!$C$18+F200*Scorecard!$C$19+G200*Scorecard!$C$20+H200*Scorecard!$C$21+I200*Scorecard!$C$22+J200*Scorecard!$C$23</f>
        <v>3.84262473628164</v>
      </c>
      <c r="C200" s="38" t="n">
        <f aca="false">E200*Scorecard!$D$18+F200*Scorecard!$D$19+G200*Scorecard!$D$20+H200*Scorecard!$D$21+I200*Scorecard!$D$22+J200*Scorecard!$D$23</f>
        <v>2.77737049503844</v>
      </c>
      <c r="D200" s="0" t="str">
        <f aca="false">IF(AND(B200&gt;=C200,B200&gt;=K200),"A. Distribution",IF(C200&gt;=K200,"B. Manufacturing","C. Prof. services"))</f>
        <v>A. Distribution</v>
      </c>
      <c r="E200" s="39" t="n">
        <v>0.0869520464142979</v>
      </c>
      <c r="F200" s="39" t="n">
        <v>0.0401638316357728</v>
      </c>
      <c r="G200" s="39" t="n">
        <v>0.226490698350565</v>
      </c>
      <c r="H200" s="39" t="n">
        <v>0.113560074782601</v>
      </c>
      <c r="I200" s="39" t="n">
        <v>0.443672433043451</v>
      </c>
      <c r="J200" s="39" t="n">
        <v>0.0891609157733123</v>
      </c>
      <c r="K200" s="38" t="n">
        <f aca="false">E200*Scorecard!$E$18+F200*Scorecard!$E$19+G200*Scorecard!$E$20+H200*Scorecard!$E$21+I200*Scorecard!$E$22+J200*Scorecard!$E$23</f>
        <v>3.17648026696243</v>
      </c>
      <c r="M200" s="0" t="str">
        <f aca="false">IF(AND(T200&gt;=U200,T200&gt;=V200),"A. Distribution",IF(U200&gt;=V200,"B. Manufacturing","C. Prof. services"))</f>
        <v>A. Distribution</v>
      </c>
      <c r="N200" s="39" t="n">
        <v>0.107680827351849</v>
      </c>
      <c r="O200" s="39" t="n">
        <v>0.155063827749508</v>
      </c>
      <c r="P200" s="39" t="n">
        <v>0.224296855924406</v>
      </c>
      <c r="Q200" s="39" t="n">
        <v>0.19220045490682</v>
      </c>
      <c r="R200" s="39" t="n">
        <v>0.226566986066798</v>
      </c>
      <c r="S200" s="39" t="n">
        <v>0.0941910480006197</v>
      </c>
      <c r="T200" s="38" t="n">
        <f aca="false">N200*Scorecard!$C$18+O200*Scorecard!$C$19+P200*Scorecard!$C$20+Q200*Scorecard!$C$21+R200*Scorecard!$C$22+S200*Scorecard!$C$23</f>
        <v>3.93732667393008</v>
      </c>
      <c r="U200" s="38" t="n">
        <f aca="false">N200*Scorecard!$D$18+O200*Scorecard!$D$19+P200*Scorecard!$D$20+Q200*Scorecard!$D$21+R200*Scorecard!$D$22+S200*Scorecard!$D$23</f>
        <v>2.61119048916099</v>
      </c>
      <c r="V200" s="38" t="n">
        <f aca="false">N200*Scorecard!$E$18+O200*Scorecard!$E$19+P200*Scorecard!$E$20+Q200*Scorecard!$E$21+R200*Scorecard!$E$22+S200*Scorecard!$E$23</f>
        <v>3.36740569395371</v>
      </c>
    </row>
    <row r="201" customFormat="false" ht="15" hidden="false" customHeight="false" outlineLevel="0" collapsed="false">
      <c r="A201" s="0" t="n">
        <v>196</v>
      </c>
      <c r="B201" s="38" t="n">
        <f aca="false">E201*Scorecard!$C$18+F201*Scorecard!$C$19+G201*Scorecard!$C$20+H201*Scorecard!$C$21+I201*Scorecard!$C$22+J201*Scorecard!$C$23</f>
        <v>3.1850295171736</v>
      </c>
      <c r="C201" s="38" t="n">
        <f aca="false">E201*Scorecard!$D$18+F201*Scorecard!$D$19+G201*Scorecard!$D$20+H201*Scorecard!$D$21+I201*Scorecard!$D$22+J201*Scorecard!$D$23</f>
        <v>2.32313787468889</v>
      </c>
      <c r="D201" s="0" t="str">
        <f aca="false">IF(AND(B201&gt;=C201,B201&gt;=K201),"A. Distribution",IF(C201&gt;=K201,"B. Manufacturing","C. Prof. services"))</f>
        <v>C. Prof. services</v>
      </c>
      <c r="E201" s="39" t="n">
        <v>0.0952108761411145</v>
      </c>
      <c r="F201" s="39" t="n">
        <v>0.0698619008437019</v>
      </c>
      <c r="G201" s="39" t="n">
        <v>0.135680616553507</v>
      </c>
      <c r="H201" s="39" t="n">
        <v>0.0368795580953389</v>
      </c>
      <c r="I201" s="39" t="n">
        <v>0.225759840489323</v>
      </c>
      <c r="J201" s="39" t="n">
        <v>0.436607207877015</v>
      </c>
      <c r="K201" s="38" t="n">
        <f aca="false">E201*Scorecard!$E$18+F201*Scorecard!$E$19+G201*Scorecard!$E$20+H201*Scorecard!$E$21+I201*Scorecard!$E$22+J201*Scorecard!$E$23</f>
        <v>3.69884765004098</v>
      </c>
      <c r="M201" s="0" t="str">
        <f aca="false">IF(AND(T201&gt;=U201,T201&gt;=V201),"A. Distribution",IF(U201&gt;=V201,"B. Manufacturing","C. Prof. services"))</f>
        <v>A. Distribution</v>
      </c>
      <c r="N201" s="39" t="n">
        <v>0.184321728437669</v>
      </c>
      <c r="O201" s="39" t="n">
        <v>0.179113410373218</v>
      </c>
      <c r="P201" s="39" t="n">
        <v>0.254316923217361</v>
      </c>
      <c r="Q201" s="39" t="n">
        <v>0.181001172817341</v>
      </c>
      <c r="R201" s="39" t="n">
        <v>0.083907725183236</v>
      </c>
      <c r="S201" s="39" t="n">
        <v>0.117339039971175</v>
      </c>
      <c r="T201" s="38" t="n">
        <f aca="false">N201*Scorecard!$C$18+O201*Scorecard!$C$19+P201*Scorecard!$C$20+Q201*Scorecard!$C$21+R201*Scorecard!$C$22+S201*Scorecard!$C$23</f>
        <v>3.91013375128986</v>
      </c>
      <c r="U201" s="38" t="n">
        <f aca="false">N201*Scorecard!$D$18+O201*Scorecard!$D$19+P201*Scorecard!$D$20+Q201*Scorecard!$D$21+R201*Scorecard!$D$22+S201*Scorecard!$D$23</f>
        <v>2.57394728273868</v>
      </c>
      <c r="V201" s="38" t="n">
        <f aca="false">N201*Scorecard!$E$18+O201*Scorecard!$E$19+P201*Scorecard!$E$20+Q201*Scorecard!$E$21+R201*Scorecard!$E$22+S201*Scorecard!$E$23</f>
        <v>3.55334313829383</v>
      </c>
    </row>
    <row r="202" customFormat="false" ht="15" hidden="false" customHeight="false" outlineLevel="0" collapsed="false">
      <c r="A202" s="0" t="n">
        <v>197</v>
      </c>
      <c r="B202" s="38" t="n">
        <f aca="false">E202*Scorecard!$C$18+F202*Scorecard!$C$19+G202*Scorecard!$C$20+H202*Scorecard!$C$21+I202*Scorecard!$C$22+J202*Scorecard!$C$23</f>
        <v>3.64082271596697</v>
      </c>
      <c r="C202" s="38" t="n">
        <f aca="false">E202*Scorecard!$D$18+F202*Scorecard!$D$19+G202*Scorecard!$D$20+H202*Scorecard!$D$21+I202*Scorecard!$D$22+J202*Scorecard!$D$23</f>
        <v>2.57027473374278</v>
      </c>
      <c r="D202" s="0" t="str">
        <f aca="false">IF(AND(B202&gt;=C202,B202&gt;=K202),"A. Distribution",IF(C202&gt;=K202,"B. Manufacturing","C. Prof. services"))</f>
        <v>A. Distribution</v>
      </c>
      <c r="E202" s="39" t="n">
        <v>0.0215361157290864</v>
      </c>
      <c r="F202" s="39" t="n">
        <v>0.00135828013561021</v>
      </c>
      <c r="G202" s="39" t="n">
        <v>0.165737302165429</v>
      </c>
      <c r="H202" s="39" t="n">
        <v>0.240822329311061</v>
      </c>
      <c r="I202" s="39" t="n">
        <v>0.404117096828848</v>
      </c>
      <c r="J202" s="39" t="n">
        <v>0.166428875829965</v>
      </c>
      <c r="K202" s="38" t="n">
        <f aca="false">E202*Scorecard!$E$18+F202*Scorecard!$E$19+G202*Scorecard!$E$20+H202*Scorecard!$E$21+I202*Scorecard!$E$22+J202*Scorecard!$E$23</f>
        <v>3.31851354318232</v>
      </c>
      <c r="M202" s="0" t="str">
        <f aca="false">IF(AND(T202&gt;=U202,T202&gt;=V202),"A. Distribution",IF(U202&gt;=V202,"B. Manufacturing","C. Prof. services"))</f>
        <v>A. Distribution</v>
      </c>
      <c r="N202" s="39" t="n">
        <v>0.237643806547722</v>
      </c>
      <c r="O202" s="39" t="n">
        <v>0.245403444097501</v>
      </c>
      <c r="P202" s="39" t="n">
        <v>0.184884170207867</v>
      </c>
      <c r="Q202" s="39" t="n">
        <v>0.135017535067034</v>
      </c>
      <c r="R202" s="39" t="n">
        <v>0.117562284140302</v>
      </c>
      <c r="S202" s="39" t="n">
        <v>0.0794887599395728</v>
      </c>
      <c r="T202" s="38" t="n">
        <f aca="false">N202*Scorecard!$C$18+O202*Scorecard!$C$19+P202*Scorecard!$C$20+Q202*Scorecard!$C$21+R202*Scorecard!$C$22+S202*Scorecard!$C$23</f>
        <v>4.05279805150859</v>
      </c>
      <c r="U202" s="38" t="n">
        <f aca="false">N202*Scorecard!$D$18+O202*Scorecard!$D$19+P202*Scorecard!$D$20+Q202*Scorecard!$D$21+R202*Scorecard!$D$22+S202*Scorecard!$D$23</f>
        <v>2.76731413228243</v>
      </c>
      <c r="V202" s="38" t="n">
        <f aca="false">N202*Scorecard!$E$18+O202*Scorecard!$E$19+P202*Scorecard!$E$20+Q202*Scorecard!$E$21+R202*Scorecard!$E$22+S202*Scorecard!$E$23</f>
        <v>3.38746073769194</v>
      </c>
    </row>
    <row r="203" customFormat="false" ht="15" hidden="false" customHeight="false" outlineLevel="0" collapsed="false">
      <c r="A203" s="0" t="n">
        <v>198</v>
      </c>
      <c r="B203" s="38" t="n">
        <f aca="false">E203*Scorecard!$C$18+F203*Scorecard!$C$19+G203*Scorecard!$C$20+H203*Scorecard!$C$21+I203*Scorecard!$C$22+J203*Scorecard!$C$23</f>
        <v>4.04792944941329</v>
      </c>
      <c r="C203" s="38" t="n">
        <f aca="false">E203*Scorecard!$D$18+F203*Scorecard!$D$19+G203*Scorecard!$D$20+H203*Scorecard!$D$21+I203*Scorecard!$D$22+J203*Scorecard!$D$23</f>
        <v>2.49128410491498</v>
      </c>
      <c r="D203" s="0" t="str">
        <f aca="false">IF(AND(B203&gt;=C203,B203&gt;=K203),"A. Distribution",IF(C203&gt;=K203,"B. Manufacturing","C. Prof. services"))</f>
        <v>A. Distribution</v>
      </c>
      <c r="E203" s="39" t="n">
        <v>0.110075692178126</v>
      </c>
      <c r="F203" s="39" t="n">
        <v>0.164341686218306</v>
      </c>
      <c r="G203" s="39" t="n">
        <v>0.0889481499735869</v>
      </c>
      <c r="H203" s="39" t="n">
        <v>0.60357424204761</v>
      </c>
      <c r="I203" s="39" t="n">
        <v>0.0117906615519265</v>
      </c>
      <c r="J203" s="39" t="n">
        <v>0.0212695680304438</v>
      </c>
      <c r="K203" s="38" t="n">
        <f aca="false">E203*Scorecard!$E$18+F203*Scorecard!$E$19+G203*Scorecard!$E$20+H203*Scorecard!$E$21+I203*Scorecard!$E$22+J203*Scorecard!$E$23</f>
        <v>3.54207388643691</v>
      </c>
      <c r="M203" s="0" t="str">
        <f aca="false">IF(AND(T203&gt;=U203,T203&gt;=V203),"A. Distribution",IF(U203&gt;=V203,"B. Manufacturing","C. Prof. services"))</f>
        <v>A. Distribution</v>
      </c>
      <c r="N203" s="39" t="n">
        <v>0.299630493455649</v>
      </c>
      <c r="O203" s="39" t="n">
        <v>0.161932936375031</v>
      </c>
      <c r="P203" s="39" t="n">
        <v>0.114852799925269</v>
      </c>
      <c r="Q203" s="39" t="n">
        <v>0.133539046503109</v>
      </c>
      <c r="R203" s="39" t="n">
        <v>0.162843914148321</v>
      </c>
      <c r="S203" s="39" t="n">
        <v>0.127200809592622</v>
      </c>
      <c r="T203" s="38" t="n">
        <f aca="false">N203*Scorecard!$C$18+O203*Scorecard!$C$19+P203*Scorecard!$C$20+Q203*Scorecard!$C$21+R203*Scorecard!$C$22+S203*Scorecard!$C$23</f>
        <v>3.86908604150094</v>
      </c>
      <c r="U203" s="38" t="n">
        <f aca="false">N203*Scorecard!$D$18+O203*Scorecard!$D$19+P203*Scorecard!$D$20+Q203*Scorecard!$D$21+R203*Scorecard!$D$22+S203*Scorecard!$D$23</f>
        <v>2.88459507343138</v>
      </c>
      <c r="V203" s="38" t="n">
        <f aca="false">N203*Scorecard!$E$18+O203*Scorecard!$E$19+P203*Scorecard!$E$20+Q203*Scorecard!$E$21+R203*Scorecard!$E$22+S203*Scorecard!$E$23</f>
        <v>3.40511825693171</v>
      </c>
    </row>
    <row r="204" customFormat="false" ht="15" hidden="false" customHeight="false" outlineLevel="0" collapsed="false">
      <c r="A204" s="0" t="n">
        <v>199</v>
      </c>
      <c r="B204" s="38" t="n">
        <f aca="false">E204*Scorecard!$C$18+F204*Scorecard!$C$19+G204*Scorecard!$C$20+H204*Scorecard!$C$21+I204*Scorecard!$C$22+J204*Scorecard!$C$23</f>
        <v>3.95869010306774</v>
      </c>
      <c r="C204" s="38" t="n">
        <f aca="false">E204*Scorecard!$D$18+F204*Scorecard!$D$19+G204*Scorecard!$D$20+H204*Scorecard!$D$21+I204*Scorecard!$D$22+J204*Scorecard!$D$23</f>
        <v>2.55702095360086</v>
      </c>
      <c r="D204" s="0" t="str">
        <f aca="false">IF(AND(B204&gt;=C204,B204&gt;=K204),"A. Distribution",IF(C204&gt;=K204,"B. Manufacturing","C. Prof. services"))</f>
        <v>A. Distribution</v>
      </c>
      <c r="E204" s="39" t="n">
        <v>0.206241430153243</v>
      </c>
      <c r="F204" s="39" t="n">
        <v>0.0856240219934737</v>
      </c>
      <c r="G204" s="39" t="n">
        <v>0.478130495268593</v>
      </c>
      <c r="H204" s="39" t="n">
        <v>0.117936959028223</v>
      </c>
      <c r="I204" s="39" t="n">
        <v>0.0632332516883754</v>
      </c>
      <c r="J204" s="39" t="n">
        <v>0.0488338418680911</v>
      </c>
      <c r="K204" s="38" t="n">
        <f aca="false">E204*Scorecard!$E$18+F204*Scorecard!$E$19+G204*Scorecard!$E$20+H204*Scorecard!$E$21+I204*Scorecard!$E$22+J204*Scorecard!$E$23</f>
        <v>3.67497451598257</v>
      </c>
      <c r="M204" s="0" t="str">
        <f aca="false">IF(AND(T204&gt;=U204,T204&gt;=V204),"A. Distribution",IF(U204&gt;=V204,"B. Manufacturing","C. Prof. services"))</f>
        <v>A. Distribution</v>
      </c>
      <c r="N204" s="39" t="n">
        <v>0.10189303088287</v>
      </c>
      <c r="O204" s="39" t="n">
        <v>0.278476017051743</v>
      </c>
      <c r="P204" s="39" t="n">
        <v>0.211458571933353</v>
      </c>
      <c r="Q204" s="39" t="n">
        <v>0.216728095537509</v>
      </c>
      <c r="R204" s="39" t="n">
        <v>0.0562336473546637</v>
      </c>
      <c r="S204" s="39" t="n">
        <v>0.135210637239862</v>
      </c>
      <c r="T204" s="38" t="n">
        <f aca="false">N204*Scorecard!$C$18+O204*Scorecard!$C$19+P204*Scorecard!$C$20+Q204*Scorecard!$C$21+R204*Scorecard!$C$22+S204*Scorecard!$C$23</f>
        <v>3.97652150057758</v>
      </c>
      <c r="U204" s="38" t="n">
        <f aca="false">N204*Scorecard!$D$18+O204*Scorecard!$D$19+P204*Scorecard!$D$20+Q204*Scorecard!$D$21+R204*Scorecard!$D$22+S204*Scorecard!$D$23</f>
        <v>2.42441957252156</v>
      </c>
      <c r="V204" s="38" t="n">
        <f aca="false">N204*Scorecard!$E$18+O204*Scorecard!$E$19+P204*Scorecard!$E$20+Q204*Scorecard!$E$21+R204*Scorecard!$E$22+S204*Scorecard!$E$23</f>
        <v>3.51915240403108</v>
      </c>
    </row>
    <row r="205" customFormat="false" ht="15" hidden="false" customHeight="false" outlineLevel="0" collapsed="false">
      <c r="A205" s="0" t="n">
        <v>200</v>
      </c>
      <c r="B205" s="38" t="n">
        <f aca="false">E205*Scorecard!$C$18+F205*Scorecard!$C$19+G205*Scorecard!$C$20+H205*Scorecard!$C$21+I205*Scorecard!$C$22+J205*Scorecard!$C$23</f>
        <v>3.78790114698067</v>
      </c>
      <c r="C205" s="38" t="n">
        <f aca="false">E205*Scorecard!$D$18+F205*Scorecard!$D$19+G205*Scorecard!$D$20+H205*Scorecard!$D$21+I205*Scorecard!$D$22+J205*Scorecard!$D$23</f>
        <v>2.83617537522916</v>
      </c>
      <c r="D205" s="0" t="str">
        <f aca="false">IF(AND(B205&gt;=C205,B205&gt;=K205),"A. Distribution",IF(C205&gt;=K205,"B. Manufacturing","C. Prof. services"))</f>
        <v>A. Distribution</v>
      </c>
      <c r="E205" s="39" t="n">
        <v>0.20921786548331</v>
      </c>
      <c r="F205" s="39" t="n">
        <v>0.0386096703532239</v>
      </c>
      <c r="G205" s="39" t="n">
        <v>0.122387092711777</v>
      </c>
      <c r="H205" s="39" t="n">
        <v>0.247145915270527</v>
      </c>
      <c r="I205" s="39" t="n">
        <v>0.278998966709487</v>
      </c>
      <c r="J205" s="39" t="n">
        <v>0.103640489471675</v>
      </c>
      <c r="K205" s="38" t="n">
        <f aca="false">E205*Scorecard!$E$18+F205*Scorecard!$E$19+G205*Scorecard!$E$20+H205*Scorecard!$E$21+I205*Scorecard!$E$22+J205*Scorecard!$E$23</f>
        <v>3.35521358580171</v>
      </c>
      <c r="M205" s="0" t="str">
        <f aca="false">IF(AND(T205&gt;=U205,T205&gt;=V205),"A. Distribution",IF(U205&gt;=V205,"B. Manufacturing","C. Prof. services"))</f>
        <v>A. Distribution</v>
      </c>
      <c r="N205" s="39" t="n">
        <v>0.156639244741921</v>
      </c>
      <c r="O205" s="39" t="n">
        <v>0.221802494620626</v>
      </c>
      <c r="P205" s="39" t="n">
        <v>0.336333662082033</v>
      </c>
      <c r="Q205" s="39" t="n">
        <v>0.100474317948479</v>
      </c>
      <c r="R205" s="39" t="n">
        <v>0.139789891524303</v>
      </c>
      <c r="S205" s="39" t="n">
        <v>0.0449603890826392</v>
      </c>
      <c r="T205" s="38" t="n">
        <f aca="false">N205*Scorecard!$C$18+O205*Scorecard!$C$19+P205*Scorecard!$C$20+Q205*Scorecard!$C$21+R205*Scorecard!$C$22+S205*Scorecard!$C$23</f>
        <v>4.10847949043258</v>
      </c>
      <c r="U205" s="38" t="n">
        <f aca="false">N205*Scorecard!$D$18+O205*Scorecard!$D$19+P205*Scorecard!$D$20+Q205*Scorecard!$D$21+R205*Scorecard!$D$22+S205*Scorecard!$D$23</f>
        <v>2.62771533939088</v>
      </c>
      <c r="V205" s="38" t="n">
        <f aca="false">N205*Scorecard!$E$18+O205*Scorecard!$E$19+P205*Scorecard!$E$20+Q205*Scorecard!$E$21+R205*Scorecard!$E$22+S205*Scorecard!$E$23</f>
        <v>3.41316333207237</v>
      </c>
    </row>
    <row r="206" customFormat="false" ht="15" hidden="false" customHeight="false" outlineLevel="0" collapsed="false">
      <c r="A206" s="0" t="n">
        <v>201</v>
      </c>
      <c r="B206" s="38" t="n">
        <f aca="false">E206*Scorecard!$C$18+F206*Scorecard!$C$19+G206*Scorecard!$C$20+H206*Scorecard!$C$21+I206*Scorecard!$C$22+J206*Scorecard!$C$23</f>
        <v>2.6917816198521</v>
      </c>
      <c r="C206" s="38" t="n">
        <f aca="false">E206*Scorecard!$D$18+F206*Scorecard!$D$19+G206*Scorecard!$D$20+H206*Scorecard!$D$21+I206*Scorecard!$D$22+J206*Scorecard!$D$23</f>
        <v>1.80065434549966</v>
      </c>
      <c r="D206" s="0" t="str">
        <f aca="false">IF(AND(B206&gt;=C206,B206&gt;=K206),"A. Distribution",IF(C206&gt;=K206,"B. Manufacturing","C. Prof. services"))</f>
        <v>C. Prof. services</v>
      </c>
      <c r="E206" s="39" t="n">
        <v>0.00768117383776385</v>
      </c>
      <c r="F206" s="39" t="n">
        <v>0.073475673768208</v>
      </c>
      <c r="G206" s="39" t="n">
        <v>0.0884632272404463</v>
      </c>
      <c r="H206" s="39" t="n">
        <v>0.1008184272009</v>
      </c>
      <c r="I206" s="39" t="n">
        <v>0.0444544416661055</v>
      </c>
      <c r="J206" s="39" t="n">
        <v>0.685107056286576</v>
      </c>
      <c r="K206" s="38" t="n">
        <f aca="false">E206*Scorecard!$E$18+F206*Scorecard!$E$19+G206*Scorecard!$E$20+H206*Scorecard!$E$21+I206*Scorecard!$E$22+J206*Scorecard!$E$23</f>
        <v>4.14381130663387</v>
      </c>
      <c r="M206" s="0" t="str">
        <f aca="false">IF(AND(T206&gt;=U206,T206&gt;=V206),"A. Distribution",IF(U206&gt;=V206,"B. Manufacturing","C. Prof. services"))</f>
        <v>A. Distribution</v>
      </c>
      <c r="N206" s="39" t="n">
        <v>0.250581070426209</v>
      </c>
      <c r="O206" s="39" t="n">
        <v>0.132504851114739</v>
      </c>
      <c r="P206" s="39" t="n">
        <v>0.189456185049095</v>
      </c>
      <c r="Q206" s="39" t="n">
        <v>0.167714328281352</v>
      </c>
      <c r="R206" s="39" t="n">
        <v>0.159576736427219</v>
      </c>
      <c r="S206" s="39" t="n">
        <v>0.100166828701386</v>
      </c>
      <c r="T206" s="38" t="n">
        <f aca="false">N206*Scorecard!$C$18+O206*Scorecard!$C$19+P206*Scorecard!$C$20+Q206*Scorecard!$C$21+R206*Scorecard!$C$22+S206*Scorecard!$C$23</f>
        <v>3.89398153119341</v>
      </c>
      <c r="U206" s="38" t="n">
        <f aca="false">N206*Scorecard!$D$18+O206*Scorecard!$D$19+P206*Scorecard!$D$20+Q206*Scorecard!$D$21+R206*Scorecard!$D$22+S206*Scorecard!$D$23</f>
        <v>2.7889097636751</v>
      </c>
      <c r="V206" s="38" t="n">
        <f aca="false">N206*Scorecard!$E$18+O206*Scorecard!$E$19+P206*Scorecard!$E$20+Q206*Scorecard!$E$21+R206*Scorecard!$E$22+S206*Scorecard!$E$23</f>
        <v>3.44557233977418</v>
      </c>
    </row>
    <row r="207" customFormat="false" ht="15" hidden="false" customHeight="false" outlineLevel="0" collapsed="false">
      <c r="A207" s="0" t="n">
        <v>202</v>
      </c>
      <c r="B207" s="38" t="n">
        <f aca="false">E207*Scorecard!$C$18+F207*Scorecard!$C$19+G207*Scorecard!$C$20+H207*Scorecard!$C$21+I207*Scorecard!$C$22+J207*Scorecard!$C$23</f>
        <v>3.93371007675462</v>
      </c>
      <c r="C207" s="38" t="n">
        <f aca="false">E207*Scorecard!$D$18+F207*Scorecard!$D$19+G207*Scorecard!$D$20+H207*Scorecard!$D$21+I207*Scorecard!$D$22+J207*Scorecard!$D$23</f>
        <v>3.3296587366295</v>
      </c>
      <c r="D207" s="0" t="str">
        <f aca="false">IF(AND(B207&gt;=C207,B207&gt;=K207),"A. Distribution",IF(C207&gt;=K207,"B. Manufacturing","C. Prof. services"))</f>
        <v>A. Distribution</v>
      </c>
      <c r="E207" s="39" t="n">
        <v>0.359698341357133</v>
      </c>
      <c r="F207" s="39" t="n">
        <v>0.024364801702702</v>
      </c>
      <c r="G207" s="39" t="n">
        <v>0.0219958436776559</v>
      </c>
      <c r="H207" s="39" t="n">
        <v>0.155278784084479</v>
      </c>
      <c r="I207" s="39" t="n">
        <v>0.416140066089037</v>
      </c>
      <c r="J207" s="39" t="n">
        <v>0.0225221630889934</v>
      </c>
      <c r="K207" s="38" t="n">
        <f aca="false">E207*Scorecard!$E$18+F207*Scorecard!$E$19+G207*Scorecard!$E$20+H207*Scorecard!$E$21+I207*Scorecard!$E$22+J207*Scorecard!$E$23</f>
        <v>3.05791720419756</v>
      </c>
      <c r="M207" s="0" t="str">
        <f aca="false">IF(AND(T207&gt;=U207,T207&gt;=V207),"A. Distribution",IF(U207&gt;=V207,"B. Manufacturing","C. Prof. services"))</f>
        <v>A. Distribution</v>
      </c>
      <c r="N207" s="39" t="n">
        <v>0.238670792802991</v>
      </c>
      <c r="O207" s="39" t="n">
        <v>0.120852671143764</v>
      </c>
      <c r="P207" s="39" t="n">
        <v>0.199197462884858</v>
      </c>
      <c r="Q207" s="39" t="n">
        <v>0.17717123096943</v>
      </c>
      <c r="R207" s="39" t="n">
        <v>0.168120565563319</v>
      </c>
      <c r="S207" s="39" t="n">
        <v>0.0959872766356384</v>
      </c>
      <c r="T207" s="38" t="n">
        <f aca="false">N207*Scorecard!$C$18+O207*Scorecard!$C$19+P207*Scorecard!$C$20+Q207*Scorecard!$C$21+R207*Scorecard!$C$22+S207*Scorecard!$C$23</f>
        <v>3.89062570628213</v>
      </c>
      <c r="U207" s="38" t="n">
        <f aca="false">N207*Scorecard!$D$18+O207*Scorecard!$D$19+P207*Scorecard!$D$20+Q207*Scorecard!$D$21+R207*Scorecard!$D$22+S207*Scorecard!$D$23</f>
        <v>2.77488306275115</v>
      </c>
      <c r="V207" s="38" t="n">
        <f aca="false">N207*Scorecard!$E$18+O207*Scorecard!$E$19+P207*Scorecard!$E$20+Q207*Scorecard!$E$21+R207*Scorecard!$E$22+S207*Scorecard!$E$23</f>
        <v>3.44603380482728</v>
      </c>
    </row>
    <row r="208" customFormat="false" ht="15" hidden="false" customHeight="false" outlineLevel="0" collapsed="false">
      <c r="A208" s="0" t="n">
        <v>203</v>
      </c>
      <c r="B208" s="38" t="n">
        <f aca="false">E208*Scorecard!$C$18+F208*Scorecard!$C$19+G208*Scorecard!$C$20+H208*Scorecard!$C$21+I208*Scorecard!$C$22+J208*Scorecard!$C$23</f>
        <v>3.86485853287866</v>
      </c>
      <c r="C208" s="38" t="n">
        <f aca="false">E208*Scorecard!$D$18+F208*Scorecard!$D$19+G208*Scorecard!$D$20+H208*Scorecard!$D$21+I208*Scorecard!$D$22+J208*Scorecard!$D$23</f>
        <v>2.67897741222068</v>
      </c>
      <c r="D208" s="0" t="str">
        <f aca="false">IF(AND(B208&gt;=C208,B208&gt;=K208),"A. Distribution",IF(C208&gt;=K208,"B. Manufacturing","C. Prof. services"))</f>
        <v>A. Distribution</v>
      </c>
      <c r="E208" s="39" t="n">
        <v>0.191771396710315</v>
      </c>
      <c r="F208" s="39" t="n">
        <v>0.127217639186178</v>
      </c>
      <c r="G208" s="39" t="n">
        <v>0.198361577623465</v>
      </c>
      <c r="H208" s="39" t="n">
        <v>0.205442272429737</v>
      </c>
      <c r="I208" s="39" t="n">
        <v>0.164794176788207</v>
      </c>
      <c r="J208" s="39" t="n">
        <v>0.112412937262098</v>
      </c>
      <c r="K208" s="38" t="n">
        <f aca="false">E208*Scorecard!$E$18+F208*Scorecard!$E$19+G208*Scorecard!$E$20+H208*Scorecard!$E$21+I208*Scorecard!$E$22+J208*Scorecard!$E$23</f>
        <v>3.46638485373334</v>
      </c>
      <c r="M208" s="0" t="str">
        <f aca="false">IF(AND(T208&gt;=U208,T208&gt;=V208),"A. Distribution",IF(U208&gt;=V208,"B. Manufacturing","C. Prof. services"))</f>
        <v>A. Distribution</v>
      </c>
      <c r="N208" s="39" t="n">
        <v>0.127051426894723</v>
      </c>
      <c r="O208" s="39" t="n">
        <v>0.191221318620418</v>
      </c>
      <c r="P208" s="39" t="n">
        <v>0.205682702274006</v>
      </c>
      <c r="Q208" s="39" t="n">
        <v>0.101777203470326</v>
      </c>
      <c r="R208" s="39" t="n">
        <v>0.196287832712765</v>
      </c>
      <c r="S208" s="39" t="n">
        <v>0.177979516027763</v>
      </c>
      <c r="T208" s="38" t="n">
        <f aca="false">N208*Scorecard!$C$18+O208*Scorecard!$C$19+P208*Scorecard!$C$20+Q208*Scorecard!$C$21+R208*Scorecard!$C$22+S208*Scorecard!$C$23</f>
        <v>3.81409518424361</v>
      </c>
      <c r="U208" s="38" t="n">
        <f aca="false">N208*Scorecard!$D$18+O208*Scorecard!$D$19+P208*Scorecard!$D$20+Q208*Scorecard!$D$21+R208*Scorecard!$D$22+S208*Scorecard!$D$23</f>
        <v>2.56084691373389</v>
      </c>
      <c r="V208" s="38" t="n">
        <f aca="false">N208*Scorecard!$E$18+O208*Scorecard!$E$19+P208*Scorecard!$E$20+Q208*Scorecard!$E$21+R208*Scorecard!$E$22+S208*Scorecard!$E$23</f>
        <v>3.43643283376237</v>
      </c>
    </row>
    <row r="209" customFormat="false" ht="15" hidden="false" customHeight="false" outlineLevel="0" collapsed="false">
      <c r="A209" s="0" t="n">
        <v>204</v>
      </c>
      <c r="B209" s="38" t="n">
        <f aca="false">E209*Scorecard!$C$18+F209*Scorecard!$C$19+G209*Scorecard!$C$20+H209*Scorecard!$C$21+I209*Scorecard!$C$22+J209*Scorecard!$C$23</f>
        <v>4.00834170351122</v>
      </c>
      <c r="C209" s="38" t="n">
        <f aca="false">E209*Scorecard!$D$18+F209*Scorecard!$D$19+G209*Scorecard!$D$20+H209*Scorecard!$D$21+I209*Scorecard!$D$22+J209*Scorecard!$D$23</f>
        <v>3.03606862398394</v>
      </c>
      <c r="D209" s="0" t="str">
        <f aca="false">IF(AND(B209&gt;=C209,B209&gt;=K209),"A. Distribution",IF(C209&gt;=K209,"B. Manufacturing","C. Prof. services"))</f>
        <v>A. Distribution</v>
      </c>
      <c r="E209" s="39" t="n">
        <v>0.324794980423831</v>
      </c>
      <c r="F209" s="39" t="n">
        <v>0.155184173398005</v>
      </c>
      <c r="G209" s="39" t="n">
        <v>0.132190950749033</v>
      </c>
      <c r="H209" s="39" t="n">
        <v>0.116434532943629</v>
      </c>
      <c r="I209" s="39" t="n">
        <v>0.21728544241197</v>
      </c>
      <c r="J209" s="39" t="n">
        <v>0.0541099200735327</v>
      </c>
      <c r="K209" s="38" t="n">
        <f aca="false">E209*Scorecard!$E$18+F209*Scorecard!$E$19+G209*Scorecard!$E$20+H209*Scorecard!$E$21+I209*Scorecard!$E$22+J209*Scorecard!$E$23</f>
        <v>3.27891493937035</v>
      </c>
      <c r="M209" s="0" t="str">
        <f aca="false">IF(AND(T209&gt;=U209,T209&gt;=V209),"A. Distribution",IF(U209&gt;=V209,"B. Manufacturing","C. Prof. services"))</f>
        <v>A. Distribution</v>
      </c>
      <c r="N209" s="39" t="n">
        <v>0.260751615275076</v>
      </c>
      <c r="O209" s="39" t="n">
        <v>0.183887931693725</v>
      </c>
      <c r="P209" s="39" t="n">
        <v>0.153497518867562</v>
      </c>
      <c r="Q209" s="39" t="n">
        <v>0.163168659024748</v>
      </c>
      <c r="R209" s="39" t="n">
        <v>0.185492234304787</v>
      </c>
      <c r="S209" s="39" t="n">
        <v>0.0532020408341017</v>
      </c>
      <c r="T209" s="38" t="n">
        <f aca="false">N209*Scorecard!$C$18+O209*Scorecard!$C$19+P209*Scorecard!$C$20+Q209*Scorecard!$C$21+R209*Scorecard!$C$22+S209*Scorecard!$C$23</f>
        <v>4.03896742582292</v>
      </c>
      <c r="U209" s="38" t="n">
        <f aca="false">N209*Scorecard!$D$18+O209*Scorecard!$D$19+P209*Scorecard!$D$20+Q209*Scorecard!$D$21+R209*Scorecard!$D$22+S209*Scorecard!$D$23</f>
        <v>2.89341882839521</v>
      </c>
      <c r="V209" s="38" t="n">
        <f aca="false">N209*Scorecard!$E$18+O209*Scorecard!$E$19+P209*Scorecard!$E$20+Q209*Scorecard!$E$21+R209*Scorecard!$E$22+S209*Scorecard!$E$23</f>
        <v>3.31387382885319</v>
      </c>
    </row>
    <row r="210" customFormat="false" ht="15" hidden="false" customHeight="false" outlineLevel="0" collapsed="false">
      <c r="A210" s="0" t="n">
        <v>205</v>
      </c>
      <c r="B210" s="38" t="n">
        <f aca="false">E210*Scorecard!$C$18+F210*Scorecard!$C$19+G210*Scorecard!$C$20+H210*Scorecard!$C$21+I210*Scorecard!$C$22+J210*Scorecard!$C$23</f>
        <v>4.09834647554158</v>
      </c>
      <c r="C210" s="38" t="n">
        <f aca="false">E210*Scorecard!$D$18+F210*Scorecard!$D$19+G210*Scorecard!$D$20+H210*Scorecard!$D$21+I210*Scorecard!$D$22+J210*Scorecard!$D$23</f>
        <v>3.31835171760625</v>
      </c>
      <c r="D210" s="0" t="str">
        <f aca="false">IF(AND(B210&gt;=C210,B210&gt;=K210),"A. Distribution",IF(C210&gt;=K210,"B. Manufacturing","C. Prof. services"))</f>
        <v>A. Distribution</v>
      </c>
      <c r="E210" s="39" t="n">
        <v>0.487785684294703</v>
      </c>
      <c r="F210" s="39" t="n">
        <v>0.18286535017189</v>
      </c>
      <c r="G210" s="39" t="n">
        <v>0.0203401355581482</v>
      </c>
      <c r="H210" s="39" t="n">
        <v>0.144238639311422</v>
      </c>
      <c r="I210" s="39" t="n">
        <v>0.149863021334442</v>
      </c>
      <c r="J210" s="39" t="n">
        <v>0.0149071693293956</v>
      </c>
      <c r="K210" s="38" t="n">
        <f aca="false">E210*Scorecard!$E$18+F210*Scorecard!$E$19+G210*Scorecard!$E$20+H210*Scorecard!$E$21+I210*Scorecard!$E$22+J210*Scorecard!$E$23</f>
        <v>3.24800653184606</v>
      </c>
      <c r="M210" s="0" t="str">
        <f aca="false">IF(AND(T210&gt;=U210,T210&gt;=V210),"A. Distribution",IF(U210&gt;=V210,"B. Manufacturing","C. Prof. services"))</f>
        <v>A. Distribution</v>
      </c>
      <c r="N210" s="39" t="n">
        <v>0.194188438145639</v>
      </c>
      <c r="O210" s="39" t="n">
        <v>0.321434888304047</v>
      </c>
      <c r="P210" s="39" t="n">
        <v>0.0838734499583966</v>
      </c>
      <c r="Q210" s="39" t="n">
        <v>0.171746910975915</v>
      </c>
      <c r="R210" s="39" t="n">
        <v>0.124325520297763</v>
      </c>
      <c r="S210" s="39" t="n">
        <v>0.104430792318239</v>
      </c>
      <c r="T210" s="38" t="n">
        <f aca="false">N210*Scorecard!$C$18+O210*Scorecard!$C$19+P210*Scorecard!$C$20+Q210*Scorecard!$C$21+R210*Scorecard!$C$22+S210*Scorecard!$C$23</f>
        <v>4.07847671039919</v>
      </c>
      <c r="U210" s="38" t="n">
        <f aca="false">N210*Scorecard!$D$18+O210*Scorecard!$D$19+P210*Scorecard!$D$20+Q210*Scorecard!$D$21+R210*Scorecard!$D$22+S210*Scorecard!$D$23</f>
        <v>2.72695398425269</v>
      </c>
      <c r="V210" s="38" t="n">
        <f aca="false">N210*Scorecard!$E$18+O210*Scorecard!$E$19+P210*Scorecard!$E$20+Q210*Scorecard!$E$21+R210*Scorecard!$E$22+S210*Scorecard!$E$23</f>
        <v>3.3074845000725</v>
      </c>
    </row>
    <row r="211" customFormat="false" ht="15" hidden="false" customHeight="false" outlineLevel="0" collapsed="false">
      <c r="A211" s="0" t="n">
        <v>206</v>
      </c>
      <c r="B211" s="38" t="n">
        <f aca="false">E211*Scorecard!$C$18+F211*Scorecard!$C$19+G211*Scorecard!$C$20+H211*Scorecard!$C$21+I211*Scorecard!$C$22+J211*Scorecard!$C$23</f>
        <v>3.67095033979651</v>
      </c>
      <c r="C211" s="38" t="n">
        <f aca="false">E211*Scorecard!$D$18+F211*Scorecard!$D$19+G211*Scorecard!$D$20+H211*Scorecard!$D$21+I211*Scorecard!$D$22+J211*Scorecard!$D$23</f>
        <v>2.8280280101357</v>
      </c>
      <c r="D211" s="0" t="str">
        <f aca="false">IF(AND(B211&gt;=C211,B211&gt;=K211),"A. Distribution",IF(C211&gt;=K211,"B. Manufacturing","C. Prof. services"))</f>
        <v>A. Distribution</v>
      </c>
      <c r="E211" s="39" t="n">
        <v>0.161458456604979</v>
      </c>
      <c r="F211" s="39" t="n">
        <v>0.0986006631864449</v>
      </c>
      <c r="G211" s="39" t="n">
        <v>0.0579655932577361</v>
      </c>
      <c r="H211" s="39" t="n">
        <v>0.0849559255294068</v>
      </c>
      <c r="I211" s="39" t="n">
        <v>0.394252714274812</v>
      </c>
      <c r="J211" s="39" t="n">
        <v>0.202766647146621</v>
      </c>
      <c r="K211" s="38" t="n">
        <f aca="false">E211*Scorecard!$E$18+F211*Scorecard!$E$19+G211*Scorecard!$E$20+H211*Scorecard!$E$21+I211*Scorecard!$E$22+J211*Scorecard!$E$23</f>
        <v>3.21789705413061</v>
      </c>
      <c r="M211" s="0" t="str">
        <f aca="false">IF(AND(T211&gt;=U211,T211&gt;=V211),"A. Distribution",IF(U211&gt;=V211,"B. Manufacturing","C. Prof. services"))</f>
        <v>A. Distribution</v>
      </c>
      <c r="N211" s="39" t="n">
        <v>0.298577642766304</v>
      </c>
      <c r="O211" s="39" t="n">
        <v>0.161897094918226</v>
      </c>
      <c r="P211" s="39" t="n">
        <v>0.152388740496918</v>
      </c>
      <c r="Q211" s="39" t="n">
        <v>0.164499724564061</v>
      </c>
      <c r="R211" s="39" t="n">
        <v>0.13983612444114</v>
      </c>
      <c r="S211" s="39" t="n">
        <v>0.082800672813351</v>
      </c>
      <c r="T211" s="38" t="n">
        <f aca="false">N211*Scorecard!$C$18+O211*Scorecard!$C$19+P211*Scorecard!$C$20+Q211*Scorecard!$C$21+R211*Scorecard!$C$22+S211*Scorecard!$C$23</f>
        <v>3.95459897235686</v>
      </c>
      <c r="U211" s="38" t="n">
        <f aca="false">N211*Scorecard!$D$18+O211*Scorecard!$D$19+P211*Scorecard!$D$20+Q211*Scorecard!$D$21+R211*Scorecard!$D$22+S211*Scorecard!$D$23</f>
        <v>2.88301853749557</v>
      </c>
      <c r="V211" s="38" t="n">
        <f aca="false">N211*Scorecard!$E$18+O211*Scorecard!$E$19+P211*Scorecard!$E$20+Q211*Scorecard!$E$21+R211*Scorecard!$E$22+S211*Scorecard!$E$23</f>
        <v>3.41170805359126</v>
      </c>
    </row>
    <row r="212" customFormat="false" ht="15" hidden="false" customHeight="false" outlineLevel="0" collapsed="false">
      <c r="A212" s="0" t="n">
        <v>207</v>
      </c>
      <c r="B212" s="38" t="n">
        <f aca="false">E212*Scorecard!$C$18+F212*Scorecard!$C$19+G212*Scorecard!$C$20+H212*Scorecard!$C$21+I212*Scorecard!$C$22+J212*Scorecard!$C$23</f>
        <v>3.79524178052713</v>
      </c>
      <c r="C212" s="38" t="n">
        <f aca="false">E212*Scorecard!$D$18+F212*Scorecard!$D$19+G212*Scorecard!$D$20+H212*Scorecard!$D$21+I212*Scorecard!$D$22+J212*Scorecard!$D$23</f>
        <v>2.49158631239807</v>
      </c>
      <c r="D212" s="0" t="str">
        <f aca="false">IF(AND(B212&gt;=C212,B212&gt;=K212),"A. Distribution",IF(C212&gt;=K212,"B. Manufacturing","C. Prof. services"))</f>
        <v>A. Distribution</v>
      </c>
      <c r="E212" s="39" t="n">
        <v>0.073217073805076</v>
      </c>
      <c r="F212" s="39" t="n">
        <v>0.0484184381507396</v>
      </c>
      <c r="G212" s="39" t="n">
        <v>0.378510948537775</v>
      </c>
      <c r="H212" s="39" t="n">
        <v>0.129452376441272</v>
      </c>
      <c r="I212" s="39" t="n">
        <v>0.253726300265668</v>
      </c>
      <c r="J212" s="39" t="n">
        <v>0.11667486279947</v>
      </c>
      <c r="K212" s="38" t="n">
        <f aca="false">E212*Scorecard!$E$18+F212*Scorecard!$E$19+G212*Scorecard!$E$20+H212*Scorecard!$E$21+I212*Scorecard!$E$22+J212*Scorecard!$E$23</f>
        <v>3.49862225306665</v>
      </c>
      <c r="M212" s="0" t="str">
        <f aca="false">IF(AND(T212&gt;=U212,T212&gt;=V212),"A. Distribution",IF(U212&gt;=V212,"B. Manufacturing","C. Prof. services"))</f>
        <v>A. Distribution</v>
      </c>
      <c r="N212" s="39" t="n">
        <v>0.174551416624216</v>
      </c>
      <c r="O212" s="39" t="n">
        <v>0.244277125221589</v>
      </c>
      <c r="P212" s="39" t="n">
        <v>0.214445772560948</v>
      </c>
      <c r="Q212" s="39" t="n">
        <v>0.0985531302855925</v>
      </c>
      <c r="R212" s="39" t="n">
        <v>0.215560998306397</v>
      </c>
      <c r="S212" s="39" t="n">
        <v>0.052611557001257</v>
      </c>
      <c r="T212" s="38" t="n">
        <f aca="false">N212*Scorecard!$C$18+O212*Scorecard!$C$19+P212*Scorecard!$C$20+Q212*Scorecard!$C$21+R212*Scorecard!$C$22+S212*Scorecard!$C$23</f>
        <v>4.11442068383712</v>
      </c>
      <c r="U212" s="38" t="n">
        <f aca="false">N212*Scorecard!$D$18+O212*Scorecard!$D$19+P212*Scorecard!$D$20+Q212*Scorecard!$D$21+R212*Scorecard!$D$22+S212*Scorecard!$D$23</f>
        <v>2.77250355989215</v>
      </c>
      <c r="V212" s="38" t="n">
        <f aca="false">N212*Scorecard!$E$18+O212*Scorecard!$E$19+P212*Scorecard!$E$20+Q212*Scorecard!$E$21+R212*Scorecard!$E$22+S212*Scorecard!$E$23</f>
        <v>3.25550692102713</v>
      </c>
    </row>
    <row r="213" customFormat="false" ht="15" hidden="false" customHeight="false" outlineLevel="0" collapsed="false">
      <c r="A213" s="0" t="n">
        <v>208</v>
      </c>
      <c r="B213" s="38" t="n">
        <f aca="false">E213*Scorecard!$C$18+F213*Scorecard!$C$19+G213*Scorecard!$C$20+H213*Scorecard!$C$21+I213*Scorecard!$C$22+J213*Scorecard!$C$23</f>
        <v>3.50980677874364</v>
      </c>
      <c r="C213" s="38" t="n">
        <f aca="false">E213*Scorecard!$D$18+F213*Scorecard!$D$19+G213*Scorecard!$D$20+H213*Scorecard!$D$21+I213*Scorecard!$D$22+J213*Scorecard!$D$23</f>
        <v>2.36390359626888</v>
      </c>
      <c r="D213" s="0" t="str">
        <f aca="false">IF(AND(B213&gt;=C213,B213&gt;=K213),"A. Distribution",IF(C213&gt;=K213,"B. Manufacturing","C. Prof. services"))</f>
        <v>A. Distribution</v>
      </c>
      <c r="E213" s="39" t="n">
        <v>0.0376942402478875</v>
      </c>
      <c r="F213" s="39" t="n">
        <v>0.176829896574336</v>
      </c>
      <c r="G213" s="39" t="n">
        <v>0.0912752633715512</v>
      </c>
      <c r="H213" s="39" t="n">
        <v>0.130513183903195</v>
      </c>
      <c r="I213" s="39" t="n">
        <v>0.238720467496663</v>
      </c>
      <c r="J213" s="39" t="n">
        <v>0.324966948406367</v>
      </c>
      <c r="K213" s="38" t="n">
        <f aca="false">E213*Scorecard!$E$18+F213*Scorecard!$E$19+G213*Scorecard!$E$20+H213*Scorecard!$E$21+I213*Scorecard!$E$22+J213*Scorecard!$E$23</f>
        <v>3.49168759262159</v>
      </c>
      <c r="M213" s="0" t="str">
        <f aca="false">IF(AND(T213&gt;=U213,T213&gt;=V213),"A. Distribution",IF(U213&gt;=V213,"B. Manufacturing","C. Prof. services"))</f>
        <v>A. Distribution</v>
      </c>
      <c r="N213" s="39" t="n">
        <v>0.192843251635805</v>
      </c>
      <c r="O213" s="39" t="n">
        <v>0.201819291990779</v>
      </c>
      <c r="P213" s="39" t="n">
        <v>0.162479595166963</v>
      </c>
      <c r="Q213" s="39" t="n">
        <v>0.248393597561633</v>
      </c>
      <c r="R213" s="39" t="n">
        <v>0.11402210680362</v>
      </c>
      <c r="S213" s="39" t="n">
        <v>0.0804421568411991</v>
      </c>
      <c r="T213" s="38" t="n">
        <f aca="false">N213*Scorecard!$C$18+O213*Scorecard!$C$19+P213*Scorecard!$C$20+Q213*Scorecard!$C$21+R213*Scorecard!$C$22+S213*Scorecard!$C$23</f>
        <v>3.99868766026625</v>
      </c>
      <c r="U213" s="38" t="n">
        <f aca="false">N213*Scorecard!$D$18+O213*Scorecard!$D$19+P213*Scorecard!$D$20+Q213*Scorecard!$D$21+R213*Scorecard!$D$22+S213*Scorecard!$D$23</f>
        <v>2.68151599142172</v>
      </c>
      <c r="V213" s="38" t="n">
        <f aca="false">N213*Scorecard!$E$18+O213*Scorecard!$E$19+P213*Scorecard!$E$20+Q213*Scorecard!$E$21+R213*Scorecard!$E$22+S213*Scorecard!$E$23</f>
        <v>3.43125684217106</v>
      </c>
    </row>
    <row r="214" customFormat="false" ht="15" hidden="false" customHeight="false" outlineLevel="0" collapsed="false">
      <c r="A214" s="0" t="n">
        <v>209</v>
      </c>
      <c r="B214" s="38" t="n">
        <f aca="false">E214*Scorecard!$C$18+F214*Scorecard!$C$19+G214*Scorecard!$C$20+H214*Scorecard!$C$21+I214*Scorecard!$C$22+J214*Scorecard!$C$23</f>
        <v>3.69621024547613</v>
      </c>
      <c r="C214" s="38" t="n">
        <f aca="false">E214*Scorecard!$D$18+F214*Scorecard!$D$19+G214*Scorecard!$D$20+H214*Scorecard!$D$21+I214*Scorecard!$D$22+J214*Scorecard!$D$23</f>
        <v>2.52072427702555</v>
      </c>
      <c r="D214" s="0" t="str">
        <f aca="false">IF(AND(B214&gt;=C214,B214&gt;=K214),"A. Distribution",IF(C214&gt;=K214,"B. Manufacturing","C. Prof. services"))</f>
        <v>A. Distribution</v>
      </c>
      <c r="E214" s="39" t="n">
        <v>0.217334892502181</v>
      </c>
      <c r="F214" s="39" t="n">
        <v>0.166446963404571</v>
      </c>
      <c r="G214" s="39" t="n">
        <v>0.271318553826487</v>
      </c>
      <c r="H214" s="39" t="n">
        <v>0.0551963230640871</v>
      </c>
      <c r="I214" s="39" t="n">
        <v>0.0662831848027573</v>
      </c>
      <c r="J214" s="39" t="n">
        <v>0.223420082399916</v>
      </c>
      <c r="K214" s="38" t="n">
        <f aca="false">E214*Scorecard!$E$18+F214*Scorecard!$E$19+G214*Scorecard!$E$20+H214*Scorecard!$E$21+I214*Scorecard!$E$22+J214*Scorecard!$E$23</f>
        <v>3.67554132186386</v>
      </c>
      <c r="M214" s="0" t="str">
        <f aca="false">IF(AND(T214&gt;=U214,T214&gt;=V214),"A. Distribution",IF(U214&gt;=V214,"B. Manufacturing","C. Prof. services"))</f>
        <v>A. Distribution</v>
      </c>
      <c r="N214" s="39" t="n">
        <v>0.343497202873181</v>
      </c>
      <c r="O214" s="39" t="n">
        <v>0.1900734359317</v>
      </c>
      <c r="P214" s="39" t="n">
        <v>0.132467118819156</v>
      </c>
      <c r="Q214" s="39" t="n">
        <v>0.180411709009858</v>
      </c>
      <c r="R214" s="39" t="n">
        <v>0.101441985444433</v>
      </c>
      <c r="S214" s="39" t="n">
        <v>0.0521085479216726</v>
      </c>
      <c r="T214" s="38" t="n">
        <f aca="false">N214*Scorecard!$C$18+O214*Scorecard!$C$19+P214*Scorecard!$C$20+Q214*Scorecard!$C$21+R214*Scorecard!$C$22+S214*Scorecard!$C$23</f>
        <v>4.03883859101861</v>
      </c>
      <c r="U214" s="38" t="n">
        <f aca="false">N214*Scorecard!$D$18+O214*Scorecard!$D$19+P214*Scorecard!$D$20+Q214*Scorecard!$D$21+R214*Scorecard!$D$22+S214*Scorecard!$D$23</f>
        <v>2.95763969686905</v>
      </c>
      <c r="V214" s="38" t="n">
        <f aca="false">N214*Scorecard!$E$18+O214*Scorecard!$E$19+P214*Scorecard!$E$20+Q214*Scorecard!$E$21+R214*Scorecard!$E$22+S214*Scorecard!$E$23</f>
        <v>3.39900679029168</v>
      </c>
    </row>
    <row r="215" customFormat="false" ht="15" hidden="false" customHeight="false" outlineLevel="0" collapsed="false">
      <c r="A215" s="0" t="n">
        <v>210</v>
      </c>
      <c r="B215" s="38" t="n">
        <f aca="false">E215*Scorecard!$C$18+F215*Scorecard!$C$19+G215*Scorecard!$C$20+H215*Scorecard!$C$21+I215*Scorecard!$C$22+J215*Scorecard!$C$23</f>
        <v>3.8130351320692</v>
      </c>
      <c r="C215" s="38" t="n">
        <f aca="false">E215*Scorecard!$D$18+F215*Scorecard!$D$19+G215*Scorecard!$D$20+H215*Scorecard!$D$21+I215*Scorecard!$D$22+J215*Scorecard!$D$23</f>
        <v>2.30518305333655</v>
      </c>
      <c r="D215" s="0" t="str">
        <f aca="false">IF(AND(B215&gt;=C215,B215&gt;=K215),"A. Distribution",IF(C215&gt;=K215,"B. Manufacturing","C. Prof. services"))</f>
        <v>A. Distribution</v>
      </c>
      <c r="E215" s="39" t="n">
        <v>0.0691014190339909</v>
      </c>
      <c r="F215" s="39" t="n">
        <v>0.0680392333851047</v>
      </c>
      <c r="G215" s="39" t="n">
        <v>0.380450786607651</v>
      </c>
      <c r="H215" s="39" t="n">
        <v>0.302689331756087</v>
      </c>
      <c r="I215" s="39" t="n">
        <v>0.0712986200493576</v>
      </c>
      <c r="J215" s="39" t="n">
        <v>0.108420609167809</v>
      </c>
      <c r="K215" s="38" t="n">
        <f aca="false">E215*Scorecard!$E$18+F215*Scorecard!$E$19+G215*Scorecard!$E$20+H215*Scorecard!$E$21+I215*Scorecard!$E$22+J215*Scorecard!$E$23</f>
        <v>3.72048849732159</v>
      </c>
      <c r="M215" s="0" t="str">
        <f aca="false">IF(AND(T215&gt;=U215,T215&gt;=V215),"A. Distribution",IF(U215&gt;=V215,"B. Manufacturing","C. Prof. services"))</f>
        <v>A. Distribution</v>
      </c>
      <c r="N215" s="39" t="n">
        <v>0.11894154952375</v>
      </c>
      <c r="O215" s="39" t="n">
        <v>0.126309417902324</v>
      </c>
      <c r="P215" s="39" t="n">
        <v>0.130681074122532</v>
      </c>
      <c r="Q215" s="39" t="n">
        <v>0.468605402530635</v>
      </c>
      <c r="R215" s="39" t="n">
        <v>0.0806249540367682</v>
      </c>
      <c r="S215" s="39" t="n">
        <v>0.0748376018839917</v>
      </c>
      <c r="T215" s="38" t="n">
        <f aca="false">N215*Scorecard!$C$18+O215*Scorecard!$C$19+P215*Scorecard!$C$20+Q215*Scorecard!$C$21+R215*Scorecard!$C$22+S215*Scorecard!$C$23</f>
        <v>3.91659227398242</v>
      </c>
      <c r="U215" s="38" t="n">
        <f aca="false">N215*Scorecard!$D$18+O215*Scorecard!$D$19+P215*Scorecard!$D$20+Q215*Scorecard!$D$21+R215*Scorecard!$D$22+S215*Scorecard!$D$23</f>
        <v>2.51461756069884</v>
      </c>
      <c r="V215" s="38" t="n">
        <f aca="false">N215*Scorecard!$E$18+O215*Scorecard!$E$19+P215*Scorecard!$E$20+Q215*Scorecard!$E$21+R215*Scorecard!$E$22+S215*Scorecard!$E$23</f>
        <v>3.53930836278792</v>
      </c>
    </row>
    <row r="216" customFormat="false" ht="15" hidden="false" customHeight="false" outlineLevel="0" collapsed="false">
      <c r="A216" s="0" t="n">
        <v>211</v>
      </c>
      <c r="B216" s="38" t="n">
        <f aca="false">E216*Scorecard!$C$18+F216*Scorecard!$C$19+G216*Scorecard!$C$20+H216*Scorecard!$C$21+I216*Scorecard!$C$22+J216*Scorecard!$C$23</f>
        <v>3.77230159166158</v>
      </c>
      <c r="C216" s="38" t="n">
        <f aca="false">E216*Scorecard!$D$18+F216*Scorecard!$D$19+G216*Scorecard!$D$20+H216*Scorecard!$D$21+I216*Scorecard!$D$22+J216*Scorecard!$D$23</f>
        <v>3.00317590163813</v>
      </c>
      <c r="D216" s="0" t="str">
        <f aca="false">IF(AND(B216&gt;=C216,B216&gt;=K216),"A. Distribution",IF(C216&gt;=K216,"B. Manufacturing","C. Prof. services"))</f>
        <v>A. Distribution</v>
      </c>
      <c r="E216" s="39" t="n">
        <v>0.295487420921507</v>
      </c>
      <c r="F216" s="39" t="n">
        <v>0.0167192629116924</v>
      </c>
      <c r="G216" s="39" t="n">
        <v>0.216245893847415</v>
      </c>
      <c r="H216" s="39" t="n">
        <v>0.0318015951595229</v>
      </c>
      <c r="I216" s="39" t="n">
        <v>0.331112177378494</v>
      </c>
      <c r="J216" s="39" t="n">
        <v>0.108633649781368</v>
      </c>
      <c r="K216" s="38" t="n">
        <f aca="false">E216*Scorecard!$E$18+F216*Scorecard!$E$19+G216*Scorecard!$E$20+H216*Scorecard!$E$21+I216*Scorecard!$E$22+J216*Scorecard!$E$23</f>
        <v>3.32432040692119</v>
      </c>
      <c r="M216" s="0" t="str">
        <f aca="false">IF(AND(T216&gt;=U216,T216&gt;=V216),"A. Distribution",IF(U216&gt;=V216,"B. Manufacturing","C. Prof. services"))</f>
        <v>A. Distribution</v>
      </c>
      <c r="N216" s="39" t="n">
        <v>0.181747340183615</v>
      </c>
      <c r="O216" s="39" t="n">
        <v>0.242877005544409</v>
      </c>
      <c r="P216" s="39" t="n">
        <v>0.252931081969475</v>
      </c>
      <c r="Q216" s="39" t="n">
        <v>0.0945935876184439</v>
      </c>
      <c r="R216" s="39" t="n">
        <v>0.145664830247483</v>
      </c>
      <c r="S216" s="39" t="n">
        <v>0.082186154436573</v>
      </c>
      <c r="T216" s="38" t="n">
        <f aca="false">N216*Scorecard!$C$18+O216*Scorecard!$C$19+P216*Scorecard!$C$20+Q216*Scorecard!$C$21+R216*Scorecard!$C$22+S216*Scorecard!$C$23</f>
        <v>4.05372027486212</v>
      </c>
      <c r="U216" s="38" t="n">
        <f aca="false">N216*Scorecard!$D$18+O216*Scorecard!$D$19+P216*Scorecard!$D$20+Q216*Scorecard!$D$21+R216*Scorecard!$D$22+S216*Scorecard!$D$23</f>
        <v>2.67718434009612</v>
      </c>
      <c r="V216" s="38" t="n">
        <f aca="false">N216*Scorecard!$E$18+O216*Scorecard!$E$19+P216*Scorecard!$E$20+Q216*Scorecard!$E$21+R216*Scorecard!$E$22+S216*Scorecard!$E$23</f>
        <v>3.38616100025702</v>
      </c>
    </row>
    <row r="217" customFormat="false" ht="15" hidden="false" customHeight="false" outlineLevel="0" collapsed="false">
      <c r="A217" s="0" t="n">
        <v>212</v>
      </c>
      <c r="B217" s="38" t="n">
        <f aca="false">E217*Scorecard!$C$18+F217*Scorecard!$C$19+G217*Scorecard!$C$20+H217*Scorecard!$C$21+I217*Scorecard!$C$22+J217*Scorecard!$C$23</f>
        <v>3.94094673460454</v>
      </c>
      <c r="C217" s="38" t="n">
        <f aca="false">E217*Scorecard!$D$18+F217*Scorecard!$D$19+G217*Scorecard!$D$20+H217*Scorecard!$D$21+I217*Scorecard!$D$22+J217*Scorecard!$D$23</f>
        <v>3.1487927866559</v>
      </c>
      <c r="D217" s="0" t="str">
        <f aca="false">IF(AND(B217&gt;=C217,B217&gt;=K217),"A. Distribution",IF(C217&gt;=K217,"B. Manufacturing","C. Prof. services"))</f>
        <v>A. Distribution</v>
      </c>
      <c r="E217" s="39" t="n">
        <v>0.0805401289299407</v>
      </c>
      <c r="F217" s="39" t="n">
        <v>0.000222217306052936</v>
      </c>
      <c r="G217" s="39" t="n">
        <v>0.0149017572752534</v>
      </c>
      <c r="H217" s="39" t="n">
        <v>0.182144858940658</v>
      </c>
      <c r="I217" s="39" t="n">
        <v>0.705599557392418</v>
      </c>
      <c r="J217" s="39" t="n">
        <v>0.0165914801556774</v>
      </c>
      <c r="K217" s="38" t="n">
        <f aca="false">E217*Scorecard!$E$18+F217*Scorecard!$E$19+G217*Scorecard!$E$20+H217*Scorecard!$E$21+I217*Scorecard!$E$22+J217*Scorecard!$E$23</f>
        <v>2.73216207303549</v>
      </c>
      <c r="M217" s="0" t="str">
        <f aca="false">IF(AND(T217&gt;=U217,T217&gt;=V217),"A. Distribution",IF(U217&gt;=V217,"B. Manufacturing","C. Prof. services"))</f>
        <v>A. Distribution</v>
      </c>
      <c r="N217" s="39" t="n">
        <v>0.161546607240259</v>
      </c>
      <c r="O217" s="39" t="n">
        <v>0.170286141709972</v>
      </c>
      <c r="P217" s="39" t="n">
        <v>0.188592249838282</v>
      </c>
      <c r="Q217" s="39" t="n">
        <v>0.0884417996235867</v>
      </c>
      <c r="R217" s="39" t="n">
        <v>0.198167281026765</v>
      </c>
      <c r="S217" s="39" t="n">
        <v>0.192965920561135</v>
      </c>
      <c r="T217" s="38" t="n">
        <f aca="false">N217*Scorecard!$C$18+O217*Scorecard!$C$19+P217*Scorecard!$C$20+Q217*Scorecard!$C$21+R217*Scorecard!$C$22+S217*Scorecard!$C$23</f>
        <v>3.76185458918189</v>
      </c>
      <c r="U217" s="38" t="n">
        <f aca="false">N217*Scorecard!$D$18+O217*Scorecard!$D$19+P217*Scorecard!$D$20+Q217*Scorecard!$D$21+R217*Scorecard!$D$22+S217*Scorecard!$D$23</f>
        <v>2.61066521382074</v>
      </c>
      <c r="V217" s="38" t="n">
        <f aca="false">N217*Scorecard!$E$18+O217*Scorecard!$E$19+P217*Scorecard!$E$20+Q217*Scorecard!$E$21+R217*Scorecard!$E$22+S217*Scorecard!$E$23</f>
        <v>3.45293394605104</v>
      </c>
    </row>
    <row r="218" customFormat="false" ht="15" hidden="false" customHeight="false" outlineLevel="0" collapsed="false">
      <c r="A218" s="0" t="n">
        <v>213</v>
      </c>
      <c r="B218" s="38" t="n">
        <f aca="false">E218*Scorecard!$C$18+F218*Scorecard!$C$19+G218*Scorecard!$C$20+H218*Scorecard!$C$21+I218*Scorecard!$C$22+J218*Scorecard!$C$23</f>
        <v>4.31456267056672</v>
      </c>
      <c r="C218" s="38" t="n">
        <f aca="false">E218*Scorecard!$D$18+F218*Scorecard!$D$19+G218*Scorecard!$D$20+H218*Scorecard!$D$21+I218*Scorecard!$D$22+J218*Scorecard!$D$23</f>
        <v>2.77253729903817</v>
      </c>
      <c r="D218" s="0" t="str">
        <f aca="false">IF(AND(B218&gt;=C218,B218&gt;=K218),"A. Distribution",IF(C218&gt;=K218,"B. Manufacturing","C. Prof. services"))</f>
        <v>A. Distribution</v>
      </c>
      <c r="E218" s="39" t="n">
        <v>0.24372312122869</v>
      </c>
      <c r="F218" s="39" t="n">
        <v>0.407733848953733</v>
      </c>
      <c r="G218" s="39" t="n">
        <v>0.0781702432232578</v>
      </c>
      <c r="H218" s="39" t="n">
        <v>0.243711560368633</v>
      </c>
      <c r="I218" s="39" t="n">
        <v>0.00298954016660209</v>
      </c>
      <c r="J218" s="39" t="n">
        <v>0.0236716860590847</v>
      </c>
      <c r="K218" s="38" t="n">
        <f aca="false">E218*Scorecard!$E$18+F218*Scorecard!$E$19+G218*Scorecard!$E$20+H218*Scorecard!$E$21+I218*Scorecard!$E$22+J218*Scorecard!$E$23</f>
        <v>3.31786705085451</v>
      </c>
      <c r="M218" s="0" t="str">
        <f aca="false">IF(AND(T218&gt;=U218,T218&gt;=V218),"A. Distribution",IF(U218&gt;=V218,"B. Manufacturing","C. Prof. services"))</f>
        <v>A. Distribution</v>
      </c>
      <c r="N218" s="39" t="n">
        <v>0.147539787779253</v>
      </c>
      <c r="O218" s="39" t="n">
        <v>0.381673252714748</v>
      </c>
      <c r="P218" s="39" t="n">
        <v>0.137643679996161</v>
      </c>
      <c r="Q218" s="39" t="n">
        <v>0.131867105442871</v>
      </c>
      <c r="R218" s="39" t="n">
        <v>0.11786066677127</v>
      </c>
      <c r="S218" s="39" t="n">
        <v>0.0834155072956968</v>
      </c>
      <c r="T218" s="38" t="n">
        <f aca="false">N218*Scorecard!$C$18+O218*Scorecard!$C$19+P218*Scorecard!$C$20+Q218*Scorecard!$C$21+R218*Scorecard!$C$22+S218*Scorecard!$C$23</f>
        <v>4.18878798685178</v>
      </c>
      <c r="U218" s="38" t="n">
        <f aca="false">N218*Scorecard!$D$18+O218*Scorecard!$D$19+P218*Scorecard!$D$20+Q218*Scorecard!$D$21+R218*Scorecard!$D$22+S218*Scorecard!$D$23</f>
        <v>2.65471623967225</v>
      </c>
      <c r="V218" s="38" t="n">
        <f aca="false">N218*Scorecard!$E$18+O218*Scorecard!$E$19+P218*Scorecard!$E$20+Q218*Scorecard!$E$21+R218*Scorecard!$E$22+S218*Scorecard!$E$23</f>
        <v>3.27210984493486</v>
      </c>
    </row>
    <row r="219" customFormat="false" ht="15" hidden="false" customHeight="false" outlineLevel="0" collapsed="false">
      <c r="A219" s="0" t="n">
        <v>214</v>
      </c>
      <c r="B219" s="38" t="n">
        <f aca="false">E219*Scorecard!$C$18+F219*Scorecard!$C$19+G219*Scorecard!$C$20+H219*Scorecard!$C$21+I219*Scorecard!$C$22+J219*Scorecard!$C$23</f>
        <v>3.78153346075724</v>
      </c>
      <c r="C219" s="38" t="n">
        <f aca="false">E219*Scorecard!$D$18+F219*Scorecard!$D$19+G219*Scorecard!$D$20+H219*Scorecard!$D$21+I219*Scorecard!$D$22+J219*Scorecard!$D$23</f>
        <v>2.33010178973613</v>
      </c>
      <c r="D219" s="0" t="str">
        <f aca="false">IF(AND(B219&gt;=C219,B219&gt;=K219),"A. Distribution",IF(C219&gt;=K219,"B. Manufacturing","C. Prof. services"))</f>
        <v>A. Distribution</v>
      </c>
      <c r="E219" s="39" t="n">
        <v>0.0570081913711498</v>
      </c>
      <c r="F219" s="39" t="n">
        <v>0.110551737247614</v>
      </c>
      <c r="G219" s="39" t="n">
        <v>0.247006557547796</v>
      </c>
      <c r="H219" s="39" t="n">
        <v>0.347013394862593</v>
      </c>
      <c r="I219" s="39" t="n">
        <v>0.09489493101529</v>
      </c>
      <c r="J219" s="39" t="n">
        <v>0.143525187955558</v>
      </c>
      <c r="K219" s="38" t="n">
        <f aca="false">E219*Scorecard!$E$18+F219*Scorecard!$E$19+G219*Scorecard!$E$20+H219*Scorecard!$E$21+I219*Scorecard!$E$22+J219*Scorecard!$E$23</f>
        <v>3.63944188504744</v>
      </c>
      <c r="M219" s="0" t="str">
        <f aca="false">IF(AND(T219&gt;=U219,T219&gt;=V219),"A. Distribution",IF(U219&gt;=V219,"B. Manufacturing","C. Prof. services"))</f>
        <v>A. Distribution</v>
      </c>
      <c r="N219" s="39" t="n">
        <v>0.314799046579116</v>
      </c>
      <c r="O219" s="39" t="n">
        <v>0.193386256194507</v>
      </c>
      <c r="P219" s="39" t="n">
        <v>0.126722718067883</v>
      </c>
      <c r="Q219" s="39" t="n">
        <v>0.114740150035046</v>
      </c>
      <c r="R219" s="39" t="n">
        <v>0.140440944874134</v>
      </c>
      <c r="S219" s="39" t="n">
        <v>0.109910884249314</v>
      </c>
      <c r="T219" s="38" t="n">
        <f aca="false">N219*Scorecard!$C$18+O219*Scorecard!$C$19+P219*Scorecard!$C$20+Q219*Scorecard!$C$21+R219*Scorecard!$C$22+S219*Scorecard!$C$23</f>
        <v>3.93592696996883</v>
      </c>
      <c r="U219" s="38" t="n">
        <f aca="false">N219*Scorecard!$D$18+O219*Scorecard!$D$19+P219*Scorecard!$D$20+Q219*Scorecard!$D$21+R219*Scorecard!$D$22+S219*Scorecard!$D$23</f>
        <v>2.90523131103246</v>
      </c>
      <c r="V219" s="38" t="n">
        <f aca="false">N219*Scorecard!$E$18+O219*Scorecard!$E$19+P219*Scorecard!$E$20+Q219*Scorecard!$E$21+R219*Scorecard!$E$22+S219*Scorecard!$E$23</f>
        <v>3.39477684423068</v>
      </c>
    </row>
    <row r="220" customFormat="false" ht="15" hidden="false" customHeight="false" outlineLevel="0" collapsed="false">
      <c r="A220" s="0" t="n">
        <v>215</v>
      </c>
      <c r="B220" s="38" t="n">
        <f aca="false">E220*Scorecard!$C$18+F220*Scorecard!$C$19+G220*Scorecard!$C$20+H220*Scorecard!$C$21+I220*Scorecard!$C$22+J220*Scorecard!$C$23</f>
        <v>3.93917665038959</v>
      </c>
      <c r="C220" s="38" t="n">
        <f aca="false">E220*Scorecard!$D$18+F220*Scorecard!$D$19+G220*Scorecard!$D$20+H220*Scorecard!$D$21+I220*Scorecard!$D$22+J220*Scorecard!$D$23</f>
        <v>3.229171091664</v>
      </c>
      <c r="D220" s="0" t="str">
        <f aca="false">IF(AND(B220&gt;=C220,B220&gt;=K220),"A. Distribution",IF(C220&gt;=K220,"B. Manufacturing","C. Prof. services"))</f>
        <v>A. Distribution</v>
      </c>
      <c r="E220" s="39" t="n">
        <v>0.307345297037379</v>
      </c>
      <c r="F220" s="39" t="n">
        <v>0.0606795434142773</v>
      </c>
      <c r="G220" s="39" t="n">
        <v>0.0407639790765915</v>
      </c>
      <c r="H220" s="39" t="n">
        <v>0.131963478468151</v>
      </c>
      <c r="I220" s="39" t="n">
        <v>0.417943707483032</v>
      </c>
      <c r="J220" s="39" t="n">
        <v>0.041303994520569</v>
      </c>
      <c r="K220" s="38" t="n">
        <f aca="false">E220*Scorecard!$E$18+F220*Scorecard!$E$19+G220*Scorecard!$E$20+H220*Scorecard!$E$21+I220*Scorecard!$E$22+J220*Scorecard!$E$23</f>
        <v>3.05469308724848</v>
      </c>
      <c r="M220" s="0" t="str">
        <f aca="false">IF(AND(T220&gt;=U220,T220&gt;=V220),"A. Distribution",IF(U220&gt;=V220,"B. Manufacturing","C. Prof. services"))</f>
        <v>A. Distribution</v>
      </c>
      <c r="N220" s="39" t="n">
        <v>0.149046842266356</v>
      </c>
      <c r="O220" s="39" t="n">
        <v>0.155904227019615</v>
      </c>
      <c r="P220" s="39" t="n">
        <v>0.227284453821812</v>
      </c>
      <c r="Q220" s="39" t="n">
        <v>0.172334152456089</v>
      </c>
      <c r="R220" s="39" t="n">
        <v>0.228604287287776</v>
      </c>
      <c r="S220" s="39" t="n">
        <v>0.0668260371483515</v>
      </c>
      <c r="T220" s="38" t="n">
        <f aca="false">N220*Scorecard!$C$18+O220*Scorecard!$C$19+P220*Scorecard!$C$20+Q220*Scorecard!$C$21+R220*Scorecard!$C$22+S220*Scorecard!$C$23</f>
        <v>3.99171655684969</v>
      </c>
      <c r="U220" s="38" t="n">
        <f aca="false">N220*Scorecard!$D$18+O220*Scorecard!$D$19+P220*Scorecard!$D$20+Q220*Scorecard!$D$21+R220*Scorecard!$D$22+S220*Scorecard!$D$23</f>
        <v>2.70592524233288</v>
      </c>
      <c r="V220" s="38" t="n">
        <f aca="false">N220*Scorecard!$E$18+O220*Scorecard!$E$19+P220*Scorecard!$E$20+Q220*Scorecard!$E$21+R220*Scorecard!$E$22+S220*Scorecard!$E$23</f>
        <v>3.33513776966771</v>
      </c>
    </row>
    <row r="221" customFormat="false" ht="15" hidden="false" customHeight="false" outlineLevel="0" collapsed="false">
      <c r="A221" s="0" t="n">
        <v>216</v>
      </c>
      <c r="B221" s="38" t="n">
        <f aca="false">E221*Scorecard!$C$18+F221*Scorecard!$C$19+G221*Scorecard!$C$20+H221*Scorecard!$C$21+I221*Scorecard!$C$22+J221*Scorecard!$C$23</f>
        <v>4.09551533395147</v>
      </c>
      <c r="C221" s="38" t="n">
        <f aca="false">E221*Scorecard!$D$18+F221*Scorecard!$D$19+G221*Scorecard!$D$20+H221*Scorecard!$D$21+I221*Scorecard!$D$22+J221*Scorecard!$D$23</f>
        <v>2.69243761873837</v>
      </c>
      <c r="D221" s="0" t="str">
        <f aca="false">IF(AND(B221&gt;=C221,B221&gt;=K221),"A. Distribution",IF(C221&gt;=K221,"B. Manufacturing","C. Prof. services"))</f>
        <v>A. Distribution</v>
      </c>
      <c r="E221" s="39" t="n">
        <v>0.176954939203206</v>
      </c>
      <c r="F221" s="39" t="n">
        <v>0.394733764578778</v>
      </c>
      <c r="G221" s="39" t="n">
        <v>0.0717032290786846</v>
      </c>
      <c r="H221" s="39" t="n">
        <v>0.0943985635884395</v>
      </c>
      <c r="I221" s="39" t="n">
        <v>0.124789608962915</v>
      </c>
      <c r="J221" s="39" t="n">
        <v>0.137419894587978</v>
      </c>
      <c r="K221" s="38" t="n">
        <f aca="false">E221*Scorecard!$E$18+F221*Scorecard!$E$19+G221*Scorecard!$E$20+H221*Scorecard!$E$21+I221*Scorecard!$E$22+J221*Scorecard!$E$23</f>
        <v>3.26949827687093</v>
      </c>
      <c r="M221" s="0" t="str">
        <f aca="false">IF(AND(T221&gt;=U221,T221&gt;=V221),"A. Distribution",IF(U221&gt;=V221,"B. Manufacturing","C. Prof. services"))</f>
        <v>A. Distribution</v>
      </c>
      <c r="N221" s="39" t="n">
        <v>0.263946180544489</v>
      </c>
      <c r="O221" s="39" t="n">
        <v>0.203855445369946</v>
      </c>
      <c r="P221" s="39" t="n">
        <v>0.17677425024531</v>
      </c>
      <c r="Q221" s="39" t="n">
        <v>0.150815725654698</v>
      </c>
      <c r="R221" s="39" t="n">
        <v>0.160807411483561</v>
      </c>
      <c r="S221" s="39" t="n">
        <v>0.0438009867019965</v>
      </c>
      <c r="T221" s="38" t="n">
        <f aca="false">N221*Scorecard!$C$18+O221*Scorecard!$C$19+P221*Scorecard!$C$20+Q221*Scorecard!$C$21+R221*Scorecard!$C$22+S221*Scorecard!$C$23</f>
        <v>4.07881160224978</v>
      </c>
      <c r="U221" s="38" t="n">
        <f aca="false">N221*Scorecard!$D$18+O221*Scorecard!$D$19+P221*Scorecard!$D$20+Q221*Scorecard!$D$21+R221*Scorecard!$D$22+S221*Scorecard!$D$23</f>
        <v>2.87863949936384</v>
      </c>
      <c r="V221" s="38" t="n">
        <f aca="false">N221*Scorecard!$E$18+O221*Scorecard!$E$19+P221*Scorecard!$E$20+Q221*Scorecard!$E$21+R221*Scorecard!$E$22+S221*Scorecard!$E$23</f>
        <v>3.32888903252023</v>
      </c>
    </row>
    <row r="222" customFormat="false" ht="15" hidden="false" customHeight="false" outlineLevel="0" collapsed="false">
      <c r="A222" s="0" t="n">
        <v>217</v>
      </c>
      <c r="B222" s="38" t="n">
        <f aca="false">E222*Scorecard!$C$18+F222*Scorecard!$C$19+G222*Scorecard!$C$20+H222*Scorecard!$C$21+I222*Scorecard!$C$22+J222*Scorecard!$C$23</f>
        <v>4.04288285628108</v>
      </c>
      <c r="C222" s="38" t="n">
        <f aca="false">E222*Scorecard!$D$18+F222*Scorecard!$D$19+G222*Scorecard!$D$20+H222*Scorecard!$D$21+I222*Scorecard!$D$22+J222*Scorecard!$D$23</f>
        <v>2.72692080394796</v>
      </c>
      <c r="D222" s="0" t="str">
        <f aca="false">IF(AND(B222&gt;=C222,B222&gt;=K222),"A. Distribution",IF(C222&gt;=K222,"B. Manufacturing","C. Prof. services"))</f>
        <v>A. Distribution</v>
      </c>
      <c r="E222" s="39" t="n">
        <v>0.206153155990757</v>
      </c>
      <c r="F222" s="39" t="n">
        <v>0.184973117172711</v>
      </c>
      <c r="G222" s="39" t="n">
        <v>0.0841001757298818</v>
      </c>
      <c r="H222" s="39" t="n">
        <v>0.395647606887717</v>
      </c>
      <c r="I222" s="39" t="n">
        <v>0.0876721303783539</v>
      </c>
      <c r="J222" s="39" t="n">
        <v>0.0414538138405805</v>
      </c>
      <c r="K222" s="38" t="n">
        <f aca="false">E222*Scorecard!$E$18+F222*Scorecard!$E$19+G222*Scorecard!$E$20+H222*Scorecard!$E$21+I222*Scorecard!$E$22+J222*Scorecard!$E$23</f>
        <v>3.4210002211793</v>
      </c>
      <c r="M222" s="0" t="str">
        <f aca="false">IF(AND(T222&gt;=U222,T222&gt;=V222),"A. Distribution",IF(U222&gt;=V222,"B. Manufacturing","C. Prof. services"))</f>
        <v>A. Distribution</v>
      </c>
      <c r="N222" s="39" t="n">
        <v>0.120150152557909</v>
      </c>
      <c r="O222" s="39" t="n">
        <v>0.260074429292246</v>
      </c>
      <c r="P222" s="39" t="n">
        <v>0.171817222354865</v>
      </c>
      <c r="Q222" s="39" t="n">
        <v>0.16214589380263</v>
      </c>
      <c r="R222" s="39" t="n">
        <v>0.196420385239985</v>
      </c>
      <c r="S222" s="39" t="n">
        <v>0.0893919167523643</v>
      </c>
      <c r="T222" s="38" t="n">
        <f aca="false">N222*Scorecard!$C$18+O222*Scorecard!$C$19+P222*Scorecard!$C$20+Q222*Scorecard!$C$21+R222*Scorecard!$C$22+S222*Scorecard!$C$23</f>
        <v>4.05417281269651</v>
      </c>
      <c r="U222" s="38" t="n">
        <f aca="false">N222*Scorecard!$D$18+O222*Scorecard!$D$19+P222*Scorecard!$D$20+Q222*Scorecard!$D$21+R222*Scorecard!$D$22+S222*Scorecard!$D$23</f>
        <v>2.64547769509134</v>
      </c>
      <c r="V222" s="38" t="n">
        <f aca="false">N222*Scorecard!$E$18+O222*Scorecard!$E$19+P222*Scorecard!$E$20+Q222*Scorecard!$E$21+R222*Scorecard!$E$22+S222*Scorecard!$E$23</f>
        <v>3.29331535530089</v>
      </c>
    </row>
    <row r="223" customFormat="false" ht="15" hidden="false" customHeight="false" outlineLevel="0" collapsed="false">
      <c r="A223" s="0" t="n">
        <v>218</v>
      </c>
      <c r="B223" s="38" t="n">
        <f aca="false">E223*Scorecard!$C$18+F223*Scorecard!$C$19+G223*Scorecard!$C$20+H223*Scorecard!$C$21+I223*Scorecard!$C$22+J223*Scorecard!$C$23</f>
        <v>4.35807982692387</v>
      </c>
      <c r="C223" s="38" t="n">
        <f aca="false">E223*Scorecard!$D$18+F223*Scorecard!$D$19+G223*Scorecard!$D$20+H223*Scorecard!$D$21+I223*Scorecard!$D$22+J223*Scorecard!$D$23</f>
        <v>2.83712203135403</v>
      </c>
      <c r="D223" s="0" t="str">
        <f aca="false">IF(AND(B223&gt;=C223,B223&gt;=K223),"A. Distribution",IF(C223&gt;=K223,"B. Manufacturing","C. Prof. services"))</f>
        <v>A. Distribution</v>
      </c>
      <c r="E223" s="39" t="n">
        <v>0.219477268449158</v>
      </c>
      <c r="F223" s="39" t="n">
        <v>0.412153717078666</v>
      </c>
      <c r="G223" s="39" t="n">
        <v>0.0702421988388183</v>
      </c>
      <c r="H223" s="39" t="n">
        <v>0.201003852530696</v>
      </c>
      <c r="I223" s="39" t="n">
        <v>0.0897257202442087</v>
      </c>
      <c r="J223" s="39" t="n">
        <v>0.00739724285845386</v>
      </c>
      <c r="K223" s="38" t="n">
        <f aca="false">E223*Scorecard!$E$18+F223*Scorecard!$E$19+G223*Scorecard!$E$20+H223*Scorecard!$E$21+I223*Scorecard!$E$22+J223*Scorecard!$E$23</f>
        <v>3.18597463234247</v>
      </c>
      <c r="M223" s="0" t="str">
        <f aca="false">IF(AND(T223&gt;=U223,T223&gt;=V223),"A. Distribution",IF(U223&gt;=V223,"B. Manufacturing","C. Prof. services"))</f>
        <v>A. Distribution</v>
      </c>
      <c r="N223" s="39" t="n">
        <v>0.210782174384277</v>
      </c>
      <c r="O223" s="39" t="n">
        <v>0.173462054611777</v>
      </c>
      <c r="P223" s="39" t="n">
        <v>0.176724737005276</v>
      </c>
      <c r="Q223" s="39" t="n">
        <v>0.208531785071607</v>
      </c>
      <c r="R223" s="39" t="n">
        <v>0.113826853568772</v>
      </c>
      <c r="S223" s="39" t="n">
        <v>0.116672395358292</v>
      </c>
      <c r="T223" s="38" t="n">
        <f aca="false">N223*Scorecard!$C$18+O223*Scorecard!$C$19+P223*Scorecard!$C$20+Q223*Scorecard!$C$21+R223*Scorecard!$C$22+S223*Scorecard!$C$23</f>
        <v>3.900724821342</v>
      </c>
      <c r="U223" s="38" t="n">
        <f aca="false">N223*Scorecard!$D$18+O223*Scorecard!$D$19+P223*Scorecard!$D$20+Q223*Scorecard!$D$21+R223*Scorecard!$D$22+S223*Scorecard!$D$23</f>
        <v>2.67276216193096</v>
      </c>
      <c r="V223" s="38" t="n">
        <f aca="false">N223*Scorecard!$E$18+O223*Scorecard!$E$19+P223*Scorecard!$E$20+Q223*Scorecard!$E$21+R223*Scorecard!$E$22+S223*Scorecard!$E$23</f>
        <v>3.48766451713249</v>
      </c>
    </row>
    <row r="224" customFormat="false" ht="15" hidden="false" customHeight="false" outlineLevel="0" collapsed="false">
      <c r="A224" s="0" t="n">
        <v>219</v>
      </c>
      <c r="B224" s="38" t="n">
        <f aca="false">E224*Scorecard!$C$18+F224*Scorecard!$C$19+G224*Scorecard!$C$20+H224*Scorecard!$C$21+I224*Scorecard!$C$22+J224*Scorecard!$C$23</f>
        <v>3.9996095718258</v>
      </c>
      <c r="C224" s="38" t="n">
        <f aca="false">E224*Scorecard!$D$18+F224*Scorecard!$D$19+G224*Scorecard!$D$20+H224*Scorecard!$D$21+I224*Scorecard!$D$22+J224*Scorecard!$D$23</f>
        <v>2.49341869513994</v>
      </c>
      <c r="D224" s="0" t="str">
        <f aca="false">IF(AND(B224&gt;=C224,B224&gt;=K224),"A. Distribution",IF(C224&gt;=K224,"B. Manufacturing","C. Prof. services"))</f>
        <v>A. Distribution</v>
      </c>
      <c r="E224" s="39" t="n">
        <v>0.0594920954058083</v>
      </c>
      <c r="F224" s="39" t="n">
        <v>0.250450062409396</v>
      </c>
      <c r="G224" s="39" t="n">
        <v>0.300588123358885</v>
      </c>
      <c r="H224" s="39" t="n">
        <v>0.0566426425394878</v>
      </c>
      <c r="I224" s="39" t="n">
        <v>0.212846684125812</v>
      </c>
      <c r="J224" s="39" t="n">
        <v>0.119980392160612</v>
      </c>
      <c r="K224" s="38" t="n">
        <f aca="false">E224*Scorecard!$E$18+F224*Scorecard!$E$19+G224*Scorecard!$E$20+H224*Scorecard!$E$21+I224*Scorecard!$E$22+J224*Scorecard!$E$23</f>
        <v>3.35757361286012</v>
      </c>
      <c r="M224" s="0" t="str">
        <f aca="false">IF(AND(T224&gt;=U224,T224&gt;=V224),"A. Distribution",IF(U224&gt;=V224,"B. Manufacturing","C. Prof. services"))</f>
        <v>A. Distribution</v>
      </c>
      <c r="N224" s="39" t="n">
        <v>0.0896982093447403</v>
      </c>
      <c r="O224" s="39" t="n">
        <v>0.179520068020973</v>
      </c>
      <c r="P224" s="39" t="n">
        <v>0.287902766518386</v>
      </c>
      <c r="Q224" s="39" t="n">
        <v>0.320192892978305</v>
      </c>
      <c r="R224" s="39" t="n">
        <v>0.0601612474529513</v>
      </c>
      <c r="S224" s="39" t="n">
        <v>0.0625248156846442</v>
      </c>
      <c r="T224" s="38" t="n">
        <f aca="false">N224*Scorecard!$C$18+O224*Scorecard!$C$19+P224*Scorecard!$C$20+Q224*Scorecard!$C$21+R224*Scorecard!$C$22+S224*Scorecard!$C$23</f>
        <v>4.01276788487406</v>
      </c>
      <c r="U224" s="38" t="n">
        <f aca="false">N224*Scorecard!$D$18+O224*Scorecard!$D$19+P224*Scorecard!$D$20+Q224*Scorecard!$D$21+R224*Scorecard!$D$22+S224*Scorecard!$D$23</f>
        <v>2.41913607621986</v>
      </c>
      <c r="V224" s="38" t="n">
        <f aca="false">N224*Scorecard!$E$18+O224*Scorecard!$E$19+P224*Scorecard!$E$20+Q224*Scorecard!$E$21+R224*Scorecard!$E$22+S224*Scorecard!$E$23</f>
        <v>3.56681366929854</v>
      </c>
    </row>
    <row r="225" customFormat="false" ht="15" hidden="false" customHeight="false" outlineLevel="0" collapsed="false">
      <c r="A225" s="0" t="n">
        <v>220</v>
      </c>
      <c r="B225" s="38" t="n">
        <f aca="false">E225*Scorecard!$C$18+F225*Scorecard!$C$19+G225*Scorecard!$C$20+H225*Scorecard!$C$21+I225*Scorecard!$C$22+J225*Scorecard!$C$23</f>
        <v>3.48267290896186</v>
      </c>
      <c r="C225" s="38" t="n">
        <f aca="false">E225*Scorecard!$D$18+F225*Scorecard!$D$19+G225*Scorecard!$D$20+H225*Scorecard!$D$21+I225*Scorecard!$D$22+J225*Scorecard!$D$23</f>
        <v>2.9611798399097</v>
      </c>
      <c r="D225" s="0" t="str">
        <f aca="false">IF(AND(B225&gt;=C225,B225&gt;=K225),"A. Distribution",IF(C225&gt;=K225,"B. Manufacturing","C. Prof. services"))</f>
        <v>C. Prof. services</v>
      </c>
      <c r="E225" s="39" t="n">
        <v>0.416061364237412</v>
      </c>
      <c r="F225" s="39" t="n">
        <v>0.01745069958764</v>
      </c>
      <c r="G225" s="39" t="n">
        <v>0.0704901419860654</v>
      </c>
      <c r="H225" s="39" t="n">
        <v>0.0972389613474532</v>
      </c>
      <c r="I225" s="39" t="n">
        <v>0.153310827013982</v>
      </c>
      <c r="J225" s="39" t="n">
        <v>0.245448005827447</v>
      </c>
      <c r="K225" s="38" t="n">
        <f aca="false">E225*Scorecard!$E$18+F225*Scorecard!$E$19+G225*Scorecard!$E$20+H225*Scorecard!$E$21+I225*Scorecard!$E$22+J225*Scorecard!$E$23</f>
        <v>3.6065047716246</v>
      </c>
      <c r="M225" s="0" t="str">
        <f aca="false">IF(AND(T225&gt;=U225,T225&gt;=V225),"A. Distribution",IF(U225&gt;=V225,"B. Manufacturing","C. Prof. services"))</f>
        <v>A. Distribution</v>
      </c>
      <c r="N225" s="39" t="n">
        <v>0.115688196348227</v>
      </c>
      <c r="O225" s="39" t="n">
        <v>0.165568079899726</v>
      </c>
      <c r="P225" s="39" t="n">
        <v>0.244852901409308</v>
      </c>
      <c r="Q225" s="39" t="n">
        <v>0.219959148153371</v>
      </c>
      <c r="R225" s="39" t="n">
        <v>0.22323017235626</v>
      </c>
      <c r="S225" s="39" t="n">
        <v>0.030701501833108</v>
      </c>
      <c r="T225" s="38" t="n">
        <f aca="false">N225*Scorecard!$C$18+O225*Scorecard!$C$19+P225*Scorecard!$C$20+Q225*Scorecard!$C$21+R225*Scorecard!$C$22+S225*Scorecard!$C$23</f>
        <v>4.07117611712139</v>
      </c>
      <c r="U225" s="38" t="n">
        <f aca="false">N225*Scorecard!$D$18+O225*Scorecard!$D$19+P225*Scorecard!$D$20+Q225*Scorecard!$D$21+R225*Scorecard!$D$22+S225*Scorecard!$D$23</f>
        <v>2.66836626373985</v>
      </c>
      <c r="V225" s="38" t="n">
        <f aca="false">N225*Scorecard!$E$18+O225*Scorecard!$E$19+P225*Scorecard!$E$20+Q225*Scorecard!$E$21+R225*Scorecard!$E$22+S225*Scorecard!$E$23</f>
        <v>3.31558253387127</v>
      </c>
    </row>
    <row r="226" customFormat="false" ht="15" hidden="false" customHeight="false" outlineLevel="0" collapsed="false">
      <c r="A226" s="0" t="n">
        <v>221</v>
      </c>
      <c r="B226" s="38" t="n">
        <f aca="false">E226*Scorecard!$C$18+F226*Scorecard!$C$19+G226*Scorecard!$C$20+H226*Scorecard!$C$21+I226*Scorecard!$C$22+J226*Scorecard!$C$23</f>
        <v>3.7387579205113</v>
      </c>
      <c r="C226" s="38" t="n">
        <f aca="false">E226*Scorecard!$D$18+F226*Scorecard!$D$19+G226*Scorecard!$D$20+H226*Scorecard!$D$21+I226*Scorecard!$D$22+J226*Scorecard!$D$23</f>
        <v>2.45557963211079</v>
      </c>
      <c r="D226" s="0" t="str">
        <f aca="false">IF(AND(B226&gt;=C226,B226&gt;=K226),"A. Distribution",IF(C226&gt;=K226,"B. Manufacturing","C. Prof. services"))</f>
        <v>A. Distribution</v>
      </c>
      <c r="E226" s="39" t="n">
        <v>0.105937263857787</v>
      </c>
      <c r="F226" s="39" t="n">
        <v>0.103677975462585</v>
      </c>
      <c r="G226" s="39" t="n">
        <v>0.0259570192866348</v>
      </c>
      <c r="H226" s="39" t="n">
        <v>0.537220657095226</v>
      </c>
      <c r="I226" s="39" t="n">
        <v>0.077942657811432</v>
      </c>
      <c r="J226" s="39" t="n">
        <v>0.149264426486334</v>
      </c>
      <c r="K226" s="38" t="n">
        <f aca="false">E226*Scorecard!$E$18+F226*Scorecard!$E$19+G226*Scorecard!$E$20+H226*Scorecard!$E$21+I226*Scorecard!$E$22+J226*Scorecard!$E$23</f>
        <v>3.59210614602951</v>
      </c>
      <c r="M226" s="0" t="str">
        <f aca="false">IF(AND(T226&gt;=U226,T226&gt;=V226),"A. Distribution",IF(U226&gt;=V226,"B. Manufacturing","C. Prof. services"))</f>
        <v>A. Distribution</v>
      </c>
      <c r="N226" s="39" t="n">
        <v>0.222723656542712</v>
      </c>
      <c r="O226" s="39" t="n">
        <v>0.1703423557769</v>
      </c>
      <c r="P226" s="39" t="n">
        <v>0.202333662159533</v>
      </c>
      <c r="Q226" s="39" t="n">
        <v>0.127863479109487</v>
      </c>
      <c r="R226" s="39" t="n">
        <v>0.077504908845631</v>
      </c>
      <c r="S226" s="39" t="n">
        <v>0.199231937565737</v>
      </c>
      <c r="T226" s="38" t="n">
        <f aca="false">N226*Scorecard!$C$18+O226*Scorecard!$C$19+P226*Scorecard!$C$20+Q226*Scorecard!$C$21+R226*Scorecard!$C$22+S226*Scorecard!$C$23</f>
        <v>3.74021935234251</v>
      </c>
      <c r="U226" s="38" t="n">
        <f aca="false">N226*Scorecard!$D$18+O226*Scorecard!$D$19+P226*Scorecard!$D$20+Q226*Scorecard!$D$21+R226*Scorecard!$D$22+S226*Scorecard!$D$23</f>
        <v>2.58198592731025</v>
      </c>
      <c r="V226" s="38" t="n">
        <f aca="false">N226*Scorecard!$E$18+O226*Scorecard!$E$19+P226*Scorecard!$E$20+Q226*Scorecard!$E$21+R226*Scorecard!$E$22+S226*Scorecard!$E$23</f>
        <v>3.61362532846627</v>
      </c>
    </row>
    <row r="227" customFormat="false" ht="15" hidden="false" customHeight="false" outlineLevel="0" collapsed="false">
      <c r="A227" s="0" t="n">
        <v>222</v>
      </c>
      <c r="B227" s="38" t="n">
        <f aca="false">E227*Scorecard!$C$18+F227*Scorecard!$C$19+G227*Scorecard!$C$20+H227*Scorecard!$C$21+I227*Scorecard!$C$22+J227*Scorecard!$C$23</f>
        <v>3.75935601529168</v>
      </c>
      <c r="C227" s="38" t="n">
        <f aca="false">E227*Scorecard!$D$18+F227*Scorecard!$D$19+G227*Scorecard!$D$20+H227*Scorecard!$D$21+I227*Scorecard!$D$22+J227*Scorecard!$D$23</f>
        <v>3.06000593754764</v>
      </c>
      <c r="D227" s="0" t="str">
        <f aca="false">IF(AND(B227&gt;=C227,B227&gt;=K227),"A. Distribution",IF(C227&gt;=K227,"B. Manufacturing","C. Prof. services"))</f>
        <v>A. Distribution</v>
      </c>
      <c r="E227" s="39" t="n">
        <v>0.342492369768523</v>
      </c>
      <c r="F227" s="39" t="n">
        <v>0.0236276745829198</v>
      </c>
      <c r="G227" s="39" t="n">
        <v>0.144481254508001</v>
      </c>
      <c r="H227" s="39" t="n">
        <v>0.0859246106176884</v>
      </c>
      <c r="I227" s="39" t="n">
        <v>0.289716277860447</v>
      </c>
      <c r="J227" s="39" t="n">
        <v>0.113757812662421</v>
      </c>
      <c r="K227" s="38" t="n">
        <f aca="false">E227*Scorecard!$E$18+F227*Scorecard!$E$19+G227*Scorecard!$E$20+H227*Scorecard!$E$21+I227*Scorecard!$E$22+J227*Scorecard!$E$23</f>
        <v>3.34641379031498</v>
      </c>
      <c r="M227" s="0" t="str">
        <f aca="false">IF(AND(T227&gt;=U227,T227&gt;=V227),"A. Distribution",IF(U227&gt;=V227,"B. Manufacturing","C. Prof. services"))</f>
        <v>A. Distribution</v>
      </c>
      <c r="N227" s="39" t="n">
        <v>0.138219705682326</v>
      </c>
      <c r="O227" s="39" t="n">
        <v>0.148480430034158</v>
      </c>
      <c r="P227" s="39" t="n">
        <v>0.328739030286141</v>
      </c>
      <c r="Q227" s="39" t="n">
        <v>0.0607944011463673</v>
      </c>
      <c r="R227" s="39" t="n">
        <v>0.16959861172809</v>
      </c>
      <c r="S227" s="39" t="n">
        <v>0.154167821122919</v>
      </c>
      <c r="T227" s="38" t="n">
        <f aca="false">N227*Scorecard!$C$18+O227*Scorecard!$C$19+P227*Scorecard!$C$20+Q227*Scorecard!$C$21+R227*Scorecard!$C$22+S227*Scorecard!$C$23</f>
        <v>3.82249694141533</v>
      </c>
      <c r="U227" s="38" t="n">
        <f aca="false">N227*Scorecard!$D$18+O227*Scorecard!$D$19+P227*Scorecard!$D$20+Q227*Scorecard!$D$21+R227*Scorecard!$D$22+S227*Scorecard!$D$23</f>
        <v>2.52514203719674</v>
      </c>
      <c r="V227" s="38" t="n">
        <f aca="false">N227*Scorecard!$E$18+O227*Scorecard!$E$19+P227*Scorecard!$E$20+Q227*Scorecard!$E$21+R227*Scorecard!$E$22+S227*Scorecard!$E$23</f>
        <v>3.5279234851837</v>
      </c>
    </row>
    <row r="228" customFormat="false" ht="15" hidden="false" customHeight="false" outlineLevel="0" collapsed="false">
      <c r="A228" s="0" t="n">
        <v>223</v>
      </c>
      <c r="B228" s="38" t="n">
        <f aca="false">E228*Scorecard!$C$18+F228*Scorecard!$C$19+G228*Scorecard!$C$20+H228*Scorecard!$C$21+I228*Scorecard!$C$22+J228*Scorecard!$C$23</f>
        <v>3.83175781612142</v>
      </c>
      <c r="C228" s="38" t="n">
        <f aca="false">E228*Scorecard!$D$18+F228*Scorecard!$D$19+G228*Scorecard!$D$20+H228*Scorecard!$D$21+I228*Scorecard!$D$22+J228*Scorecard!$D$23</f>
        <v>2.44106078814944</v>
      </c>
      <c r="D228" s="0" t="str">
        <f aca="false">IF(AND(B228&gt;=C228,B228&gt;=K228),"A. Distribution",IF(C228&gt;=K228,"B. Manufacturing","C. Prof. services"))</f>
        <v>A. Distribution</v>
      </c>
      <c r="E228" s="39" t="n">
        <v>0.0938059647075592</v>
      </c>
      <c r="F228" s="39" t="n">
        <v>0.00289400143965251</v>
      </c>
      <c r="G228" s="39" t="n">
        <v>0.586035573067585</v>
      </c>
      <c r="H228" s="39" t="n">
        <v>0.0247417211448037</v>
      </c>
      <c r="I228" s="39" t="n">
        <v>0.21205330351048</v>
      </c>
      <c r="J228" s="39" t="n">
        <v>0.0804694361299201</v>
      </c>
      <c r="K228" s="38" t="n">
        <f aca="false">E228*Scorecard!$E$18+F228*Scorecard!$E$19+G228*Scorecard!$E$20+H228*Scorecard!$E$21+I228*Scorecard!$E$22+J228*Scorecard!$E$23</f>
        <v>3.62835053461118</v>
      </c>
      <c r="M228" s="0" t="str">
        <f aca="false">IF(AND(T228&gt;=U228,T228&gt;=V228),"A. Distribution",IF(U228&gt;=V228,"B. Manufacturing","C. Prof. services"))</f>
        <v>A. Distribution</v>
      </c>
      <c r="N228" s="39" t="n">
        <v>0.267995319075113</v>
      </c>
      <c r="O228" s="39" t="n">
        <v>0.184243232385986</v>
      </c>
      <c r="P228" s="39" t="n">
        <v>0.211237997781368</v>
      </c>
      <c r="Q228" s="39" t="n">
        <v>0.183623065249987</v>
      </c>
      <c r="R228" s="39" t="n">
        <v>0.110533287758971</v>
      </c>
      <c r="S228" s="39" t="n">
        <v>0.0423670977485756</v>
      </c>
      <c r="T228" s="38" t="n">
        <f aca="false">N228*Scorecard!$C$18+O228*Scorecard!$C$19+P228*Scorecard!$C$20+Q228*Scorecard!$C$21+R228*Scorecard!$C$22+S228*Scorecard!$C$23</f>
        <v>4.05820706481841</v>
      </c>
      <c r="U228" s="38" t="n">
        <f aca="false">N228*Scorecard!$D$18+O228*Scorecard!$D$19+P228*Scorecard!$D$20+Q228*Scorecard!$D$21+R228*Scorecard!$D$22+S228*Scorecard!$D$23</f>
        <v>2.81971641647364</v>
      </c>
      <c r="V228" s="38" t="n">
        <f aca="false">N228*Scorecard!$E$18+O228*Scorecard!$E$19+P228*Scorecard!$E$20+Q228*Scorecard!$E$21+R228*Scorecard!$E$22+S228*Scorecard!$E$23</f>
        <v>3.42265370722189</v>
      </c>
    </row>
    <row r="229" customFormat="false" ht="15" hidden="false" customHeight="false" outlineLevel="0" collapsed="false">
      <c r="A229" s="0" t="n">
        <v>224</v>
      </c>
      <c r="B229" s="38" t="n">
        <f aca="false">E229*Scorecard!$C$18+F229*Scorecard!$C$19+G229*Scorecard!$C$20+H229*Scorecard!$C$21+I229*Scorecard!$C$22+J229*Scorecard!$C$23</f>
        <v>3.92855770288229</v>
      </c>
      <c r="C229" s="38" t="n">
        <f aca="false">E229*Scorecard!$D$18+F229*Scorecard!$D$19+G229*Scorecard!$D$20+H229*Scorecard!$D$21+I229*Scorecard!$D$22+J229*Scorecard!$D$23</f>
        <v>2.77591319063671</v>
      </c>
      <c r="D229" s="0" t="str">
        <f aca="false">IF(AND(B229&gt;=C229,B229&gt;=K229),"A. Distribution",IF(C229&gt;=K229,"B. Manufacturing","C. Prof. services"))</f>
        <v>A. Distribution</v>
      </c>
      <c r="E229" s="39" t="n">
        <v>0.306943590513314</v>
      </c>
      <c r="F229" s="39" t="n">
        <v>0.0155119044923311</v>
      </c>
      <c r="G229" s="39" t="n">
        <v>0.252439355456694</v>
      </c>
      <c r="H229" s="39" t="n">
        <v>0.385274765322695</v>
      </c>
      <c r="I229" s="39" t="n">
        <v>0.0294318294429699</v>
      </c>
      <c r="J229" s="39" t="n">
        <v>0.0103985547719962</v>
      </c>
      <c r="K229" s="38" t="n">
        <f aca="false">E229*Scorecard!$E$18+F229*Scorecard!$E$19+G229*Scorecard!$E$20+H229*Scorecard!$E$21+I229*Scorecard!$E$22+J229*Scorecard!$E$23</f>
        <v>3.6581161843408</v>
      </c>
      <c r="M229" s="0" t="str">
        <f aca="false">IF(AND(T229&gt;=U229,T229&gt;=V229),"A. Distribution",IF(U229&gt;=V229,"B. Manufacturing","C. Prof. services"))</f>
        <v>A. Distribution</v>
      </c>
      <c r="N229" s="39" t="n">
        <v>0.341727273210142</v>
      </c>
      <c r="O229" s="39" t="n">
        <v>0.242156933162803</v>
      </c>
      <c r="P229" s="39" t="n">
        <v>0.194226323103712</v>
      </c>
      <c r="Q229" s="39" t="n">
        <v>0.0694963000577089</v>
      </c>
      <c r="R229" s="39" t="n">
        <v>0.0392138116473868</v>
      </c>
      <c r="S229" s="39" t="n">
        <v>0.113179358818247</v>
      </c>
      <c r="T229" s="38" t="n">
        <f aca="false">N229*Scorecard!$C$18+O229*Scorecard!$C$19+P229*Scorecard!$C$20+Q229*Scorecard!$C$21+R229*Scorecard!$C$22+S229*Scorecard!$C$23</f>
        <v>3.98087376879576</v>
      </c>
      <c r="U229" s="38" t="n">
        <f aca="false">N229*Scorecard!$D$18+O229*Scorecard!$D$19+P229*Scorecard!$D$20+Q229*Scorecard!$D$21+R229*Scorecard!$D$22+S229*Scorecard!$D$23</f>
        <v>2.83573172697788</v>
      </c>
      <c r="V229" s="38" t="n">
        <f aca="false">N229*Scorecard!$E$18+O229*Scorecard!$E$19+P229*Scorecard!$E$20+Q229*Scorecard!$E$21+R229*Scorecard!$E$22+S229*Scorecard!$E$23</f>
        <v>3.50815905188264</v>
      </c>
    </row>
    <row r="230" customFormat="false" ht="15" hidden="false" customHeight="false" outlineLevel="0" collapsed="false">
      <c r="A230" s="0" t="n">
        <v>225</v>
      </c>
      <c r="B230" s="38" t="n">
        <f aca="false">E230*Scorecard!$C$18+F230*Scorecard!$C$19+G230*Scorecard!$C$20+H230*Scorecard!$C$21+I230*Scorecard!$C$22+J230*Scorecard!$C$23</f>
        <v>3.71033095073973</v>
      </c>
      <c r="C230" s="38" t="n">
        <f aca="false">E230*Scorecard!$D$18+F230*Scorecard!$D$19+G230*Scorecard!$D$20+H230*Scorecard!$D$21+I230*Scorecard!$D$22+J230*Scorecard!$D$23</f>
        <v>2.82245651495493</v>
      </c>
      <c r="D230" s="0" t="str">
        <f aca="false">IF(AND(B230&gt;=C230,B230&gt;=K230),"A. Distribution",IF(C230&gt;=K230,"B. Manufacturing","C. Prof. services"))</f>
        <v>A. Distribution</v>
      </c>
      <c r="E230" s="39" t="n">
        <v>0.172478631410915</v>
      </c>
      <c r="F230" s="39" t="n">
        <v>0.0496290866994764</v>
      </c>
      <c r="G230" s="39" t="n">
        <v>0.0636176072593924</v>
      </c>
      <c r="H230" s="39" t="n">
        <v>0.219512040756154</v>
      </c>
      <c r="I230" s="39" t="n">
        <v>0.343863717759572</v>
      </c>
      <c r="J230" s="39" t="n">
        <v>0.15089891611449</v>
      </c>
      <c r="K230" s="38" t="n">
        <f aca="false">E230*Scorecard!$E$18+F230*Scorecard!$E$19+G230*Scorecard!$E$20+H230*Scorecard!$E$21+I230*Scorecard!$E$22+J230*Scorecard!$E$23</f>
        <v>3.28496789818073</v>
      </c>
      <c r="M230" s="0" t="str">
        <f aca="false">IF(AND(T230&gt;=U230,T230&gt;=V230),"A. Distribution",IF(U230&gt;=V230,"B. Manufacturing","C. Prof. services"))</f>
        <v>A. Distribution</v>
      </c>
      <c r="N230" s="39" t="n">
        <v>0.0792334175583135</v>
      </c>
      <c r="O230" s="39" t="n">
        <v>0.237523702988499</v>
      </c>
      <c r="P230" s="39" t="n">
        <v>0.174582089047641</v>
      </c>
      <c r="Q230" s="39" t="n">
        <v>0.136857401961204</v>
      </c>
      <c r="R230" s="39" t="n">
        <v>0.30085274405925</v>
      </c>
      <c r="S230" s="39" t="n">
        <v>0.0709506443850932</v>
      </c>
      <c r="T230" s="38" t="n">
        <f aca="false">N230*Scorecard!$C$18+O230*Scorecard!$C$19+P230*Scorecard!$C$20+Q230*Scorecard!$C$21+R230*Scorecard!$C$22+S230*Scorecard!$C$23</f>
        <v>4.0745145535303</v>
      </c>
      <c r="U230" s="38" t="n">
        <f aca="false">N230*Scorecard!$D$18+O230*Scorecard!$D$19+P230*Scorecard!$D$20+Q230*Scorecard!$D$21+R230*Scorecard!$D$22+S230*Scorecard!$D$23</f>
        <v>2.69181109264201</v>
      </c>
      <c r="V230" s="38" t="n">
        <f aca="false">N230*Scorecard!$E$18+O230*Scorecard!$E$19+P230*Scorecard!$E$20+Q230*Scorecard!$E$21+R230*Scorecard!$E$22+S230*Scorecard!$E$23</f>
        <v>3.16572447376598</v>
      </c>
    </row>
    <row r="231" customFormat="false" ht="15" hidden="false" customHeight="false" outlineLevel="0" collapsed="false">
      <c r="A231" s="0" t="n">
        <v>226</v>
      </c>
      <c r="B231" s="38" t="n">
        <f aca="false">E231*Scorecard!$C$18+F231*Scorecard!$C$19+G231*Scorecard!$C$20+H231*Scorecard!$C$21+I231*Scorecard!$C$22+J231*Scorecard!$C$23</f>
        <v>3.86851057069346</v>
      </c>
      <c r="C231" s="38" t="n">
        <f aca="false">E231*Scorecard!$D$18+F231*Scorecard!$D$19+G231*Scorecard!$D$20+H231*Scorecard!$D$21+I231*Scorecard!$D$22+J231*Scorecard!$D$23</f>
        <v>2.71101855370878</v>
      </c>
      <c r="D231" s="0" t="str">
        <f aca="false">IF(AND(B231&gt;=C231,B231&gt;=K231),"A. Distribution",IF(C231&gt;=K231,"B. Manufacturing","C. Prof. services"))</f>
        <v>A. Distribution</v>
      </c>
      <c r="E231" s="39" t="n">
        <v>0.340002163720595</v>
      </c>
      <c r="F231" s="39" t="n">
        <v>0.0252830698144058</v>
      </c>
      <c r="G231" s="39" t="n">
        <v>0.51828891256637</v>
      </c>
      <c r="H231" s="39" t="n">
        <v>0.0285062792507331</v>
      </c>
      <c r="I231" s="39" t="n">
        <v>0.024717947319176</v>
      </c>
      <c r="J231" s="39" t="n">
        <v>0.0632016273287195</v>
      </c>
      <c r="K231" s="38" t="n">
        <f aca="false">E231*Scorecard!$E$18+F231*Scorecard!$E$19+G231*Scorecard!$E$20+H231*Scorecard!$E$21+I231*Scorecard!$E$22+J231*Scorecard!$E$23</f>
        <v>3.78085477619352</v>
      </c>
      <c r="M231" s="0" t="str">
        <f aca="false">IF(AND(T231&gt;=U231,T231&gt;=V231),"A. Distribution",IF(U231&gt;=V231,"B. Manufacturing","C. Prof. services"))</f>
        <v>A. Distribution</v>
      </c>
      <c r="N231" s="39" t="n">
        <v>0.195982617792709</v>
      </c>
      <c r="O231" s="39" t="n">
        <v>0.142070500053677</v>
      </c>
      <c r="P231" s="39" t="n">
        <v>0.215238702859302</v>
      </c>
      <c r="Q231" s="39" t="n">
        <v>0.150696155860062</v>
      </c>
      <c r="R231" s="39" t="n">
        <v>0.141265263649087</v>
      </c>
      <c r="S231" s="39" t="n">
        <v>0.154746759785164</v>
      </c>
      <c r="T231" s="38" t="n">
        <f aca="false">N231*Scorecard!$C$18+O231*Scorecard!$C$19+P231*Scorecard!$C$20+Q231*Scorecard!$C$21+R231*Scorecard!$C$22+S231*Scorecard!$C$23</f>
        <v>3.80060456953938</v>
      </c>
      <c r="U231" s="38" t="n">
        <f aca="false">N231*Scorecard!$D$18+O231*Scorecard!$D$19+P231*Scorecard!$D$20+Q231*Scorecard!$D$21+R231*Scorecard!$D$22+S231*Scorecard!$D$23</f>
        <v>2.62682867190369</v>
      </c>
      <c r="V231" s="38" t="n">
        <f aca="false">N231*Scorecard!$E$18+O231*Scorecard!$E$19+P231*Scorecard!$E$20+Q231*Scorecard!$E$21+R231*Scorecard!$E$22+S231*Scorecard!$E$23</f>
        <v>3.52481254634351</v>
      </c>
    </row>
    <row r="232" customFormat="false" ht="15" hidden="false" customHeight="false" outlineLevel="0" collapsed="false">
      <c r="A232" s="0" t="n">
        <v>227</v>
      </c>
      <c r="B232" s="38" t="n">
        <f aca="false">E232*Scorecard!$C$18+F232*Scorecard!$C$19+G232*Scorecard!$C$20+H232*Scorecard!$C$21+I232*Scorecard!$C$22+J232*Scorecard!$C$23</f>
        <v>3.41711567625902</v>
      </c>
      <c r="C232" s="38" t="n">
        <f aca="false">E232*Scorecard!$D$18+F232*Scorecard!$D$19+G232*Scorecard!$D$20+H232*Scorecard!$D$21+I232*Scorecard!$D$22+J232*Scorecard!$D$23</f>
        <v>2.3925834190273</v>
      </c>
      <c r="D232" s="0" t="str">
        <f aca="false">IF(AND(B232&gt;=C232,B232&gt;=K232),"A. Distribution",IF(C232&gt;=K232,"B. Manufacturing","C. Prof. services"))</f>
        <v>C. Prof. services</v>
      </c>
      <c r="E232" s="39" t="n">
        <v>0.089188377283567</v>
      </c>
      <c r="F232" s="39" t="n">
        <v>0.0217140862751339</v>
      </c>
      <c r="G232" s="39" t="n">
        <v>0.306670178168895</v>
      </c>
      <c r="H232" s="39" t="n">
        <v>0.0300209899955535</v>
      </c>
      <c r="I232" s="39" t="n">
        <v>0.255304876362268</v>
      </c>
      <c r="J232" s="39" t="n">
        <v>0.297101491914582</v>
      </c>
      <c r="K232" s="38" t="n">
        <f aca="false">E232*Scorecard!$E$18+F232*Scorecard!$E$19+G232*Scorecard!$E$20+H232*Scorecard!$E$21+I232*Scorecard!$E$22+J232*Scorecard!$E$23</f>
        <v>3.64266336921505</v>
      </c>
      <c r="M232" s="0" t="str">
        <f aca="false">IF(AND(T232&gt;=U232,T232&gt;=V232),"A. Distribution",IF(U232&gt;=V232,"B. Manufacturing","C. Prof. services"))</f>
        <v>A. Distribution</v>
      </c>
      <c r="N232" s="39" t="n">
        <v>0.151858225135351</v>
      </c>
      <c r="O232" s="39" t="n">
        <v>0.134026396096263</v>
      </c>
      <c r="P232" s="39" t="n">
        <v>0.181438158740544</v>
      </c>
      <c r="Q232" s="39" t="n">
        <v>0.241556831716489</v>
      </c>
      <c r="R232" s="39" t="n">
        <v>0.278207301894906</v>
      </c>
      <c r="S232" s="39" t="n">
        <v>0.0129130864164478</v>
      </c>
      <c r="T232" s="38" t="n">
        <f aca="false">N232*Scorecard!$C$18+O232*Scorecard!$C$19+P232*Scorecard!$C$20+Q232*Scorecard!$C$21+R232*Scorecard!$C$22+S232*Scorecard!$C$23</f>
        <v>4.06998012622474</v>
      </c>
      <c r="U232" s="38" t="n">
        <f aca="false">N232*Scorecard!$D$18+O232*Scorecard!$D$19+P232*Scorecard!$D$20+Q232*Scorecard!$D$21+R232*Scorecard!$D$22+S232*Scorecard!$D$23</f>
        <v>2.81334630180483</v>
      </c>
      <c r="V232" s="38" t="n">
        <f aca="false">N232*Scorecard!$E$18+O232*Scorecard!$E$19+P232*Scorecard!$E$20+Q232*Scorecard!$E$21+R232*Scorecard!$E$22+S232*Scorecard!$E$23</f>
        <v>3.22761434866442</v>
      </c>
    </row>
    <row r="233" customFormat="false" ht="15" hidden="false" customHeight="false" outlineLevel="0" collapsed="false">
      <c r="A233" s="0" t="n">
        <v>228</v>
      </c>
      <c r="B233" s="38" t="n">
        <f aca="false">E233*Scorecard!$C$18+F233*Scorecard!$C$19+G233*Scorecard!$C$20+H233*Scorecard!$C$21+I233*Scorecard!$C$22+J233*Scorecard!$C$23</f>
        <v>3.97959830690351</v>
      </c>
      <c r="C233" s="38" t="n">
        <f aca="false">E233*Scorecard!$D$18+F233*Scorecard!$D$19+G233*Scorecard!$D$20+H233*Scorecard!$D$21+I233*Scorecard!$D$22+J233*Scorecard!$D$23</f>
        <v>2.53035598612627</v>
      </c>
      <c r="D233" s="0" t="str">
        <f aca="false">IF(AND(B233&gt;=C233,B233&gt;=K233),"A. Distribution",IF(C233&gt;=K233,"B. Manufacturing","C. Prof. services"))</f>
        <v>A. Distribution</v>
      </c>
      <c r="E233" s="39" t="n">
        <v>0.0726067977037377</v>
      </c>
      <c r="F233" s="39" t="n">
        <v>0.286890796529407</v>
      </c>
      <c r="G233" s="39" t="n">
        <v>0.2125483009908</v>
      </c>
      <c r="H233" s="39" t="n">
        <v>0.0666555495404354</v>
      </c>
      <c r="I233" s="39" t="n">
        <v>0.214158080411969</v>
      </c>
      <c r="J233" s="39" t="n">
        <v>0.147140474823651</v>
      </c>
      <c r="K233" s="38" t="n">
        <f aca="false">E233*Scorecard!$E$18+F233*Scorecard!$E$19+G233*Scorecard!$E$20+H233*Scorecard!$E$21+I233*Scorecard!$E$22+J233*Scorecard!$E$23</f>
        <v>3.31557370732473</v>
      </c>
      <c r="M233" s="0" t="str">
        <f aca="false">IF(AND(T233&gt;=U233,T233&gt;=V233),"A. Distribution",IF(U233&gt;=V233,"B. Manufacturing","C. Prof. services"))</f>
        <v>A. Distribution</v>
      </c>
      <c r="N233" s="39" t="n">
        <v>0.164546277791577</v>
      </c>
      <c r="O233" s="39" t="n">
        <v>0.261317006082656</v>
      </c>
      <c r="P233" s="39" t="n">
        <v>0.118996339318074</v>
      </c>
      <c r="Q233" s="39" t="n">
        <v>0.197816464547388</v>
      </c>
      <c r="R233" s="39" t="n">
        <v>0.120212020024373</v>
      </c>
      <c r="S233" s="39" t="n">
        <v>0.137111892235933</v>
      </c>
      <c r="T233" s="38" t="n">
        <f aca="false">N233*Scorecard!$C$18+O233*Scorecard!$C$19+P233*Scorecard!$C$20+Q233*Scorecard!$C$21+R233*Scorecard!$C$22+S233*Scorecard!$C$23</f>
        <v>3.95256749201282</v>
      </c>
      <c r="U233" s="38" t="n">
        <f aca="false">N233*Scorecard!$D$18+O233*Scorecard!$D$19+P233*Scorecard!$D$20+Q233*Scorecard!$D$21+R233*Scorecard!$D$22+S233*Scorecard!$D$23</f>
        <v>2.62092085892308</v>
      </c>
      <c r="V233" s="38" t="n">
        <f aca="false">N233*Scorecard!$E$18+O233*Scorecard!$E$19+P233*Scorecard!$E$20+Q233*Scorecard!$E$21+R233*Scorecard!$E$22+S233*Scorecard!$E$23</f>
        <v>3.40884138308875</v>
      </c>
    </row>
    <row r="234" customFormat="false" ht="15" hidden="false" customHeight="false" outlineLevel="0" collapsed="false">
      <c r="A234" s="0" t="n">
        <v>229</v>
      </c>
      <c r="B234" s="38" t="n">
        <f aca="false">E234*Scorecard!$C$18+F234*Scorecard!$C$19+G234*Scorecard!$C$20+H234*Scorecard!$C$21+I234*Scorecard!$C$22+J234*Scorecard!$C$23</f>
        <v>4.15840967014959</v>
      </c>
      <c r="C234" s="38" t="n">
        <f aca="false">E234*Scorecard!$D$18+F234*Scorecard!$D$19+G234*Scorecard!$D$20+H234*Scorecard!$D$21+I234*Scorecard!$D$22+J234*Scorecard!$D$23</f>
        <v>2.39938340345326</v>
      </c>
      <c r="D234" s="0" t="str">
        <f aca="false">IF(AND(B234&gt;=C234,B234&gt;=K234),"A. Distribution",IF(C234&gt;=K234,"B. Manufacturing","C. Prof. services"))</f>
        <v>A. Distribution</v>
      </c>
      <c r="E234" s="39" t="n">
        <v>0.0388985086212532</v>
      </c>
      <c r="F234" s="39" t="n">
        <v>0.436258986722953</v>
      </c>
      <c r="G234" s="39" t="n">
        <v>0.113946259218286</v>
      </c>
      <c r="H234" s="39" t="n">
        <v>0.219132723297651</v>
      </c>
      <c r="I234" s="39" t="n">
        <v>0.0662062214582268</v>
      </c>
      <c r="J234" s="39" t="n">
        <v>0.12555730068163</v>
      </c>
      <c r="K234" s="38" t="n">
        <f aca="false">E234*Scorecard!$E$18+F234*Scorecard!$E$19+G234*Scorecard!$E$20+H234*Scorecard!$E$21+I234*Scorecard!$E$22+J234*Scorecard!$E$23</f>
        <v>3.33979859988936</v>
      </c>
      <c r="M234" s="0" t="str">
        <f aca="false">IF(AND(T234&gt;=U234,T234&gt;=V234),"A. Distribution",IF(U234&gt;=V234,"B. Manufacturing","C. Prof. services"))</f>
        <v>A. Distribution</v>
      </c>
      <c r="N234" s="39" t="n">
        <v>0.247558471820138</v>
      </c>
      <c r="O234" s="39" t="n">
        <v>0.135693062826207</v>
      </c>
      <c r="P234" s="39" t="n">
        <v>0.218198272966269</v>
      </c>
      <c r="Q234" s="39" t="n">
        <v>0.0971363900457868</v>
      </c>
      <c r="R234" s="39" t="n">
        <v>0.238532092277321</v>
      </c>
      <c r="S234" s="39" t="n">
        <v>0.0628817100642786</v>
      </c>
      <c r="T234" s="38" t="n">
        <f aca="false">N234*Scorecard!$C$18+O234*Scorecard!$C$19+P234*Scorecard!$C$20+Q234*Scorecard!$C$21+R234*Scorecard!$C$22+S234*Scorecard!$C$23</f>
        <v>3.97958746912403</v>
      </c>
      <c r="U234" s="38" t="n">
        <f aca="false">N234*Scorecard!$D$18+O234*Scorecard!$D$19+P234*Scorecard!$D$20+Q234*Scorecard!$D$21+R234*Scorecard!$D$22+S234*Scorecard!$D$23</f>
        <v>2.88776902582868</v>
      </c>
      <c r="V234" s="38" t="n">
        <f aca="false">N234*Scorecard!$E$18+O234*Scorecard!$E$19+P234*Scorecard!$E$20+Q234*Scorecard!$E$21+R234*Scorecard!$E$22+S234*Scorecard!$E$23</f>
        <v>3.31611927876818</v>
      </c>
    </row>
    <row r="235" customFormat="false" ht="15" hidden="false" customHeight="false" outlineLevel="0" collapsed="false">
      <c r="A235" s="0" t="n">
        <v>230</v>
      </c>
      <c r="B235" s="38" t="n">
        <f aca="false">E235*Scorecard!$C$18+F235*Scorecard!$C$19+G235*Scorecard!$C$20+H235*Scorecard!$C$21+I235*Scorecard!$C$22+J235*Scorecard!$C$23</f>
        <v>3.85710264732474</v>
      </c>
      <c r="C235" s="38" t="n">
        <f aca="false">E235*Scorecard!$D$18+F235*Scorecard!$D$19+G235*Scorecard!$D$20+H235*Scorecard!$D$21+I235*Scorecard!$D$22+J235*Scorecard!$D$23</f>
        <v>2.72659991984732</v>
      </c>
      <c r="D235" s="0" t="str">
        <f aca="false">IF(AND(B235&gt;=C235,B235&gt;=K235),"A. Distribution",IF(C235&gt;=K235,"B. Manufacturing","C. Prof. services"))</f>
        <v>A. Distribution</v>
      </c>
      <c r="E235" s="39" t="n">
        <v>0.0318430070334674</v>
      </c>
      <c r="F235" s="39" t="n">
        <v>0.0411155232530863</v>
      </c>
      <c r="G235" s="39" t="n">
        <v>0.160808111461475</v>
      </c>
      <c r="H235" s="39" t="n">
        <v>0.228068756304707</v>
      </c>
      <c r="I235" s="39" t="n">
        <v>0.45972372126512</v>
      </c>
      <c r="J235" s="39" t="n">
        <v>0.0784408806821446</v>
      </c>
      <c r="K235" s="38" t="n">
        <f aca="false">E235*Scorecard!$E$18+F235*Scorecard!$E$19+G235*Scorecard!$E$20+H235*Scorecard!$E$21+I235*Scorecard!$E$22+J235*Scorecard!$E$23</f>
        <v>3.13333139765608</v>
      </c>
      <c r="M235" s="0" t="str">
        <f aca="false">IF(AND(T235&gt;=U235,T235&gt;=V235),"A. Distribution",IF(U235&gt;=V235,"B. Manufacturing","C. Prof. services"))</f>
        <v>A. Distribution</v>
      </c>
      <c r="N235" s="39" t="n">
        <v>0.217971094827487</v>
      </c>
      <c r="O235" s="39" t="n">
        <v>0.360991059145127</v>
      </c>
      <c r="P235" s="39" t="n">
        <v>0.221832826031378</v>
      </c>
      <c r="Q235" s="39" t="n">
        <v>0.104653025058821</v>
      </c>
      <c r="R235" s="39" t="n">
        <v>0.0661646597778244</v>
      </c>
      <c r="S235" s="39" t="n">
        <v>0.0283873351593612</v>
      </c>
      <c r="T235" s="38" t="n">
        <f aca="false">N235*Scorecard!$C$18+O235*Scorecard!$C$19+P235*Scorecard!$C$20+Q235*Scorecard!$C$21+R235*Scorecard!$C$22+S235*Scorecard!$C$23</f>
        <v>4.27543976840555</v>
      </c>
      <c r="U235" s="38" t="n">
        <f aca="false">N235*Scorecard!$D$18+O235*Scorecard!$D$19+P235*Scorecard!$D$20+Q235*Scorecard!$D$21+R235*Scorecard!$D$22+S235*Scorecard!$D$23</f>
        <v>2.73689793278482</v>
      </c>
      <c r="V235" s="38" t="n">
        <f aca="false">N235*Scorecard!$E$18+O235*Scorecard!$E$19+P235*Scorecard!$E$20+Q235*Scorecard!$E$21+R235*Scorecard!$E$22+S235*Scorecard!$E$23</f>
        <v>3.32916677544443</v>
      </c>
    </row>
    <row r="236" customFormat="false" ht="15" hidden="false" customHeight="false" outlineLevel="0" collapsed="false">
      <c r="A236" s="0" t="n">
        <v>231</v>
      </c>
      <c r="B236" s="38" t="n">
        <f aca="false">E236*Scorecard!$C$18+F236*Scorecard!$C$19+G236*Scorecard!$C$20+H236*Scorecard!$C$21+I236*Scorecard!$C$22+J236*Scorecard!$C$23</f>
        <v>3.78744212422667</v>
      </c>
      <c r="C236" s="38" t="n">
        <f aca="false">E236*Scorecard!$D$18+F236*Scorecard!$D$19+G236*Scorecard!$D$20+H236*Scorecard!$D$21+I236*Scorecard!$D$22+J236*Scorecard!$D$23</f>
        <v>2.3187681563219</v>
      </c>
      <c r="D236" s="0" t="str">
        <f aca="false">IF(AND(B236&gt;=C236,B236&gt;=K236),"A. Distribution",IF(C236&gt;=K236,"B. Manufacturing","C. Prof. services"))</f>
        <v>A. Distribution</v>
      </c>
      <c r="E236" s="39" t="n">
        <v>0.00657857543108888</v>
      </c>
      <c r="F236" s="39" t="n">
        <v>0.040710202878723</v>
      </c>
      <c r="G236" s="39" t="n">
        <v>0.0424218967631405</v>
      </c>
      <c r="H236" s="39" t="n">
        <v>0.740907254269921</v>
      </c>
      <c r="I236" s="39" t="n">
        <v>0.0829287133307628</v>
      </c>
      <c r="J236" s="39" t="n">
        <v>0.0864533573263641</v>
      </c>
      <c r="K236" s="38" t="n">
        <f aca="false">E236*Scorecard!$E$18+F236*Scorecard!$E$19+G236*Scorecard!$E$20+H236*Scorecard!$E$21+I236*Scorecard!$E$22+J236*Scorecard!$E$23</f>
        <v>3.6107215505133</v>
      </c>
      <c r="M236" s="0" t="str">
        <f aca="false">IF(AND(T236&gt;=U236,T236&gt;=V236),"A. Distribution",IF(U236&gt;=V236,"B. Manufacturing","C. Prof. services"))</f>
        <v>A. Distribution</v>
      </c>
      <c r="N236" s="39" t="n">
        <v>0.228032692168676</v>
      </c>
      <c r="O236" s="39" t="n">
        <v>0.184115369456074</v>
      </c>
      <c r="P236" s="39" t="n">
        <v>0.114251618796621</v>
      </c>
      <c r="Q236" s="39" t="n">
        <v>0.195400836740132</v>
      </c>
      <c r="R236" s="39" t="n">
        <v>0.194151605585883</v>
      </c>
      <c r="S236" s="39" t="n">
        <v>0.0840478772526149</v>
      </c>
      <c r="T236" s="38" t="n">
        <f aca="false">N236*Scorecard!$C$18+O236*Scorecard!$C$19+P236*Scorecard!$C$20+Q236*Scorecard!$C$21+R236*Scorecard!$C$22+S236*Scorecard!$C$23</f>
        <v>3.97665705140003</v>
      </c>
      <c r="U236" s="38" t="n">
        <f aca="false">N236*Scorecard!$D$18+O236*Scorecard!$D$19+P236*Scorecard!$D$20+Q236*Scorecard!$D$21+R236*Scorecard!$D$22+S236*Scorecard!$D$23</f>
        <v>2.83288139613534</v>
      </c>
      <c r="V236" s="38" t="n">
        <f aca="false">N236*Scorecard!$E$18+O236*Scorecard!$E$19+P236*Scorecard!$E$20+Q236*Scorecard!$E$21+R236*Scorecard!$E$22+S236*Scorecard!$E$23</f>
        <v>3.32040938558424</v>
      </c>
    </row>
    <row r="237" customFormat="false" ht="15" hidden="false" customHeight="false" outlineLevel="0" collapsed="false">
      <c r="A237" s="0" t="n">
        <v>232</v>
      </c>
      <c r="B237" s="38" t="n">
        <f aca="false">E237*Scorecard!$C$18+F237*Scorecard!$C$19+G237*Scorecard!$C$20+H237*Scorecard!$C$21+I237*Scorecard!$C$22+J237*Scorecard!$C$23</f>
        <v>4.01852660415958</v>
      </c>
      <c r="C237" s="38" t="n">
        <f aca="false">E237*Scorecard!$D$18+F237*Scorecard!$D$19+G237*Scorecard!$D$20+H237*Scorecard!$D$21+I237*Scorecard!$D$22+J237*Scorecard!$D$23</f>
        <v>3.37433615555106</v>
      </c>
      <c r="D237" s="0" t="str">
        <f aca="false">IF(AND(B237&gt;=C237,B237&gt;=K237),"A. Distribution",IF(C237&gt;=K237,"B. Manufacturing","C. Prof. services"))</f>
        <v>A. Distribution</v>
      </c>
      <c r="E237" s="39" t="n">
        <v>0.629075406898457</v>
      </c>
      <c r="F237" s="39" t="n">
        <v>0.183665091706134</v>
      </c>
      <c r="G237" s="39" t="n">
        <v>0.100125289167408</v>
      </c>
      <c r="H237" s="39" t="n">
        <v>0.00732031398977542</v>
      </c>
      <c r="I237" s="39" t="n">
        <v>0.0228922553635398</v>
      </c>
      <c r="J237" s="39" t="n">
        <v>0.0569216428746858</v>
      </c>
      <c r="K237" s="38" t="n">
        <f aca="false">E237*Scorecard!$E$18+F237*Scorecard!$E$19+G237*Scorecard!$E$20+H237*Scorecard!$E$21+I237*Scorecard!$E$22+J237*Scorecard!$E$23</f>
        <v>3.45381772995368</v>
      </c>
      <c r="M237" s="0" t="str">
        <f aca="false">IF(AND(T237&gt;=U237,T237&gt;=V237),"A. Distribution",IF(U237&gt;=V237,"B. Manufacturing","C. Prof. services"))</f>
        <v>A. Distribution</v>
      </c>
      <c r="N237" s="39" t="n">
        <v>0.337504002280011</v>
      </c>
      <c r="O237" s="39" t="n">
        <v>0.0887035041792403</v>
      </c>
      <c r="P237" s="39" t="n">
        <v>0.163130297387278</v>
      </c>
      <c r="Q237" s="39" t="n">
        <v>0.183685139958471</v>
      </c>
      <c r="R237" s="39" t="n">
        <v>0.0822637141042846</v>
      </c>
      <c r="S237" s="39" t="n">
        <v>0.144713342090716</v>
      </c>
      <c r="T237" s="38" t="n">
        <f aca="false">N237*Scorecard!$C$18+O237*Scorecard!$C$19+P237*Scorecard!$C$20+Q237*Scorecard!$C$21+R237*Scorecard!$C$22+S237*Scorecard!$C$23</f>
        <v>3.75238753155116</v>
      </c>
      <c r="U237" s="38" t="n">
        <f aca="false">N237*Scorecard!$D$18+O237*Scorecard!$D$19+P237*Scorecard!$D$20+Q237*Scorecard!$D$21+R237*Scorecard!$D$22+S237*Scorecard!$D$23</f>
        <v>2.82088966001607</v>
      </c>
      <c r="V237" s="38" t="n">
        <f aca="false">N237*Scorecard!$E$18+O237*Scorecard!$E$19+P237*Scorecard!$E$20+Q237*Scorecard!$E$21+R237*Scorecard!$E$22+S237*Scorecard!$E$23</f>
        <v>3.60037900000555</v>
      </c>
    </row>
    <row r="238" customFormat="false" ht="15" hidden="false" customHeight="false" outlineLevel="0" collapsed="false">
      <c r="A238" s="0" t="n">
        <v>233</v>
      </c>
      <c r="B238" s="38" t="n">
        <f aca="false">E238*Scorecard!$C$18+F238*Scorecard!$C$19+G238*Scorecard!$C$20+H238*Scorecard!$C$21+I238*Scorecard!$C$22+J238*Scorecard!$C$23</f>
        <v>3.83772188539966</v>
      </c>
      <c r="C238" s="38" t="n">
        <f aca="false">E238*Scorecard!$D$18+F238*Scorecard!$D$19+G238*Scorecard!$D$20+H238*Scorecard!$D$21+I238*Scorecard!$D$22+J238*Scorecard!$D$23</f>
        <v>2.52215211941827</v>
      </c>
      <c r="D238" s="0" t="str">
        <f aca="false">IF(AND(B238&gt;=C238,B238&gt;=K238),"A. Distribution",IF(C238&gt;=K238,"B. Manufacturing","C. Prof. services"))</f>
        <v>A. Distribution</v>
      </c>
      <c r="E238" s="39" t="n">
        <v>0.0768385886124903</v>
      </c>
      <c r="F238" s="39" t="n">
        <v>0.173955991417578</v>
      </c>
      <c r="G238" s="39" t="n">
        <v>0.259601164502281</v>
      </c>
      <c r="H238" s="39" t="n">
        <v>0.0803581050473996</v>
      </c>
      <c r="I238" s="39" t="n">
        <v>0.248542975014481</v>
      </c>
      <c r="J238" s="39" t="n">
        <v>0.160703175405771</v>
      </c>
      <c r="K238" s="38" t="n">
        <f aca="false">E238*Scorecard!$E$18+F238*Scorecard!$E$19+G238*Scorecard!$E$20+H238*Scorecard!$E$21+I238*Scorecard!$E$22+J238*Scorecard!$E$23</f>
        <v>3.39345238995448</v>
      </c>
      <c r="M238" s="0" t="str">
        <f aca="false">IF(AND(T238&gt;=U238,T238&gt;=V238),"A. Distribution",IF(U238&gt;=V238,"B. Manufacturing","C. Prof. services"))</f>
        <v>A. Distribution</v>
      </c>
      <c r="N238" s="39" t="n">
        <v>0.294409310958282</v>
      </c>
      <c r="O238" s="39" t="n">
        <v>0.0550435262024397</v>
      </c>
      <c r="P238" s="39" t="n">
        <v>0.335595932230286</v>
      </c>
      <c r="Q238" s="39" t="n">
        <v>0.175094350166207</v>
      </c>
      <c r="R238" s="39" t="n">
        <v>0.107515125158441</v>
      </c>
      <c r="S238" s="39" t="n">
        <v>0.0323417552843449</v>
      </c>
      <c r="T238" s="38" t="n">
        <f aca="false">N238*Scorecard!$C$18+O238*Scorecard!$C$19+P238*Scorecard!$C$20+Q238*Scorecard!$C$21+R238*Scorecard!$C$22+S238*Scorecard!$C$23</f>
        <v>3.94785632347835</v>
      </c>
      <c r="U238" s="38" t="n">
        <f aca="false">N238*Scorecard!$D$18+O238*Scorecard!$D$19+P238*Scorecard!$D$20+Q238*Scorecard!$D$21+R238*Scorecard!$D$22+S238*Scorecard!$D$23</f>
        <v>2.80320390607962</v>
      </c>
      <c r="V238" s="38" t="n">
        <f aca="false">N238*Scorecard!$E$18+O238*Scorecard!$E$19+P238*Scorecard!$E$20+Q238*Scorecard!$E$21+R238*Scorecard!$E$22+S238*Scorecard!$E$23</f>
        <v>3.56670161072035</v>
      </c>
    </row>
    <row r="239" customFormat="false" ht="15" hidden="false" customHeight="false" outlineLevel="0" collapsed="false">
      <c r="A239" s="0" t="n">
        <v>234</v>
      </c>
      <c r="B239" s="38" t="n">
        <f aca="false">E239*Scorecard!$C$18+F239*Scorecard!$C$19+G239*Scorecard!$C$20+H239*Scorecard!$C$21+I239*Scorecard!$C$22+J239*Scorecard!$C$23</f>
        <v>3.96674978040549</v>
      </c>
      <c r="C239" s="38" t="n">
        <f aca="false">E239*Scorecard!$D$18+F239*Scorecard!$D$19+G239*Scorecard!$D$20+H239*Scorecard!$D$21+I239*Scorecard!$D$22+J239*Scorecard!$D$23</f>
        <v>3.01981826189746</v>
      </c>
      <c r="D239" s="0" t="str">
        <f aca="false">IF(AND(B239&gt;=C239,B239&gt;=K239),"A. Distribution",IF(C239&gt;=K239,"B. Manufacturing","C. Prof. services"))</f>
        <v>A. Distribution</v>
      </c>
      <c r="E239" s="39" t="n">
        <v>0.373682454924357</v>
      </c>
      <c r="F239" s="39" t="n">
        <v>0.160918224985733</v>
      </c>
      <c r="G239" s="39" t="n">
        <v>0.146971179942483</v>
      </c>
      <c r="H239" s="39" t="n">
        <v>0.101456607451409</v>
      </c>
      <c r="I239" s="39" t="n">
        <v>0.140354193901051</v>
      </c>
      <c r="J239" s="39" t="n">
        <v>0.0766173387949665</v>
      </c>
      <c r="K239" s="38" t="n">
        <f aca="false">E239*Scorecard!$E$18+F239*Scorecard!$E$19+G239*Scorecard!$E$20+H239*Scorecard!$E$21+I239*Scorecard!$E$22+J239*Scorecard!$E$23</f>
        <v>3.39199055167188</v>
      </c>
      <c r="M239" s="0" t="str">
        <f aca="false">IF(AND(T239&gt;=U239,T239&gt;=V239),"A. Distribution",IF(U239&gt;=V239,"B. Manufacturing","C. Prof. services"))</f>
        <v>A. Distribution</v>
      </c>
      <c r="N239" s="39" t="n">
        <v>0.282333002813893</v>
      </c>
      <c r="O239" s="39" t="n">
        <v>0.113123626657518</v>
      </c>
      <c r="P239" s="39" t="n">
        <v>0.234829456759344</v>
      </c>
      <c r="Q239" s="39" t="n">
        <v>0.0768788500353785</v>
      </c>
      <c r="R239" s="39" t="n">
        <v>0.141413064099509</v>
      </c>
      <c r="S239" s="39" t="n">
        <v>0.151421999634358</v>
      </c>
      <c r="T239" s="38" t="n">
        <f aca="false">N239*Scorecard!$C$18+O239*Scorecard!$C$19+P239*Scorecard!$C$20+Q239*Scorecard!$C$21+R239*Scorecard!$C$22+S239*Scorecard!$C$23</f>
        <v>3.77932828080247</v>
      </c>
      <c r="U239" s="38" t="n">
        <f aca="false">N239*Scorecard!$D$18+O239*Scorecard!$D$19+P239*Scorecard!$D$20+Q239*Scorecard!$D$21+R239*Scorecard!$D$22+S239*Scorecard!$D$23</f>
        <v>2.76649192488878</v>
      </c>
      <c r="V239" s="38" t="n">
        <f aca="false">N239*Scorecard!$E$18+O239*Scorecard!$E$19+P239*Scorecard!$E$20+Q239*Scorecard!$E$21+R239*Scorecard!$E$22+S239*Scorecard!$E$23</f>
        <v>3.53847610536718</v>
      </c>
    </row>
    <row r="240" customFormat="false" ht="15" hidden="false" customHeight="false" outlineLevel="0" collapsed="false">
      <c r="A240" s="0" t="n">
        <v>235</v>
      </c>
      <c r="B240" s="38" t="n">
        <f aca="false">E240*Scorecard!$C$18+F240*Scorecard!$C$19+G240*Scorecard!$C$20+H240*Scorecard!$C$21+I240*Scorecard!$C$22+J240*Scorecard!$C$23</f>
        <v>3.75944154318065</v>
      </c>
      <c r="C240" s="38" t="n">
        <f aca="false">E240*Scorecard!$D$18+F240*Scorecard!$D$19+G240*Scorecard!$D$20+H240*Scorecard!$D$21+I240*Scorecard!$D$22+J240*Scorecard!$D$23</f>
        <v>2.76717891513847</v>
      </c>
      <c r="D240" s="0" t="str">
        <f aca="false">IF(AND(B240&gt;=C240,B240&gt;=K240),"A. Distribution",IF(C240&gt;=K240,"B. Manufacturing","C. Prof. services"))</f>
        <v>A. Distribution</v>
      </c>
      <c r="E240" s="39" t="n">
        <v>0.0456777828672308</v>
      </c>
      <c r="F240" s="39" t="n">
        <v>0.137497206783048</v>
      </c>
      <c r="G240" s="39" t="n">
        <v>0.0644933096556762</v>
      </c>
      <c r="H240" s="39" t="n">
        <v>0.0615454296722862</v>
      </c>
      <c r="I240" s="39" t="n">
        <v>0.506907878167499</v>
      </c>
      <c r="J240" s="39" t="n">
        <v>0.18387839285426</v>
      </c>
      <c r="K240" s="38" t="n">
        <f aca="false">E240*Scorecard!$E$18+F240*Scorecard!$E$19+G240*Scorecard!$E$20+H240*Scorecard!$E$21+I240*Scorecard!$E$22+J240*Scorecard!$E$23</f>
        <v>3.03974027829395</v>
      </c>
      <c r="M240" s="0" t="str">
        <f aca="false">IF(AND(T240&gt;=U240,T240&gt;=V240),"A. Distribution",IF(U240&gt;=V240,"B. Manufacturing","C. Prof. services"))</f>
        <v>A. Distribution</v>
      </c>
      <c r="N240" s="39" t="n">
        <v>0.165064922028926</v>
      </c>
      <c r="O240" s="39" t="n">
        <v>0.360997749698444</v>
      </c>
      <c r="P240" s="39" t="n">
        <v>0.2578667158587</v>
      </c>
      <c r="Q240" s="39" t="n">
        <v>0.087184040705713</v>
      </c>
      <c r="R240" s="39" t="n">
        <v>0.0719222085317263</v>
      </c>
      <c r="S240" s="39" t="n">
        <v>0.0569643631764907</v>
      </c>
      <c r="T240" s="38" t="n">
        <f aca="false">N240*Scorecard!$C$18+O240*Scorecard!$C$19+P240*Scorecard!$C$20+Q240*Scorecard!$C$21+R240*Scorecard!$C$22+S240*Scorecard!$C$23</f>
        <v>4.22442236206438</v>
      </c>
      <c r="U240" s="38" t="n">
        <f aca="false">N240*Scorecard!$D$18+O240*Scorecard!$D$19+P240*Scorecard!$D$20+Q240*Scorecard!$D$21+R240*Scorecard!$D$22+S240*Scorecard!$D$23</f>
        <v>2.61813727337275</v>
      </c>
      <c r="V240" s="38" t="n">
        <f aca="false">N240*Scorecard!$E$18+O240*Scorecard!$E$19+P240*Scorecard!$E$20+Q240*Scorecard!$E$21+R240*Scorecard!$E$22+S240*Scorecard!$E$23</f>
        <v>3.36601795358276</v>
      </c>
    </row>
    <row r="241" customFormat="false" ht="15" hidden="false" customHeight="false" outlineLevel="0" collapsed="false">
      <c r="A241" s="0" t="n">
        <v>236</v>
      </c>
      <c r="B241" s="38" t="n">
        <f aca="false">E241*Scorecard!$C$18+F241*Scorecard!$C$19+G241*Scorecard!$C$20+H241*Scorecard!$C$21+I241*Scorecard!$C$22+J241*Scorecard!$C$23</f>
        <v>4.06354803766153</v>
      </c>
      <c r="C241" s="38" t="n">
        <f aca="false">E241*Scorecard!$D$18+F241*Scorecard!$D$19+G241*Scorecard!$D$20+H241*Scorecard!$D$21+I241*Scorecard!$D$22+J241*Scorecard!$D$23</f>
        <v>2.46645431500454</v>
      </c>
      <c r="D241" s="0" t="str">
        <f aca="false">IF(AND(B241&gt;=C241,B241&gt;=K241),"A. Distribution",IF(C241&gt;=K241,"B. Manufacturing","C. Prof. services"))</f>
        <v>A. Distribution</v>
      </c>
      <c r="E241" s="39" t="n">
        <v>0.0614199924096287</v>
      </c>
      <c r="F241" s="39" t="n">
        <v>0.134096801522222</v>
      </c>
      <c r="G241" s="39" t="n">
        <v>0.217672815720093</v>
      </c>
      <c r="H241" s="39" t="n">
        <v>0.47875555434926</v>
      </c>
      <c r="I241" s="39" t="n">
        <v>0.101039156485515</v>
      </c>
      <c r="J241" s="39" t="n">
        <v>0.00701567951328181</v>
      </c>
      <c r="K241" s="38" t="n">
        <f aca="false">E241*Scorecard!$E$18+F241*Scorecard!$E$19+G241*Scorecard!$E$20+H241*Scorecard!$E$21+I241*Scorecard!$E$22+J241*Scorecard!$E$23</f>
        <v>3.48750478073597</v>
      </c>
      <c r="M241" s="0" t="str">
        <f aca="false">IF(AND(T241&gt;=U241,T241&gt;=V241),"A. Distribution",IF(U241&gt;=V241,"B. Manufacturing","C. Prof. services"))</f>
        <v>A. Distribution</v>
      </c>
      <c r="N241" s="39" t="n">
        <v>0.147962305614869</v>
      </c>
      <c r="O241" s="39" t="n">
        <v>0.277105766342265</v>
      </c>
      <c r="P241" s="39" t="n">
        <v>0.298765406304029</v>
      </c>
      <c r="Q241" s="39" t="n">
        <v>0.0846039835434399</v>
      </c>
      <c r="R241" s="39" t="n">
        <v>0.083278392442484</v>
      </c>
      <c r="S241" s="39" t="n">
        <v>0.108284145752914</v>
      </c>
      <c r="T241" s="38" t="n">
        <f aca="false">N241*Scorecard!$C$18+O241*Scorecard!$C$19+P241*Scorecard!$C$20+Q241*Scorecard!$C$21+R241*Scorecard!$C$22+S241*Scorecard!$C$23</f>
        <v>4.03954193009063</v>
      </c>
      <c r="U241" s="38" t="n">
        <f aca="false">N241*Scorecard!$D$18+O241*Scorecard!$D$19+P241*Scorecard!$D$20+Q241*Scorecard!$D$21+R241*Scorecard!$D$22+S241*Scorecard!$D$23</f>
        <v>2.52781268917469</v>
      </c>
      <c r="V241" s="38" t="n">
        <f aca="false">N241*Scorecard!$E$18+O241*Scorecard!$E$19+P241*Scorecard!$E$20+Q241*Scorecard!$E$21+R241*Scorecard!$E$22+S241*Scorecard!$E$23</f>
        <v>3.48243166798572</v>
      </c>
    </row>
    <row r="242" customFormat="false" ht="15" hidden="false" customHeight="false" outlineLevel="0" collapsed="false">
      <c r="A242" s="0" t="n">
        <v>237</v>
      </c>
      <c r="B242" s="38" t="n">
        <f aca="false">E242*Scorecard!$C$18+F242*Scorecard!$C$19+G242*Scorecard!$C$20+H242*Scorecard!$C$21+I242*Scorecard!$C$22+J242*Scorecard!$C$23</f>
        <v>3.31786308676479</v>
      </c>
      <c r="C242" s="38" t="n">
        <f aca="false">E242*Scorecard!$D$18+F242*Scorecard!$D$19+G242*Scorecard!$D$20+H242*Scorecard!$D$21+I242*Scorecard!$D$22+J242*Scorecard!$D$23</f>
        <v>2.07110953026927</v>
      </c>
      <c r="D242" s="0" t="str">
        <f aca="false">IF(AND(B242&gt;=C242,B242&gt;=K242),"A. Distribution",IF(C242&gt;=K242,"B. Manufacturing","C. Prof. services"))</f>
        <v>C. Prof. services</v>
      </c>
      <c r="E242" s="39" t="n">
        <v>0.106010797815522</v>
      </c>
      <c r="F242" s="39" t="n">
        <v>0.012721354309577</v>
      </c>
      <c r="G242" s="39" t="n">
        <v>0.505659311109233</v>
      </c>
      <c r="H242" s="39" t="n">
        <v>0.0231189017974744</v>
      </c>
      <c r="I242" s="39" t="n">
        <v>0.0105616711821153</v>
      </c>
      <c r="J242" s="39" t="n">
        <v>0.341927963786078</v>
      </c>
      <c r="K242" s="38" t="n">
        <f aca="false">E242*Scorecard!$E$18+F242*Scorecard!$E$19+G242*Scorecard!$E$20+H242*Scorecard!$E$21+I242*Scorecard!$E$22+J242*Scorecard!$E$23</f>
        <v>4.07758647529987</v>
      </c>
      <c r="M242" s="0" t="str">
        <f aca="false">IF(AND(T242&gt;=U242,T242&gt;=V242),"A. Distribution",IF(U242&gt;=V242,"B. Manufacturing","C. Prof. services"))</f>
        <v>A. Distribution</v>
      </c>
      <c r="N242" s="39" t="n">
        <v>0.219943063960063</v>
      </c>
      <c r="O242" s="39" t="n">
        <v>0.270242823877627</v>
      </c>
      <c r="P242" s="39" t="n">
        <v>0.27320830943485</v>
      </c>
      <c r="Q242" s="39" t="n">
        <v>0.0771324558545124</v>
      </c>
      <c r="R242" s="39" t="n">
        <v>0.0514577187042125</v>
      </c>
      <c r="S242" s="39" t="n">
        <v>0.108015628168735</v>
      </c>
      <c r="T242" s="38" t="n">
        <f aca="false">N242*Scorecard!$C$18+O242*Scorecard!$C$19+P242*Scorecard!$C$20+Q242*Scorecard!$C$21+R242*Scorecard!$C$22+S242*Scorecard!$C$23</f>
        <v>4.0282419815644</v>
      </c>
      <c r="U242" s="38" t="n">
        <f aca="false">N242*Scorecard!$D$18+O242*Scorecard!$D$19+P242*Scorecard!$D$20+Q242*Scorecard!$D$21+R242*Scorecard!$D$22+S242*Scorecard!$D$23</f>
        <v>2.62534128601488</v>
      </c>
      <c r="V242" s="38" t="n">
        <f aca="false">N242*Scorecard!$E$18+O242*Scorecard!$E$19+P242*Scorecard!$E$20+Q242*Scorecard!$E$21+R242*Scorecard!$E$22+S242*Scorecard!$E$23</f>
        <v>3.50999038832372</v>
      </c>
    </row>
    <row r="243" customFormat="false" ht="15" hidden="false" customHeight="false" outlineLevel="0" collapsed="false">
      <c r="A243" s="0" t="n">
        <v>238</v>
      </c>
      <c r="B243" s="38" t="n">
        <f aca="false">E243*Scorecard!$C$18+F243*Scorecard!$C$19+G243*Scorecard!$C$20+H243*Scorecard!$C$21+I243*Scorecard!$C$22+J243*Scorecard!$C$23</f>
        <v>3.85184952913276</v>
      </c>
      <c r="C243" s="38" t="n">
        <f aca="false">E243*Scorecard!$D$18+F243*Scorecard!$D$19+G243*Scorecard!$D$20+H243*Scorecard!$D$21+I243*Scorecard!$D$22+J243*Scorecard!$D$23</f>
        <v>2.52322878423129</v>
      </c>
      <c r="D243" s="0" t="str">
        <f aca="false">IF(AND(B243&gt;=C243,B243&gt;=K243),"A. Distribution",IF(C243&gt;=K243,"B. Manufacturing","C. Prof. services"))</f>
        <v>A. Distribution</v>
      </c>
      <c r="E243" s="39" t="n">
        <v>0.0953123260676063</v>
      </c>
      <c r="F243" s="39" t="n">
        <v>0.119182407364851</v>
      </c>
      <c r="G243" s="39" t="n">
        <v>0.0966859669116603</v>
      </c>
      <c r="H243" s="39" t="n">
        <v>0.438447640972264</v>
      </c>
      <c r="I243" s="39" t="n">
        <v>0.144152874354944</v>
      </c>
      <c r="J243" s="39" t="n">
        <v>0.106218784328674</v>
      </c>
      <c r="K243" s="38" t="n">
        <f aca="false">E243*Scorecard!$E$18+F243*Scorecard!$E$19+G243*Scorecard!$E$20+H243*Scorecard!$E$21+I243*Scorecard!$E$22+J243*Scorecard!$E$23</f>
        <v>3.47931521244185</v>
      </c>
      <c r="M243" s="0" t="str">
        <f aca="false">IF(AND(T243&gt;=U243,T243&gt;=V243),"A. Distribution",IF(U243&gt;=V243,"B. Manufacturing","C. Prof. services"))</f>
        <v>A. Distribution</v>
      </c>
      <c r="N243" s="39" t="n">
        <v>0.306733074139449</v>
      </c>
      <c r="O243" s="39" t="n">
        <v>0.106069179136877</v>
      </c>
      <c r="P243" s="39" t="n">
        <v>0.113784595974851</v>
      </c>
      <c r="Q243" s="39" t="n">
        <v>0.0870246934641827</v>
      </c>
      <c r="R243" s="39" t="n">
        <v>0.265525768498024</v>
      </c>
      <c r="S243" s="39" t="n">
        <v>0.120862688786617</v>
      </c>
      <c r="T243" s="38" t="n">
        <f aca="false">N243*Scorecard!$C$18+O243*Scorecard!$C$19+P243*Scorecard!$C$20+Q243*Scorecard!$C$21+R243*Scorecard!$C$22+S243*Scorecard!$C$23</f>
        <v>3.83034023143464</v>
      </c>
      <c r="U243" s="38" t="n">
        <f aca="false">N243*Scorecard!$D$18+O243*Scorecard!$D$19+P243*Scorecard!$D$20+Q243*Scorecard!$D$21+R243*Scorecard!$D$22+S243*Scorecard!$D$23</f>
        <v>2.99584815522957</v>
      </c>
      <c r="V243" s="38" t="n">
        <f aca="false">N243*Scorecard!$E$18+O243*Scorecard!$E$19+P243*Scorecard!$E$20+Q243*Scorecard!$E$21+R243*Scorecard!$E$22+S243*Scorecard!$E$23</f>
        <v>3.30925232387748</v>
      </c>
    </row>
    <row r="244" customFormat="false" ht="15" hidden="false" customHeight="false" outlineLevel="0" collapsed="false">
      <c r="A244" s="0" t="n">
        <v>239</v>
      </c>
      <c r="B244" s="38" t="n">
        <f aca="false">E244*Scorecard!$C$18+F244*Scorecard!$C$19+G244*Scorecard!$C$20+H244*Scorecard!$C$21+I244*Scorecard!$C$22+J244*Scorecard!$C$23</f>
        <v>3.8206592190708</v>
      </c>
      <c r="C244" s="38" t="n">
        <f aca="false">E244*Scorecard!$D$18+F244*Scorecard!$D$19+G244*Scorecard!$D$20+H244*Scorecard!$D$21+I244*Scorecard!$D$22+J244*Scorecard!$D$23</f>
        <v>2.20012989105398</v>
      </c>
      <c r="D244" s="0" t="str">
        <f aca="false">IF(AND(B244&gt;=C244,B244&gt;=K244),"A. Distribution",IF(C244&gt;=K244,"B. Manufacturing","C. Prof. services"))</f>
        <v>A. Distribution</v>
      </c>
      <c r="E244" s="39" t="n">
        <v>0.013884746734527</v>
      </c>
      <c r="F244" s="39" t="n">
        <v>0.358868162139225</v>
      </c>
      <c r="G244" s="39" t="n">
        <v>0.0322227867740202</v>
      </c>
      <c r="H244" s="39" t="n">
        <v>0.338672836593024</v>
      </c>
      <c r="I244" s="39" t="n">
        <v>0.00605047541028033</v>
      </c>
      <c r="J244" s="39" t="n">
        <v>0.250300992348924</v>
      </c>
      <c r="K244" s="38" t="n">
        <f aca="false">E244*Scorecard!$E$18+F244*Scorecard!$E$19+G244*Scorecard!$E$20+H244*Scorecard!$E$21+I244*Scorecard!$E$22+J244*Scorecard!$E$23</f>
        <v>3.56835461865438</v>
      </c>
      <c r="M244" s="0" t="str">
        <f aca="false">IF(AND(T244&gt;=U244,T244&gt;=V244),"A. Distribution",IF(U244&gt;=V244,"B. Manufacturing","C. Prof. services"))</f>
        <v>A. Distribution</v>
      </c>
      <c r="N244" s="39" t="n">
        <v>0.232751283939179</v>
      </c>
      <c r="O244" s="39" t="n">
        <v>0.113632233805186</v>
      </c>
      <c r="P244" s="39" t="n">
        <v>0.23966619839487</v>
      </c>
      <c r="Q244" s="39" t="n">
        <v>0.15977783785208</v>
      </c>
      <c r="R244" s="39" t="n">
        <v>0.189639810167237</v>
      </c>
      <c r="S244" s="39" t="n">
        <v>0.0645326358414485</v>
      </c>
      <c r="T244" s="38" t="n">
        <f aca="false">N244*Scorecard!$C$18+O244*Scorecard!$C$19+P244*Scorecard!$C$20+Q244*Scorecard!$C$21+R244*Scorecard!$C$22+S244*Scorecard!$C$23</f>
        <v>3.94866395710444</v>
      </c>
      <c r="U244" s="38" t="n">
        <f aca="false">N244*Scorecard!$D$18+O244*Scorecard!$D$19+P244*Scorecard!$D$20+Q244*Scorecard!$D$21+R244*Scorecard!$D$22+S244*Scorecard!$D$23</f>
        <v>2.79841575685723</v>
      </c>
      <c r="V244" s="38" t="n">
        <f aca="false">N244*Scorecard!$E$18+O244*Scorecard!$E$19+P244*Scorecard!$E$20+Q244*Scorecard!$E$21+R244*Scorecard!$E$22+S244*Scorecard!$E$23</f>
        <v>3.41172051328826</v>
      </c>
    </row>
    <row r="245" customFormat="false" ht="15" hidden="false" customHeight="false" outlineLevel="0" collapsed="false">
      <c r="A245" s="0" t="n">
        <v>240</v>
      </c>
      <c r="B245" s="38" t="n">
        <f aca="false">E245*Scorecard!$C$18+F245*Scorecard!$C$19+G245*Scorecard!$C$20+H245*Scorecard!$C$21+I245*Scorecard!$C$22+J245*Scorecard!$C$23</f>
        <v>4.47584420007435</v>
      </c>
      <c r="C245" s="38" t="n">
        <f aca="false">E245*Scorecard!$D$18+F245*Scorecard!$D$19+G245*Scorecard!$D$20+H245*Scorecard!$D$21+I245*Scorecard!$D$22+J245*Scorecard!$D$23</f>
        <v>2.4712156199165</v>
      </c>
      <c r="D245" s="0" t="str">
        <f aca="false">IF(AND(B245&gt;=C245,B245&gt;=K245),"A. Distribution",IF(C245&gt;=K245,"B. Manufacturing","C. Prof. services"))</f>
        <v>A. Distribution</v>
      </c>
      <c r="E245" s="39" t="n">
        <v>0.0765770746468808</v>
      </c>
      <c r="F245" s="39" t="n">
        <v>0.591275118998571</v>
      </c>
      <c r="G245" s="39" t="n">
        <v>0.242296115118901</v>
      </c>
      <c r="H245" s="39" t="n">
        <v>0.0176376447182212</v>
      </c>
      <c r="I245" s="39" t="n">
        <v>0.0185228833999271</v>
      </c>
      <c r="J245" s="39" t="n">
        <v>0.0536911631174987</v>
      </c>
      <c r="K245" s="38" t="n">
        <f aca="false">E245*Scorecard!$E$18+F245*Scorecard!$E$19+G245*Scorecard!$E$20+H245*Scorecard!$E$21+I245*Scorecard!$E$22+J245*Scorecard!$E$23</f>
        <v>3.24509514937798</v>
      </c>
      <c r="M245" s="0" t="str">
        <f aca="false">IF(AND(T245&gt;=U245,T245&gt;=V245),"A. Distribution",IF(U245&gt;=V245,"B. Manufacturing","C. Prof. services"))</f>
        <v>A. Distribution</v>
      </c>
      <c r="N245" s="39" t="n">
        <v>0.152037963979884</v>
      </c>
      <c r="O245" s="39" t="n">
        <v>0.106164418157183</v>
      </c>
      <c r="P245" s="39" t="n">
        <v>0.179054659180059</v>
      </c>
      <c r="Q245" s="39" t="n">
        <v>0.244240139774289</v>
      </c>
      <c r="R245" s="39" t="n">
        <v>0.275836561996341</v>
      </c>
      <c r="S245" s="39" t="n">
        <v>0.0426662569122434</v>
      </c>
      <c r="T245" s="38" t="n">
        <f aca="false">N245*Scorecard!$C$18+O245*Scorecard!$C$19+P245*Scorecard!$C$20+Q245*Scorecard!$C$21+R245*Scorecard!$C$22+S245*Scorecard!$C$23</f>
        <v>3.98230824862466</v>
      </c>
      <c r="U245" s="38" t="n">
        <f aca="false">N245*Scorecard!$D$18+O245*Scorecard!$D$19+P245*Scorecard!$D$20+Q245*Scorecard!$D$21+R245*Scorecard!$D$22+S245*Scorecard!$D$23</f>
        <v>2.78169491429334</v>
      </c>
      <c r="V245" s="38" t="n">
        <f aca="false">N245*Scorecard!$E$18+O245*Scorecard!$E$19+P245*Scorecard!$E$20+Q245*Scorecard!$E$21+R245*Scorecard!$E$22+S245*Scorecard!$E$23</f>
        <v>3.27878144324719</v>
      </c>
    </row>
    <row r="246" customFormat="false" ht="15" hidden="false" customHeight="false" outlineLevel="0" collapsed="false">
      <c r="A246" s="0" t="n">
        <v>241</v>
      </c>
      <c r="B246" s="38" t="n">
        <f aca="false">E246*Scorecard!$C$18+F246*Scorecard!$C$19+G246*Scorecard!$C$20+H246*Scorecard!$C$21+I246*Scorecard!$C$22+J246*Scorecard!$C$23</f>
        <v>3.79398033960598</v>
      </c>
      <c r="C246" s="38" t="n">
        <f aca="false">E246*Scorecard!$D$18+F246*Scorecard!$D$19+G246*Scorecard!$D$20+H246*Scorecard!$D$21+I246*Scorecard!$D$22+J246*Scorecard!$D$23</f>
        <v>2.96238844786442</v>
      </c>
      <c r="D246" s="0" t="str">
        <f aca="false">IF(AND(B246&gt;=C246,B246&gt;=K246),"A. Distribution",IF(C246&gt;=K246,"B. Manufacturing","C. Prof. services"))</f>
        <v>A. Distribution</v>
      </c>
      <c r="E246" s="39" t="n">
        <v>0.3692466893672</v>
      </c>
      <c r="F246" s="39" t="n">
        <v>0.0946357438776959</v>
      </c>
      <c r="G246" s="39" t="n">
        <v>0.0931654159697263</v>
      </c>
      <c r="H246" s="39" t="n">
        <v>0.187873639951157</v>
      </c>
      <c r="I246" s="39" t="n">
        <v>0.129695368525724</v>
      </c>
      <c r="J246" s="39" t="n">
        <v>0.125383142308497</v>
      </c>
      <c r="K246" s="38" t="n">
        <f aca="false">E246*Scorecard!$E$18+F246*Scorecard!$E$19+G246*Scorecard!$E$20+H246*Scorecard!$E$21+I246*Scorecard!$E$22+J246*Scorecard!$E$23</f>
        <v>3.48732675461302</v>
      </c>
      <c r="M246" s="0" t="str">
        <f aca="false">IF(AND(T246&gt;=U246,T246&gt;=V246),"A. Distribution",IF(U246&gt;=V246,"B. Manufacturing","C. Prof. services"))</f>
        <v>A. Distribution</v>
      </c>
      <c r="N246" s="39" t="n">
        <v>0.131498218198102</v>
      </c>
      <c r="O246" s="39" t="n">
        <v>0.247885998733224</v>
      </c>
      <c r="P246" s="39" t="n">
        <v>0.261825769932021</v>
      </c>
      <c r="Q246" s="39" t="n">
        <v>0.0827686299202313</v>
      </c>
      <c r="R246" s="39" t="n">
        <v>0.167211569810496</v>
      </c>
      <c r="S246" s="39" t="n">
        <v>0.108809813405927</v>
      </c>
      <c r="T246" s="38" t="n">
        <f aca="false">N246*Scorecard!$C$18+O246*Scorecard!$C$19+P246*Scorecard!$C$20+Q246*Scorecard!$C$21+R246*Scorecard!$C$22+S246*Scorecard!$C$23</f>
        <v>4.01079043603558</v>
      </c>
      <c r="U246" s="38" t="n">
        <f aca="false">N246*Scorecard!$D$18+O246*Scorecard!$D$19+P246*Scorecard!$D$20+Q246*Scorecard!$D$21+R246*Scorecard!$D$22+S246*Scorecard!$D$23</f>
        <v>2.59012808612646</v>
      </c>
      <c r="V246" s="38" t="n">
        <f aca="false">N246*Scorecard!$E$18+O246*Scorecard!$E$19+P246*Scorecard!$E$20+Q246*Scorecard!$E$21+R246*Scorecard!$E$22+S246*Scorecard!$E$23</f>
        <v>3.38656525660802</v>
      </c>
    </row>
    <row r="247" customFormat="false" ht="15" hidden="false" customHeight="false" outlineLevel="0" collapsed="false">
      <c r="A247" s="0" t="n">
        <v>242</v>
      </c>
      <c r="B247" s="38" t="n">
        <f aca="false">E247*Scorecard!$C$18+F247*Scorecard!$C$19+G247*Scorecard!$C$20+H247*Scorecard!$C$21+I247*Scorecard!$C$22+J247*Scorecard!$C$23</f>
        <v>3.79341975764391</v>
      </c>
      <c r="C247" s="38" t="n">
        <f aca="false">E247*Scorecard!$D$18+F247*Scorecard!$D$19+G247*Scorecard!$D$20+H247*Scorecard!$D$21+I247*Scorecard!$D$22+J247*Scorecard!$D$23</f>
        <v>2.79174928677707</v>
      </c>
      <c r="D247" s="0" t="str">
        <f aca="false">IF(AND(B247&gt;=C247,B247&gt;=K247),"A. Distribution",IF(C247&gt;=K247,"B. Manufacturing","C. Prof. services"))</f>
        <v>A. Distribution</v>
      </c>
      <c r="E247" s="39" t="n">
        <v>0.304093054185741</v>
      </c>
      <c r="F247" s="39" t="n">
        <v>0.134436423622904</v>
      </c>
      <c r="G247" s="39" t="n">
        <v>0.209190408669347</v>
      </c>
      <c r="H247" s="39" t="n">
        <v>0.078788956238593</v>
      </c>
      <c r="I247" s="39" t="n">
        <v>0.119434927259166</v>
      </c>
      <c r="J247" s="39" t="n">
        <v>0.15405623002425</v>
      </c>
      <c r="K247" s="38" t="n">
        <f aca="false">E247*Scorecard!$E$18+F247*Scorecard!$E$19+G247*Scorecard!$E$20+H247*Scorecard!$E$21+I247*Scorecard!$E$22+J247*Scorecard!$E$23</f>
        <v>3.53944170352048</v>
      </c>
      <c r="M247" s="0" t="str">
        <f aca="false">IF(AND(T247&gt;=U247,T247&gt;=V247),"A. Distribution",IF(U247&gt;=V247,"B. Manufacturing","C. Prof. services"))</f>
        <v>A. Distribution</v>
      </c>
      <c r="N247" s="39" t="n">
        <v>0.319529575878083</v>
      </c>
      <c r="O247" s="39" t="n">
        <v>0.101997680173178</v>
      </c>
      <c r="P247" s="39" t="n">
        <v>0.173984612103098</v>
      </c>
      <c r="Q247" s="39" t="n">
        <v>0.152582865357486</v>
      </c>
      <c r="R247" s="39" t="n">
        <v>0.150431045899481</v>
      </c>
      <c r="S247" s="39" t="n">
        <v>0.101474220588673</v>
      </c>
      <c r="T247" s="38" t="n">
        <f aca="false">N247*Scorecard!$C$18+O247*Scorecard!$C$19+P247*Scorecard!$C$20+Q247*Scorecard!$C$21+R247*Scorecard!$C$22+S247*Scorecard!$C$23</f>
        <v>3.85695434756</v>
      </c>
      <c r="U247" s="38" t="n">
        <f aca="false">N247*Scorecard!$D$18+O247*Scorecard!$D$19+P247*Scorecard!$D$20+Q247*Scorecard!$D$21+R247*Scorecard!$D$22+S247*Scorecard!$D$23</f>
        <v>2.89498176116409</v>
      </c>
      <c r="V247" s="38" t="n">
        <f aca="false">N247*Scorecard!$E$18+O247*Scorecard!$E$19+P247*Scorecard!$E$20+Q247*Scorecard!$E$21+R247*Scorecard!$E$22+S247*Scorecard!$E$23</f>
        <v>3.46841286415025</v>
      </c>
    </row>
    <row r="248" customFormat="false" ht="15" hidden="false" customHeight="false" outlineLevel="0" collapsed="false">
      <c r="A248" s="0" t="n">
        <v>243</v>
      </c>
      <c r="B248" s="38" t="n">
        <f aca="false">E248*Scorecard!$C$18+F248*Scorecard!$C$19+G248*Scorecard!$C$20+H248*Scorecard!$C$21+I248*Scorecard!$C$22+J248*Scorecard!$C$23</f>
        <v>4.22797003132573</v>
      </c>
      <c r="C248" s="38" t="n">
        <f aca="false">E248*Scorecard!$D$18+F248*Scorecard!$D$19+G248*Scorecard!$D$20+H248*Scorecard!$D$21+I248*Scorecard!$D$22+J248*Scorecard!$D$23</f>
        <v>2.65688115358407</v>
      </c>
      <c r="D248" s="0" t="str">
        <f aca="false">IF(AND(B248&gt;=C248,B248&gt;=K248),"A. Distribution",IF(C248&gt;=K248,"B. Manufacturing","C. Prof. services"))</f>
        <v>A. Distribution</v>
      </c>
      <c r="E248" s="39" t="n">
        <v>0.074933792430966</v>
      </c>
      <c r="F248" s="39" t="n">
        <v>0.257376339155777</v>
      </c>
      <c r="G248" s="39" t="n">
        <v>0.355528609303272</v>
      </c>
      <c r="H248" s="39" t="n">
        <v>0.0274463475924789</v>
      </c>
      <c r="I248" s="39" t="n">
        <v>0.27449853378016</v>
      </c>
      <c r="J248" s="39" t="n">
        <v>0.0102163777373466</v>
      </c>
      <c r="K248" s="38" t="n">
        <f aca="false">E248*Scorecard!$E$18+F248*Scorecard!$E$19+G248*Scorecard!$E$20+H248*Scorecard!$E$21+I248*Scorecard!$E$22+J248*Scorecard!$E$23</f>
        <v>3.19348522486241</v>
      </c>
      <c r="M248" s="0" t="str">
        <f aca="false">IF(AND(T248&gt;=U248,T248&gt;=V248),"A. Distribution",IF(U248&gt;=V248,"B. Manufacturing","C. Prof. services"))</f>
        <v>A. Distribution</v>
      </c>
      <c r="N248" s="39" t="n">
        <v>0.346523978634971</v>
      </c>
      <c r="O248" s="39" t="n">
        <v>0.148521960950258</v>
      </c>
      <c r="P248" s="39" t="n">
        <v>0.198814455018483</v>
      </c>
      <c r="Q248" s="39" t="n">
        <v>0.147172425191903</v>
      </c>
      <c r="R248" s="39" t="n">
        <v>0.121850547235701</v>
      </c>
      <c r="S248" s="39" t="n">
        <v>0.0371166329686842</v>
      </c>
      <c r="T248" s="38" t="n">
        <f aca="false">N248*Scorecard!$C$18+O248*Scorecard!$C$19+P248*Scorecard!$C$20+Q248*Scorecard!$C$21+R248*Scorecard!$C$22+S248*Scorecard!$C$23</f>
        <v>4.03060948822444</v>
      </c>
      <c r="U248" s="38" t="n">
        <f aca="false">N248*Scorecard!$D$18+O248*Scorecard!$D$19+P248*Scorecard!$D$20+Q248*Scorecard!$D$21+R248*Scorecard!$D$22+S248*Scorecard!$D$23</f>
        <v>2.96674086024277</v>
      </c>
      <c r="V248" s="38" t="n">
        <f aca="false">N248*Scorecard!$E$18+O248*Scorecard!$E$19+P248*Scorecard!$E$20+Q248*Scorecard!$E$21+R248*Scorecard!$E$22+S248*Scorecard!$E$23</f>
        <v>3.41652564453505</v>
      </c>
    </row>
    <row r="249" customFormat="false" ht="15" hidden="false" customHeight="false" outlineLevel="0" collapsed="false">
      <c r="A249" s="0" t="n">
        <v>244</v>
      </c>
      <c r="B249" s="38" t="n">
        <f aca="false">E249*Scorecard!$C$18+F249*Scorecard!$C$19+G249*Scorecard!$C$20+H249*Scorecard!$C$21+I249*Scorecard!$C$22+J249*Scorecard!$C$23</f>
        <v>4.04068301478183</v>
      </c>
      <c r="C249" s="38" t="n">
        <f aca="false">E249*Scorecard!$D$18+F249*Scorecard!$D$19+G249*Scorecard!$D$20+H249*Scorecard!$D$21+I249*Scorecard!$D$22+J249*Scorecard!$D$23</f>
        <v>2.4316611521686</v>
      </c>
      <c r="D249" s="0" t="str">
        <f aca="false">IF(AND(B249&gt;=C249,B249&gt;=K249),"A. Distribution",IF(C249&gt;=K249,"B. Manufacturing","C. Prof. services"))</f>
        <v>A. Distribution</v>
      </c>
      <c r="E249" s="39" t="n">
        <v>0.03030951725684</v>
      </c>
      <c r="F249" s="39" t="n">
        <v>0.109018756632458</v>
      </c>
      <c r="G249" s="39" t="n">
        <v>0.248586032429034</v>
      </c>
      <c r="H249" s="39" t="n">
        <v>0.470263392702487</v>
      </c>
      <c r="I249" s="39" t="n">
        <v>0.13420673496025</v>
      </c>
      <c r="J249" s="39" t="n">
        <v>0.007615566018931</v>
      </c>
      <c r="K249" s="38" t="n">
        <f aca="false">E249*Scorecard!$E$18+F249*Scorecard!$E$19+G249*Scorecard!$E$20+H249*Scorecard!$E$21+I249*Scorecard!$E$22+J249*Scorecard!$E$23</f>
        <v>3.48083588706423</v>
      </c>
      <c r="M249" s="0" t="str">
        <f aca="false">IF(AND(T249&gt;=U249,T249&gt;=V249),"A. Distribution",IF(U249&gt;=V249,"B. Manufacturing","C. Prof. services"))</f>
        <v>A. Distribution</v>
      </c>
      <c r="N249" s="39" t="n">
        <v>0.257307353508572</v>
      </c>
      <c r="O249" s="39" t="n">
        <v>0.0930466497533322</v>
      </c>
      <c r="P249" s="39" t="n">
        <v>0.302851467888204</v>
      </c>
      <c r="Q249" s="39" t="n">
        <v>0.0502778887897442</v>
      </c>
      <c r="R249" s="39" t="n">
        <v>0.219733715291061</v>
      </c>
      <c r="S249" s="39" t="n">
        <v>0.0767829247690872</v>
      </c>
      <c r="T249" s="38" t="n">
        <f aca="false">N249*Scorecard!$C$18+O249*Scorecard!$C$19+P249*Scorecard!$C$20+Q249*Scorecard!$C$21+R249*Scorecard!$C$22+S249*Scorecard!$C$23</f>
        <v>3.91340495140872</v>
      </c>
      <c r="U249" s="38" t="n">
        <f aca="false">N249*Scorecard!$D$18+O249*Scorecard!$D$19+P249*Scorecard!$D$20+Q249*Scorecard!$D$21+R249*Scorecard!$D$22+S249*Scorecard!$D$23</f>
        <v>2.83918940477452</v>
      </c>
      <c r="V249" s="38" t="n">
        <f aca="false">N249*Scorecard!$E$18+O249*Scorecard!$E$19+P249*Scorecard!$E$20+Q249*Scorecard!$E$21+R249*Scorecard!$E$22+S249*Scorecard!$E$23</f>
        <v>3.41583327511734</v>
      </c>
    </row>
    <row r="250" customFormat="false" ht="15" hidden="false" customHeight="false" outlineLevel="0" collapsed="false">
      <c r="A250" s="0" t="n">
        <v>245</v>
      </c>
      <c r="B250" s="38" t="n">
        <f aca="false">E250*Scorecard!$C$18+F250*Scorecard!$C$19+G250*Scorecard!$C$20+H250*Scorecard!$C$21+I250*Scorecard!$C$22+J250*Scorecard!$C$23</f>
        <v>3.77675778079939</v>
      </c>
      <c r="C250" s="38" t="n">
        <f aca="false">E250*Scorecard!$D$18+F250*Scorecard!$D$19+G250*Scorecard!$D$20+H250*Scorecard!$D$21+I250*Scorecard!$D$22+J250*Scorecard!$D$23</f>
        <v>3.23657925675744</v>
      </c>
      <c r="D250" s="0" t="str">
        <f aca="false">IF(AND(B250&gt;=C250,B250&gt;=K250),"A. Distribution",IF(C250&gt;=K250,"B. Manufacturing","C. Prof. services"))</f>
        <v>A. Distribution</v>
      </c>
      <c r="E250" s="39" t="n">
        <v>0.481438528018601</v>
      </c>
      <c r="F250" s="39" t="n">
        <v>0.0731044367041475</v>
      </c>
      <c r="G250" s="39" t="n">
        <v>0.0794054914616709</v>
      </c>
      <c r="H250" s="39" t="n">
        <v>0.0298248278809748</v>
      </c>
      <c r="I250" s="39" t="n">
        <v>0.208986781964041</v>
      </c>
      <c r="J250" s="39" t="n">
        <v>0.127239933970565</v>
      </c>
      <c r="K250" s="38" t="n">
        <f aca="false">E250*Scorecard!$E$18+F250*Scorecard!$E$19+G250*Scorecard!$E$20+H250*Scorecard!$E$21+I250*Scorecard!$E$22+J250*Scorecard!$E$23</f>
        <v>3.37743708946717</v>
      </c>
      <c r="M250" s="0" t="str">
        <f aca="false">IF(AND(T250&gt;=U250,T250&gt;=V250),"A. Distribution",IF(U250&gt;=V250,"B. Manufacturing","C. Prof. services"))</f>
        <v>A. Distribution</v>
      </c>
      <c r="N250" s="39" t="n">
        <v>0.131419368010786</v>
      </c>
      <c r="O250" s="39" t="n">
        <v>0.276972679512331</v>
      </c>
      <c r="P250" s="39" t="n">
        <v>0.169841094476198</v>
      </c>
      <c r="Q250" s="39" t="n">
        <v>0.152235616906949</v>
      </c>
      <c r="R250" s="39" t="n">
        <v>0.0594743632986825</v>
      </c>
      <c r="S250" s="39" t="n">
        <v>0.210056877795053</v>
      </c>
      <c r="T250" s="38" t="n">
        <f aca="false">N250*Scorecard!$C$18+O250*Scorecard!$C$19+P250*Scorecard!$C$20+Q250*Scorecard!$C$21+R250*Scorecard!$C$22+S250*Scorecard!$C$23</f>
        <v>3.82990421005213</v>
      </c>
      <c r="U250" s="38" t="n">
        <f aca="false">N250*Scorecard!$D$18+O250*Scorecard!$D$19+P250*Scorecard!$D$20+Q250*Scorecard!$D$21+R250*Scorecard!$D$22+S250*Scorecard!$D$23</f>
        <v>2.43141293094371</v>
      </c>
      <c r="V250" s="38" t="n">
        <f aca="false">N250*Scorecard!$E$18+O250*Scorecard!$E$19+P250*Scorecard!$E$20+Q250*Scorecard!$E$21+R250*Scorecard!$E$22+S250*Scorecard!$E$23</f>
        <v>3.5593021011656</v>
      </c>
    </row>
    <row r="251" customFormat="false" ht="15" hidden="false" customHeight="false" outlineLevel="0" collapsed="false">
      <c r="A251" s="0" t="n">
        <v>246</v>
      </c>
      <c r="B251" s="38" t="n">
        <f aca="false">E251*Scorecard!$C$18+F251*Scorecard!$C$19+G251*Scorecard!$C$20+H251*Scorecard!$C$21+I251*Scorecard!$C$22+J251*Scorecard!$C$23</f>
        <v>4.09508538292957</v>
      </c>
      <c r="C251" s="38" t="n">
        <f aca="false">E251*Scorecard!$D$18+F251*Scorecard!$D$19+G251*Scorecard!$D$20+H251*Scorecard!$D$21+I251*Scorecard!$D$22+J251*Scorecard!$D$23</f>
        <v>3.11935860867078</v>
      </c>
      <c r="D251" s="0" t="str">
        <f aca="false">IF(AND(B251&gt;=C251,B251&gt;=K251),"A. Distribution",IF(C251&gt;=K251,"B. Manufacturing","C. Prof. services"))</f>
        <v>A. Distribution</v>
      </c>
      <c r="E251" s="39" t="n">
        <v>0.399688497980866</v>
      </c>
      <c r="F251" s="39" t="n">
        <v>0.247149075240907</v>
      </c>
      <c r="G251" s="39" t="n">
        <v>0.0857966484626463</v>
      </c>
      <c r="H251" s="39" t="n">
        <v>0.0708843033023953</v>
      </c>
      <c r="I251" s="39" t="n">
        <v>0.140313391119454</v>
      </c>
      <c r="J251" s="39" t="n">
        <v>0.0561680838937317</v>
      </c>
      <c r="K251" s="38" t="n">
        <f aca="false">E251*Scorecard!$E$18+F251*Scorecard!$E$19+G251*Scorecard!$E$20+H251*Scorecard!$E$21+I251*Scorecard!$E$22+J251*Scorecard!$E$23</f>
        <v>3.27574845382136</v>
      </c>
      <c r="M251" s="0" t="str">
        <f aca="false">IF(AND(T251&gt;=U251,T251&gt;=V251),"A. Distribution",IF(U251&gt;=V251,"B. Manufacturing","C. Prof. services"))</f>
        <v>A. Distribution</v>
      </c>
      <c r="N251" s="39" t="n">
        <v>0.179358562999415</v>
      </c>
      <c r="O251" s="39" t="n">
        <v>0.179173494821464</v>
      </c>
      <c r="P251" s="39" t="n">
        <v>0.272476656844956</v>
      </c>
      <c r="Q251" s="39" t="n">
        <v>0.15869892336409</v>
      </c>
      <c r="R251" s="39" t="n">
        <v>0.0254528933172677</v>
      </c>
      <c r="S251" s="39" t="n">
        <v>0.184839468652808</v>
      </c>
      <c r="T251" s="38" t="n">
        <f aca="false">N251*Scorecard!$C$18+O251*Scorecard!$C$19+P251*Scorecard!$C$20+Q251*Scorecard!$C$21+R251*Scorecard!$C$22+S251*Scorecard!$C$23</f>
        <v>3.77799453537165</v>
      </c>
      <c r="U251" s="38" t="n">
        <f aca="false">N251*Scorecard!$D$18+O251*Scorecard!$D$19+P251*Scorecard!$D$20+Q251*Scorecard!$D$21+R251*Scorecard!$D$22+S251*Scorecard!$D$23</f>
        <v>2.44573064480294</v>
      </c>
      <c r="V251" s="38" t="n">
        <f aca="false">N251*Scorecard!$E$18+O251*Scorecard!$E$19+P251*Scorecard!$E$20+Q251*Scorecard!$E$21+R251*Scorecard!$E$22+S251*Scorecard!$E$23</f>
        <v>3.69422430394544</v>
      </c>
    </row>
    <row r="252" customFormat="false" ht="15" hidden="false" customHeight="false" outlineLevel="0" collapsed="false">
      <c r="A252" s="0" t="n">
        <v>247</v>
      </c>
      <c r="B252" s="38" t="n">
        <f aca="false">E252*Scorecard!$C$18+F252*Scorecard!$C$19+G252*Scorecard!$C$20+H252*Scorecard!$C$21+I252*Scorecard!$C$22+J252*Scorecard!$C$23</f>
        <v>3.93537584058276</v>
      </c>
      <c r="C252" s="38" t="n">
        <f aca="false">E252*Scorecard!$D$18+F252*Scorecard!$D$19+G252*Scorecard!$D$20+H252*Scorecard!$D$21+I252*Scorecard!$D$22+J252*Scorecard!$D$23</f>
        <v>2.58794819493532</v>
      </c>
      <c r="D252" s="0" t="str">
        <f aca="false">IF(AND(B252&gt;=C252,B252&gt;=K252),"A. Distribution",IF(C252&gt;=K252,"B. Manufacturing","C. Prof. services"))</f>
        <v>A. Distribution</v>
      </c>
      <c r="E252" s="39" t="n">
        <v>0.0152490998109962</v>
      </c>
      <c r="F252" s="39" t="n">
        <v>0.129533491491891</v>
      </c>
      <c r="G252" s="39" t="n">
        <v>0.0849183762233951</v>
      </c>
      <c r="H252" s="39" t="n">
        <v>0.383888723100345</v>
      </c>
      <c r="I252" s="39" t="n">
        <v>0.310625752008183</v>
      </c>
      <c r="J252" s="39" t="n">
        <v>0.0757845573651899</v>
      </c>
      <c r="K252" s="38" t="n">
        <f aca="false">E252*Scorecard!$E$18+F252*Scorecard!$E$19+G252*Scorecard!$E$20+H252*Scorecard!$E$21+I252*Scorecard!$E$22+J252*Scorecard!$E$23</f>
        <v>3.23214039633473</v>
      </c>
      <c r="M252" s="0" t="str">
        <f aca="false">IF(AND(T252&gt;=U252,T252&gt;=V252),"A. Distribution",IF(U252&gt;=V252,"B. Manufacturing","C. Prof. services"))</f>
        <v>A. Distribution</v>
      </c>
      <c r="N252" s="39" t="n">
        <v>0.135936622436108</v>
      </c>
      <c r="O252" s="39" t="n">
        <v>0.28089235536235</v>
      </c>
      <c r="P252" s="39" t="n">
        <v>0.133909002416387</v>
      </c>
      <c r="Q252" s="39" t="n">
        <v>0.0847981519499571</v>
      </c>
      <c r="R252" s="39" t="n">
        <v>0.142588002341471</v>
      </c>
      <c r="S252" s="39" t="n">
        <v>0.221875865493727</v>
      </c>
      <c r="T252" s="38" t="n">
        <f aca="false">N252*Scorecard!$C$18+O252*Scorecard!$C$19+P252*Scorecard!$C$20+Q252*Scorecard!$C$21+R252*Scorecard!$C$22+S252*Scorecard!$C$23</f>
        <v>3.81708966115104</v>
      </c>
      <c r="U252" s="38" t="n">
        <f aca="false">N252*Scorecard!$D$18+O252*Scorecard!$D$19+P252*Scorecard!$D$20+Q252*Scorecard!$D$21+R252*Scorecard!$D$22+S252*Scorecard!$D$23</f>
        <v>2.52782539011639</v>
      </c>
      <c r="V252" s="38" t="n">
        <f aca="false">N252*Scorecard!$E$18+O252*Scorecard!$E$19+P252*Scorecard!$E$20+Q252*Scorecard!$E$21+R252*Scorecard!$E$22+S252*Scorecard!$E$23</f>
        <v>3.44179897792154</v>
      </c>
    </row>
    <row r="253" customFormat="false" ht="15" hidden="false" customHeight="false" outlineLevel="0" collapsed="false">
      <c r="A253" s="0" t="n">
        <v>248</v>
      </c>
      <c r="B253" s="38" t="n">
        <f aca="false">E253*Scorecard!$C$18+F253*Scorecard!$C$19+G253*Scorecard!$C$20+H253*Scorecard!$C$21+I253*Scorecard!$C$22+J253*Scorecard!$C$23</f>
        <v>3.54369977492047</v>
      </c>
      <c r="C253" s="38" t="n">
        <f aca="false">E253*Scorecard!$D$18+F253*Scorecard!$D$19+G253*Scorecard!$D$20+H253*Scorecard!$D$21+I253*Scorecard!$D$22+J253*Scorecard!$D$23</f>
        <v>2.50015706321548</v>
      </c>
      <c r="D253" s="0" t="str">
        <f aca="false">IF(AND(B253&gt;=C253,B253&gt;=K253),"A. Distribution",IF(C253&gt;=K253,"B. Manufacturing","C. Prof. services"))</f>
        <v>C. Prof. services</v>
      </c>
      <c r="E253" s="39" t="n">
        <v>0.155440333053216</v>
      </c>
      <c r="F253" s="39" t="n">
        <v>0.0644705919055094</v>
      </c>
      <c r="G253" s="39" t="n">
        <v>0.235000879234533</v>
      </c>
      <c r="H253" s="39" t="n">
        <v>0.116049478489497</v>
      </c>
      <c r="I253" s="39" t="n">
        <v>0.181145409805424</v>
      </c>
      <c r="J253" s="39" t="n">
        <v>0.247893307511821</v>
      </c>
      <c r="K253" s="38" t="n">
        <f aca="false">E253*Scorecard!$E$18+F253*Scorecard!$E$19+G253*Scorecard!$E$20+H253*Scorecard!$E$21+I253*Scorecard!$E$22+J253*Scorecard!$E$23</f>
        <v>3.6292851450966</v>
      </c>
      <c r="M253" s="0" t="str">
        <f aca="false">IF(AND(T253&gt;=U253,T253&gt;=V253),"A. Distribution",IF(U253&gt;=V253,"B. Manufacturing","C. Prof. services"))</f>
        <v>A. Distribution</v>
      </c>
      <c r="N253" s="39" t="n">
        <v>0.228980095484953</v>
      </c>
      <c r="O253" s="39" t="n">
        <v>0.180940445845721</v>
      </c>
      <c r="P253" s="39" t="n">
        <v>0.171911434007784</v>
      </c>
      <c r="Q253" s="39" t="n">
        <v>0.110182633857622</v>
      </c>
      <c r="R253" s="39" t="n">
        <v>0.201666620776297</v>
      </c>
      <c r="S253" s="39" t="n">
        <v>0.106318770027622</v>
      </c>
      <c r="T253" s="38" t="n">
        <f aca="false">N253*Scorecard!$C$18+O253*Scorecard!$C$19+P253*Scorecard!$C$20+Q253*Scorecard!$C$21+R253*Scorecard!$C$22+S253*Scorecard!$C$23</f>
        <v>3.93804658965269</v>
      </c>
      <c r="U253" s="38" t="n">
        <f aca="false">N253*Scorecard!$D$18+O253*Scorecard!$D$19+P253*Scorecard!$D$20+Q253*Scorecard!$D$21+R253*Scorecard!$D$22+S253*Scorecard!$D$23</f>
        <v>2.8070936120792</v>
      </c>
      <c r="V253" s="38" t="n">
        <f aca="false">N253*Scorecard!$E$18+O253*Scorecard!$E$19+P253*Scorecard!$E$20+Q253*Scorecard!$E$21+R253*Scorecard!$E$22+S253*Scorecard!$E$23</f>
        <v>3.35021402846015</v>
      </c>
    </row>
    <row r="254" customFormat="false" ht="15" hidden="false" customHeight="false" outlineLevel="0" collapsed="false">
      <c r="A254" s="0" t="n">
        <v>249</v>
      </c>
      <c r="B254" s="38" t="n">
        <f aca="false">E254*Scorecard!$C$18+F254*Scorecard!$C$19+G254*Scorecard!$C$20+H254*Scorecard!$C$21+I254*Scorecard!$C$22+J254*Scorecard!$C$23</f>
        <v>3.9291791852993</v>
      </c>
      <c r="C254" s="38" t="n">
        <f aca="false">E254*Scorecard!$D$18+F254*Scorecard!$D$19+G254*Scorecard!$D$20+H254*Scorecard!$D$21+I254*Scorecard!$D$22+J254*Scorecard!$D$23</f>
        <v>2.58473705790373</v>
      </c>
      <c r="D254" s="0" t="str">
        <f aca="false">IF(AND(B254&gt;=C254,B254&gt;=K254),"A. Distribution",IF(C254&gt;=K254,"B. Manufacturing","C. Prof. services"))</f>
        <v>A. Distribution</v>
      </c>
      <c r="E254" s="39" t="n">
        <v>0.176996667603266</v>
      </c>
      <c r="F254" s="39" t="n">
        <v>0.377660802698939</v>
      </c>
      <c r="G254" s="39" t="n">
        <v>0.0594131025750957</v>
      </c>
      <c r="H254" s="39" t="n">
        <v>0.0954752766461324</v>
      </c>
      <c r="I254" s="39" t="n">
        <v>0.0784623458535847</v>
      </c>
      <c r="J254" s="39" t="n">
        <v>0.211991804622982</v>
      </c>
      <c r="K254" s="38" t="n">
        <f aca="false">E254*Scorecard!$E$18+F254*Scorecard!$E$19+G254*Scorecard!$E$20+H254*Scorecard!$E$21+I254*Scorecard!$E$22+J254*Scorecard!$E$23</f>
        <v>3.40403417735416</v>
      </c>
      <c r="M254" s="0" t="str">
        <f aca="false">IF(AND(T254&gt;=U254,T254&gt;=V254),"A. Distribution",IF(U254&gt;=V254,"B. Manufacturing","C. Prof. services"))</f>
        <v>A. Distribution</v>
      </c>
      <c r="N254" s="39" t="n">
        <v>0.117721490188344</v>
      </c>
      <c r="O254" s="39" t="n">
        <v>0.147528757223472</v>
      </c>
      <c r="P254" s="39" t="n">
        <v>0.289842273498027</v>
      </c>
      <c r="Q254" s="39" t="n">
        <v>0.0908008006233345</v>
      </c>
      <c r="R254" s="39" t="n">
        <v>0.17808038826187</v>
      </c>
      <c r="S254" s="39" t="n">
        <v>0.176026290204953</v>
      </c>
      <c r="T254" s="38" t="n">
        <f aca="false">N254*Scorecard!$C$18+O254*Scorecard!$C$19+P254*Scorecard!$C$20+Q254*Scorecard!$C$21+R254*Scorecard!$C$22+S254*Scorecard!$C$23</f>
        <v>3.77624085883974</v>
      </c>
      <c r="U254" s="38" t="n">
        <f aca="false">N254*Scorecard!$D$18+O254*Scorecard!$D$19+P254*Scorecard!$D$20+Q254*Scorecard!$D$21+R254*Scorecard!$D$22+S254*Scorecard!$D$23</f>
        <v>2.49231275276377</v>
      </c>
      <c r="V254" s="38" t="n">
        <f aca="false">N254*Scorecard!$E$18+O254*Scorecard!$E$19+P254*Scorecard!$E$20+Q254*Scorecard!$E$21+R254*Scorecard!$E$22+S254*Scorecard!$E$23</f>
        <v>3.52628852990953</v>
      </c>
    </row>
    <row r="255" customFormat="false" ht="15" hidden="false" customHeight="false" outlineLevel="0" collapsed="false">
      <c r="A255" s="0" t="n">
        <v>250</v>
      </c>
      <c r="B255" s="38" t="n">
        <f aca="false">E255*Scorecard!$C$18+F255*Scorecard!$C$19+G255*Scorecard!$C$20+H255*Scorecard!$C$21+I255*Scorecard!$C$22+J255*Scorecard!$C$23</f>
        <v>3.71610017061141</v>
      </c>
      <c r="C255" s="38" t="n">
        <f aca="false">E255*Scorecard!$D$18+F255*Scorecard!$D$19+G255*Scorecard!$D$20+H255*Scorecard!$D$21+I255*Scorecard!$D$22+J255*Scorecard!$D$23</f>
        <v>2.90738110991287</v>
      </c>
      <c r="D255" s="0" t="str">
        <f aca="false">IF(AND(B255&gt;=C255,B255&gt;=K255),"A. Distribution",IF(C255&gt;=K255,"B. Manufacturing","C. Prof. services"))</f>
        <v>A. Distribution</v>
      </c>
      <c r="E255" s="39" t="n">
        <v>0.269399207427762</v>
      </c>
      <c r="F255" s="39" t="n">
        <v>0.182414137311306</v>
      </c>
      <c r="G255" s="39" t="n">
        <v>0.00618199465286239</v>
      </c>
      <c r="H255" s="39" t="n">
        <v>0.0524091035506726</v>
      </c>
      <c r="I255" s="39" t="n">
        <v>0.270076725889635</v>
      </c>
      <c r="J255" s="39" t="n">
        <v>0.219518831167762</v>
      </c>
      <c r="K255" s="38" t="n">
        <f aca="false">E255*Scorecard!$E$18+F255*Scorecard!$E$19+G255*Scorecard!$E$20+H255*Scorecard!$E$21+I255*Scorecard!$E$22+J255*Scorecard!$E$23</f>
        <v>3.2897200278206</v>
      </c>
      <c r="M255" s="0" t="str">
        <f aca="false">IF(AND(T255&gt;=U255,T255&gt;=V255),"A. Distribution",IF(U255&gt;=V255,"B. Manufacturing","C. Prof. services"))</f>
        <v>A. Distribution</v>
      </c>
      <c r="N255" s="39" t="n">
        <v>0.217972363706756</v>
      </c>
      <c r="O255" s="39" t="n">
        <v>0.100703063802433</v>
      </c>
      <c r="P255" s="39" t="n">
        <v>0.120262341383975</v>
      </c>
      <c r="Q255" s="39" t="n">
        <v>0.167228960097789</v>
      </c>
      <c r="R255" s="39" t="n">
        <v>0.313564426439449</v>
      </c>
      <c r="S255" s="39" t="n">
        <v>0.0802688445695979</v>
      </c>
      <c r="T255" s="38" t="n">
        <f aca="false">N255*Scorecard!$C$18+O255*Scorecard!$C$19+P255*Scorecard!$C$20+Q255*Scorecard!$C$21+R255*Scorecard!$C$22+S255*Scorecard!$C$23</f>
        <v>3.90464605864793</v>
      </c>
      <c r="U255" s="38" t="n">
        <f aca="false">N255*Scorecard!$D$18+O255*Scorecard!$D$19+P255*Scorecard!$D$20+Q255*Scorecard!$D$21+R255*Scorecard!$D$22+S255*Scorecard!$D$23</f>
        <v>2.92120136688073</v>
      </c>
      <c r="V255" s="38" t="n">
        <f aca="false">N255*Scorecard!$E$18+O255*Scorecard!$E$19+P255*Scorecard!$E$20+Q255*Scorecard!$E$21+R255*Scorecard!$E$22+S255*Scorecard!$E$23</f>
        <v>3.23345160134229</v>
      </c>
    </row>
    <row r="256" customFormat="false" ht="15" hidden="false" customHeight="false" outlineLevel="0" collapsed="false">
      <c r="A256" s="0" t="n">
        <v>251</v>
      </c>
      <c r="B256" s="38" t="n">
        <f aca="false">E256*Scorecard!$C$18+F256*Scorecard!$C$19+G256*Scorecard!$C$20+H256*Scorecard!$C$21+I256*Scorecard!$C$22+J256*Scorecard!$C$23</f>
        <v>3.80065911789365</v>
      </c>
      <c r="C256" s="38" t="n">
        <f aca="false">E256*Scorecard!$D$18+F256*Scorecard!$D$19+G256*Scorecard!$D$20+H256*Scorecard!$D$21+I256*Scorecard!$D$22+J256*Scorecard!$D$23</f>
        <v>2.44959812154301</v>
      </c>
      <c r="D256" s="0" t="str">
        <f aca="false">IF(AND(B256&gt;=C256,B256&gt;=K256),"A. Distribution",IF(C256&gt;=K256,"B. Manufacturing","C. Prof. services"))</f>
        <v>A. Distribution</v>
      </c>
      <c r="E256" s="39" t="n">
        <v>0.0724326550628287</v>
      </c>
      <c r="F256" s="39" t="n">
        <v>0.0829330627599971</v>
      </c>
      <c r="G256" s="39" t="n">
        <v>0.342652609313858</v>
      </c>
      <c r="H256" s="39" t="n">
        <v>0.16637988189443</v>
      </c>
      <c r="I256" s="39" t="n">
        <v>0.206336275514638</v>
      </c>
      <c r="J256" s="39" t="n">
        <v>0.129265515454248</v>
      </c>
      <c r="K256" s="38" t="n">
        <f aca="false">E256*Scorecard!$E$18+F256*Scorecard!$E$19+G256*Scorecard!$E$20+H256*Scorecard!$E$21+I256*Scorecard!$E$22+J256*Scorecard!$E$23</f>
        <v>3.53095724344175</v>
      </c>
      <c r="M256" s="0" t="str">
        <f aca="false">IF(AND(T256&gt;=U256,T256&gt;=V256),"A. Distribution",IF(U256&gt;=V256,"B. Manufacturing","C. Prof. services"))</f>
        <v>A. Distribution</v>
      </c>
      <c r="N256" s="39" t="n">
        <v>0.258577898973624</v>
      </c>
      <c r="O256" s="39" t="n">
        <v>0.216348768409215</v>
      </c>
      <c r="P256" s="39" t="n">
        <v>0.135476716738149</v>
      </c>
      <c r="Q256" s="39" t="n">
        <v>0.201942857062693</v>
      </c>
      <c r="R256" s="39" t="n">
        <v>0.0514371175134818</v>
      </c>
      <c r="S256" s="39" t="n">
        <v>0.136216641302837</v>
      </c>
      <c r="T256" s="38" t="n">
        <f aca="false">N256*Scorecard!$C$18+O256*Scorecard!$C$19+P256*Scorecard!$C$20+Q256*Scorecard!$C$21+R256*Scorecard!$C$22+S256*Scorecard!$C$23</f>
        <v>3.90139563967427</v>
      </c>
      <c r="U256" s="38" t="n">
        <f aca="false">N256*Scorecard!$D$18+O256*Scorecard!$D$19+P256*Scorecard!$D$20+Q256*Scorecard!$D$21+R256*Scorecard!$D$22+S256*Scorecard!$D$23</f>
        <v>2.69730869103217</v>
      </c>
      <c r="V256" s="38" t="n">
        <f aca="false">N256*Scorecard!$E$18+O256*Scorecard!$E$19+P256*Scorecard!$E$20+Q256*Scorecard!$E$21+R256*Scorecard!$E$22+S256*Scorecard!$E$23</f>
        <v>3.52841127748932</v>
      </c>
    </row>
    <row r="257" customFormat="false" ht="15" hidden="false" customHeight="false" outlineLevel="0" collapsed="false">
      <c r="A257" s="0" t="n">
        <v>252</v>
      </c>
      <c r="B257" s="38" t="n">
        <f aca="false">E257*Scorecard!$C$18+F257*Scorecard!$C$19+G257*Scorecard!$C$20+H257*Scorecard!$C$21+I257*Scorecard!$C$22+J257*Scorecard!$C$23</f>
        <v>4.19242750804444</v>
      </c>
      <c r="C257" s="38" t="n">
        <f aca="false">E257*Scorecard!$D$18+F257*Scorecard!$D$19+G257*Scorecard!$D$20+H257*Scorecard!$D$21+I257*Scorecard!$D$22+J257*Scorecard!$D$23</f>
        <v>2.55778411900026</v>
      </c>
      <c r="D257" s="0" t="str">
        <f aca="false">IF(AND(B257&gt;=C257,B257&gt;=K257),"A. Distribution",IF(C257&gt;=K257,"B. Manufacturing","C. Prof. services"))</f>
        <v>A. Distribution</v>
      </c>
      <c r="E257" s="39" t="n">
        <v>0.155888549688182</v>
      </c>
      <c r="F257" s="39" t="n">
        <v>0.254965268443574</v>
      </c>
      <c r="G257" s="39" t="n">
        <v>0.383504523648903</v>
      </c>
      <c r="H257" s="39" t="n">
        <v>0.128462086658389</v>
      </c>
      <c r="I257" s="39" t="n">
        <v>0.0590895181824194</v>
      </c>
      <c r="J257" s="39" t="n">
        <v>0.0180900533785332</v>
      </c>
      <c r="K257" s="38" t="n">
        <f aca="false">E257*Scorecard!$E$18+F257*Scorecard!$E$19+G257*Scorecard!$E$20+H257*Scorecard!$E$21+I257*Scorecard!$E$22+J257*Scorecard!$E$23</f>
        <v>3.48580932292693</v>
      </c>
      <c r="M257" s="0" t="str">
        <f aca="false">IF(AND(T257&gt;=U257,T257&gt;=V257),"A. Distribution",IF(U257&gt;=V257,"B. Manufacturing","C. Prof. services"))</f>
        <v>A. Distribution</v>
      </c>
      <c r="N257" s="39" t="n">
        <v>0.2995425971466</v>
      </c>
      <c r="O257" s="39" t="n">
        <v>0.190551937411821</v>
      </c>
      <c r="P257" s="39" t="n">
        <v>0.15041221821453</v>
      </c>
      <c r="Q257" s="39" t="n">
        <v>0.140236388943048</v>
      </c>
      <c r="R257" s="39" t="n">
        <v>0.122709530788234</v>
      </c>
      <c r="S257" s="39" t="n">
        <v>0.0965473274957671</v>
      </c>
      <c r="T257" s="38" t="n">
        <f aca="false">N257*Scorecard!$C$18+O257*Scorecard!$C$19+P257*Scorecard!$C$20+Q257*Scorecard!$C$21+R257*Scorecard!$C$22+S257*Scorecard!$C$23</f>
        <v>3.95829742106442</v>
      </c>
      <c r="U257" s="38" t="n">
        <f aca="false">N257*Scorecard!$D$18+O257*Scorecard!$D$19+P257*Scorecard!$D$20+Q257*Scorecard!$D$21+R257*Scorecard!$D$22+S257*Scorecard!$D$23</f>
        <v>2.86335314881362</v>
      </c>
      <c r="V257" s="38" t="n">
        <f aca="false">N257*Scorecard!$E$18+O257*Scorecard!$E$19+P257*Scorecard!$E$20+Q257*Scorecard!$E$21+R257*Scorecard!$E$22+S257*Scorecard!$E$23</f>
        <v>3.42032523124869</v>
      </c>
    </row>
    <row r="258" customFormat="false" ht="15" hidden="false" customHeight="false" outlineLevel="0" collapsed="false">
      <c r="A258" s="0" t="n">
        <v>253</v>
      </c>
      <c r="B258" s="38" t="n">
        <f aca="false">E258*Scorecard!$C$18+F258*Scorecard!$C$19+G258*Scorecard!$C$20+H258*Scorecard!$C$21+I258*Scorecard!$C$22+J258*Scorecard!$C$23</f>
        <v>3.90504620103033</v>
      </c>
      <c r="C258" s="38" t="n">
        <f aca="false">E258*Scorecard!$D$18+F258*Scorecard!$D$19+G258*Scorecard!$D$20+H258*Scorecard!$D$21+I258*Scorecard!$D$22+J258*Scorecard!$D$23</f>
        <v>2.27969367602383</v>
      </c>
      <c r="D258" s="0" t="str">
        <f aca="false">IF(AND(B258&gt;=C258,B258&gt;=K258),"A. Distribution",IF(C258&gt;=K258,"B. Manufacturing","C. Prof. services"))</f>
        <v>A. Distribution</v>
      </c>
      <c r="E258" s="39" t="n">
        <v>0.0046617494676451</v>
      </c>
      <c r="F258" s="39" t="n">
        <v>0.395326121838261</v>
      </c>
      <c r="G258" s="39" t="n">
        <v>0.17273074046519</v>
      </c>
      <c r="H258" s="39" t="n">
        <v>0.0634776339214574</v>
      </c>
      <c r="I258" s="39" t="n">
        <v>0.122270808463414</v>
      </c>
      <c r="J258" s="39" t="n">
        <v>0.241532945844033</v>
      </c>
      <c r="K258" s="38" t="n">
        <f aca="false">E258*Scorecard!$E$18+F258*Scorecard!$E$19+G258*Scorecard!$E$20+H258*Scorecard!$E$21+I258*Scorecard!$E$22+J258*Scorecard!$E$23</f>
        <v>3.42130485577796</v>
      </c>
      <c r="M258" s="0" t="str">
        <f aca="false">IF(AND(T258&gt;=U258,T258&gt;=V258),"A. Distribution",IF(U258&gt;=V258,"B. Manufacturing","C. Prof. services"))</f>
        <v>A. Distribution</v>
      </c>
      <c r="N258" s="39" t="n">
        <v>0.212627637096464</v>
      </c>
      <c r="O258" s="39" t="n">
        <v>0.195818890055299</v>
      </c>
      <c r="P258" s="39" t="n">
        <v>0.111258314163278</v>
      </c>
      <c r="Q258" s="39" t="n">
        <v>0.0959484797229885</v>
      </c>
      <c r="R258" s="39" t="n">
        <v>0.3012930345951</v>
      </c>
      <c r="S258" s="39" t="n">
        <v>0.0830536443668701</v>
      </c>
      <c r="T258" s="38" t="n">
        <f aca="false">N258*Scorecard!$C$18+O258*Scorecard!$C$19+P258*Scorecard!$C$20+Q258*Scorecard!$C$21+R258*Scorecard!$C$22+S258*Scorecard!$C$23</f>
        <v>4.00230190974024</v>
      </c>
      <c r="U258" s="38" t="n">
        <f aca="false">N258*Scorecard!$D$18+O258*Scorecard!$D$19+P258*Scorecard!$D$20+Q258*Scorecard!$D$21+R258*Scorecard!$D$22+S258*Scorecard!$D$23</f>
        <v>2.92219433497001</v>
      </c>
      <c r="V258" s="38" t="n">
        <f aca="false">N258*Scorecard!$E$18+O258*Scorecard!$E$19+P258*Scorecard!$E$20+Q258*Scorecard!$E$21+R258*Scorecard!$E$22+S258*Scorecard!$E$23</f>
        <v>3.16758003746356</v>
      </c>
    </row>
    <row r="259" customFormat="false" ht="15" hidden="false" customHeight="false" outlineLevel="0" collapsed="false">
      <c r="A259" s="0" t="n">
        <v>254</v>
      </c>
      <c r="B259" s="38" t="n">
        <f aca="false">E259*Scorecard!$C$18+F259*Scorecard!$C$19+G259*Scorecard!$C$20+H259*Scorecard!$C$21+I259*Scorecard!$C$22+J259*Scorecard!$C$23</f>
        <v>3.755154607345</v>
      </c>
      <c r="C259" s="38" t="n">
        <f aca="false">E259*Scorecard!$D$18+F259*Scorecard!$D$19+G259*Scorecard!$D$20+H259*Scorecard!$D$21+I259*Scorecard!$D$22+J259*Scorecard!$D$23</f>
        <v>3.09920221486922</v>
      </c>
      <c r="D259" s="0" t="str">
        <f aca="false">IF(AND(B259&gt;=C259,B259&gt;=K259),"A. Distribution",IF(C259&gt;=K259,"B. Manufacturing","C. Prof. services"))</f>
        <v>A. Distribution</v>
      </c>
      <c r="E259" s="39" t="n">
        <v>0.306568050603203</v>
      </c>
      <c r="F259" s="39" t="n">
        <v>0.0174570983811612</v>
      </c>
      <c r="G259" s="39" t="n">
        <v>0.0715651051424095</v>
      </c>
      <c r="H259" s="39" t="n">
        <v>0.125566774144695</v>
      </c>
      <c r="I259" s="39" t="n">
        <v>0.366763352576429</v>
      </c>
      <c r="J259" s="39" t="n">
        <v>0.112079619152102</v>
      </c>
      <c r="K259" s="38" t="n">
        <f aca="false">E259*Scorecard!$E$18+F259*Scorecard!$E$19+G259*Scorecard!$E$20+H259*Scorecard!$E$21+I259*Scorecard!$E$22+J259*Scorecard!$E$23</f>
        <v>3.22953291913512</v>
      </c>
      <c r="M259" s="0" t="str">
        <f aca="false">IF(AND(T259&gt;=U259,T259&gt;=V259),"A. Distribution",IF(U259&gt;=V259,"B. Manufacturing","C. Prof. services"))</f>
        <v>A. Distribution</v>
      </c>
      <c r="N259" s="39" t="n">
        <v>0.176275093255448</v>
      </c>
      <c r="O259" s="39" t="n">
        <v>0.162603018991739</v>
      </c>
      <c r="P259" s="39" t="n">
        <v>0.344313443648676</v>
      </c>
      <c r="Q259" s="39" t="n">
        <v>0.0975240446642085</v>
      </c>
      <c r="R259" s="39" t="n">
        <v>0.093890516748762</v>
      </c>
      <c r="S259" s="39" t="n">
        <v>0.125393882691167</v>
      </c>
      <c r="T259" s="38" t="n">
        <f aca="false">N259*Scorecard!$C$18+O259*Scorecard!$C$19+P259*Scorecard!$C$20+Q259*Scorecard!$C$21+R259*Scorecard!$C$22+S259*Scorecard!$C$23</f>
        <v>3.8871544223746</v>
      </c>
      <c r="U259" s="38" t="n">
        <f aca="false">N259*Scorecard!$D$18+O259*Scorecard!$D$19+P259*Scorecard!$D$20+Q259*Scorecard!$D$21+R259*Scorecard!$D$22+S259*Scorecard!$D$23</f>
        <v>2.53380339594831</v>
      </c>
      <c r="V259" s="38" t="n">
        <f aca="false">N259*Scorecard!$E$18+O259*Scorecard!$E$19+P259*Scorecard!$E$20+Q259*Scorecard!$E$21+R259*Scorecard!$E$22+S259*Scorecard!$E$23</f>
        <v>3.59179572814298</v>
      </c>
    </row>
    <row r="260" customFormat="false" ht="15" hidden="false" customHeight="false" outlineLevel="0" collapsed="false">
      <c r="A260" s="0" t="n">
        <v>255</v>
      </c>
      <c r="B260" s="38" t="n">
        <f aca="false">E260*Scorecard!$C$18+F260*Scorecard!$C$19+G260*Scorecard!$C$20+H260*Scorecard!$C$21+I260*Scorecard!$C$22+J260*Scorecard!$C$23</f>
        <v>4.05628752878261</v>
      </c>
      <c r="C260" s="38" t="n">
        <f aca="false">E260*Scorecard!$D$18+F260*Scorecard!$D$19+G260*Scorecard!$D$20+H260*Scorecard!$D$21+I260*Scorecard!$D$22+J260*Scorecard!$D$23</f>
        <v>2.91366253902292</v>
      </c>
      <c r="D260" s="0" t="str">
        <f aca="false">IF(AND(B260&gt;=C260,B260&gt;=K260),"A. Distribution",IF(C260&gt;=K260,"B. Manufacturing","C. Prof. services"))</f>
        <v>A. Distribution</v>
      </c>
      <c r="E260" s="39" t="n">
        <v>0.164874627879457</v>
      </c>
      <c r="F260" s="39" t="n">
        <v>0.194731388832199</v>
      </c>
      <c r="G260" s="39" t="n">
        <v>0.0596495762226302</v>
      </c>
      <c r="H260" s="39" t="n">
        <v>0.1938334964996</v>
      </c>
      <c r="I260" s="39" t="n">
        <v>0.334750442852417</v>
      </c>
      <c r="J260" s="39" t="n">
        <v>0.0521604677136968</v>
      </c>
      <c r="K260" s="38" t="n">
        <f aca="false">E260*Scorecard!$E$18+F260*Scorecard!$E$19+G260*Scorecard!$E$20+H260*Scorecard!$E$21+I260*Scorecard!$E$22+J260*Scorecard!$E$23</f>
        <v>3.08953068863816</v>
      </c>
      <c r="M260" s="0" t="str">
        <f aca="false">IF(AND(T260&gt;=U260,T260&gt;=V260),"A. Distribution",IF(U260&gt;=V260,"B. Manufacturing","C. Prof. services"))</f>
        <v>A. Distribution</v>
      </c>
      <c r="N260" s="39" t="n">
        <v>0.191464632349701</v>
      </c>
      <c r="O260" s="39" t="n">
        <v>0.221964565069011</v>
      </c>
      <c r="P260" s="39" t="n">
        <v>0.216191011072651</v>
      </c>
      <c r="Q260" s="39" t="n">
        <v>0.200356951381563</v>
      </c>
      <c r="R260" s="39" t="n">
        <v>0.0631722980953515</v>
      </c>
      <c r="S260" s="39" t="n">
        <v>0.106850542031722</v>
      </c>
      <c r="T260" s="38" t="n">
        <f aca="false">N260*Scorecard!$C$18+O260*Scorecard!$C$19+P260*Scorecard!$C$20+Q260*Scorecard!$C$21+R260*Scorecard!$C$22+S260*Scorecard!$C$23</f>
        <v>3.9713028246695</v>
      </c>
      <c r="U260" s="38" t="n">
        <f aca="false">N260*Scorecard!$D$18+O260*Scorecard!$D$19+P260*Scorecard!$D$20+Q260*Scorecard!$D$21+R260*Scorecard!$D$22+S260*Scorecard!$D$23</f>
        <v>2.59435795197031</v>
      </c>
      <c r="V260" s="38" t="n">
        <f aca="false">N260*Scorecard!$E$18+O260*Scorecard!$E$19+P260*Scorecard!$E$20+Q260*Scorecard!$E$21+R260*Scorecard!$E$22+S260*Scorecard!$E$23</f>
        <v>3.52153132230716</v>
      </c>
    </row>
    <row r="261" customFormat="false" ht="15" hidden="false" customHeight="false" outlineLevel="0" collapsed="false">
      <c r="A261" s="0" t="n">
        <v>256</v>
      </c>
      <c r="B261" s="38" t="n">
        <f aca="false">E261*Scorecard!$C$18+F261*Scorecard!$C$19+G261*Scorecard!$C$20+H261*Scorecard!$C$21+I261*Scorecard!$C$22+J261*Scorecard!$C$23</f>
        <v>2.96598409695995</v>
      </c>
      <c r="C261" s="38" t="n">
        <f aca="false">E261*Scorecard!$D$18+F261*Scorecard!$D$19+G261*Scorecard!$D$20+H261*Scorecard!$D$21+I261*Scorecard!$D$22+J261*Scorecard!$D$23</f>
        <v>2.52998699173397</v>
      </c>
      <c r="D261" s="0" t="str">
        <f aca="false">IF(AND(B261&gt;=C261,B261&gt;=K261),"A. Distribution",IF(C261&gt;=K261,"B. Manufacturing","C. Prof. services"))</f>
        <v>C. Prof. services</v>
      </c>
      <c r="E261" s="39" t="n">
        <v>0.372151700765161</v>
      </c>
      <c r="F261" s="39" t="n">
        <v>0.0152253237705285</v>
      </c>
      <c r="G261" s="39" t="n">
        <v>0.0674027964326503</v>
      </c>
      <c r="H261" s="39" t="n">
        <v>0.0250548741983851</v>
      </c>
      <c r="I261" s="39" t="n">
        <v>0.0118339594727639</v>
      </c>
      <c r="J261" s="39" t="n">
        <v>0.508331345360511</v>
      </c>
      <c r="K261" s="38" t="n">
        <f aca="false">E261*Scorecard!$E$18+F261*Scorecard!$E$19+G261*Scorecard!$E$20+H261*Scorecard!$E$21+I261*Scorecard!$E$22+J261*Scorecard!$E$23</f>
        <v>4.02197069164702</v>
      </c>
      <c r="M261" s="0" t="str">
        <f aca="false">IF(AND(T261&gt;=U261,T261&gt;=V261),"A. Distribution",IF(U261&gt;=V261,"B. Manufacturing","C. Prof. services"))</f>
        <v>A. Distribution</v>
      </c>
      <c r="N261" s="39" t="n">
        <v>0.147405874207532</v>
      </c>
      <c r="O261" s="39" t="n">
        <v>0.0807068087431216</v>
      </c>
      <c r="P261" s="39" t="n">
        <v>0.257532823057037</v>
      </c>
      <c r="Q261" s="39" t="n">
        <v>0.189885387411874</v>
      </c>
      <c r="R261" s="39" t="n">
        <v>0.1538881501632</v>
      </c>
      <c r="S261" s="39" t="n">
        <v>0.170580956417236</v>
      </c>
      <c r="T261" s="38" t="n">
        <f aca="false">N261*Scorecard!$C$18+O261*Scorecard!$C$19+P261*Scorecard!$C$20+Q261*Scorecard!$C$21+R261*Scorecard!$C$22+S261*Scorecard!$C$23</f>
        <v>3.70724989219796</v>
      </c>
      <c r="U261" s="38" t="n">
        <f aca="false">N261*Scorecard!$D$18+O261*Scorecard!$D$19+P261*Scorecard!$D$20+Q261*Scorecard!$D$21+R261*Scorecard!$D$22+S261*Scorecard!$D$23</f>
        <v>2.5163972092272</v>
      </c>
      <c r="V261" s="38" t="n">
        <f aca="false">N261*Scorecard!$E$18+O261*Scorecard!$E$19+P261*Scorecard!$E$20+Q261*Scorecard!$E$21+R261*Scorecard!$E$22+S261*Scorecard!$E$23</f>
        <v>3.59651686683122</v>
      </c>
    </row>
    <row r="262" customFormat="false" ht="15" hidden="false" customHeight="false" outlineLevel="0" collapsed="false">
      <c r="A262" s="0" t="n">
        <v>257</v>
      </c>
      <c r="B262" s="38" t="n">
        <f aca="false">E262*Scorecard!$C$18+F262*Scorecard!$C$19+G262*Scorecard!$C$20+H262*Scorecard!$C$21+I262*Scorecard!$C$22+J262*Scorecard!$C$23</f>
        <v>4.01008252930452</v>
      </c>
      <c r="C262" s="38" t="n">
        <f aca="false">E262*Scorecard!$D$18+F262*Scorecard!$D$19+G262*Scorecard!$D$20+H262*Scorecard!$D$21+I262*Scorecard!$D$22+J262*Scorecard!$D$23</f>
        <v>2.48089403260378</v>
      </c>
      <c r="D262" s="0" t="str">
        <f aca="false">IF(AND(B262&gt;=C262,B262&gt;=K262),"A. Distribution",IF(C262&gt;=K262,"B. Manufacturing","C. Prof. services"))</f>
        <v>A. Distribution</v>
      </c>
      <c r="E262" s="39" t="n">
        <v>0.112115530599393</v>
      </c>
      <c r="F262" s="39" t="n">
        <v>0.254501429459114</v>
      </c>
      <c r="G262" s="39" t="n">
        <v>0.347021572963171</v>
      </c>
      <c r="H262" s="39" t="n">
        <v>0.0496706255119321</v>
      </c>
      <c r="I262" s="39" t="n">
        <v>0.121658107924954</v>
      </c>
      <c r="J262" s="39" t="n">
        <v>0.115032733541436</v>
      </c>
      <c r="K262" s="38" t="n">
        <f aca="false">E262*Scorecard!$E$18+F262*Scorecard!$E$19+G262*Scorecard!$E$20+H262*Scorecard!$E$21+I262*Scorecard!$E$22+J262*Scorecard!$E$23</f>
        <v>3.47820936668453</v>
      </c>
      <c r="M262" s="0" t="str">
        <f aca="false">IF(AND(T262&gt;=U262,T262&gt;=V262),"A. Distribution",IF(U262&gt;=V262,"B. Manufacturing","C. Prof. services"))</f>
        <v>A. Distribution</v>
      </c>
      <c r="N262" s="39" t="n">
        <v>0.148947677554989</v>
      </c>
      <c r="O262" s="39" t="n">
        <v>0.276708330966821</v>
      </c>
      <c r="P262" s="39" t="n">
        <v>0.198523086880834</v>
      </c>
      <c r="Q262" s="39" t="n">
        <v>0.149620646643399</v>
      </c>
      <c r="R262" s="39" t="n">
        <v>0.0534503091426569</v>
      </c>
      <c r="S262" s="39" t="n">
        <v>0.172749948811301</v>
      </c>
      <c r="T262" s="38" t="n">
        <f aca="false">N262*Scorecard!$C$18+O262*Scorecard!$C$19+P262*Scorecard!$C$20+Q262*Scorecard!$C$21+R262*Scorecard!$C$22+S262*Scorecard!$C$23</f>
        <v>3.90312819266523</v>
      </c>
      <c r="U262" s="38" t="n">
        <f aca="false">N262*Scorecard!$D$18+O262*Scorecard!$D$19+P262*Scorecard!$D$20+Q262*Scorecard!$D$21+R262*Scorecard!$D$22+S262*Scorecard!$D$23</f>
        <v>2.47659570356233</v>
      </c>
      <c r="V262" s="38" t="n">
        <f aca="false">N262*Scorecard!$E$18+O262*Scorecard!$E$19+P262*Scorecard!$E$20+Q262*Scorecard!$E$21+R262*Scorecard!$E$22+S262*Scorecard!$E$23</f>
        <v>3.54309607351302</v>
      </c>
    </row>
    <row r="263" customFormat="false" ht="15" hidden="false" customHeight="false" outlineLevel="0" collapsed="false">
      <c r="A263" s="0" t="n">
        <v>258</v>
      </c>
      <c r="B263" s="38" t="n">
        <f aca="false">E263*Scorecard!$C$18+F263*Scorecard!$C$19+G263*Scorecard!$C$20+H263*Scorecard!$C$21+I263*Scorecard!$C$22+J263*Scorecard!$C$23</f>
        <v>3.86302633217226</v>
      </c>
      <c r="C263" s="38" t="n">
        <f aca="false">E263*Scorecard!$D$18+F263*Scorecard!$D$19+G263*Scorecard!$D$20+H263*Scorecard!$D$21+I263*Scorecard!$D$22+J263*Scorecard!$D$23</f>
        <v>2.52580617772765</v>
      </c>
      <c r="D263" s="0" t="str">
        <f aca="false">IF(AND(B263&gt;=C263,B263&gt;=K263),"A. Distribution",IF(C263&gt;=K263,"B. Manufacturing","C. Prof. services"))</f>
        <v>A. Distribution</v>
      </c>
      <c r="E263" s="39" t="n">
        <v>0.0853473496072718</v>
      </c>
      <c r="F263" s="39" t="n">
        <v>0.150950971671563</v>
      </c>
      <c r="G263" s="39" t="n">
        <v>0.0928682271745999</v>
      </c>
      <c r="H263" s="39" t="n">
        <v>0.38591690045218</v>
      </c>
      <c r="I263" s="39" t="n">
        <v>0.165171749178202</v>
      </c>
      <c r="J263" s="39" t="n">
        <v>0.119744801916183</v>
      </c>
      <c r="K263" s="38" t="n">
        <f aca="false">E263*Scorecard!$E$18+F263*Scorecard!$E$19+G263*Scorecard!$E$20+H263*Scorecard!$E$21+I263*Scorecard!$E$22+J263*Scorecard!$E$23</f>
        <v>3.43523336977909</v>
      </c>
      <c r="M263" s="0" t="str">
        <f aca="false">IF(AND(T263&gt;=U263,T263&gt;=V263),"A. Distribution",IF(U263&gt;=V263,"B. Manufacturing","C. Prof. services"))</f>
        <v>A. Distribution</v>
      </c>
      <c r="N263" s="39" t="n">
        <v>0.224007142668923</v>
      </c>
      <c r="O263" s="39" t="n">
        <v>0.244937621440497</v>
      </c>
      <c r="P263" s="39" t="n">
        <v>0.12589862125551</v>
      </c>
      <c r="Q263" s="39" t="n">
        <v>0.159505984617599</v>
      </c>
      <c r="R263" s="39" t="n">
        <v>0.129478143793459</v>
      </c>
      <c r="S263" s="39" t="n">
        <v>0.116172486224013</v>
      </c>
      <c r="T263" s="38" t="n">
        <f aca="false">N263*Scorecard!$C$18+O263*Scorecard!$C$19+P263*Scorecard!$C$20+Q263*Scorecard!$C$21+R263*Scorecard!$C$22+S263*Scorecard!$C$23</f>
        <v>3.97742097519534</v>
      </c>
      <c r="U263" s="38" t="n">
        <f aca="false">N263*Scorecard!$D$18+O263*Scorecard!$D$19+P263*Scorecard!$D$20+Q263*Scorecard!$D$21+R263*Scorecard!$D$22+S263*Scorecard!$D$23</f>
        <v>2.74417872314609</v>
      </c>
      <c r="V263" s="38" t="n">
        <f aca="false">N263*Scorecard!$E$18+O263*Scorecard!$E$19+P263*Scorecard!$E$20+Q263*Scorecard!$E$21+R263*Scorecard!$E$22+S263*Scorecard!$E$23</f>
        <v>3.38530804278041</v>
      </c>
    </row>
    <row r="264" customFormat="false" ht="15" hidden="false" customHeight="false" outlineLevel="0" collapsed="false">
      <c r="A264" s="0" t="n">
        <v>259</v>
      </c>
      <c r="B264" s="38" t="n">
        <f aca="false">E264*Scorecard!$C$18+F264*Scorecard!$C$19+G264*Scorecard!$C$20+H264*Scorecard!$C$21+I264*Scorecard!$C$22+J264*Scorecard!$C$23</f>
        <v>4.20523110610526</v>
      </c>
      <c r="C264" s="38" t="n">
        <f aca="false">E264*Scorecard!$D$18+F264*Scorecard!$D$19+G264*Scorecard!$D$20+H264*Scorecard!$D$21+I264*Scorecard!$D$22+J264*Scorecard!$D$23</f>
        <v>2.96318126138562</v>
      </c>
      <c r="D264" s="0" t="str">
        <f aca="false">IF(AND(B264&gt;=C264,B264&gt;=K264),"A. Distribution",IF(C264&gt;=K264,"B. Manufacturing","C. Prof. services"))</f>
        <v>A. Distribution</v>
      </c>
      <c r="E264" s="39" t="n">
        <v>0.0427966172575069</v>
      </c>
      <c r="F264" s="39" t="n">
        <v>0.236918466213719</v>
      </c>
      <c r="G264" s="39" t="n">
        <v>0.0802707567937309</v>
      </c>
      <c r="H264" s="39" t="n">
        <v>0.0810484904992347</v>
      </c>
      <c r="I264" s="39" t="n">
        <v>0.549206501509816</v>
      </c>
      <c r="J264" s="39" t="n">
        <v>0.00975916772599204</v>
      </c>
      <c r="K264" s="38" t="n">
        <f aca="false">E264*Scorecard!$E$18+F264*Scorecard!$E$19+G264*Scorecard!$E$20+H264*Scorecard!$E$21+I264*Scorecard!$E$22+J264*Scorecard!$E$23</f>
        <v>2.75839318406619</v>
      </c>
      <c r="M264" s="0" t="str">
        <f aca="false">IF(AND(T264&gt;=U264,T264&gt;=V264),"A. Distribution",IF(U264&gt;=V264,"B. Manufacturing","C. Prof. services"))</f>
        <v>A. Distribution</v>
      </c>
      <c r="N264" s="39" t="n">
        <v>0.166304146559762</v>
      </c>
      <c r="O264" s="39" t="n">
        <v>0.288350938049443</v>
      </c>
      <c r="P264" s="39" t="n">
        <v>0.251069968245362</v>
      </c>
      <c r="Q264" s="39" t="n">
        <v>0.0971272340681621</v>
      </c>
      <c r="R264" s="39" t="n">
        <v>0.140406358733875</v>
      </c>
      <c r="S264" s="39" t="n">
        <v>0.0567413543433967</v>
      </c>
      <c r="T264" s="38" t="n">
        <f aca="false">N264*Scorecard!$C$18+O264*Scorecard!$C$19+P264*Scorecard!$C$20+Q264*Scorecard!$C$21+R264*Scorecard!$C$22+S264*Scorecard!$C$23</f>
        <v>4.15105068982488</v>
      </c>
      <c r="U264" s="38" t="n">
        <f aca="false">N264*Scorecard!$D$18+O264*Scorecard!$D$19+P264*Scorecard!$D$20+Q264*Scorecard!$D$21+R264*Scorecard!$D$22+S264*Scorecard!$D$23</f>
        <v>2.67648246675805</v>
      </c>
      <c r="V264" s="38" t="n">
        <f aca="false">N264*Scorecard!$E$18+O264*Scorecard!$E$19+P264*Scorecard!$E$20+Q264*Scorecard!$E$21+R264*Scorecard!$E$22+S264*Scorecard!$E$23</f>
        <v>3.33473543665996</v>
      </c>
    </row>
    <row r="265" customFormat="false" ht="15" hidden="false" customHeight="false" outlineLevel="0" collapsed="false">
      <c r="A265" s="0" t="n">
        <v>260</v>
      </c>
      <c r="B265" s="38" t="n">
        <f aca="false">E265*Scorecard!$C$18+F265*Scorecard!$C$19+G265*Scorecard!$C$20+H265*Scorecard!$C$21+I265*Scorecard!$C$22+J265*Scorecard!$C$23</f>
        <v>4.1614941667254</v>
      </c>
      <c r="C265" s="38" t="n">
        <f aca="false">E265*Scorecard!$D$18+F265*Scorecard!$D$19+G265*Scorecard!$D$20+H265*Scorecard!$D$21+I265*Scorecard!$D$22+J265*Scorecard!$D$23</f>
        <v>2.52796281278752</v>
      </c>
      <c r="D265" s="0" t="str">
        <f aca="false">IF(AND(B265&gt;=C265,B265&gt;=K265),"A. Distribution",IF(C265&gt;=K265,"B. Manufacturing","C. Prof. services"))</f>
        <v>A. Distribution</v>
      </c>
      <c r="E265" s="39" t="n">
        <v>0.117066217043599</v>
      </c>
      <c r="F265" s="39" t="n">
        <v>0.205986074041536</v>
      </c>
      <c r="G265" s="39" t="n">
        <v>0.307852359578671</v>
      </c>
      <c r="H265" s="39" t="n">
        <v>0.295017500690011</v>
      </c>
      <c r="I265" s="39" t="n">
        <v>0.0724254837259274</v>
      </c>
      <c r="J265" s="39" t="n">
        <v>0.00165236492025566</v>
      </c>
      <c r="K265" s="38" t="n">
        <f aca="false">E265*Scorecard!$E$18+F265*Scorecard!$E$19+G265*Scorecard!$E$20+H265*Scorecard!$E$21+I265*Scorecard!$E$22+J265*Scorecard!$E$23</f>
        <v>3.47884895767039</v>
      </c>
      <c r="M265" s="0" t="str">
        <f aca="false">IF(AND(T265&gt;=U265,T265&gt;=V265),"A. Distribution",IF(U265&gt;=V265,"B. Manufacturing","C. Prof. services"))</f>
        <v>A. Distribution</v>
      </c>
      <c r="N265" s="39" t="n">
        <v>0.236664918305459</v>
      </c>
      <c r="O265" s="39" t="n">
        <v>0.154917619819763</v>
      </c>
      <c r="P265" s="39" t="n">
        <v>0.131732963161599</v>
      </c>
      <c r="Q265" s="39" t="n">
        <v>0.135209835671336</v>
      </c>
      <c r="R265" s="39" t="n">
        <v>0.205939414808127</v>
      </c>
      <c r="S265" s="39" t="n">
        <v>0.135535248233715</v>
      </c>
      <c r="T265" s="38" t="n">
        <f aca="false">N265*Scorecard!$C$18+O265*Scorecard!$C$19+P265*Scorecard!$C$20+Q265*Scorecard!$C$21+R265*Scorecard!$C$22+S265*Scorecard!$C$23</f>
        <v>3.85027712191658</v>
      </c>
      <c r="U265" s="38" t="n">
        <f aca="false">N265*Scorecard!$D$18+O265*Scorecard!$D$19+P265*Scorecard!$D$20+Q265*Scorecard!$D$21+R265*Scorecard!$D$22+S265*Scorecard!$D$23</f>
        <v>2.80725854961448</v>
      </c>
      <c r="V265" s="38" t="n">
        <f aca="false">N265*Scorecard!$E$18+O265*Scorecard!$E$19+P265*Scorecard!$E$20+Q265*Scorecard!$E$21+R265*Scorecard!$E$22+S265*Scorecard!$E$23</f>
        <v>3.37678075428908</v>
      </c>
    </row>
    <row r="266" customFormat="false" ht="15" hidden="false" customHeight="false" outlineLevel="0" collapsed="false">
      <c r="A266" s="0" t="n">
        <v>261</v>
      </c>
      <c r="B266" s="38" t="n">
        <f aca="false">E266*Scorecard!$C$18+F266*Scorecard!$C$19+G266*Scorecard!$C$20+H266*Scorecard!$C$21+I266*Scorecard!$C$22+J266*Scorecard!$C$23</f>
        <v>4.15483089082922</v>
      </c>
      <c r="C266" s="38" t="n">
        <f aca="false">E266*Scorecard!$D$18+F266*Scorecard!$D$19+G266*Scorecard!$D$20+H266*Scorecard!$D$21+I266*Scorecard!$D$22+J266*Scorecard!$D$23</f>
        <v>3.00193220441054</v>
      </c>
      <c r="D266" s="0" t="str">
        <f aca="false">IF(AND(B266&gt;=C266,B266&gt;=K266),"A. Distribution",IF(C266&gt;=K266,"B. Manufacturing","C. Prof. services"))</f>
        <v>A. Distribution</v>
      </c>
      <c r="E266" s="39" t="n">
        <v>0.353999745190472</v>
      </c>
      <c r="F266" s="39" t="n">
        <v>0.285366681802522</v>
      </c>
      <c r="G266" s="39" t="n">
        <v>0.0295311204560816</v>
      </c>
      <c r="H266" s="39" t="n">
        <v>0.226449566759831</v>
      </c>
      <c r="I266" s="39" t="n">
        <v>0.065795775542611</v>
      </c>
      <c r="J266" s="39" t="n">
        <v>0.0388571102484824</v>
      </c>
      <c r="K266" s="38" t="n">
        <f aca="false">E266*Scorecard!$E$18+F266*Scorecard!$E$19+G266*Scorecard!$E$20+H266*Scorecard!$E$21+I266*Scorecard!$E$22+J266*Scorecard!$E$23</f>
        <v>3.31756820111724</v>
      </c>
      <c r="M266" s="0" t="str">
        <f aca="false">IF(AND(T266&gt;=U266,T266&gt;=V266),"A. Distribution",IF(U266&gt;=V266,"B. Manufacturing","C. Prof. services"))</f>
        <v>A. Distribution</v>
      </c>
      <c r="N266" s="39" t="n">
        <v>0.162961792996434</v>
      </c>
      <c r="O266" s="39" t="n">
        <v>0.360195799326124</v>
      </c>
      <c r="P266" s="39" t="n">
        <v>0.133111604169833</v>
      </c>
      <c r="Q266" s="39" t="n">
        <v>0.105745532547338</v>
      </c>
      <c r="R266" s="39" t="n">
        <v>0.21793581630826</v>
      </c>
      <c r="S266" s="39" t="n">
        <v>0.0200494546520112</v>
      </c>
      <c r="T266" s="38" t="n">
        <f aca="false">N266*Scorecard!$C$18+O266*Scorecard!$C$19+P266*Scorecard!$C$20+Q266*Scorecard!$C$21+R266*Scorecard!$C$22+S266*Scorecard!$C$23</f>
        <v>4.29561907054393</v>
      </c>
      <c r="U266" s="38" t="n">
        <f aca="false">N266*Scorecard!$D$18+O266*Scorecard!$D$19+P266*Scorecard!$D$20+Q266*Scorecard!$D$21+R266*Scorecard!$D$22+S266*Scorecard!$D$23</f>
        <v>2.83201946295994</v>
      </c>
      <c r="V266" s="38" t="n">
        <f aca="false">N266*Scorecard!$E$18+O266*Scorecard!$E$19+P266*Scorecard!$E$20+Q266*Scorecard!$E$21+R266*Scorecard!$E$22+S266*Scorecard!$E$23</f>
        <v>3.1001388346961</v>
      </c>
    </row>
    <row r="267" customFormat="false" ht="15" hidden="false" customHeight="false" outlineLevel="0" collapsed="false">
      <c r="A267" s="0" t="n">
        <v>262</v>
      </c>
      <c r="B267" s="38" t="n">
        <f aca="false">E267*Scorecard!$C$18+F267*Scorecard!$C$19+G267*Scorecard!$C$20+H267*Scorecard!$C$21+I267*Scorecard!$C$22+J267*Scorecard!$C$23</f>
        <v>3.95705787069106</v>
      </c>
      <c r="C267" s="38" t="n">
        <f aca="false">E267*Scorecard!$D$18+F267*Scorecard!$D$19+G267*Scorecard!$D$20+H267*Scorecard!$D$21+I267*Scorecard!$D$22+J267*Scorecard!$D$23</f>
        <v>2.69261094770703</v>
      </c>
      <c r="D267" s="0" t="str">
        <f aca="false">IF(AND(B267&gt;=C267,B267&gt;=K267),"A. Distribution",IF(C267&gt;=K267,"B. Manufacturing","C. Prof. services"))</f>
        <v>A. Distribution</v>
      </c>
      <c r="E267" s="39" t="n">
        <v>0.176032261512376</v>
      </c>
      <c r="F267" s="39" t="n">
        <v>0.231324798970867</v>
      </c>
      <c r="G267" s="39" t="n">
        <v>0.199707842787656</v>
      </c>
      <c r="H267" s="39" t="n">
        <v>0.0759548428345627</v>
      </c>
      <c r="I267" s="39" t="n">
        <v>0.191005410206648</v>
      </c>
      <c r="J267" s="39" t="n">
        <v>0.125974843687891</v>
      </c>
      <c r="K267" s="38" t="n">
        <f aca="false">E267*Scorecard!$E$18+F267*Scorecard!$E$19+G267*Scorecard!$E$20+H267*Scorecard!$E$21+I267*Scorecard!$E$22+J267*Scorecard!$E$23</f>
        <v>3.3552497386089</v>
      </c>
      <c r="M267" s="0" t="str">
        <f aca="false">IF(AND(T267&gt;=U267,T267&gt;=V267),"A. Distribution",IF(U267&gt;=V267,"B. Manufacturing","C. Prof. services"))</f>
        <v>A. Distribution</v>
      </c>
      <c r="N267" s="39" t="n">
        <v>0.17296438537742</v>
      </c>
      <c r="O267" s="39" t="n">
        <v>0.151623812453798</v>
      </c>
      <c r="P267" s="39" t="n">
        <v>0.320237980623694</v>
      </c>
      <c r="Q267" s="39" t="n">
        <v>0.0716852514866568</v>
      </c>
      <c r="R267" s="39" t="n">
        <v>0.0759177147098235</v>
      </c>
      <c r="S267" s="39" t="n">
        <v>0.207570855348608</v>
      </c>
      <c r="T267" s="38" t="n">
        <f aca="false">N267*Scorecard!$C$18+O267*Scorecard!$C$19+P267*Scorecard!$C$20+Q267*Scorecard!$C$21+R267*Scorecard!$C$22+S267*Scorecard!$C$23</f>
        <v>3.71487122169701</v>
      </c>
      <c r="U267" s="38" t="n">
        <f aca="false">N267*Scorecard!$D$18+O267*Scorecard!$D$19+P267*Scorecard!$D$20+Q267*Scorecard!$D$21+R267*Scorecard!$D$22+S267*Scorecard!$D$23</f>
        <v>2.44868417571553</v>
      </c>
      <c r="V267" s="38" t="n">
        <f aca="false">N267*Scorecard!$E$18+O267*Scorecard!$E$19+P267*Scorecard!$E$20+Q267*Scorecard!$E$21+R267*Scorecard!$E$22+S267*Scorecard!$E$23</f>
        <v>3.68607082366102</v>
      </c>
    </row>
    <row r="268" customFormat="false" ht="15" hidden="false" customHeight="false" outlineLevel="0" collapsed="false">
      <c r="A268" s="0" t="n">
        <v>263</v>
      </c>
      <c r="B268" s="38" t="n">
        <f aca="false">E268*Scorecard!$C$18+F268*Scorecard!$C$19+G268*Scorecard!$C$20+H268*Scorecard!$C$21+I268*Scorecard!$C$22+J268*Scorecard!$C$23</f>
        <v>4.03078812108762</v>
      </c>
      <c r="C268" s="38" t="n">
        <f aca="false">E268*Scorecard!$D$18+F268*Scorecard!$D$19+G268*Scorecard!$D$20+H268*Scorecard!$D$21+I268*Scorecard!$D$22+J268*Scorecard!$D$23</f>
        <v>2.73037192458587</v>
      </c>
      <c r="D268" s="0" t="str">
        <f aca="false">IF(AND(B268&gt;=C268,B268&gt;=K268),"A. Distribution",IF(C268&gt;=K268,"B. Manufacturing","C. Prof. services"))</f>
        <v>A. Distribution</v>
      </c>
      <c r="E268" s="39" t="n">
        <v>0.119980982832077</v>
      </c>
      <c r="F268" s="39" t="n">
        <v>0.212314932065569</v>
      </c>
      <c r="G268" s="39" t="n">
        <v>0.150807652533706</v>
      </c>
      <c r="H268" s="39" t="n">
        <v>0.166078610142921</v>
      </c>
      <c r="I268" s="39" t="n">
        <v>0.273818393683367</v>
      </c>
      <c r="J268" s="39" t="n">
        <v>0.0769994287423605</v>
      </c>
      <c r="K268" s="38" t="n">
        <f aca="false">E268*Scorecard!$E$18+F268*Scorecard!$E$19+G268*Scorecard!$E$20+H268*Scorecard!$E$21+I268*Scorecard!$E$22+J268*Scorecard!$E$23</f>
        <v>3.21401070481334</v>
      </c>
      <c r="M268" s="0" t="str">
        <f aca="false">IF(AND(T268&gt;=U268,T268&gt;=V268),"A. Distribution",IF(U268&gt;=V268,"B. Manufacturing","C. Prof. services"))</f>
        <v>A. Distribution</v>
      </c>
      <c r="N268" s="39" t="n">
        <v>0.137744082874859</v>
      </c>
      <c r="O268" s="39" t="n">
        <v>0.243369086912098</v>
      </c>
      <c r="P268" s="39" t="n">
        <v>0.128509269200541</v>
      </c>
      <c r="Q268" s="39" t="n">
        <v>0.0812746559796989</v>
      </c>
      <c r="R268" s="39" t="n">
        <v>0.196020862376145</v>
      </c>
      <c r="S268" s="39" t="n">
        <v>0.213082042656659</v>
      </c>
      <c r="T268" s="38" t="n">
        <f aca="false">N268*Scorecard!$C$18+O268*Scorecard!$C$19+P268*Scorecard!$C$20+Q268*Scorecard!$C$21+R268*Scorecard!$C$22+S268*Scorecard!$C$23</f>
        <v>3.79738858196944</v>
      </c>
      <c r="U268" s="38" t="n">
        <f aca="false">N268*Scorecard!$D$18+O268*Scorecard!$D$19+P268*Scorecard!$D$20+Q268*Scorecard!$D$21+R268*Scorecard!$D$22+S268*Scorecard!$D$23</f>
        <v>2.58621103919567</v>
      </c>
      <c r="V268" s="38" t="n">
        <f aca="false">N268*Scorecard!$E$18+O268*Scorecard!$E$19+P268*Scorecard!$E$20+Q268*Scorecard!$E$21+R268*Scorecard!$E$22+S268*Scorecard!$E$23</f>
        <v>3.39345023170101</v>
      </c>
    </row>
    <row r="269" customFormat="false" ht="15" hidden="false" customHeight="false" outlineLevel="0" collapsed="false">
      <c r="A269" s="0" t="n">
        <v>264</v>
      </c>
      <c r="B269" s="38" t="n">
        <f aca="false">E269*Scorecard!$C$18+F269*Scorecard!$C$19+G269*Scorecard!$C$20+H269*Scorecard!$C$21+I269*Scorecard!$C$22+J269*Scorecard!$C$23</f>
        <v>4.05303602261857</v>
      </c>
      <c r="C269" s="38" t="n">
        <f aca="false">E269*Scorecard!$D$18+F269*Scorecard!$D$19+G269*Scorecard!$D$20+H269*Scorecard!$D$21+I269*Scorecard!$D$22+J269*Scorecard!$D$23</f>
        <v>2.69669467095091</v>
      </c>
      <c r="D269" s="0" t="str">
        <f aca="false">IF(AND(B269&gt;=C269,B269&gt;=K269),"A. Distribution",IF(C269&gt;=K269,"B. Manufacturing","C. Prof. services"))</f>
        <v>A. Distribution</v>
      </c>
      <c r="E269" s="39" t="n">
        <v>0.131429662380977</v>
      </c>
      <c r="F269" s="39" t="n">
        <v>0.183560156893169</v>
      </c>
      <c r="G269" s="39" t="n">
        <v>0.31535739375027</v>
      </c>
      <c r="H269" s="39" t="n">
        <v>0.0523954466201741</v>
      </c>
      <c r="I269" s="39" t="n">
        <v>0.260094124936549</v>
      </c>
      <c r="J269" s="39" t="n">
        <v>0.057163215418862</v>
      </c>
      <c r="K269" s="38" t="n">
        <f aca="false">E269*Scorecard!$E$18+F269*Scorecard!$E$19+G269*Scorecard!$E$20+H269*Scorecard!$E$21+I269*Scorecard!$E$22+J269*Scorecard!$E$23</f>
        <v>3.29279948781969</v>
      </c>
      <c r="M269" s="0" t="str">
        <f aca="false">IF(AND(T269&gt;=U269,T269&gt;=V269),"A. Distribution",IF(U269&gt;=V269,"B. Manufacturing","C. Prof. services"))</f>
        <v>A. Distribution</v>
      </c>
      <c r="N269" s="39" t="n">
        <v>0.353867130321788</v>
      </c>
      <c r="O269" s="39" t="n">
        <v>0.172745438930835</v>
      </c>
      <c r="P269" s="39" t="n">
        <v>0.21211684484905</v>
      </c>
      <c r="Q269" s="39" t="n">
        <v>0.0970559184755501</v>
      </c>
      <c r="R269" s="39" t="n">
        <v>0.105662794384143</v>
      </c>
      <c r="S269" s="39" t="n">
        <v>0.0585518730386333</v>
      </c>
      <c r="T269" s="38" t="n">
        <f aca="false">N269*Scorecard!$C$18+O269*Scorecard!$C$19+P269*Scorecard!$C$20+Q269*Scorecard!$C$21+R269*Scorecard!$C$22+S269*Scorecard!$C$23</f>
        <v>4.01677301112822</v>
      </c>
      <c r="U269" s="38" t="n">
        <f aca="false">N269*Scorecard!$D$18+O269*Scorecard!$D$19+P269*Scorecard!$D$20+Q269*Scorecard!$D$21+R269*Scorecard!$D$22+S269*Scorecard!$D$23</f>
        <v>2.94748414351978</v>
      </c>
      <c r="V269" s="38" t="n">
        <f aca="false">N269*Scorecard!$E$18+O269*Scorecard!$E$19+P269*Scorecard!$E$20+Q269*Scorecard!$E$21+R269*Scorecard!$E$22+S269*Scorecard!$E$23</f>
        <v>3.43798653039286</v>
      </c>
    </row>
    <row r="270" customFormat="false" ht="15" hidden="false" customHeight="false" outlineLevel="0" collapsed="false">
      <c r="A270" s="0" t="n">
        <v>265</v>
      </c>
      <c r="B270" s="38" t="n">
        <f aca="false">E270*Scorecard!$C$18+F270*Scorecard!$C$19+G270*Scorecard!$C$20+H270*Scorecard!$C$21+I270*Scorecard!$C$22+J270*Scorecard!$C$23</f>
        <v>3.29152407418543</v>
      </c>
      <c r="C270" s="38" t="n">
        <f aca="false">E270*Scorecard!$D$18+F270*Scorecard!$D$19+G270*Scorecard!$D$20+H270*Scorecard!$D$21+I270*Scorecard!$D$22+J270*Scorecard!$D$23</f>
        <v>2.34138408833217</v>
      </c>
      <c r="D270" s="0" t="str">
        <f aca="false">IF(AND(B270&gt;=C270,B270&gt;=K270),"A. Distribution",IF(C270&gt;=K270,"B. Manufacturing","C. Prof. services"))</f>
        <v>C. Prof. services</v>
      </c>
      <c r="E270" s="39" t="n">
        <v>0.0480588238114999</v>
      </c>
      <c r="F270" s="39" t="n">
        <v>0.0665485106617125</v>
      </c>
      <c r="G270" s="39" t="n">
        <v>0.0140489581542623</v>
      </c>
      <c r="H270" s="39" t="n">
        <v>0.261060678939316</v>
      </c>
      <c r="I270" s="39" t="n">
        <v>0.238764774779926</v>
      </c>
      <c r="J270" s="39" t="n">
        <v>0.371518253653284</v>
      </c>
      <c r="K270" s="38" t="n">
        <f aca="false">E270*Scorecard!$E$18+F270*Scorecard!$E$19+G270*Scorecard!$E$20+H270*Scorecard!$E$21+I270*Scorecard!$E$22+J270*Scorecard!$E$23</f>
        <v>3.59884053939222</v>
      </c>
      <c r="M270" s="0" t="str">
        <f aca="false">IF(AND(T270&gt;=U270,T270&gt;=V270),"A. Distribution",IF(U270&gt;=V270,"B. Manufacturing","C. Prof. services"))</f>
        <v>A. Distribution</v>
      </c>
      <c r="N270" s="39" t="n">
        <v>0.185306930714732</v>
      </c>
      <c r="O270" s="39" t="n">
        <v>0.233738680786141</v>
      </c>
      <c r="P270" s="39" t="n">
        <v>0.0731704064574365</v>
      </c>
      <c r="Q270" s="39" t="n">
        <v>0.163952697292975</v>
      </c>
      <c r="R270" s="39" t="n">
        <v>0.227777500212945</v>
      </c>
      <c r="S270" s="39" t="n">
        <v>0.116053784535769</v>
      </c>
      <c r="T270" s="38" t="n">
        <f aca="false">N270*Scorecard!$C$18+O270*Scorecard!$C$19+P270*Scorecard!$C$20+Q270*Scorecard!$C$21+R270*Scorecard!$C$22+S270*Scorecard!$C$23</f>
        <v>3.96908741710501</v>
      </c>
      <c r="U270" s="38" t="n">
        <f aca="false">N270*Scorecard!$D$18+O270*Scorecard!$D$19+P270*Scorecard!$D$20+Q270*Scorecard!$D$21+R270*Scorecard!$D$22+S270*Scorecard!$D$23</f>
        <v>2.79236361634051</v>
      </c>
      <c r="V270" s="38" t="n">
        <f aca="false">N270*Scorecard!$E$18+O270*Scorecard!$E$19+P270*Scorecard!$E$20+Q270*Scorecard!$E$21+R270*Scorecard!$E$22+S270*Scorecard!$E$23</f>
        <v>3.25269626436612</v>
      </c>
    </row>
    <row r="271" customFormat="false" ht="15" hidden="false" customHeight="false" outlineLevel="0" collapsed="false">
      <c r="A271" s="0" t="n">
        <v>266</v>
      </c>
      <c r="B271" s="38" t="n">
        <f aca="false">E271*Scorecard!$C$18+F271*Scorecard!$C$19+G271*Scorecard!$C$20+H271*Scorecard!$C$21+I271*Scorecard!$C$22+J271*Scorecard!$C$23</f>
        <v>4.15641490959338</v>
      </c>
      <c r="C271" s="38" t="n">
        <f aca="false">E271*Scorecard!$D$18+F271*Scorecard!$D$19+G271*Scorecard!$D$20+H271*Scorecard!$D$21+I271*Scorecard!$D$22+J271*Scorecard!$D$23</f>
        <v>3.03222966095502</v>
      </c>
      <c r="D271" s="0" t="str">
        <f aca="false">IF(AND(B271&gt;=C271,B271&gt;=K271),"A. Distribution",IF(C271&gt;=K271,"B. Manufacturing","C. Prof. services"))</f>
        <v>A. Distribution</v>
      </c>
      <c r="E271" s="39" t="n">
        <v>0.227089665960385</v>
      </c>
      <c r="F271" s="39" t="n">
        <v>0.286274848119777</v>
      </c>
      <c r="G271" s="39" t="n">
        <v>0.0889573753135863</v>
      </c>
      <c r="H271" s="39" t="n">
        <v>0.00724001481386455</v>
      </c>
      <c r="I271" s="39" t="n">
        <v>0.335014332551585</v>
      </c>
      <c r="J271" s="39" t="n">
        <v>0.055423763240803</v>
      </c>
      <c r="K271" s="38" t="n">
        <f aca="false">E271*Scorecard!$E$18+F271*Scorecard!$E$19+G271*Scorecard!$E$20+H271*Scorecard!$E$21+I271*Scorecard!$E$22+J271*Scorecard!$E$23</f>
        <v>3.01121250210174</v>
      </c>
      <c r="M271" s="0" t="str">
        <f aca="false">IF(AND(T271&gt;=U271,T271&gt;=V271),"A. Distribution",IF(U271&gt;=V271,"B. Manufacturing","C. Prof. services"))</f>
        <v>A. Distribution</v>
      </c>
      <c r="N271" s="39" t="n">
        <v>0.180841642470595</v>
      </c>
      <c r="O271" s="39" t="n">
        <v>0.19249668396806</v>
      </c>
      <c r="P271" s="39" t="n">
        <v>0.114249669372525</v>
      </c>
      <c r="Q271" s="39" t="n">
        <v>0.0959472538961261</v>
      </c>
      <c r="R271" s="39" t="n">
        <v>0.370462730254088</v>
      </c>
      <c r="S271" s="39" t="n">
        <v>0.0460020200386066</v>
      </c>
      <c r="T271" s="38" t="n">
        <f aca="false">N271*Scorecard!$C$18+O271*Scorecard!$C$19+P271*Scorecard!$C$20+Q271*Scorecard!$C$21+R271*Scorecard!$C$22+S271*Scorecard!$C$23</f>
        <v>4.07563507929159</v>
      </c>
      <c r="U271" s="38" t="n">
        <f aca="false">N271*Scorecard!$D$18+O271*Scorecard!$D$19+P271*Scorecard!$D$20+Q271*Scorecard!$D$21+R271*Scorecard!$D$22+S271*Scorecard!$D$23</f>
        <v>2.96687008292663</v>
      </c>
      <c r="V271" s="38" t="n">
        <f aca="false">N271*Scorecard!$E$18+O271*Scorecard!$E$19+P271*Scorecard!$E$20+Q271*Scorecard!$E$21+R271*Scorecard!$E$22+S271*Scorecard!$E$23</f>
        <v>3.05363391696529</v>
      </c>
    </row>
    <row r="272" customFormat="false" ht="15" hidden="false" customHeight="false" outlineLevel="0" collapsed="false">
      <c r="A272" s="0" t="n">
        <v>267</v>
      </c>
      <c r="B272" s="38" t="n">
        <f aca="false">E272*Scorecard!$C$18+F272*Scorecard!$C$19+G272*Scorecard!$C$20+H272*Scorecard!$C$21+I272*Scorecard!$C$22+J272*Scorecard!$C$23</f>
        <v>4.42128162099014</v>
      </c>
      <c r="C272" s="38" t="n">
        <f aca="false">E272*Scorecard!$D$18+F272*Scorecard!$D$19+G272*Scorecard!$D$20+H272*Scorecard!$D$21+I272*Scorecard!$D$22+J272*Scorecard!$D$23</f>
        <v>2.42258819766996</v>
      </c>
      <c r="D272" s="0" t="str">
        <f aca="false">IF(AND(B272&gt;=C272,B272&gt;=K272),"A. Distribution",IF(C272&gt;=K272,"B. Manufacturing","C. Prof. services"))</f>
        <v>A. Distribution</v>
      </c>
      <c r="E272" s="39" t="n">
        <v>0.0432457331310338</v>
      </c>
      <c r="F272" s="39" t="n">
        <v>0.74624752204652</v>
      </c>
      <c r="G272" s="39" t="n">
        <v>0.0248544282239561</v>
      </c>
      <c r="H272" s="39" t="n">
        <v>0.0139256205350783</v>
      </c>
      <c r="I272" s="39" t="n">
        <v>0.0117300225820081</v>
      </c>
      <c r="J272" s="39" t="n">
        <v>0.159996673481404</v>
      </c>
      <c r="K272" s="38" t="n">
        <f aca="false">E272*Scorecard!$E$18+F272*Scorecard!$E$19+G272*Scorecard!$E$20+H272*Scorecard!$E$21+I272*Scorecard!$E$22+J272*Scorecard!$E$23</f>
        <v>3.14219253972272</v>
      </c>
      <c r="M272" s="0" t="str">
        <f aca="false">IF(AND(T272&gt;=U272,T272&gt;=V272),"A. Distribution",IF(U272&gt;=V272,"B. Manufacturing","C. Prof. services"))</f>
        <v>A. Distribution</v>
      </c>
      <c r="N272" s="39" t="n">
        <v>0.280408241176798</v>
      </c>
      <c r="O272" s="39" t="n">
        <v>0.119485612085476</v>
      </c>
      <c r="P272" s="39" t="n">
        <v>0.295123659003979</v>
      </c>
      <c r="Q272" s="39" t="n">
        <v>0.108062934130722</v>
      </c>
      <c r="R272" s="39" t="n">
        <v>0.160585972187351</v>
      </c>
      <c r="S272" s="39" t="n">
        <v>0.0363335814156742</v>
      </c>
      <c r="T272" s="38" t="n">
        <f aca="false">N272*Scorecard!$C$18+O272*Scorecard!$C$19+P272*Scorecard!$C$20+Q272*Scorecard!$C$21+R272*Scorecard!$C$22+S272*Scorecard!$C$23</f>
        <v>4.01266153220601</v>
      </c>
      <c r="U272" s="38" t="n">
        <f aca="false">N272*Scorecard!$D$18+O272*Scorecard!$D$19+P272*Scorecard!$D$20+Q272*Scorecard!$D$21+R272*Scorecard!$D$22+S272*Scorecard!$D$23</f>
        <v>2.85818988131481</v>
      </c>
      <c r="V272" s="38" t="n">
        <f aca="false">N272*Scorecard!$E$18+O272*Scorecard!$E$19+P272*Scorecard!$E$20+Q272*Scorecard!$E$21+R272*Scorecard!$E$22+S272*Scorecard!$E$23</f>
        <v>3.43213399922655</v>
      </c>
    </row>
    <row r="273" customFormat="false" ht="15" hidden="false" customHeight="false" outlineLevel="0" collapsed="false">
      <c r="A273" s="0" t="n">
        <v>268</v>
      </c>
      <c r="B273" s="38" t="n">
        <f aca="false">E273*Scorecard!$C$18+F273*Scorecard!$C$19+G273*Scorecard!$C$20+H273*Scorecard!$C$21+I273*Scorecard!$C$22+J273*Scorecard!$C$23</f>
        <v>2.94645793272911</v>
      </c>
      <c r="C273" s="38" t="n">
        <f aca="false">E273*Scorecard!$D$18+F273*Scorecard!$D$19+G273*Scorecard!$D$20+H273*Scorecard!$D$21+I273*Scorecard!$D$22+J273*Scorecard!$D$23</f>
        <v>2.02148307315922</v>
      </c>
      <c r="D273" s="0" t="str">
        <f aca="false">IF(AND(B273&gt;=C273,B273&gt;=K273),"A. Distribution",IF(C273&gt;=K273,"B. Manufacturing","C. Prof. services"))</f>
        <v>C. Prof. services</v>
      </c>
      <c r="E273" s="39" t="n">
        <v>0.101911590419842</v>
      </c>
      <c r="F273" s="39" t="n">
        <v>0.0923432283210446</v>
      </c>
      <c r="G273" s="39" t="n">
        <v>0.181565861685904</v>
      </c>
      <c r="H273" s="39" t="n">
        <v>0.0243939877287928</v>
      </c>
      <c r="I273" s="39" t="n">
        <v>0.0322479935989595</v>
      </c>
      <c r="J273" s="39" t="n">
        <v>0.567537338245458</v>
      </c>
      <c r="K273" s="38" t="n">
        <f aca="false">E273*Scorecard!$E$18+F273*Scorecard!$E$19+G273*Scorecard!$E$20+H273*Scorecard!$E$21+I273*Scorecard!$E$22+J273*Scorecard!$E$23</f>
        <v>4.0606976963953</v>
      </c>
      <c r="M273" s="0" t="str">
        <f aca="false">IF(AND(T273&gt;=U273,T273&gt;=V273),"A. Distribution",IF(U273&gt;=V273,"B. Manufacturing","C. Prof. services"))</f>
        <v>A. Distribution</v>
      </c>
      <c r="N273" s="39" t="n">
        <v>0.186360867151714</v>
      </c>
      <c r="O273" s="39" t="n">
        <v>0.187956570846164</v>
      </c>
      <c r="P273" s="39" t="n">
        <v>0.175764664625405</v>
      </c>
      <c r="Q273" s="39" t="n">
        <v>0.172406644800156</v>
      </c>
      <c r="R273" s="39" t="n">
        <v>0.230943573012628</v>
      </c>
      <c r="S273" s="39" t="n">
        <v>0.0465676795639323</v>
      </c>
      <c r="T273" s="38" t="n">
        <f aca="false">N273*Scorecard!$C$18+O273*Scorecard!$C$19+P273*Scorecard!$C$20+Q273*Scorecard!$C$21+R273*Scorecard!$C$22+S273*Scorecard!$C$23</f>
        <v>4.06128198214974</v>
      </c>
      <c r="U273" s="38" t="n">
        <f aca="false">N273*Scorecard!$D$18+O273*Scorecard!$D$19+P273*Scorecard!$D$20+Q273*Scorecard!$D$21+R273*Scorecard!$D$22+S273*Scorecard!$D$23</f>
        <v>2.81167504627548</v>
      </c>
      <c r="V273" s="38" t="n">
        <f aca="false">N273*Scorecard!$E$18+O273*Scorecard!$E$19+P273*Scorecard!$E$20+Q273*Scorecard!$E$21+R273*Scorecard!$E$22+S273*Scorecard!$E$23</f>
        <v>3.26411302961491</v>
      </c>
    </row>
    <row r="274" customFormat="false" ht="15" hidden="false" customHeight="false" outlineLevel="0" collapsed="false">
      <c r="A274" s="0" t="n">
        <v>269</v>
      </c>
      <c r="B274" s="38" t="n">
        <f aca="false">E274*Scorecard!$C$18+F274*Scorecard!$C$19+G274*Scorecard!$C$20+H274*Scorecard!$C$21+I274*Scorecard!$C$22+J274*Scorecard!$C$23</f>
        <v>3.7798114259692</v>
      </c>
      <c r="C274" s="38" t="n">
        <f aca="false">E274*Scorecard!$D$18+F274*Scorecard!$D$19+G274*Scorecard!$D$20+H274*Scorecard!$D$21+I274*Scorecard!$D$22+J274*Scorecard!$D$23</f>
        <v>2.70804619224453</v>
      </c>
      <c r="D274" s="0" t="str">
        <f aca="false">IF(AND(B274&gt;=C274,B274&gt;=K274),"A. Distribution",IF(C274&gt;=K274,"B. Manufacturing","C. Prof. services"))</f>
        <v>A. Distribution</v>
      </c>
      <c r="E274" s="39" t="n">
        <v>0.285532863842893</v>
      </c>
      <c r="F274" s="39" t="n">
        <v>0.111578295599884</v>
      </c>
      <c r="G274" s="39" t="n">
        <v>0.329605587754872</v>
      </c>
      <c r="H274" s="39" t="n">
        <v>0.0106817901869518</v>
      </c>
      <c r="I274" s="39" t="n">
        <v>0.108755768327746</v>
      </c>
      <c r="J274" s="39" t="n">
        <v>0.153845694287653</v>
      </c>
      <c r="K274" s="38" t="n">
        <f aca="false">E274*Scorecard!$E$18+F274*Scorecard!$E$19+G274*Scorecard!$E$20+H274*Scorecard!$E$21+I274*Scorecard!$E$22+J274*Scorecard!$E$23</f>
        <v>3.61601671082358</v>
      </c>
      <c r="M274" s="0" t="str">
        <f aca="false">IF(AND(T274&gt;=U274,T274&gt;=V274),"A. Distribution",IF(U274&gt;=V274,"B. Manufacturing","C. Prof. services"))</f>
        <v>A. Distribution</v>
      </c>
      <c r="N274" s="39" t="n">
        <v>0.26015810727481</v>
      </c>
      <c r="O274" s="39" t="n">
        <v>0.149290439561613</v>
      </c>
      <c r="P274" s="39" t="n">
        <v>0.11859706718378</v>
      </c>
      <c r="Q274" s="39" t="n">
        <v>0.222345507729293</v>
      </c>
      <c r="R274" s="39" t="n">
        <v>0.118119743396707</v>
      </c>
      <c r="S274" s="39" t="n">
        <v>0.131489134853797</v>
      </c>
      <c r="T274" s="38" t="n">
        <f aca="false">N274*Scorecard!$C$18+O274*Scorecard!$C$19+P274*Scorecard!$C$20+Q274*Scorecard!$C$21+R274*Scorecard!$C$22+S274*Scorecard!$C$23</f>
        <v>3.84146705631972</v>
      </c>
      <c r="U274" s="38" t="n">
        <f aca="false">N274*Scorecard!$D$18+O274*Scorecard!$D$19+P274*Scorecard!$D$20+Q274*Scorecard!$D$21+R274*Scorecard!$D$22+S274*Scorecard!$D$23</f>
        <v>2.76221197482384</v>
      </c>
      <c r="V274" s="38" t="n">
        <f aca="false">N274*Scorecard!$E$18+O274*Scorecard!$E$19+P274*Scorecard!$E$20+Q274*Scorecard!$E$21+R274*Scorecard!$E$22+S274*Scorecard!$E$23</f>
        <v>3.48760701167014</v>
      </c>
    </row>
    <row r="275" customFormat="false" ht="15" hidden="false" customHeight="false" outlineLevel="0" collapsed="false">
      <c r="A275" s="0" t="n">
        <v>270</v>
      </c>
      <c r="B275" s="38" t="n">
        <f aca="false">E275*Scorecard!$C$18+F275*Scorecard!$C$19+G275*Scorecard!$C$20+H275*Scorecard!$C$21+I275*Scorecard!$C$22+J275*Scorecard!$C$23</f>
        <v>4.07849142024214</v>
      </c>
      <c r="C275" s="38" t="n">
        <f aca="false">E275*Scorecard!$D$18+F275*Scorecard!$D$19+G275*Scorecard!$D$20+H275*Scorecard!$D$21+I275*Scorecard!$D$22+J275*Scorecard!$D$23</f>
        <v>3.11091863180079</v>
      </c>
      <c r="D275" s="0" t="str">
        <f aca="false">IF(AND(B275&gt;=C275,B275&gt;=K275),"A. Distribution",IF(C275&gt;=K275,"B. Manufacturing","C. Prof. services"))</f>
        <v>A. Distribution</v>
      </c>
      <c r="E275" s="39" t="n">
        <v>0.360876876362141</v>
      </c>
      <c r="F275" s="39" t="n">
        <v>0.167454685663255</v>
      </c>
      <c r="G275" s="39" t="n">
        <v>0.163953083862577</v>
      </c>
      <c r="H275" s="39" t="n">
        <v>0.0671384650491687</v>
      </c>
      <c r="I275" s="39" t="n">
        <v>0.214199180574327</v>
      </c>
      <c r="J275" s="39" t="n">
        <v>0.0263777084885315</v>
      </c>
      <c r="K275" s="38" t="n">
        <f aca="false">E275*Scorecard!$E$18+F275*Scorecard!$E$19+G275*Scorecard!$E$20+H275*Scorecard!$E$21+I275*Scorecard!$E$22+J275*Scorecard!$E$23</f>
        <v>3.25360691764399</v>
      </c>
      <c r="M275" s="0" t="str">
        <f aca="false">IF(AND(T275&gt;=U275,T275&gt;=V275),"A. Distribution",IF(U275&gt;=V275,"B. Manufacturing","C. Prof. services"))</f>
        <v>A. Distribution</v>
      </c>
      <c r="N275" s="39" t="n">
        <v>0.213401335276215</v>
      </c>
      <c r="O275" s="39" t="n">
        <v>0.0900366084044734</v>
      </c>
      <c r="P275" s="39" t="n">
        <v>0.226724379456179</v>
      </c>
      <c r="Q275" s="39" t="n">
        <v>0.232115770649151</v>
      </c>
      <c r="R275" s="39" t="n">
        <v>0.1890460935239</v>
      </c>
      <c r="S275" s="39" t="n">
        <v>0.0486758126900828</v>
      </c>
      <c r="T275" s="38" t="n">
        <f aca="false">N275*Scorecard!$C$18+O275*Scorecard!$C$19+P275*Scorecard!$C$20+Q275*Scorecard!$C$21+R275*Scorecard!$C$22+S275*Scorecard!$C$23</f>
        <v>3.950541068213</v>
      </c>
      <c r="U275" s="38" t="n">
        <f aca="false">N275*Scorecard!$D$18+O275*Scorecard!$D$19+P275*Scorecard!$D$20+Q275*Scorecard!$D$21+R275*Scorecard!$D$22+S275*Scorecard!$D$23</f>
        <v>2.77504218890732</v>
      </c>
      <c r="V275" s="38" t="n">
        <f aca="false">N275*Scorecard!$E$18+O275*Scorecard!$E$19+P275*Scorecard!$E$20+Q275*Scorecard!$E$21+R275*Scorecard!$E$22+S275*Scorecard!$E$23</f>
        <v>3.41900327228413</v>
      </c>
    </row>
    <row r="276" customFormat="false" ht="15" hidden="false" customHeight="false" outlineLevel="0" collapsed="false">
      <c r="A276" s="0" t="n">
        <v>271</v>
      </c>
      <c r="B276" s="38" t="n">
        <f aca="false">E276*Scorecard!$C$18+F276*Scorecard!$C$19+G276*Scorecard!$C$20+H276*Scorecard!$C$21+I276*Scorecard!$C$22+J276*Scorecard!$C$23</f>
        <v>3.09724974207289</v>
      </c>
      <c r="C276" s="38" t="n">
        <f aca="false">E276*Scorecard!$D$18+F276*Scorecard!$D$19+G276*Scorecard!$D$20+H276*Scorecard!$D$21+I276*Scorecard!$D$22+J276*Scorecard!$D$23</f>
        <v>2.48273373888878</v>
      </c>
      <c r="D276" s="0" t="str">
        <f aca="false">IF(AND(B276&gt;=C276,B276&gt;=K276),"A. Distribution",IF(C276&gt;=K276,"B. Manufacturing","C. Prof. services"))</f>
        <v>C. Prof. services</v>
      </c>
      <c r="E276" s="39" t="n">
        <v>0.269848476783073</v>
      </c>
      <c r="F276" s="39" t="n">
        <v>0.0938529770398799</v>
      </c>
      <c r="G276" s="39" t="n">
        <v>0.0158222433635609</v>
      </c>
      <c r="H276" s="39" t="n">
        <v>0.0494424049241757</v>
      </c>
      <c r="I276" s="39" t="n">
        <v>0.0862286360221797</v>
      </c>
      <c r="J276" s="39" t="n">
        <v>0.484805261867131</v>
      </c>
      <c r="K276" s="38" t="n">
        <f aca="false">E276*Scorecard!$E$18+F276*Scorecard!$E$19+G276*Scorecard!$E$20+H276*Scorecard!$E$21+I276*Scorecard!$E$22+J276*Scorecard!$E$23</f>
        <v>3.83539616600658</v>
      </c>
      <c r="M276" s="0" t="str">
        <f aca="false">IF(AND(T276&gt;=U276,T276&gt;=V276),"A. Distribution",IF(U276&gt;=V276,"B. Manufacturing","C. Prof. services"))</f>
        <v>A. Distribution</v>
      </c>
      <c r="N276" s="39" t="n">
        <v>0.233088866415063</v>
      </c>
      <c r="O276" s="39" t="n">
        <v>0.243927423381182</v>
      </c>
      <c r="P276" s="39" t="n">
        <v>0.224530718417681</v>
      </c>
      <c r="Q276" s="39" t="n">
        <v>0.0858707206620171</v>
      </c>
      <c r="R276" s="39" t="n">
        <v>0.115615792947734</v>
      </c>
      <c r="S276" s="39" t="n">
        <v>0.0969664781763229</v>
      </c>
      <c r="T276" s="38" t="n">
        <f aca="false">N276*Scorecard!$C$18+O276*Scorecard!$C$19+P276*Scorecard!$C$20+Q276*Scorecard!$C$21+R276*Scorecard!$C$22+S276*Scorecard!$C$23</f>
        <v>4.02202789384965</v>
      </c>
      <c r="U276" s="38" t="n">
        <f aca="false">N276*Scorecard!$D$18+O276*Scorecard!$D$19+P276*Scorecard!$D$20+Q276*Scorecard!$D$21+R276*Scorecard!$D$22+S276*Scorecard!$D$23</f>
        <v>2.73161762571429</v>
      </c>
      <c r="V276" s="38" t="n">
        <f aca="false">N276*Scorecard!$E$18+O276*Scorecard!$E$19+P276*Scorecard!$E$20+Q276*Scorecard!$E$21+R276*Scorecard!$E$22+S276*Scorecard!$E$23</f>
        <v>3.41956047981683</v>
      </c>
    </row>
    <row r="277" customFormat="false" ht="15" hidden="false" customHeight="false" outlineLevel="0" collapsed="false">
      <c r="A277" s="0" t="n">
        <v>272</v>
      </c>
      <c r="B277" s="38" t="n">
        <f aca="false">E277*Scorecard!$C$18+F277*Scorecard!$C$19+G277*Scorecard!$C$20+H277*Scorecard!$C$21+I277*Scorecard!$C$22+J277*Scorecard!$C$23</f>
        <v>3.88546140035592</v>
      </c>
      <c r="C277" s="38" t="n">
        <f aca="false">E277*Scorecard!$D$18+F277*Scorecard!$D$19+G277*Scorecard!$D$20+H277*Scorecard!$D$21+I277*Scorecard!$D$22+J277*Scorecard!$D$23</f>
        <v>2.29918139029313</v>
      </c>
      <c r="D277" s="0" t="str">
        <f aca="false">IF(AND(B277&gt;=C277,B277&gt;=K277),"A. Distribution",IF(C277&gt;=K277,"B. Manufacturing","C. Prof. services"))</f>
        <v>A. Distribution</v>
      </c>
      <c r="E277" s="39" t="n">
        <v>0.112618720799576</v>
      </c>
      <c r="F277" s="39" t="n">
        <v>0.156843385056225</v>
      </c>
      <c r="G277" s="39" t="n">
        <v>0.462288968855254</v>
      </c>
      <c r="H277" s="39" t="n">
        <v>0.136866950800941</v>
      </c>
      <c r="I277" s="39" t="n">
        <v>0.00758562604061596</v>
      </c>
      <c r="J277" s="39" t="n">
        <v>0.123796348447389</v>
      </c>
      <c r="K277" s="38" t="n">
        <f aca="false">E277*Scorecard!$E$18+F277*Scorecard!$E$19+G277*Scorecard!$E$20+H277*Scorecard!$E$21+I277*Scorecard!$E$22+J277*Scorecard!$E$23</f>
        <v>3.76068656605968</v>
      </c>
      <c r="M277" s="0" t="str">
        <f aca="false">IF(AND(T277&gt;=U277,T277&gt;=V277),"A. Distribution",IF(U277&gt;=V277,"B. Manufacturing","C. Prof. services"))</f>
        <v>A. Distribution</v>
      </c>
      <c r="N277" s="39" t="n">
        <v>0.263337645411146</v>
      </c>
      <c r="O277" s="39" t="n">
        <v>0.189862571969757</v>
      </c>
      <c r="P277" s="39" t="n">
        <v>0.0715074307517784</v>
      </c>
      <c r="Q277" s="39" t="n">
        <v>0.0599202781019197</v>
      </c>
      <c r="R277" s="39" t="n">
        <v>0.137803165724546</v>
      </c>
      <c r="S277" s="39" t="n">
        <v>0.277568908040853</v>
      </c>
      <c r="T277" s="38" t="n">
        <f aca="false">N277*Scorecard!$C$18+O277*Scorecard!$C$19+P277*Scorecard!$C$20+Q277*Scorecard!$C$21+R277*Scorecard!$C$22+S277*Scorecard!$C$23</f>
        <v>3.60712578130488</v>
      </c>
      <c r="U277" s="38" t="n">
        <f aca="false">N277*Scorecard!$D$18+O277*Scorecard!$D$19+P277*Scorecard!$D$20+Q277*Scorecard!$D$21+R277*Scorecard!$D$22+S277*Scorecard!$D$23</f>
        <v>2.69587283674911</v>
      </c>
      <c r="V277" s="38" t="n">
        <f aca="false">N277*Scorecard!$E$18+O277*Scorecard!$E$19+P277*Scorecard!$E$20+Q277*Scorecard!$E$21+R277*Scorecard!$E$22+S277*Scorecard!$E$23</f>
        <v>3.53087547313492</v>
      </c>
    </row>
    <row r="278" customFormat="false" ht="15" hidden="false" customHeight="false" outlineLevel="0" collapsed="false">
      <c r="A278" s="0" t="n">
        <v>273</v>
      </c>
      <c r="B278" s="38" t="n">
        <f aca="false">E278*Scorecard!$C$18+F278*Scorecard!$C$19+G278*Scorecard!$C$20+H278*Scorecard!$C$21+I278*Scorecard!$C$22+J278*Scorecard!$C$23</f>
        <v>3.727099061651</v>
      </c>
      <c r="C278" s="38" t="n">
        <f aca="false">E278*Scorecard!$D$18+F278*Scorecard!$D$19+G278*Scorecard!$D$20+H278*Scorecard!$D$21+I278*Scorecard!$D$22+J278*Scorecard!$D$23</f>
        <v>3.03420057028233</v>
      </c>
      <c r="D278" s="0" t="str">
        <f aca="false">IF(AND(B278&gt;=C278,B278&gt;=K278),"A. Distribution",IF(C278&gt;=K278,"B. Manufacturing","C. Prof. services"))</f>
        <v>A. Distribution</v>
      </c>
      <c r="E278" s="39" t="n">
        <v>0.139954216174369</v>
      </c>
      <c r="F278" s="39" t="n">
        <v>0.0355830316555199</v>
      </c>
      <c r="G278" s="39" t="n">
        <v>0.0166875498858648</v>
      </c>
      <c r="H278" s="39" t="n">
        <v>0.0767942584959396</v>
      </c>
      <c r="I278" s="39" t="n">
        <v>0.586494508105707</v>
      </c>
      <c r="J278" s="39" t="n">
        <v>0.144486435682601</v>
      </c>
      <c r="K278" s="38" t="n">
        <f aca="false">E278*Scorecard!$E$18+F278*Scorecard!$E$19+G278*Scorecard!$E$20+H278*Scorecard!$E$21+I278*Scorecard!$E$22+J278*Scorecard!$E$23</f>
        <v>2.95710156980123</v>
      </c>
      <c r="M278" s="0" t="str">
        <f aca="false">IF(AND(T278&gt;=U278,T278&gt;=V278),"A. Distribution",IF(U278&gt;=V278,"B. Manufacturing","C. Prof. services"))</f>
        <v>A. Distribution</v>
      </c>
      <c r="N278" s="39" t="n">
        <v>0.289865248953006</v>
      </c>
      <c r="O278" s="39" t="n">
        <v>0.267306675636266</v>
      </c>
      <c r="P278" s="39" t="n">
        <v>0.173979020491487</v>
      </c>
      <c r="Q278" s="39" t="n">
        <v>0.144837973729143</v>
      </c>
      <c r="R278" s="39" t="n">
        <v>0.0588955805901751</v>
      </c>
      <c r="S278" s="39" t="n">
        <v>0.0651155005999234</v>
      </c>
      <c r="T278" s="38" t="n">
        <f aca="false">N278*Scorecard!$C$18+O278*Scorecard!$C$19+P278*Scorecard!$C$20+Q278*Scorecard!$C$21+R278*Scorecard!$C$22+S278*Scorecard!$C$23</f>
        <v>4.09819695266615</v>
      </c>
      <c r="U278" s="38" t="n">
        <f aca="false">N278*Scorecard!$D$18+O278*Scorecard!$D$19+P278*Scorecard!$D$20+Q278*Scorecard!$D$21+R278*Scorecard!$D$22+S278*Scorecard!$D$23</f>
        <v>2.8164165479486</v>
      </c>
      <c r="V278" s="38" t="n">
        <f aca="false">N278*Scorecard!$E$18+O278*Scorecard!$E$19+P278*Scorecard!$E$20+Q278*Scorecard!$E$21+R278*Scorecard!$E$22+S278*Scorecard!$E$23</f>
        <v>3.42254763502989</v>
      </c>
    </row>
    <row r="279" customFormat="false" ht="15" hidden="false" customHeight="false" outlineLevel="0" collapsed="false">
      <c r="A279" s="0" t="n">
        <v>274</v>
      </c>
      <c r="B279" s="38" t="n">
        <f aca="false">E279*Scorecard!$C$18+F279*Scorecard!$C$19+G279*Scorecard!$C$20+H279*Scorecard!$C$21+I279*Scorecard!$C$22+J279*Scorecard!$C$23</f>
        <v>4.0602780837435</v>
      </c>
      <c r="C279" s="38" t="n">
        <f aca="false">E279*Scorecard!$D$18+F279*Scorecard!$D$19+G279*Scorecard!$D$20+H279*Scorecard!$D$21+I279*Scorecard!$D$22+J279*Scorecard!$D$23</f>
        <v>3.08980453061892</v>
      </c>
      <c r="D279" s="0" t="str">
        <f aca="false">IF(AND(B279&gt;=C279,B279&gt;=K279),"A. Distribution",IF(C279&gt;=K279,"B. Manufacturing","C. Prof. services"))</f>
        <v>A. Distribution</v>
      </c>
      <c r="E279" s="39" t="n">
        <v>0.249760555721046</v>
      </c>
      <c r="F279" s="39" t="n">
        <v>0.180432318026344</v>
      </c>
      <c r="G279" s="39" t="n">
        <v>0.0517724416698269</v>
      </c>
      <c r="H279" s="39" t="n">
        <v>0.116822402090013</v>
      </c>
      <c r="I279" s="39" t="n">
        <v>0.357455240916822</v>
      </c>
      <c r="J279" s="39" t="n">
        <v>0.0437570415759483</v>
      </c>
      <c r="K279" s="38" t="n">
        <f aca="false">E279*Scorecard!$E$18+F279*Scorecard!$E$19+G279*Scorecard!$E$20+H279*Scorecard!$E$21+I279*Scorecard!$E$22+J279*Scorecard!$E$23</f>
        <v>3.0473257585143</v>
      </c>
      <c r="M279" s="0" t="str">
        <f aca="false">IF(AND(T279&gt;=U279,T279&gt;=V279),"A. Distribution",IF(U279&gt;=V279,"B. Manufacturing","C. Prof. services"))</f>
        <v>A. Distribution</v>
      </c>
      <c r="N279" s="39" t="n">
        <v>0.241900262395803</v>
      </c>
      <c r="O279" s="39" t="n">
        <v>0.228473648888579</v>
      </c>
      <c r="P279" s="39" t="n">
        <v>0.159496758035389</v>
      </c>
      <c r="Q279" s="39" t="n">
        <v>0.145334754699301</v>
      </c>
      <c r="R279" s="39" t="n">
        <v>0.157464460359783</v>
      </c>
      <c r="S279" s="39" t="n">
        <v>0.067330115621145</v>
      </c>
      <c r="T279" s="38" t="n">
        <f aca="false">N279*Scorecard!$C$18+O279*Scorecard!$C$19+P279*Scorecard!$C$20+Q279*Scorecard!$C$21+R279*Scorecard!$C$22+S279*Scorecard!$C$23</f>
        <v>4.05873212136741</v>
      </c>
      <c r="U279" s="38" t="n">
        <f aca="false">N279*Scorecard!$D$18+O279*Scorecard!$D$19+P279*Scorecard!$D$20+Q279*Scorecard!$D$21+R279*Scorecard!$D$22+S279*Scorecard!$D$23</f>
        <v>2.82925292802384</v>
      </c>
      <c r="V279" s="38" t="n">
        <f aca="false">N279*Scorecard!$E$18+O279*Scorecard!$E$19+P279*Scorecard!$E$20+Q279*Scorecard!$E$21+R279*Scorecard!$E$22+S279*Scorecard!$E$23</f>
        <v>3.32961190052681</v>
      </c>
    </row>
    <row r="280" customFormat="false" ht="15" hidden="false" customHeight="false" outlineLevel="0" collapsed="false">
      <c r="A280" s="0" t="n">
        <v>275</v>
      </c>
      <c r="B280" s="38" t="n">
        <f aca="false">E280*Scorecard!$C$18+F280*Scorecard!$C$19+G280*Scorecard!$C$20+H280*Scorecard!$C$21+I280*Scorecard!$C$22+J280*Scorecard!$C$23</f>
        <v>4.37582506839243</v>
      </c>
      <c r="C280" s="38" t="n">
        <f aca="false">E280*Scorecard!$D$18+F280*Scorecard!$D$19+G280*Scorecard!$D$20+H280*Scorecard!$D$21+I280*Scorecard!$D$22+J280*Scorecard!$D$23</f>
        <v>2.43267025997644</v>
      </c>
      <c r="D280" s="0" t="str">
        <f aca="false">IF(AND(B280&gt;=C280,B280&gt;=K280),"A. Distribution",IF(C280&gt;=K280,"B. Manufacturing","C. Prof. services"))</f>
        <v>A. Distribution</v>
      </c>
      <c r="E280" s="39" t="n">
        <v>0.00389770603804015</v>
      </c>
      <c r="F280" s="39" t="n">
        <v>0.524181157565165</v>
      </c>
      <c r="G280" s="39" t="n">
        <v>0.0344065820349669</v>
      </c>
      <c r="H280" s="39" t="n">
        <v>0.318990876624443</v>
      </c>
      <c r="I280" s="39" t="n">
        <v>0.0616878273393582</v>
      </c>
      <c r="J280" s="39" t="n">
        <v>0.0568358503980273</v>
      </c>
      <c r="K280" s="38" t="n">
        <f aca="false">E280*Scorecard!$E$18+F280*Scorecard!$E$19+G280*Scorecard!$E$20+H280*Scorecard!$E$21+I280*Scorecard!$E$22+J280*Scorecard!$E$23</f>
        <v>3.19270414564315</v>
      </c>
      <c r="M280" s="0" t="str">
        <f aca="false">IF(AND(T280&gt;=U280,T280&gt;=V280),"A. Distribution",IF(U280&gt;=V280,"B. Manufacturing","C. Prof. services"))</f>
        <v>A. Distribution</v>
      </c>
      <c r="N280" s="39" t="n">
        <v>0.273052212615984</v>
      </c>
      <c r="O280" s="39" t="n">
        <v>0.244879577778745</v>
      </c>
      <c r="P280" s="39" t="n">
        <v>0.190714745871879</v>
      </c>
      <c r="Q280" s="39" t="n">
        <v>0.0855980267686405</v>
      </c>
      <c r="R280" s="39" t="n">
        <v>0.130856459590428</v>
      </c>
      <c r="S280" s="39" t="n">
        <v>0.0748989773743239</v>
      </c>
      <c r="T280" s="38" t="n">
        <f aca="false">N280*Scorecard!$C$18+O280*Scorecard!$C$19+P280*Scorecard!$C$20+Q280*Scorecard!$C$21+R280*Scorecard!$C$22+S280*Scorecard!$C$23</f>
        <v>4.0639359047195</v>
      </c>
      <c r="U280" s="38" t="n">
        <f aca="false">N280*Scorecard!$D$18+O280*Scorecard!$D$19+P280*Scorecard!$D$20+Q280*Scorecard!$D$21+R280*Scorecard!$D$22+S280*Scorecard!$D$23</f>
        <v>2.84425548165702</v>
      </c>
      <c r="V280" s="38" t="n">
        <f aca="false">N280*Scorecard!$E$18+O280*Scorecard!$E$19+P280*Scorecard!$E$20+Q280*Scorecard!$E$21+R280*Scorecard!$E$22+S280*Scorecard!$E$23</f>
        <v>3.36209440623198</v>
      </c>
    </row>
    <row r="281" customFormat="false" ht="15" hidden="false" customHeight="false" outlineLevel="0" collapsed="false">
      <c r="A281" s="0" t="n">
        <v>276</v>
      </c>
      <c r="B281" s="38" t="n">
        <f aca="false">E281*Scorecard!$C$18+F281*Scorecard!$C$19+G281*Scorecard!$C$20+H281*Scorecard!$C$21+I281*Scorecard!$C$22+J281*Scorecard!$C$23</f>
        <v>3.59465688387983</v>
      </c>
      <c r="C281" s="38" t="n">
        <f aca="false">E281*Scorecard!$D$18+F281*Scorecard!$D$19+G281*Scorecard!$D$20+H281*Scorecard!$D$21+I281*Scorecard!$D$22+J281*Scorecard!$D$23</f>
        <v>2.25381710623407</v>
      </c>
      <c r="D281" s="0" t="str">
        <f aca="false">IF(AND(B281&gt;=C281,B281&gt;=K281),"A. Distribution",IF(C281&gt;=K281,"B. Manufacturing","C. Prof. services"))</f>
        <v>C. Prof. services</v>
      </c>
      <c r="E281" s="39" t="n">
        <v>0.134309472151875</v>
      </c>
      <c r="F281" s="39" t="n">
        <v>0.109896828858238</v>
      </c>
      <c r="G281" s="39" t="n">
        <v>0.417460497709848</v>
      </c>
      <c r="H281" s="39" t="n">
        <v>0.0688239305984017</v>
      </c>
      <c r="I281" s="39" t="n">
        <v>0.0209888446203656</v>
      </c>
      <c r="J281" s="39" t="n">
        <v>0.248520426061271</v>
      </c>
      <c r="K281" s="38" t="n">
        <f aca="false">E281*Scorecard!$E$18+F281*Scorecard!$E$19+G281*Scorecard!$E$20+H281*Scorecard!$E$21+I281*Scorecard!$E$22+J281*Scorecard!$E$23</f>
        <v>3.86824007221374</v>
      </c>
      <c r="M281" s="0" t="str">
        <f aca="false">IF(AND(T281&gt;=U281,T281&gt;=V281),"A. Distribution",IF(U281&gt;=V281,"B. Manufacturing","C. Prof. services"))</f>
        <v>A. Distribution</v>
      </c>
      <c r="N281" s="39" t="n">
        <v>0.138796256720193</v>
      </c>
      <c r="O281" s="39" t="n">
        <v>0.0868505438976713</v>
      </c>
      <c r="P281" s="39" t="n">
        <v>0.310994945075304</v>
      </c>
      <c r="Q281" s="39" t="n">
        <v>0.241449713500377</v>
      </c>
      <c r="R281" s="39" t="n">
        <v>0.124381865048657</v>
      </c>
      <c r="S281" s="39" t="n">
        <v>0.0975266757577978</v>
      </c>
      <c r="T281" s="38" t="n">
        <f aca="false">N281*Scorecard!$C$18+O281*Scorecard!$C$19+P281*Scorecard!$C$20+Q281*Scorecard!$C$21+R281*Scorecard!$C$22+S281*Scorecard!$C$23</f>
        <v>3.85463734067213</v>
      </c>
      <c r="U281" s="38" t="n">
        <f aca="false">N281*Scorecard!$D$18+O281*Scorecard!$D$19+P281*Scorecard!$D$20+Q281*Scorecard!$D$21+R281*Scorecard!$D$22+S281*Scorecard!$D$23</f>
        <v>2.51448940983868</v>
      </c>
      <c r="V281" s="38" t="n">
        <f aca="false">N281*Scorecard!$E$18+O281*Scorecard!$E$19+P281*Scorecard!$E$20+Q281*Scorecard!$E$21+R281*Scorecard!$E$22+S281*Scorecard!$E$23</f>
        <v>3.58926288482081</v>
      </c>
    </row>
    <row r="282" customFormat="false" ht="15" hidden="false" customHeight="false" outlineLevel="0" collapsed="false">
      <c r="A282" s="0" t="n">
        <v>277</v>
      </c>
      <c r="B282" s="38" t="n">
        <f aca="false">E282*Scorecard!$C$18+F282*Scorecard!$C$19+G282*Scorecard!$C$20+H282*Scorecard!$C$21+I282*Scorecard!$C$22+J282*Scorecard!$C$23</f>
        <v>3.73597833772932</v>
      </c>
      <c r="C282" s="38" t="n">
        <f aca="false">E282*Scorecard!$D$18+F282*Scorecard!$D$19+G282*Scorecard!$D$20+H282*Scorecard!$D$21+I282*Scorecard!$D$22+J282*Scorecard!$D$23</f>
        <v>2.62724453675712</v>
      </c>
      <c r="D282" s="0" t="str">
        <f aca="false">IF(AND(B282&gt;=C282,B282&gt;=K282),"A. Distribution",IF(C282&gt;=K282,"B. Manufacturing","C. Prof. services"))</f>
        <v>A. Distribution</v>
      </c>
      <c r="E282" s="39" t="n">
        <v>0.234410194747752</v>
      </c>
      <c r="F282" s="39" t="n">
        <v>0.00725177020240873</v>
      </c>
      <c r="G282" s="39" t="n">
        <v>0.232684794316123</v>
      </c>
      <c r="H282" s="39" t="n">
        <v>0.339957999831274</v>
      </c>
      <c r="I282" s="39" t="n">
        <v>0.077783880563438</v>
      </c>
      <c r="J282" s="39" t="n">
        <v>0.107911360339005</v>
      </c>
      <c r="K282" s="38" t="n">
        <f aca="false">E282*Scorecard!$E$18+F282*Scorecard!$E$19+G282*Scorecard!$E$20+H282*Scorecard!$E$21+I282*Scorecard!$E$22+J282*Scorecard!$E$23</f>
        <v>3.68724725302968</v>
      </c>
      <c r="M282" s="0" t="str">
        <f aca="false">IF(AND(T282&gt;=U282,T282&gt;=V282),"A. Distribution",IF(U282&gt;=V282,"B. Manufacturing","C. Prof. services"))</f>
        <v>A. Distribution</v>
      </c>
      <c r="N282" s="39" t="n">
        <v>0.20833898051999</v>
      </c>
      <c r="O282" s="39" t="n">
        <v>0.164458380235789</v>
      </c>
      <c r="P282" s="39" t="n">
        <v>0.196460951603392</v>
      </c>
      <c r="Q282" s="39" t="n">
        <v>0.167793532527543</v>
      </c>
      <c r="R282" s="39" t="n">
        <v>0.137283217847278</v>
      </c>
      <c r="S282" s="39" t="n">
        <v>0.125664937266008</v>
      </c>
      <c r="T282" s="38" t="n">
        <f aca="false">N282*Scorecard!$C$18+O282*Scorecard!$C$19+P282*Scorecard!$C$20+Q282*Scorecard!$C$21+R282*Scorecard!$C$22+S282*Scorecard!$C$23</f>
        <v>3.87832178991592</v>
      </c>
      <c r="U282" s="38" t="n">
        <f aca="false">N282*Scorecard!$D$18+O282*Scorecard!$D$19+P282*Scorecard!$D$20+Q282*Scorecard!$D$21+R282*Scorecard!$D$22+S282*Scorecard!$D$23</f>
        <v>2.6779199134818</v>
      </c>
      <c r="V282" s="38" t="n">
        <f aca="false">N282*Scorecard!$E$18+O282*Scorecard!$E$19+P282*Scorecard!$E$20+Q282*Scorecard!$E$21+R282*Scorecard!$E$22+S282*Scorecard!$E$23</f>
        <v>3.4783753147096</v>
      </c>
    </row>
    <row r="283" customFormat="false" ht="15" hidden="false" customHeight="false" outlineLevel="0" collapsed="false">
      <c r="A283" s="0" t="n">
        <v>278</v>
      </c>
      <c r="B283" s="38" t="n">
        <f aca="false">E283*Scorecard!$C$18+F283*Scorecard!$C$19+G283*Scorecard!$C$20+H283*Scorecard!$C$21+I283*Scorecard!$C$22+J283*Scorecard!$C$23</f>
        <v>3.09103558194501</v>
      </c>
      <c r="C283" s="38" t="n">
        <f aca="false">E283*Scorecard!$D$18+F283*Scorecard!$D$19+G283*Scorecard!$D$20+H283*Scorecard!$D$21+I283*Scorecard!$D$22+J283*Scorecard!$D$23</f>
        <v>2.16466698634604</v>
      </c>
      <c r="D283" s="0" t="str">
        <f aca="false">IF(AND(B283&gt;=C283,B283&gt;=K283),"A. Distribution",IF(C283&gt;=K283,"B. Manufacturing","C. Prof. services"))</f>
        <v>C. Prof. services</v>
      </c>
      <c r="E283" s="39" t="n">
        <v>0.0213965661040886</v>
      </c>
      <c r="F283" s="39" t="n">
        <v>0.0566149197059197</v>
      </c>
      <c r="G283" s="39" t="n">
        <v>0.187128443137017</v>
      </c>
      <c r="H283" s="39" t="n">
        <v>0.00518571606139472</v>
      </c>
      <c r="I283" s="39" t="n">
        <v>0.248022998695999</v>
      </c>
      <c r="J283" s="39" t="n">
        <v>0.481651356295581</v>
      </c>
      <c r="K283" s="38" t="n">
        <f aca="false">E283*Scorecard!$E$18+F283*Scorecard!$E$19+G283*Scorecard!$E$20+H283*Scorecard!$E$21+I283*Scorecard!$E$22+J283*Scorecard!$E$23</f>
        <v>3.74737284316036</v>
      </c>
      <c r="M283" s="0" t="str">
        <f aca="false">IF(AND(T283&gt;=U283,T283&gt;=V283),"A. Distribution",IF(U283&gt;=V283,"B. Manufacturing","C. Prof. services"))</f>
        <v>A. Distribution</v>
      </c>
      <c r="N283" s="39" t="n">
        <v>0.113688609609858</v>
      </c>
      <c r="O283" s="39" t="n">
        <v>0.150169587643336</v>
      </c>
      <c r="P283" s="39" t="n">
        <v>0.401671447022876</v>
      </c>
      <c r="Q283" s="39" t="n">
        <v>0.175707475827942</v>
      </c>
      <c r="R283" s="39" t="n">
        <v>0.121044226289208</v>
      </c>
      <c r="S283" s="39" t="n">
        <v>0.0377186536067797</v>
      </c>
      <c r="T283" s="38" t="n">
        <f aca="false">N283*Scorecard!$C$18+O283*Scorecard!$C$19+P283*Scorecard!$C$20+Q283*Scorecard!$C$21+R283*Scorecard!$C$22+S283*Scorecard!$C$23</f>
        <v>4.04667200534202</v>
      </c>
      <c r="U283" s="38" t="n">
        <f aca="false">N283*Scorecard!$D$18+O283*Scorecard!$D$19+P283*Scorecard!$D$20+Q283*Scorecard!$D$21+R283*Scorecard!$D$22+S283*Scorecard!$D$23</f>
        <v>2.50347540756285</v>
      </c>
      <c r="V283" s="38" t="n">
        <f aca="false">N283*Scorecard!$E$18+O283*Scorecard!$E$19+P283*Scorecard!$E$20+Q283*Scorecard!$E$21+R283*Scorecard!$E$22+S283*Scorecard!$E$23</f>
        <v>3.52328550691125</v>
      </c>
    </row>
    <row r="284" customFormat="false" ht="15" hidden="false" customHeight="false" outlineLevel="0" collapsed="false">
      <c r="A284" s="0" t="n">
        <v>279</v>
      </c>
      <c r="B284" s="38" t="n">
        <f aca="false">E284*Scorecard!$C$18+F284*Scorecard!$C$19+G284*Scorecard!$C$20+H284*Scorecard!$C$21+I284*Scorecard!$C$22+J284*Scorecard!$C$23</f>
        <v>3.61526778129267</v>
      </c>
      <c r="C284" s="38" t="n">
        <f aca="false">E284*Scorecard!$D$18+F284*Scorecard!$D$19+G284*Scorecard!$D$20+H284*Scorecard!$D$21+I284*Scorecard!$D$22+J284*Scorecard!$D$23</f>
        <v>2.5450089075479</v>
      </c>
      <c r="D284" s="0" t="str">
        <f aca="false">IF(AND(B284&gt;=C284,B284&gt;=K284),"A. Distribution",IF(C284&gt;=K284,"B. Manufacturing","C. Prof. services"))</f>
        <v>A. Distribution</v>
      </c>
      <c r="E284" s="39" t="n">
        <v>0.0273685849796892</v>
      </c>
      <c r="F284" s="39" t="n">
        <v>0.136890468029256</v>
      </c>
      <c r="G284" s="39" t="n">
        <v>0.0555509788300102</v>
      </c>
      <c r="H284" s="39" t="n">
        <v>0.155997510605856</v>
      </c>
      <c r="I284" s="39" t="n">
        <v>0.372884193509773</v>
      </c>
      <c r="J284" s="39" t="n">
        <v>0.251308264045416</v>
      </c>
      <c r="K284" s="38" t="n">
        <f aca="false">E284*Scorecard!$E$18+F284*Scorecard!$E$19+G284*Scorecard!$E$20+H284*Scorecard!$E$21+I284*Scorecard!$E$22+J284*Scorecard!$E$23</f>
        <v>3.27581940342647</v>
      </c>
      <c r="M284" s="0" t="str">
        <f aca="false">IF(AND(T284&gt;=U284,T284&gt;=V284),"A. Distribution",IF(U284&gt;=V284,"B. Manufacturing","C. Prof. services"))</f>
        <v>A. Distribution</v>
      </c>
      <c r="N284" s="39" t="n">
        <v>0.224285066754293</v>
      </c>
      <c r="O284" s="39" t="n">
        <v>0.320669795151224</v>
      </c>
      <c r="P284" s="39" t="n">
        <v>0.293877140168301</v>
      </c>
      <c r="Q284" s="39" t="n">
        <v>0.0582006039112703</v>
      </c>
      <c r="R284" s="39" t="n">
        <v>0.0683818358922326</v>
      </c>
      <c r="S284" s="39" t="n">
        <v>0.0345855581226791</v>
      </c>
      <c r="T284" s="38" t="n">
        <f aca="false">N284*Scorecard!$C$18+O284*Scorecard!$C$19+P284*Scorecard!$C$20+Q284*Scorecard!$C$21+R284*Scorecard!$C$22+S284*Scorecard!$C$23</f>
        <v>4.22722040569856</v>
      </c>
      <c r="U284" s="38" t="n">
        <f aca="false">N284*Scorecard!$D$18+O284*Scorecard!$D$19+P284*Scorecard!$D$20+Q284*Scorecard!$D$21+R284*Scorecard!$D$22+S284*Scorecard!$D$23</f>
        <v>2.71459049083026</v>
      </c>
      <c r="V284" s="38" t="n">
        <f aca="false">N284*Scorecard!$E$18+O284*Scorecard!$E$19+P284*Scorecard!$E$20+Q284*Scorecard!$E$21+R284*Scorecard!$E$22+S284*Scorecard!$E$23</f>
        <v>3.38880776425864</v>
      </c>
    </row>
    <row r="285" customFormat="false" ht="15" hidden="false" customHeight="false" outlineLevel="0" collapsed="false">
      <c r="A285" s="0" t="n">
        <v>280</v>
      </c>
      <c r="B285" s="38" t="n">
        <f aca="false">E285*Scorecard!$C$18+F285*Scorecard!$C$19+G285*Scorecard!$C$20+H285*Scorecard!$C$21+I285*Scorecard!$C$22+J285*Scorecard!$C$23</f>
        <v>4.02340166577514</v>
      </c>
      <c r="C285" s="38" t="n">
        <f aca="false">E285*Scorecard!$D$18+F285*Scorecard!$D$19+G285*Scorecard!$D$20+H285*Scorecard!$D$21+I285*Scorecard!$D$22+J285*Scorecard!$D$23</f>
        <v>2.32026573992226</v>
      </c>
      <c r="D285" s="0" t="str">
        <f aca="false">IF(AND(B285&gt;=C285,B285&gt;=K285),"A. Distribution",IF(C285&gt;=K285,"B. Manufacturing","C. Prof. services"))</f>
        <v>A. Distribution</v>
      </c>
      <c r="E285" s="39" t="n">
        <v>0.0962814998106084</v>
      </c>
      <c r="F285" s="39" t="n">
        <v>0.0391038918513023</v>
      </c>
      <c r="G285" s="39" t="n">
        <v>0.740715850335879</v>
      </c>
      <c r="H285" s="39" t="n">
        <v>0.0564048006716091</v>
      </c>
      <c r="I285" s="39" t="n">
        <v>0.0665467348822395</v>
      </c>
      <c r="J285" s="39" t="n">
        <v>0.000947222448361523</v>
      </c>
      <c r="K285" s="38" t="n">
        <f aca="false">E285*Scorecard!$E$18+F285*Scorecard!$E$19+G285*Scorecard!$E$20+H285*Scorecard!$E$21+I285*Scorecard!$E$22+J285*Scorecard!$E$23</f>
        <v>3.77622527359795</v>
      </c>
      <c r="M285" s="0" t="str">
        <f aca="false">IF(AND(T285&gt;=U285,T285&gt;=V285),"A. Distribution",IF(U285&gt;=V285,"B. Manufacturing","C. Prof. services"))</f>
        <v>A. Distribution</v>
      </c>
      <c r="N285" s="39" t="n">
        <v>0.247990755317617</v>
      </c>
      <c r="O285" s="39" t="n">
        <v>0.102243893307185</v>
      </c>
      <c r="P285" s="39" t="n">
        <v>0.133102216131936</v>
      </c>
      <c r="Q285" s="39" t="n">
        <v>0.138756817128731</v>
      </c>
      <c r="R285" s="39" t="n">
        <v>0.248718574573255</v>
      </c>
      <c r="S285" s="39" t="n">
        <v>0.129187743541276</v>
      </c>
      <c r="T285" s="38" t="n">
        <f aca="false">N285*Scorecard!$C$18+O285*Scorecard!$C$19+P285*Scorecard!$C$20+Q285*Scorecard!$C$21+R285*Scorecard!$C$22+S285*Scorecard!$C$23</f>
        <v>3.80900690056328</v>
      </c>
      <c r="U285" s="38" t="n">
        <f aca="false">N285*Scorecard!$D$18+O285*Scorecard!$D$19+P285*Scorecard!$D$20+Q285*Scorecard!$D$21+R285*Scorecard!$D$22+S285*Scorecard!$D$23</f>
        <v>2.86351475075551</v>
      </c>
      <c r="V285" s="38" t="n">
        <f aca="false">N285*Scorecard!$E$18+O285*Scorecard!$E$19+P285*Scorecard!$E$20+Q285*Scorecard!$E$21+R285*Scorecard!$E$22+S285*Scorecard!$E$23</f>
        <v>3.35845105019315</v>
      </c>
    </row>
    <row r="286" customFormat="false" ht="15" hidden="false" customHeight="false" outlineLevel="0" collapsed="false">
      <c r="A286" s="0" t="n">
        <v>281</v>
      </c>
      <c r="B286" s="38" t="n">
        <f aca="false">E286*Scorecard!$C$18+F286*Scorecard!$C$19+G286*Scorecard!$C$20+H286*Scorecard!$C$21+I286*Scorecard!$C$22+J286*Scorecard!$C$23</f>
        <v>3.97950489669475</v>
      </c>
      <c r="C286" s="38" t="n">
        <f aca="false">E286*Scorecard!$D$18+F286*Scorecard!$D$19+G286*Scorecard!$D$20+H286*Scorecard!$D$21+I286*Scorecard!$D$22+J286*Scorecard!$D$23</f>
        <v>2.97896368213582</v>
      </c>
      <c r="D286" s="0" t="str">
        <f aca="false">IF(AND(B286&gt;=C286,B286&gt;=K286),"A. Distribution",IF(C286&gt;=K286,"B. Manufacturing","C. Prof. services"))</f>
        <v>A. Distribution</v>
      </c>
      <c r="E286" s="39" t="n">
        <v>0.403686791262393</v>
      </c>
      <c r="F286" s="39" t="n">
        <v>0.137966324026208</v>
      </c>
      <c r="G286" s="39" t="n">
        <v>0.180672959045075</v>
      </c>
      <c r="H286" s="39" t="n">
        <v>0.175750685111143</v>
      </c>
      <c r="I286" s="39" t="n">
        <v>0.0483665012695608</v>
      </c>
      <c r="J286" s="39" t="n">
        <v>0.0535567392856201</v>
      </c>
      <c r="K286" s="38" t="n">
        <f aca="false">E286*Scorecard!$E$18+F286*Scorecard!$E$19+G286*Scorecard!$E$20+H286*Scorecard!$E$21+I286*Scorecard!$E$22+J286*Scorecard!$E$23</f>
        <v>3.52191129227251</v>
      </c>
      <c r="M286" s="0" t="str">
        <f aca="false">IF(AND(T286&gt;=U286,T286&gt;=V286),"A. Distribution",IF(U286&gt;=V286,"B. Manufacturing","C. Prof. services"))</f>
        <v>A. Distribution</v>
      </c>
      <c r="N286" s="39" t="n">
        <v>0.153512487957483</v>
      </c>
      <c r="O286" s="39" t="n">
        <v>0.238191501893977</v>
      </c>
      <c r="P286" s="39" t="n">
        <v>0.372607886188878</v>
      </c>
      <c r="Q286" s="39" t="n">
        <v>0.129295883847673</v>
      </c>
      <c r="R286" s="39" t="n">
        <v>0.0635397136375098</v>
      </c>
      <c r="S286" s="39" t="n">
        <v>0.0428525264744792</v>
      </c>
      <c r="T286" s="38" t="n">
        <f aca="false">N286*Scorecard!$C$18+O286*Scorecard!$C$19+P286*Scorecard!$C$20+Q286*Scorecard!$C$21+R286*Scorecard!$C$22+S286*Scorecard!$C$23</f>
        <v>4.1262297194926</v>
      </c>
      <c r="U286" s="38" t="n">
        <f aca="false">N286*Scorecard!$D$18+O286*Scorecard!$D$19+P286*Scorecard!$D$20+Q286*Scorecard!$D$21+R286*Scorecard!$D$22+S286*Scorecard!$D$23</f>
        <v>2.53788540186063</v>
      </c>
      <c r="V286" s="38" t="n">
        <f aca="false">N286*Scorecard!$E$18+O286*Scorecard!$E$19+P286*Scorecard!$E$20+Q286*Scorecard!$E$21+R286*Scorecard!$E$22+S286*Scorecard!$E$23</f>
        <v>3.5117403982192</v>
      </c>
    </row>
    <row r="287" customFormat="false" ht="15" hidden="false" customHeight="false" outlineLevel="0" collapsed="false">
      <c r="A287" s="0" t="n">
        <v>282</v>
      </c>
      <c r="B287" s="38" t="n">
        <f aca="false">E287*Scorecard!$C$18+F287*Scorecard!$C$19+G287*Scorecard!$C$20+H287*Scorecard!$C$21+I287*Scorecard!$C$22+J287*Scorecard!$C$23</f>
        <v>3.90242762094496</v>
      </c>
      <c r="C287" s="38" t="n">
        <f aca="false">E287*Scorecard!$D$18+F287*Scorecard!$D$19+G287*Scorecard!$D$20+H287*Scorecard!$D$21+I287*Scorecard!$D$22+J287*Scorecard!$D$23</f>
        <v>3.03070999349233</v>
      </c>
      <c r="D287" s="0" t="str">
        <f aca="false">IF(AND(B287&gt;=C287,B287&gt;=K287),"A. Distribution",IF(C287&gt;=K287,"B. Manufacturing","C. Prof. services"))</f>
        <v>A. Distribution</v>
      </c>
      <c r="E287" s="39" t="n">
        <v>0.211620121468533</v>
      </c>
      <c r="F287" s="39" t="n">
        <v>0.162021621349951</v>
      </c>
      <c r="G287" s="39" t="n">
        <v>0.0105559312990502</v>
      </c>
      <c r="H287" s="39" t="n">
        <v>0.0869991433772545</v>
      </c>
      <c r="I287" s="39" t="n">
        <v>0.412188434883323</v>
      </c>
      <c r="J287" s="39" t="n">
        <v>0.116614747621889</v>
      </c>
      <c r="K287" s="38" t="n">
        <f aca="false">E287*Scorecard!$E$18+F287*Scorecard!$E$19+G287*Scorecard!$E$20+H287*Scorecard!$E$21+I287*Scorecard!$E$22+J287*Scorecard!$E$23</f>
        <v>3.0433639602279</v>
      </c>
      <c r="M287" s="0" t="str">
        <f aca="false">IF(AND(T287&gt;=U287,T287&gt;=V287),"A. Distribution",IF(U287&gt;=V287,"B. Manufacturing","C. Prof. services"))</f>
        <v>A. Distribution</v>
      </c>
      <c r="N287" s="39" t="n">
        <v>0.182125059579941</v>
      </c>
      <c r="O287" s="39" t="n">
        <v>0.20005956010266</v>
      </c>
      <c r="P287" s="39" t="n">
        <v>0.239177652004746</v>
      </c>
      <c r="Q287" s="39" t="n">
        <v>0.2311299632448</v>
      </c>
      <c r="R287" s="39" t="n">
        <v>0.0936663088675822</v>
      </c>
      <c r="S287" s="39" t="n">
        <v>0.0538414562002708</v>
      </c>
      <c r="T287" s="38" t="n">
        <f aca="false">N287*Scorecard!$C$18+O287*Scorecard!$C$19+P287*Scorecard!$C$20+Q287*Scorecard!$C$21+R287*Scorecard!$C$22+S287*Scorecard!$C$23</f>
        <v>4.0528500254282</v>
      </c>
      <c r="U287" s="38" t="n">
        <f aca="false">N287*Scorecard!$D$18+O287*Scorecard!$D$19+P287*Scorecard!$D$20+Q287*Scorecard!$D$21+R287*Scorecard!$D$22+S287*Scorecard!$D$23</f>
        <v>2.64001152475553</v>
      </c>
      <c r="V287" s="38" t="n">
        <f aca="false">N287*Scorecard!$E$18+O287*Scorecard!$E$19+P287*Scorecard!$E$20+Q287*Scorecard!$E$21+R287*Scorecard!$E$22+S287*Scorecard!$E$23</f>
        <v>3.46499272880259</v>
      </c>
    </row>
    <row r="288" customFormat="false" ht="15" hidden="false" customHeight="false" outlineLevel="0" collapsed="false">
      <c r="A288" s="0" t="n">
        <v>283</v>
      </c>
      <c r="B288" s="38" t="n">
        <f aca="false">E288*Scorecard!$C$18+F288*Scorecard!$C$19+G288*Scorecard!$C$20+H288*Scorecard!$C$21+I288*Scorecard!$C$22+J288*Scorecard!$C$23</f>
        <v>3.89709334181155</v>
      </c>
      <c r="C288" s="38" t="n">
        <f aca="false">E288*Scorecard!$D$18+F288*Scorecard!$D$19+G288*Scorecard!$D$20+H288*Scorecard!$D$21+I288*Scorecard!$D$22+J288*Scorecard!$D$23</f>
        <v>2.40860343468343</v>
      </c>
      <c r="D288" s="0" t="str">
        <f aca="false">IF(AND(B288&gt;=C288,B288&gt;=K288),"A. Distribution",IF(C288&gt;=K288,"B. Manufacturing","C. Prof. services"))</f>
        <v>A. Distribution</v>
      </c>
      <c r="E288" s="39" t="n">
        <v>0.112914112616297</v>
      </c>
      <c r="F288" s="39" t="n">
        <v>0.0342618593430183</v>
      </c>
      <c r="G288" s="39" t="n">
        <v>0.450013232862541</v>
      </c>
      <c r="H288" s="39" t="n">
        <v>0.273442402783479</v>
      </c>
      <c r="I288" s="39" t="n">
        <v>0.0800486781064317</v>
      </c>
      <c r="J288" s="39" t="n">
        <v>0.0493197142882336</v>
      </c>
      <c r="K288" s="38" t="n">
        <f aca="false">E288*Scorecard!$E$18+F288*Scorecard!$E$19+G288*Scorecard!$E$20+H288*Scorecard!$E$21+I288*Scorecard!$E$22+J288*Scorecard!$E$23</f>
        <v>3.70439202746597</v>
      </c>
      <c r="M288" s="0" t="str">
        <f aca="false">IF(AND(T288&gt;=U288,T288&gt;=V288),"A. Distribution",IF(U288&gt;=V288,"B. Manufacturing","C. Prof. services"))</f>
        <v>A. Distribution</v>
      </c>
      <c r="N288" s="39" t="n">
        <v>0.233698755801239</v>
      </c>
      <c r="O288" s="39" t="n">
        <v>0.147240345171611</v>
      </c>
      <c r="P288" s="39" t="n">
        <v>0.126687024651162</v>
      </c>
      <c r="Q288" s="39" t="n">
        <v>0.119974612785042</v>
      </c>
      <c r="R288" s="39" t="n">
        <v>0.24200580307384</v>
      </c>
      <c r="S288" s="39" t="n">
        <v>0.130393458517106</v>
      </c>
      <c r="T288" s="38" t="n">
        <f aca="false">N288*Scorecard!$C$18+O288*Scorecard!$C$19+P288*Scorecard!$C$20+Q288*Scorecard!$C$21+R288*Scorecard!$C$22+S288*Scorecard!$C$23</f>
        <v>3.85476317451997</v>
      </c>
      <c r="U288" s="38" t="n">
        <f aca="false">N288*Scorecard!$D$18+O288*Scorecard!$D$19+P288*Scorecard!$D$20+Q288*Scorecard!$D$21+R288*Scorecard!$D$22+S288*Scorecard!$D$23</f>
        <v>2.84339484404899</v>
      </c>
      <c r="V288" s="38" t="n">
        <f aca="false">N288*Scorecard!$E$18+O288*Scorecard!$E$19+P288*Scorecard!$E$20+Q288*Scorecard!$E$21+R288*Scorecard!$E$22+S288*Scorecard!$E$23</f>
        <v>3.32974171705883</v>
      </c>
    </row>
    <row r="289" customFormat="false" ht="15" hidden="false" customHeight="false" outlineLevel="0" collapsed="false">
      <c r="A289" s="0" t="n">
        <v>284</v>
      </c>
      <c r="B289" s="38" t="n">
        <f aca="false">E289*Scorecard!$C$18+F289*Scorecard!$C$19+G289*Scorecard!$C$20+H289*Scorecard!$C$21+I289*Scorecard!$C$22+J289*Scorecard!$C$23</f>
        <v>2.95408375311583</v>
      </c>
      <c r="C289" s="38" t="n">
        <f aca="false">E289*Scorecard!$D$18+F289*Scorecard!$D$19+G289*Scorecard!$D$20+H289*Scorecard!$D$21+I289*Scorecard!$D$22+J289*Scorecard!$D$23</f>
        <v>2.02983907098846</v>
      </c>
      <c r="D289" s="0" t="str">
        <f aca="false">IF(AND(B289&gt;=C289,B289&gt;=K289),"A. Distribution",IF(C289&gt;=K289,"B. Manufacturing","C. Prof. services"))</f>
        <v>C. Prof. services</v>
      </c>
      <c r="E289" s="39" t="n">
        <v>0.0978322142092606</v>
      </c>
      <c r="F289" s="39" t="n">
        <v>0.158554866879188</v>
      </c>
      <c r="G289" s="39" t="n">
        <v>0.050194752347964</v>
      </c>
      <c r="H289" s="39" t="n">
        <v>0.084657220586475</v>
      </c>
      <c r="I289" s="39" t="n">
        <v>0.0150136380239402</v>
      </c>
      <c r="J289" s="39" t="n">
        <v>0.593747307953172</v>
      </c>
      <c r="K289" s="38" t="n">
        <f aca="false">E289*Scorecard!$E$18+F289*Scorecard!$E$19+G289*Scorecard!$E$20+H289*Scorecard!$E$21+I289*Scorecard!$E$22+J289*Scorecard!$E$23</f>
        <v>4.00570563516604</v>
      </c>
      <c r="M289" s="0" t="str">
        <f aca="false">IF(AND(T289&gt;=U289,T289&gt;=V289),"A. Distribution",IF(U289&gt;=V289,"B. Manufacturing","C. Prof. services"))</f>
        <v>A. Distribution</v>
      </c>
      <c r="N289" s="39" t="n">
        <v>0.167816988571882</v>
      </c>
      <c r="O289" s="39" t="n">
        <v>0.244341050880271</v>
      </c>
      <c r="P289" s="39" t="n">
        <v>0.146928662300777</v>
      </c>
      <c r="Q289" s="39" t="n">
        <v>0.205325507011712</v>
      </c>
      <c r="R289" s="39" t="n">
        <v>0.213099499581897</v>
      </c>
      <c r="S289" s="39" t="n">
        <v>0.0224882916534618</v>
      </c>
      <c r="T289" s="38" t="n">
        <f aca="false">N289*Scorecard!$C$18+O289*Scorecard!$C$19+P289*Scorecard!$C$20+Q289*Scorecard!$C$21+R289*Scorecard!$C$22+S289*Scorecard!$C$23</f>
        <v>4.16376703943331</v>
      </c>
      <c r="U289" s="38" t="n">
        <f aca="false">N289*Scorecard!$D$18+O289*Scorecard!$D$19+P289*Scorecard!$D$20+Q289*Scorecard!$D$21+R289*Scorecard!$D$22+S289*Scorecard!$D$23</f>
        <v>2.80189774469626</v>
      </c>
      <c r="V289" s="38" t="n">
        <f aca="false">N289*Scorecard!$E$18+O289*Scorecard!$E$19+P289*Scorecard!$E$20+Q289*Scorecard!$E$21+R289*Scorecard!$E$22+S289*Scorecard!$E$23</f>
        <v>3.21291600257021</v>
      </c>
    </row>
    <row r="290" customFormat="false" ht="15" hidden="false" customHeight="false" outlineLevel="0" collapsed="false">
      <c r="A290" s="0" t="n">
        <v>285</v>
      </c>
      <c r="B290" s="38" t="n">
        <f aca="false">E290*Scorecard!$C$18+F290*Scorecard!$C$19+G290*Scorecard!$C$20+H290*Scorecard!$C$21+I290*Scorecard!$C$22+J290*Scorecard!$C$23</f>
        <v>3.40457719128229</v>
      </c>
      <c r="C290" s="38" t="n">
        <f aca="false">E290*Scorecard!$D$18+F290*Scorecard!$D$19+G290*Scorecard!$D$20+H290*Scorecard!$D$21+I290*Scorecard!$D$22+J290*Scorecard!$D$23</f>
        <v>2.21838490522667</v>
      </c>
      <c r="D290" s="0" t="str">
        <f aca="false">IF(AND(B290&gt;=C290,B290&gt;=K290),"A. Distribution",IF(C290&gt;=K290,"B. Manufacturing","C. Prof. services"))</f>
        <v>C. Prof. services</v>
      </c>
      <c r="E290" s="39" t="n">
        <v>0.0148822396666274</v>
      </c>
      <c r="F290" s="39" t="n">
        <v>0.00901097313442238</v>
      </c>
      <c r="G290" s="39" t="n">
        <v>0.330629068853032</v>
      </c>
      <c r="H290" s="39" t="n">
        <v>0.131765744957115</v>
      </c>
      <c r="I290" s="39" t="n">
        <v>0.21919142412296</v>
      </c>
      <c r="J290" s="39" t="n">
        <v>0.294520549265843</v>
      </c>
      <c r="K290" s="38" t="n">
        <f aca="false">E290*Scorecard!$E$18+F290*Scorecard!$E$19+G290*Scorecard!$E$20+H290*Scorecard!$E$21+I290*Scorecard!$E$22+J290*Scorecard!$E$23</f>
        <v>3.7206235400918</v>
      </c>
      <c r="M290" s="0" t="str">
        <f aca="false">IF(AND(T290&gt;=U290,T290&gt;=V290),"A. Distribution",IF(U290&gt;=V290,"B. Manufacturing","C. Prof. services"))</f>
        <v>A. Distribution</v>
      </c>
      <c r="N290" s="39" t="n">
        <v>0.0984986631168463</v>
      </c>
      <c r="O290" s="39" t="n">
        <v>0.135277300468241</v>
      </c>
      <c r="P290" s="39" t="n">
        <v>0.337265195533666</v>
      </c>
      <c r="Q290" s="39" t="n">
        <v>0.139333053431034</v>
      </c>
      <c r="R290" s="39" t="n">
        <v>0.130923933953021</v>
      </c>
      <c r="S290" s="39" t="n">
        <v>0.158701853497191</v>
      </c>
      <c r="T290" s="38" t="n">
        <f aca="false">N290*Scorecard!$C$18+O290*Scorecard!$C$19+P290*Scorecard!$C$20+Q290*Scorecard!$C$21+R290*Scorecard!$C$22+S290*Scorecard!$C$23</f>
        <v>3.79495223551248</v>
      </c>
      <c r="U290" s="38" t="n">
        <f aca="false">N290*Scorecard!$D$18+O290*Scorecard!$D$19+P290*Scorecard!$D$20+Q290*Scorecard!$D$21+R290*Scorecard!$D$22+S290*Scorecard!$D$23</f>
        <v>2.4069007353035</v>
      </c>
      <c r="V290" s="38" t="n">
        <f aca="false">N290*Scorecard!$E$18+O290*Scorecard!$E$19+P290*Scorecard!$E$20+Q290*Scorecard!$E$21+R290*Scorecard!$E$22+S290*Scorecard!$E$23</f>
        <v>3.60460527419649</v>
      </c>
    </row>
    <row r="291" customFormat="false" ht="15" hidden="false" customHeight="false" outlineLevel="0" collapsed="false">
      <c r="A291" s="0" t="n">
        <v>286</v>
      </c>
      <c r="B291" s="38" t="n">
        <f aca="false">E291*Scorecard!$C$18+F291*Scorecard!$C$19+G291*Scorecard!$C$20+H291*Scorecard!$C$21+I291*Scorecard!$C$22+J291*Scorecard!$C$23</f>
        <v>4.01862475883844</v>
      </c>
      <c r="C291" s="38" t="n">
        <f aca="false">E291*Scorecard!$D$18+F291*Scorecard!$D$19+G291*Scorecard!$D$20+H291*Scorecard!$D$21+I291*Scorecard!$D$22+J291*Scorecard!$D$23</f>
        <v>2.61325946633936</v>
      </c>
      <c r="D291" s="0" t="str">
        <f aca="false">IF(AND(B291&gt;=C291,B291&gt;=K291),"A. Distribution",IF(C291&gt;=K291,"B. Manufacturing","C. Prof. services"))</f>
        <v>A. Distribution</v>
      </c>
      <c r="E291" s="39" t="n">
        <v>0.079572822080929</v>
      </c>
      <c r="F291" s="39" t="n">
        <v>0.156492678242744</v>
      </c>
      <c r="G291" s="39" t="n">
        <v>0.0853260934424348</v>
      </c>
      <c r="H291" s="39" t="n">
        <v>0.440349851355744</v>
      </c>
      <c r="I291" s="39" t="n">
        <v>0.1962428951231</v>
      </c>
      <c r="J291" s="39" t="n">
        <v>0.0420156597550482</v>
      </c>
      <c r="K291" s="38" t="n">
        <f aca="false">E291*Scorecard!$E$18+F291*Scorecard!$E$19+G291*Scorecard!$E$20+H291*Scorecard!$E$21+I291*Scorecard!$E$22+J291*Scorecard!$E$23</f>
        <v>3.32304142574276</v>
      </c>
      <c r="M291" s="0" t="str">
        <f aca="false">IF(AND(T291&gt;=U291,T291&gt;=V291),"A. Distribution",IF(U291&gt;=V291,"B. Manufacturing","C. Prof. services"))</f>
        <v>A. Distribution</v>
      </c>
      <c r="N291" s="39" t="n">
        <v>0.175447654673055</v>
      </c>
      <c r="O291" s="39" t="n">
        <v>0.242285886694827</v>
      </c>
      <c r="P291" s="39" t="n">
        <v>0.284510689554863</v>
      </c>
      <c r="Q291" s="39" t="n">
        <v>0.101280346788633</v>
      </c>
      <c r="R291" s="39" t="n">
        <v>0.0894091512878959</v>
      </c>
      <c r="S291" s="39" t="n">
        <v>0.107066271000727</v>
      </c>
      <c r="T291" s="38" t="n">
        <f aca="false">N291*Scorecard!$C$18+O291*Scorecard!$C$19+P291*Scorecard!$C$20+Q291*Scorecard!$C$21+R291*Scorecard!$C$22+S291*Scorecard!$C$23</f>
        <v>4.00315420207313</v>
      </c>
      <c r="U291" s="38" t="n">
        <f aca="false">N291*Scorecard!$D$18+O291*Scorecard!$D$19+P291*Scorecard!$D$20+Q291*Scorecard!$D$21+R291*Scorecard!$D$22+S291*Scorecard!$D$23</f>
        <v>2.57863342015747</v>
      </c>
      <c r="V291" s="38" t="n">
        <f aca="false">N291*Scorecard!$E$18+O291*Scorecard!$E$19+P291*Scorecard!$E$20+Q291*Scorecard!$E$21+R291*Scorecard!$E$22+S291*Scorecard!$E$23</f>
        <v>3.49403179838009</v>
      </c>
    </row>
    <row r="292" customFormat="false" ht="15" hidden="false" customHeight="false" outlineLevel="0" collapsed="false">
      <c r="A292" s="0" t="n">
        <v>287</v>
      </c>
      <c r="B292" s="38" t="n">
        <f aca="false">E292*Scorecard!$C$18+F292*Scorecard!$C$19+G292*Scorecard!$C$20+H292*Scorecard!$C$21+I292*Scorecard!$C$22+J292*Scorecard!$C$23</f>
        <v>3.65502220365322</v>
      </c>
      <c r="C292" s="38" t="n">
        <f aca="false">E292*Scorecard!$D$18+F292*Scorecard!$D$19+G292*Scorecard!$D$20+H292*Scorecard!$D$21+I292*Scorecard!$D$22+J292*Scorecard!$D$23</f>
        <v>2.56591351802357</v>
      </c>
      <c r="D292" s="0" t="str">
        <f aca="false">IF(AND(B292&gt;=C292,B292&gt;=K292),"A. Distribution",IF(C292&gt;=K292,"B. Manufacturing","C. Prof. services"))</f>
        <v>A. Distribution</v>
      </c>
      <c r="E292" s="39" t="n">
        <v>0.181018526496643</v>
      </c>
      <c r="F292" s="39" t="n">
        <v>0.0558777821164606</v>
      </c>
      <c r="G292" s="39" t="n">
        <v>0.320409350719179</v>
      </c>
      <c r="H292" s="39" t="n">
        <v>0.0701225759483227</v>
      </c>
      <c r="I292" s="39" t="n">
        <v>0.18318854640968</v>
      </c>
      <c r="J292" s="39" t="n">
        <v>0.189383218309716</v>
      </c>
      <c r="K292" s="38" t="n">
        <f aca="false">E292*Scorecard!$E$18+F292*Scorecard!$E$19+G292*Scorecard!$E$20+H292*Scorecard!$E$21+I292*Scorecard!$E$22+J292*Scorecard!$E$23</f>
        <v>3.60912928699288</v>
      </c>
      <c r="M292" s="0" t="str">
        <f aca="false">IF(AND(T292&gt;=U292,T292&gt;=V292),"A. Distribution",IF(U292&gt;=V292,"B. Manufacturing","C. Prof. services"))</f>
        <v>A. Distribution</v>
      </c>
      <c r="N292" s="39" t="n">
        <v>0.177934151811878</v>
      </c>
      <c r="O292" s="39" t="n">
        <v>0.224471272393079</v>
      </c>
      <c r="P292" s="39" t="n">
        <v>0.104941445866015</v>
      </c>
      <c r="Q292" s="39" t="n">
        <v>0.0842241847391914</v>
      </c>
      <c r="R292" s="39" t="n">
        <v>0.273439564938694</v>
      </c>
      <c r="S292" s="39" t="n">
        <v>0.134989380251143</v>
      </c>
      <c r="T292" s="38" t="n">
        <f aca="false">N292*Scorecard!$C$18+O292*Scorecard!$C$19+P292*Scorecard!$C$20+Q292*Scorecard!$C$21+R292*Scorecard!$C$22+S292*Scorecard!$C$23</f>
        <v>3.93113154791151</v>
      </c>
      <c r="U292" s="38" t="n">
        <f aca="false">N292*Scorecard!$D$18+O292*Scorecard!$D$19+P292*Scorecard!$D$20+Q292*Scorecard!$D$21+R292*Scorecard!$D$22+S292*Scorecard!$D$23</f>
        <v>2.8006470488771</v>
      </c>
      <c r="V292" s="38" t="n">
        <f aca="false">N292*Scorecard!$E$18+O292*Scorecard!$E$19+P292*Scorecard!$E$20+Q292*Scorecard!$E$21+R292*Scorecard!$E$22+S292*Scorecard!$E$23</f>
        <v>3.22690118380253</v>
      </c>
    </row>
    <row r="293" customFormat="false" ht="15" hidden="false" customHeight="false" outlineLevel="0" collapsed="false">
      <c r="A293" s="0" t="n">
        <v>288</v>
      </c>
      <c r="B293" s="38" t="n">
        <f aca="false">E293*Scorecard!$C$18+F293*Scorecard!$C$19+G293*Scorecard!$C$20+H293*Scorecard!$C$21+I293*Scorecard!$C$22+J293*Scorecard!$C$23</f>
        <v>3.81175875607215</v>
      </c>
      <c r="C293" s="38" t="n">
        <f aca="false">E293*Scorecard!$D$18+F293*Scorecard!$D$19+G293*Scorecard!$D$20+H293*Scorecard!$D$21+I293*Scorecard!$D$22+J293*Scorecard!$D$23</f>
        <v>2.56994314603778</v>
      </c>
      <c r="D293" s="0" t="str">
        <f aca="false">IF(AND(B293&gt;=C293,B293&gt;=K293),"A. Distribution",IF(C293&gt;=K293,"B. Manufacturing","C. Prof. services"))</f>
        <v>A. Distribution</v>
      </c>
      <c r="E293" s="39" t="n">
        <v>0.183741857667219</v>
      </c>
      <c r="F293" s="39" t="n">
        <v>0.0640999491704107</v>
      </c>
      <c r="G293" s="39" t="n">
        <v>0.167823306326616</v>
      </c>
      <c r="H293" s="39" t="n">
        <v>0.421429848348982</v>
      </c>
      <c r="I293" s="39" t="n">
        <v>0.0668151189684902</v>
      </c>
      <c r="J293" s="39" t="n">
        <v>0.0960899195182821</v>
      </c>
      <c r="K293" s="38" t="n">
        <f aca="false">E293*Scorecard!$E$18+F293*Scorecard!$E$19+G293*Scorecard!$E$20+H293*Scorecard!$E$21+I293*Scorecard!$E$22+J293*Scorecard!$E$23</f>
        <v>3.63034752502718</v>
      </c>
      <c r="M293" s="0" t="str">
        <f aca="false">IF(AND(T293&gt;=U293,T293&gt;=V293),"A. Distribution",IF(U293&gt;=V293,"B. Manufacturing","C. Prof. services"))</f>
        <v>A. Distribution</v>
      </c>
      <c r="N293" s="39" t="n">
        <v>0.213709770675512</v>
      </c>
      <c r="O293" s="39" t="n">
        <v>0.355392224988428</v>
      </c>
      <c r="P293" s="39" t="n">
        <v>0.142644467352224</v>
      </c>
      <c r="Q293" s="39" t="n">
        <v>0.146435128886662</v>
      </c>
      <c r="R293" s="39" t="n">
        <v>0.0264054722696211</v>
      </c>
      <c r="S293" s="39" t="n">
        <v>0.115412935827552</v>
      </c>
      <c r="T293" s="38" t="n">
        <f aca="false">N293*Scorecard!$C$18+O293*Scorecard!$C$19+P293*Scorecard!$C$20+Q293*Scorecard!$C$21+R293*Scorecard!$C$22+S293*Scorecard!$C$23</f>
        <v>4.0916298146671</v>
      </c>
      <c r="U293" s="38" t="n">
        <f aca="false">N293*Scorecard!$D$18+O293*Scorecard!$D$19+P293*Scorecard!$D$20+Q293*Scorecard!$D$21+R293*Scorecard!$D$22+S293*Scorecard!$D$23</f>
        <v>2.64099751079166</v>
      </c>
      <c r="V293" s="38" t="n">
        <f aca="false">N293*Scorecard!$E$18+O293*Scorecard!$E$19+P293*Scorecard!$E$20+Q293*Scorecard!$E$21+R293*Scorecard!$E$22+S293*Scorecard!$E$23</f>
        <v>3.43410390761541</v>
      </c>
    </row>
    <row r="294" customFormat="false" ht="15" hidden="false" customHeight="false" outlineLevel="0" collapsed="false">
      <c r="A294" s="0" t="n">
        <v>289</v>
      </c>
      <c r="B294" s="38" t="n">
        <f aca="false">E294*Scorecard!$C$18+F294*Scorecard!$C$19+G294*Scorecard!$C$20+H294*Scorecard!$C$21+I294*Scorecard!$C$22+J294*Scorecard!$C$23</f>
        <v>3.70645691529449</v>
      </c>
      <c r="C294" s="38" t="n">
        <f aca="false">E294*Scorecard!$D$18+F294*Scorecard!$D$19+G294*Scorecard!$D$20+H294*Scorecard!$D$21+I294*Scorecard!$D$22+J294*Scorecard!$D$23</f>
        <v>2.49830341564584</v>
      </c>
      <c r="D294" s="0" t="str">
        <f aca="false">IF(AND(B294&gt;=C294,B294&gt;=K294),"A. Distribution",IF(C294&gt;=K294,"B. Manufacturing","C. Prof. services"))</f>
        <v>A. Distribution</v>
      </c>
      <c r="E294" s="39" t="n">
        <v>0.139774767275365</v>
      </c>
      <c r="F294" s="39" t="n">
        <v>0.0265096531764284</v>
      </c>
      <c r="G294" s="39" t="n">
        <v>0.351444033761322</v>
      </c>
      <c r="H294" s="39" t="n">
        <v>0.168186444491507</v>
      </c>
      <c r="I294" s="39" t="n">
        <v>0.168730858822801</v>
      </c>
      <c r="J294" s="39" t="n">
        <v>0.145354242472578</v>
      </c>
      <c r="K294" s="38" t="n">
        <f aca="false">E294*Scorecard!$E$18+F294*Scorecard!$E$19+G294*Scorecard!$E$20+H294*Scorecard!$E$21+I294*Scorecard!$E$22+J294*Scorecard!$E$23</f>
        <v>3.63486617897211</v>
      </c>
      <c r="M294" s="0" t="str">
        <f aca="false">IF(AND(T294&gt;=U294,T294&gt;=V294),"A. Distribution",IF(U294&gt;=V294,"B. Manufacturing","C. Prof. services"))</f>
        <v>A. Distribution</v>
      </c>
      <c r="N294" s="39" t="n">
        <v>0.172708069421479</v>
      </c>
      <c r="O294" s="39" t="n">
        <v>0.175276815741943</v>
      </c>
      <c r="P294" s="39" t="n">
        <v>0.265847835060604</v>
      </c>
      <c r="Q294" s="39" t="n">
        <v>0.232874002883846</v>
      </c>
      <c r="R294" s="39" t="n">
        <v>0.116805925034291</v>
      </c>
      <c r="S294" s="39" t="n">
        <v>0.0364873518578364</v>
      </c>
      <c r="T294" s="38" t="n">
        <f aca="false">N294*Scorecard!$C$18+O294*Scorecard!$C$19+P294*Scorecard!$C$20+Q294*Scorecard!$C$21+R294*Scorecard!$C$22+S294*Scorecard!$C$23</f>
        <v>4.06334362819819</v>
      </c>
      <c r="U294" s="38" t="n">
        <f aca="false">N294*Scorecard!$D$18+O294*Scorecard!$D$19+P294*Scorecard!$D$20+Q294*Scorecard!$D$21+R294*Scorecard!$D$22+S294*Scorecard!$D$23</f>
        <v>2.64786631884047</v>
      </c>
      <c r="V294" s="38" t="n">
        <f aca="false">N294*Scorecard!$E$18+O294*Scorecard!$E$19+P294*Scorecard!$E$20+Q294*Scorecard!$E$21+R294*Scorecard!$E$22+S294*Scorecard!$E$23</f>
        <v>3.4515126805515</v>
      </c>
    </row>
    <row r="295" customFormat="false" ht="15" hidden="false" customHeight="false" outlineLevel="0" collapsed="false">
      <c r="A295" s="0" t="n">
        <v>290</v>
      </c>
      <c r="B295" s="38" t="n">
        <f aca="false">E295*Scorecard!$C$18+F295*Scorecard!$C$19+G295*Scorecard!$C$20+H295*Scorecard!$C$21+I295*Scorecard!$C$22+J295*Scorecard!$C$23</f>
        <v>3.94001648619049</v>
      </c>
      <c r="C295" s="38" t="n">
        <f aca="false">E295*Scorecard!$D$18+F295*Scorecard!$D$19+G295*Scorecard!$D$20+H295*Scorecard!$D$21+I295*Scorecard!$D$22+J295*Scorecard!$D$23</f>
        <v>2.70005699456247</v>
      </c>
      <c r="D295" s="0" t="str">
        <f aca="false">IF(AND(B295&gt;=C295,B295&gt;=K295),"A. Distribution",IF(C295&gt;=K295,"B. Manufacturing","C. Prof. services"))</f>
        <v>A. Distribution</v>
      </c>
      <c r="E295" s="39" t="n">
        <v>0.0879944191909257</v>
      </c>
      <c r="F295" s="39" t="n">
        <v>0.144063269270823</v>
      </c>
      <c r="G295" s="39" t="n">
        <v>0.169538648059287</v>
      </c>
      <c r="H295" s="39" t="n">
        <v>0.18211578677973</v>
      </c>
      <c r="I295" s="39" t="n">
        <v>0.327608420533686</v>
      </c>
      <c r="J295" s="39" t="n">
        <v>0.0886794561655491</v>
      </c>
      <c r="K295" s="38" t="n">
        <f aca="false">E295*Scorecard!$E$18+F295*Scorecard!$E$19+G295*Scorecard!$E$20+H295*Scorecard!$E$21+I295*Scorecard!$E$22+J295*Scorecard!$E$23</f>
        <v>3.2225360606308</v>
      </c>
      <c r="M295" s="0" t="str">
        <f aca="false">IF(AND(T295&gt;=U295,T295&gt;=V295),"A. Distribution",IF(U295&gt;=V295,"B. Manufacturing","C. Prof. services"))</f>
        <v>A. Distribution</v>
      </c>
      <c r="N295" s="39" t="n">
        <v>0.0986451467915497</v>
      </c>
      <c r="O295" s="39" t="n">
        <v>0.0755428191747767</v>
      </c>
      <c r="P295" s="39" t="n">
        <v>0.376590451968506</v>
      </c>
      <c r="Q295" s="39" t="n">
        <v>0.203097519998498</v>
      </c>
      <c r="R295" s="39" t="n">
        <v>0.182285878728335</v>
      </c>
      <c r="S295" s="39" t="n">
        <v>0.0638381833383346</v>
      </c>
      <c r="T295" s="38" t="n">
        <f aca="false">N295*Scorecard!$C$18+O295*Scorecard!$C$19+P295*Scorecard!$C$20+Q295*Scorecard!$C$21+R295*Scorecard!$C$22+S295*Scorecard!$C$23</f>
        <v>3.9180626751455</v>
      </c>
      <c r="U295" s="38" t="n">
        <f aca="false">N295*Scorecard!$D$18+O295*Scorecard!$D$19+P295*Scorecard!$D$20+Q295*Scorecard!$D$21+R295*Scorecard!$D$22+S295*Scorecard!$D$23</f>
        <v>2.51009789578269</v>
      </c>
      <c r="V295" s="38" t="n">
        <f aca="false">N295*Scorecard!$E$18+O295*Scorecard!$E$19+P295*Scorecard!$E$20+Q295*Scorecard!$E$21+R295*Scorecard!$E$22+S295*Scorecard!$E$23</f>
        <v>3.52204710721558</v>
      </c>
    </row>
    <row r="296" customFormat="false" ht="15" hidden="false" customHeight="false" outlineLevel="0" collapsed="false">
      <c r="A296" s="0" t="n">
        <v>291</v>
      </c>
      <c r="B296" s="38" t="n">
        <f aca="false">E296*Scorecard!$C$18+F296*Scorecard!$C$19+G296*Scorecard!$C$20+H296*Scorecard!$C$21+I296*Scorecard!$C$22+J296*Scorecard!$C$23</f>
        <v>4.33546415949078</v>
      </c>
      <c r="C296" s="38" t="n">
        <f aca="false">E296*Scorecard!$D$18+F296*Scorecard!$D$19+G296*Scorecard!$D$20+H296*Scorecard!$D$21+I296*Scorecard!$D$22+J296*Scorecard!$D$23</f>
        <v>2.52190958972857</v>
      </c>
      <c r="D296" s="0" t="str">
        <f aca="false">IF(AND(B296&gt;=C296,B296&gt;=K296),"A. Distribution",IF(C296&gt;=K296,"B. Manufacturing","C. Prof. services"))</f>
        <v>A. Distribution</v>
      </c>
      <c r="E296" s="39" t="n">
        <v>0.0698938081949975</v>
      </c>
      <c r="F296" s="39" t="n">
        <v>0.402734203088949</v>
      </c>
      <c r="G296" s="39" t="n">
        <v>0.330500017682395</v>
      </c>
      <c r="H296" s="39" t="n">
        <v>0.0412361320088592</v>
      </c>
      <c r="I296" s="39" t="n">
        <v>0.127028200052534</v>
      </c>
      <c r="J296" s="39" t="n">
        <v>0.0286076389722656</v>
      </c>
      <c r="K296" s="38" t="n">
        <f aca="false">E296*Scorecard!$E$18+F296*Scorecard!$E$19+G296*Scorecard!$E$20+H296*Scorecard!$E$21+I296*Scorecard!$E$22+J296*Scorecard!$E$23</f>
        <v>3.27271593157346</v>
      </c>
      <c r="M296" s="0" t="str">
        <f aca="false">IF(AND(T296&gt;=U296,T296&gt;=V296),"A. Distribution",IF(U296&gt;=V296,"B. Manufacturing","C. Prof. services"))</f>
        <v>A. Distribution</v>
      </c>
      <c r="N296" s="39" t="n">
        <v>0.156275359831835</v>
      </c>
      <c r="O296" s="39" t="n">
        <v>0.304215171781502</v>
      </c>
      <c r="P296" s="39" t="n">
        <v>0.0940229935106585</v>
      </c>
      <c r="Q296" s="39" t="n">
        <v>0.119838207090076</v>
      </c>
      <c r="R296" s="39" t="n">
        <v>0.25365304732151</v>
      </c>
      <c r="S296" s="39" t="n">
        <v>0.0719952204644187</v>
      </c>
      <c r="T296" s="38" t="n">
        <f aca="false">N296*Scorecard!$C$18+O296*Scorecard!$C$19+P296*Scorecard!$C$20+Q296*Scorecard!$C$21+R296*Scorecard!$C$22+S296*Scorecard!$C$23</f>
        <v>4.13476524955685</v>
      </c>
      <c r="U296" s="38" t="n">
        <f aca="false">N296*Scorecard!$D$18+O296*Scorecard!$D$19+P296*Scorecard!$D$20+Q296*Scorecard!$D$21+R296*Scorecard!$D$22+S296*Scorecard!$D$23</f>
        <v>2.81459877749751</v>
      </c>
      <c r="V296" s="38" t="n">
        <f aca="false">N296*Scorecard!$E$18+O296*Scorecard!$E$19+P296*Scorecard!$E$20+Q296*Scorecard!$E$21+R296*Scorecard!$E$22+S296*Scorecard!$E$23</f>
        <v>3.13223590568984</v>
      </c>
    </row>
    <row r="297" customFormat="false" ht="15" hidden="false" customHeight="false" outlineLevel="0" collapsed="false">
      <c r="A297" s="0" t="n">
        <v>292</v>
      </c>
      <c r="B297" s="38" t="n">
        <f aca="false">E297*Scorecard!$C$18+F297*Scorecard!$C$19+G297*Scorecard!$C$20+H297*Scorecard!$C$21+I297*Scorecard!$C$22+J297*Scorecard!$C$23</f>
        <v>3.26948542204566</v>
      </c>
      <c r="C297" s="38" t="n">
        <f aca="false">E297*Scorecard!$D$18+F297*Scorecard!$D$19+G297*Scorecard!$D$20+H297*Scorecard!$D$21+I297*Scorecard!$D$22+J297*Scorecard!$D$23</f>
        <v>2.14027880376426</v>
      </c>
      <c r="D297" s="0" t="str">
        <f aca="false">IF(AND(B297&gt;=C297,B297&gt;=K297),"A. Distribution",IF(C297&gt;=K297,"B. Manufacturing","C. Prof. services"))</f>
        <v>C. Prof. services</v>
      </c>
      <c r="E297" s="39" t="n">
        <v>0.0501318628658406</v>
      </c>
      <c r="F297" s="39" t="n">
        <v>0.0477728650477286</v>
      </c>
      <c r="G297" s="39" t="n">
        <v>0.13086629514786</v>
      </c>
      <c r="H297" s="39" t="n">
        <v>0.323708637147687</v>
      </c>
      <c r="I297" s="39" t="n">
        <v>0.0778289788109995</v>
      </c>
      <c r="J297" s="39" t="n">
        <v>0.369691360979885</v>
      </c>
      <c r="K297" s="38" t="n">
        <f aca="false">E297*Scorecard!$E$18+F297*Scorecard!$E$19+G297*Scorecard!$E$20+H297*Scorecard!$E$21+I297*Scorecard!$E$22+J297*Scorecard!$E$23</f>
        <v>3.86707637878409</v>
      </c>
      <c r="M297" s="0" t="str">
        <f aca="false">IF(AND(T297&gt;=U297,T297&gt;=V297),"A. Distribution",IF(U297&gt;=V297,"B. Manufacturing","C. Prof. services"))</f>
        <v>A. Distribution</v>
      </c>
      <c r="N297" s="39" t="n">
        <v>0.296824154232585</v>
      </c>
      <c r="O297" s="39" t="n">
        <v>0.220466179901295</v>
      </c>
      <c r="P297" s="39" t="n">
        <v>0.0593350515696552</v>
      </c>
      <c r="Q297" s="39" t="n">
        <v>0.157176937597793</v>
      </c>
      <c r="R297" s="39" t="n">
        <v>0.172561930571317</v>
      </c>
      <c r="S297" s="39" t="n">
        <v>0.0936357461273558</v>
      </c>
      <c r="T297" s="38" t="n">
        <f aca="false">N297*Scorecard!$C$18+O297*Scorecard!$C$19+P297*Scorecard!$C$20+Q297*Scorecard!$C$21+R297*Scorecard!$C$22+S297*Scorecard!$C$23</f>
        <v>3.99242772723842</v>
      </c>
      <c r="U297" s="38" t="n">
        <f aca="false">N297*Scorecard!$D$18+O297*Scorecard!$D$19+P297*Scorecard!$D$20+Q297*Scorecard!$D$21+R297*Scorecard!$D$22+S297*Scorecard!$D$23</f>
        <v>2.94657723799202</v>
      </c>
      <c r="V297" s="38" t="n">
        <f aca="false">N297*Scorecard!$E$18+O297*Scorecard!$E$19+P297*Scorecard!$E$20+Q297*Scorecard!$E$21+R297*Scorecard!$E$22+S297*Scorecard!$E$23</f>
        <v>3.29583879774471</v>
      </c>
    </row>
    <row r="298" customFormat="false" ht="15" hidden="false" customHeight="false" outlineLevel="0" collapsed="false">
      <c r="A298" s="0" t="n">
        <v>293</v>
      </c>
      <c r="B298" s="38" t="n">
        <f aca="false">E298*Scorecard!$C$18+F298*Scorecard!$C$19+G298*Scorecard!$C$20+H298*Scorecard!$C$21+I298*Scorecard!$C$22+J298*Scorecard!$C$23</f>
        <v>3.82900719762313</v>
      </c>
      <c r="C298" s="38" t="n">
        <f aca="false">E298*Scorecard!$D$18+F298*Scorecard!$D$19+G298*Scorecard!$D$20+H298*Scorecard!$D$21+I298*Scorecard!$D$22+J298*Scorecard!$D$23</f>
        <v>2.91689524948244</v>
      </c>
      <c r="D298" s="0" t="str">
        <f aca="false">IF(AND(B298&gt;=C298,B298&gt;=K298),"A. Distribution",IF(C298&gt;=K298,"B. Manufacturing","C. Prof. services"))</f>
        <v>A. Distribution</v>
      </c>
      <c r="E298" s="39" t="n">
        <v>0.286555311734939</v>
      </c>
      <c r="F298" s="39" t="n">
        <v>0.0970362877563524</v>
      </c>
      <c r="G298" s="39" t="n">
        <v>0.146550437251426</v>
      </c>
      <c r="H298" s="39" t="n">
        <v>0.123292693822472</v>
      </c>
      <c r="I298" s="39" t="n">
        <v>0.23069645488981</v>
      </c>
      <c r="J298" s="39" t="n">
        <v>0.115868814545001</v>
      </c>
      <c r="K298" s="38" t="n">
        <f aca="false">E298*Scorecard!$E$18+F298*Scorecard!$E$19+G298*Scorecard!$E$20+H298*Scorecard!$E$21+I298*Scorecard!$E$22+J298*Scorecard!$E$23</f>
        <v>3.37382998080059</v>
      </c>
      <c r="M298" s="0" t="str">
        <f aca="false">IF(AND(T298&gt;=U298,T298&gt;=V298),"A. Distribution",IF(U298&gt;=V298,"B. Manufacturing","C. Prof. services"))</f>
        <v>A. Distribution</v>
      </c>
      <c r="N298" s="39" t="n">
        <v>0.127147239927832</v>
      </c>
      <c r="O298" s="39" t="n">
        <v>0.199738206072554</v>
      </c>
      <c r="P298" s="39" t="n">
        <v>0.084458810778103</v>
      </c>
      <c r="Q298" s="39" t="n">
        <v>0.12809526253489</v>
      </c>
      <c r="R298" s="39" t="n">
        <v>0.223179154973401</v>
      </c>
      <c r="S298" s="39" t="n">
        <v>0.237381325713221</v>
      </c>
      <c r="T298" s="38" t="n">
        <f aca="false">N298*Scorecard!$C$18+O298*Scorecard!$C$19+P298*Scorecard!$C$20+Q298*Scorecard!$C$21+R298*Scorecard!$C$22+S298*Scorecard!$C$23</f>
        <v>3.70096497349796</v>
      </c>
      <c r="U298" s="38" t="n">
        <f aca="false">N298*Scorecard!$D$18+O298*Scorecard!$D$19+P298*Scorecard!$D$20+Q298*Scorecard!$D$21+R298*Scorecard!$D$22+S298*Scorecard!$D$23</f>
        <v>2.57939851031581</v>
      </c>
      <c r="V298" s="38" t="n">
        <f aca="false">N298*Scorecard!$E$18+O298*Scorecard!$E$19+P298*Scorecard!$E$20+Q298*Scorecard!$E$21+R298*Scorecard!$E$22+S298*Scorecard!$E$23</f>
        <v>3.40247682362026</v>
      </c>
    </row>
    <row r="299" customFormat="false" ht="15" hidden="false" customHeight="false" outlineLevel="0" collapsed="false">
      <c r="A299" s="0" t="n">
        <v>294</v>
      </c>
      <c r="B299" s="38" t="n">
        <f aca="false">E299*Scorecard!$C$18+F299*Scorecard!$C$19+G299*Scorecard!$C$20+H299*Scorecard!$C$21+I299*Scorecard!$C$22+J299*Scorecard!$C$23</f>
        <v>3.94423790853206</v>
      </c>
      <c r="C299" s="38" t="n">
        <f aca="false">E299*Scorecard!$D$18+F299*Scorecard!$D$19+G299*Scorecard!$D$20+H299*Scorecard!$D$21+I299*Scorecard!$D$22+J299*Scorecard!$D$23</f>
        <v>2.54059074883304</v>
      </c>
      <c r="D299" s="0" t="str">
        <f aca="false">IF(AND(B299&gt;=C299,B299&gt;=K299),"A. Distribution",IF(C299&gt;=K299,"B. Manufacturing","C. Prof. services"))</f>
        <v>A. Distribution</v>
      </c>
      <c r="E299" s="39" t="n">
        <v>0.214953352128783</v>
      </c>
      <c r="F299" s="39" t="n">
        <v>0.27550946915626</v>
      </c>
      <c r="G299" s="39" t="n">
        <v>0.261019140586314</v>
      </c>
      <c r="H299" s="39" t="n">
        <v>0.088944974803487</v>
      </c>
      <c r="I299" s="39" t="n">
        <v>0.0073581749974309</v>
      </c>
      <c r="J299" s="39" t="n">
        <v>0.152214888327725</v>
      </c>
      <c r="K299" s="38" t="n">
        <f aca="false">E299*Scorecard!$E$18+F299*Scorecard!$E$19+G299*Scorecard!$E$20+H299*Scorecard!$E$21+I299*Scorecard!$E$22+J299*Scorecard!$E$23</f>
        <v>3.59792615168126</v>
      </c>
      <c r="M299" s="0" t="str">
        <f aca="false">IF(AND(T299&gt;=U299,T299&gt;=V299),"A. Distribution",IF(U299&gt;=V299,"B. Manufacturing","C. Prof. services"))</f>
        <v>A. Distribution</v>
      </c>
      <c r="N299" s="39" t="n">
        <v>0.341636669756274</v>
      </c>
      <c r="O299" s="39" t="n">
        <v>0.124867557976214</v>
      </c>
      <c r="P299" s="39" t="n">
        <v>0.100458172848679</v>
      </c>
      <c r="Q299" s="39" t="n">
        <v>0.157800631748117</v>
      </c>
      <c r="R299" s="39" t="n">
        <v>0.145888356304041</v>
      </c>
      <c r="S299" s="39" t="n">
        <v>0.129348611366676</v>
      </c>
      <c r="T299" s="38" t="n">
        <f aca="false">N299*Scorecard!$C$18+O299*Scorecard!$C$19+P299*Scorecard!$C$20+Q299*Scorecard!$C$21+R299*Scorecard!$C$22+S299*Scorecard!$C$23</f>
        <v>3.8217383192142</v>
      </c>
      <c r="U299" s="38" t="n">
        <f aca="false">N299*Scorecard!$D$18+O299*Scorecard!$D$19+P299*Scorecard!$D$20+Q299*Scorecard!$D$21+R299*Scorecard!$D$22+S299*Scorecard!$D$23</f>
        <v>2.93335961317734</v>
      </c>
      <c r="V299" s="38" t="n">
        <f aca="false">N299*Scorecard!$E$18+O299*Scorecard!$E$19+P299*Scorecard!$E$20+Q299*Scorecard!$E$21+R299*Scorecard!$E$22+S299*Scorecard!$E$23</f>
        <v>3.44982214311819</v>
      </c>
    </row>
    <row r="300" customFormat="false" ht="15" hidden="false" customHeight="false" outlineLevel="0" collapsed="false">
      <c r="A300" s="0" t="n">
        <v>295</v>
      </c>
      <c r="B300" s="38" t="n">
        <f aca="false">E300*Scorecard!$C$18+F300*Scorecard!$C$19+G300*Scorecard!$C$20+H300*Scorecard!$C$21+I300*Scorecard!$C$22+J300*Scorecard!$C$23</f>
        <v>4.33354446620611</v>
      </c>
      <c r="C300" s="38" t="n">
        <f aca="false">E300*Scorecard!$D$18+F300*Scorecard!$D$19+G300*Scorecard!$D$20+H300*Scorecard!$D$21+I300*Scorecard!$D$22+J300*Scorecard!$D$23</f>
        <v>2.49818985948929</v>
      </c>
      <c r="D300" s="0" t="str">
        <f aca="false">IF(AND(B300&gt;=C300,B300&gt;=K300),"A. Distribution",IF(C300&gt;=K300,"B. Manufacturing","C. Prof. services"))</f>
        <v>A. Distribution</v>
      </c>
      <c r="E300" s="39" t="n">
        <v>0.0429399224703132</v>
      </c>
      <c r="F300" s="39" t="n">
        <v>0.573374833559222</v>
      </c>
      <c r="G300" s="39" t="n">
        <v>0.0803496999863171</v>
      </c>
      <c r="H300" s="39" t="n">
        <v>0.0851505256342977</v>
      </c>
      <c r="I300" s="39" t="n">
        <v>0.104581098104441</v>
      </c>
      <c r="J300" s="39" t="n">
        <v>0.113603920245409</v>
      </c>
      <c r="K300" s="38" t="n">
        <f aca="false">E300*Scorecard!$E$18+F300*Scorecard!$E$19+G300*Scorecard!$E$20+H300*Scorecard!$E$21+I300*Scorecard!$E$22+J300*Scorecard!$E$23</f>
        <v>3.14775337178489</v>
      </c>
      <c r="M300" s="0" t="str">
        <f aca="false">IF(AND(T300&gt;=U300,T300&gt;=V300),"A. Distribution",IF(U300&gt;=V300,"B. Manufacturing","C. Prof. services"))</f>
        <v>A. Distribution</v>
      </c>
      <c r="N300" s="39" t="n">
        <v>0.17280605293814</v>
      </c>
      <c r="O300" s="39" t="n">
        <v>0.233275607767679</v>
      </c>
      <c r="P300" s="39" t="n">
        <v>0.228051126991793</v>
      </c>
      <c r="Q300" s="39" t="n">
        <v>0.13862600507684</v>
      </c>
      <c r="R300" s="39" t="n">
        <v>0.0651339805746962</v>
      </c>
      <c r="S300" s="39" t="n">
        <v>0.162107226650852</v>
      </c>
      <c r="T300" s="38" t="n">
        <f aca="false">N300*Scorecard!$C$18+O300*Scorecard!$C$19+P300*Scorecard!$C$20+Q300*Scorecard!$C$21+R300*Scorecard!$C$22+S300*Scorecard!$C$23</f>
        <v>3.88025008092642</v>
      </c>
      <c r="U300" s="38" t="n">
        <f aca="false">N300*Scorecard!$D$18+O300*Scorecard!$D$19+P300*Scorecard!$D$20+Q300*Scorecard!$D$21+R300*Scorecard!$D$22+S300*Scorecard!$D$23</f>
        <v>2.51954329179575</v>
      </c>
      <c r="V300" s="38" t="n">
        <f aca="false">N300*Scorecard!$E$18+O300*Scorecard!$E$19+P300*Scorecard!$E$20+Q300*Scorecard!$E$21+R300*Scorecard!$E$22+S300*Scorecard!$E$23</f>
        <v>3.56188869277313</v>
      </c>
    </row>
    <row r="301" customFormat="false" ht="15" hidden="false" customHeight="false" outlineLevel="0" collapsed="false">
      <c r="A301" s="0" t="n">
        <v>296</v>
      </c>
      <c r="B301" s="38" t="n">
        <f aca="false">E301*Scorecard!$C$18+F301*Scorecard!$C$19+G301*Scorecard!$C$20+H301*Scorecard!$C$21+I301*Scorecard!$C$22+J301*Scorecard!$C$23</f>
        <v>2.6954719946337</v>
      </c>
      <c r="C301" s="38" t="n">
        <f aca="false">E301*Scorecard!$D$18+F301*Scorecard!$D$19+G301*Scorecard!$D$20+H301*Scorecard!$D$21+I301*Scorecard!$D$22+J301*Scorecard!$D$23</f>
        <v>1.94249888475421</v>
      </c>
      <c r="D301" s="0" t="str">
        <f aca="false">IF(AND(B301&gt;=C301,B301&gt;=K301),"A. Distribution",IF(C301&gt;=K301,"B. Manufacturing","C. Prof. services"))</f>
        <v>C. Prof. services</v>
      </c>
      <c r="E301" s="39" t="n">
        <v>0.0312434783001887</v>
      </c>
      <c r="F301" s="39" t="n">
        <v>0.115623209369905</v>
      </c>
      <c r="G301" s="39" t="n">
        <v>0.014809383853847</v>
      </c>
      <c r="H301" s="39" t="n">
        <v>0.000245577839781588</v>
      </c>
      <c r="I301" s="39" t="n">
        <v>0.12927019285337</v>
      </c>
      <c r="J301" s="39" t="n">
        <v>0.708808157782908</v>
      </c>
      <c r="K301" s="38" t="n">
        <f aca="false">E301*Scorecard!$E$18+F301*Scorecard!$E$19+G301*Scorecard!$E$20+H301*Scorecard!$E$21+I301*Scorecard!$E$22+J301*Scorecard!$E$23</f>
        <v>3.98502931362769</v>
      </c>
      <c r="M301" s="0" t="str">
        <f aca="false">IF(AND(T301&gt;=U301,T301&gt;=V301),"A. Distribution",IF(U301&gt;=V301,"B. Manufacturing","C. Prof. services"))</f>
        <v>A. Distribution</v>
      </c>
      <c r="N301" s="39" t="n">
        <v>0.158040250706501</v>
      </c>
      <c r="O301" s="39" t="n">
        <v>0.202386526505823</v>
      </c>
      <c r="P301" s="39" t="n">
        <v>0.222538235182167</v>
      </c>
      <c r="Q301" s="39" t="n">
        <v>0.102098667324461</v>
      </c>
      <c r="R301" s="39" t="n">
        <v>0.151253475597082</v>
      </c>
      <c r="S301" s="39" t="n">
        <v>0.163682844683965</v>
      </c>
      <c r="T301" s="38" t="n">
        <f aca="false">N301*Scorecard!$C$18+O301*Scorecard!$C$19+P301*Scorecard!$C$20+Q301*Scorecard!$C$21+R301*Scorecard!$C$22+S301*Scorecard!$C$23</f>
        <v>3.85133110427046</v>
      </c>
      <c r="U301" s="38" t="n">
        <f aca="false">N301*Scorecard!$D$18+O301*Scorecard!$D$19+P301*Scorecard!$D$20+Q301*Scorecard!$D$21+R301*Scorecard!$D$22+S301*Scorecard!$D$23</f>
        <v>2.57666099475472</v>
      </c>
      <c r="V301" s="38" t="n">
        <f aca="false">N301*Scorecard!$E$18+O301*Scorecard!$E$19+P301*Scorecard!$E$20+Q301*Scorecard!$E$21+R301*Scorecard!$E$22+S301*Scorecard!$E$23</f>
        <v>3.47539661494209</v>
      </c>
    </row>
    <row r="302" customFormat="false" ht="15" hidden="false" customHeight="false" outlineLevel="0" collapsed="false">
      <c r="A302" s="0" t="n">
        <v>297</v>
      </c>
      <c r="B302" s="38" t="n">
        <f aca="false">E302*Scorecard!$C$18+F302*Scorecard!$C$19+G302*Scorecard!$C$20+H302*Scorecard!$C$21+I302*Scorecard!$C$22+J302*Scorecard!$C$23</f>
        <v>3.73947153794989</v>
      </c>
      <c r="C302" s="38" t="n">
        <f aca="false">E302*Scorecard!$D$18+F302*Scorecard!$D$19+G302*Scorecard!$D$20+H302*Scorecard!$D$21+I302*Scorecard!$D$22+J302*Scorecard!$D$23</f>
        <v>2.9960160099831</v>
      </c>
      <c r="D302" s="0" t="str">
        <f aca="false">IF(AND(B302&gt;=C302,B302&gt;=K302),"A. Distribution",IF(C302&gt;=K302,"B. Manufacturing","C. Prof. services"))</f>
        <v>A. Distribution</v>
      </c>
      <c r="E302" s="39" t="n">
        <v>0.218201350729546</v>
      </c>
      <c r="F302" s="39" t="n">
        <v>0.0250281945079068</v>
      </c>
      <c r="G302" s="39" t="n">
        <v>0.117677524686863</v>
      </c>
      <c r="H302" s="39" t="n">
        <v>0.0691348450555031</v>
      </c>
      <c r="I302" s="39" t="n">
        <v>0.43966375783436</v>
      </c>
      <c r="J302" s="39" t="n">
        <v>0.130294327185822</v>
      </c>
      <c r="K302" s="38" t="n">
        <f aca="false">E302*Scorecard!$E$18+F302*Scorecard!$E$19+G302*Scorecard!$E$20+H302*Scorecard!$E$21+I302*Scorecard!$E$22+J302*Scorecard!$E$23</f>
        <v>3.17072741161529</v>
      </c>
      <c r="M302" s="0" t="str">
        <f aca="false">IF(AND(T302&gt;=U302,T302&gt;=V302),"A. Distribution",IF(U302&gt;=V302,"B. Manufacturing","C. Prof. services"))</f>
        <v>A. Distribution</v>
      </c>
      <c r="N302" s="39" t="n">
        <v>0.301982802456583</v>
      </c>
      <c r="O302" s="39" t="n">
        <v>0.161131168128064</v>
      </c>
      <c r="P302" s="39" t="n">
        <v>0.166387454436206</v>
      </c>
      <c r="Q302" s="39" t="n">
        <v>0.119341735919445</v>
      </c>
      <c r="R302" s="39" t="n">
        <v>0.134660170147424</v>
      </c>
      <c r="S302" s="39" t="n">
        <v>0.116496668912278</v>
      </c>
      <c r="T302" s="38" t="n">
        <f aca="false">N302*Scorecard!$C$18+O302*Scorecard!$C$19+P302*Scorecard!$C$20+Q302*Scorecard!$C$21+R302*Scorecard!$C$22+S302*Scorecard!$C$23</f>
        <v>3.89103346386501</v>
      </c>
      <c r="U302" s="38" t="n">
        <f aca="false">N302*Scorecard!$D$18+O302*Scorecard!$D$19+P302*Scorecard!$D$20+Q302*Scorecard!$D$21+R302*Scorecard!$D$22+S302*Scorecard!$D$23</f>
        <v>2.85255498428913</v>
      </c>
      <c r="V302" s="38" t="n">
        <f aca="false">N302*Scorecard!$E$18+O302*Scorecard!$E$19+P302*Scorecard!$E$20+Q302*Scorecard!$E$21+R302*Scorecard!$E$22+S302*Scorecard!$E$23</f>
        <v>3.4511659233543</v>
      </c>
    </row>
    <row r="303" customFormat="false" ht="15" hidden="false" customHeight="false" outlineLevel="0" collapsed="false">
      <c r="A303" s="0" t="n">
        <v>298</v>
      </c>
      <c r="B303" s="38" t="n">
        <f aca="false">E303*Scorecard!$C$18+F303*Scorecard!$C$19+G303*Scorecard!$C$20+H303*Scorecard!$C$21+I303*Scorecard!$C$22+J303*Scorecard!$C$23</f>
        <v>3.93984212070356</v>
      </c>
      <c r="C303" s="38" t="n">
        <f aca="false">E303*Scorecard!$D$18+F303*Scorecard!$D$19+G303*Scorecard!$D$20+H303*Scorecard!$D$21+I303*Scorecard!$D$22+J303*Scorecard!$D$23</f>
        <v>2.88193536242922</v>
      </c>
      <c r="D303" s="0" t="str">
        <f aca="false">IF(AND(B303&gt;=C303,B303&gt;=K303),"A. Distribution",IF(C303&gt;=K303,"B. Manufacturing","C. Prof. services"))</f>
        <v>A. Distribution</v>
      </c>
      <c r="E303" s="39" t="n">
        <v>0.168925931537583</v>
      </c>
      <c r="F303" s="39" t="n">
        <v>0.0899428600042853</v>
      </c>
      <c r="G303" s="39" t="n">
        <v>0.167800935164298</v>
      </c>
      <c r="H303" s="39" t="n">
        <v>0.155768461955925</v>
      </c>
      <c r="I303" s="39" t="n">
        <v>0.357684772140496</v>
      </c>
      <c r="J303" s="39" t="n">
        <v>0.0598770391974126</v>
      </c>
      <c r="K303" s="38" t="n">
        <f aca="false">E303*Scorecard!$E$18+F303*Scorecard!$E$19+G303*Scorecard!$E$20+H303*Scorecard!$E$21+I303*Scorecard!$E$22+J303*Scorecard!$E$23</f>
        <v>3.1908549282937</v>
      </c>
      <c r="M303" s="0" t="str">
        <f aca="false">IF(AND(T303&gt;=U303,T303&gt;=V303),"A. Distribution",IF(U303&gt;=V303,"B. Manufacturing","C. Prof. services"))</f>
        <v>A. Distribution</v>
      </c>
      <c r="N303" s="39" t="n">
        <v>0.159421462717487</v>
      </c>
      <c r="O303" s="39" t="n">
        <v>0.296053404929434</v>
      </c>
      <c r="P303" s="39" t="n">
        <v>0.278176141074569</v>
      </c>
      <c r="Q303" s="39" t="n">
        <v>0.108494416558293</v>
      </c>
      <c r="R303" s="39" t="n">
        <v>0.10817295572117</v>
      </c>
      <c r="S303" s="39" t="n">
        <v>0.049681618999047</v>
      </c>
      <c r="T303" s="38" t="n">
        <f aca="false">N303*Scorecard!$C$18+O303*Scorecard!$C$19+P303*Scorecard!$C$20+Q303*Scorecard!$C$21+R303*Scorecard!$C$22+S303*Scorecard!$C$23</f>
        <v>4.17220039527731</v>
      </c>
      <c r="U303" s="38" t="n">
        <f aca="false">N303*Scorecard!$D$18+O303*Scorecard!$D$19+P303*Scorecard!$D$20+Q303*Scorecard!$D$21+R303*Scorecard!$D$22+S303*Scorecard!$D$23</f>
        <v>2.63051283615114</v>
      </c>
      <c r="V303" s="38" t="n">
        <f aca="false">N303*Scorecard!$E$18+O303*Scorecard!$E$19+P303*Scorecard!$E$20+Q303*Scorecard!$E$21+R303*Scorecard!$E$22+S303*Scorecard!$E$23</f>
        <v>3.37544472521726</v>
      </c>
    </row>
    <row r="304" customFormat="false" ht="15" hidden="false" customHeight="false" outlineLevel="0" collapsed="false">
      <c r="A304" s="0" t="n">
        <v>299</v>
      </c>
      <c r="B304" s="38" t="n">
        <f aca="false">E304*Scorecard!$C$18+F304*Scorecard!$C$19+G304*Scorecard!$C$20+H304*Scorecard!$C$21+I304*Scorecard!$C$22+J304*Scorecard!$C$23</f>
        <v>3.50358541205407</v>
      </c>
      <c r="C304" s="38" t="n">
        <f aca="false">E304*Scorecard!$D$18+F304*Scorecard!$D$19+G304*Scorecard!$D$20+H304*Scorecard!$D$21+I304*Scorecard!$D$22+J304*Scorecard!$D$23</f>
        <v>2.40088573888665</v>
      </c>
      <c r="D304" s="0" t="str">
        <f aca="false">IF(AND(B304&gt;=C304,B304&gt;=K304),"A. Distribution",IF(C304&gt;=K304,"B. Manufacturing","C. Prof. services"))</f>
        <v>C. Prof. services</v>
      </c>
      <c r="E304" s="39" t="n">
        <v>0.10178932315815</v>
      </c>
      <c r="F304" s="39" t="n">
        <v>0.154868663975833</v>
      </c>
      <c r="G304" s="39" t="n">
        <v>0.177430034087511</v>
      </c>
      <c r="H304" s="39" t="n">
        <v>0.0553380035407583</v>
      </c>
      <c r="I304" s="39" t="n">
        <v>0.191999868536404</v>
      </c>
      <c r="J304" s="39" t="n">
        <v>0.318574106701344</v>
      </c>
      <c r="K304" s="38" t="n">
        <f aca="false">E304*Scorecard!$E$18+F304*Scorecard!$E$19+G304*Scorecard!$E$20+H304*Scorecard!$E$21+I304*Scorecard!$E$22+J304*Scorecard!$E$23</f>
        <v>3.58515368993976</v>
      </c>
      <c r="M304" s="0" t="str">
        <f aca="false">IF(AND(T304&gt;=U304,T304&gt;=V304),"A. Distribution",IF(U304&gt;=V304,"B. Manufacturing","C. Prof. services"))</f>
        <v>A. Distribution</v>
      </c>
      <c r="N304" s="39" t="n">
        <v>0.2471732149329</v>
      </c>
      <c r="O304" s="39" t="n">
        <v>0.170827162227645</v>
      </c>
      <c r="P304" s="39" t="n">
        <v>0.15620987891287</v>
      </c>
      <c r="Q304" s="39" t="n">
        <v>0.186088167621647</v>
      </c>
      <c r="R304" s="39" t="n">
        <v>0.0795348366202268</v>
      </c>
      <c r="S304" s="39" t="n">
        <v>0.160166739684712</v>
      </c>
      <c r="T304" s="38" t="n">
        <f aca="false">N304*Scorecard!$C$18+O304*Scorecard!$C$19+P304*Scorecard!$C$20+Q304*Scorecard!$C$21+R304*Scorecard!$C$22+S304*Scorecard!$C$23</f>
        <v>3.81059783408539</v>
      </c>
      <c r="U304" s="38" t="n">
        <f aca="false">N304*Scorecard!$D$18+O304*Scorecard!$D$19+P304*Scorecard!$D$20+Q304*Scorecard!$D$21+R304*Scorecard!$D$22+S304*Scorecard!$D$23</f>
        <v>2.67096879891235</v>
      </c>
      <c r="V304" s="38" t="n">
        <f aca="false">N304*Scorecard!$E$18+O304*Scorecard!$E$19+P304*Scorecard!$E$20+Q304*Scorecard!$E$21+R304*Scorecard!$E$22+S304*Scorecard!$E$23</f>
        <v>3.55886123603038</v>
      </c>
    </row>
    <row r="305" customFormat="false" ht="15" hidden="false" customHeight="false" outlineLevel="0" collapsed="false">
      <c r="A305" s="0" t="n">
        <v>300</v>
      </c>
      <c r="B305" s="38" t="n">
        <f aca="false">E305*Scorecard!$C$18+F305*Scorecard!$C$19+G305*Scorecard!$C$20+H305*Scorecard!$C$21+I305*Scorecard!$C$22+J305*Scorecard!$C$23</f>
        <v>3.97792740652253</v>
      </c>
      <c r="C305" s="38" t="n">
        <f aca="false">E305*Scorecard!$D$18+F305*Scorecard!$D$19+G305*Scorecard!$D$20+H305*Scorecard!$D$21+I305*Scorecard!$D$22+J305*Scorecard!$D$23</f>
        <v>2.42596859963321</v>
      </c>
      <c r="D305" s="0" t="str">
        <f aca="false">IF(AND(B305&gt;=C305,B305&gt;=K305),"A. Distribution",IF(C305&gt;=K305,"B. Manufacturing","C. Prof. services"))</f>
        <v>A. Distribution</v>
      </c>
      <c r="E305" s="39" t="n">
        <v>0.035991791031611</v>
      </c>
      <c r="F305" s="39" t="n">
        <v>0.257613486984808</v>
      </c>
      <c r="G305" s="39" t="n">
        <v>0.213727969248941</v>
      </c>
      <c r="H305" s="39" t="n">
        <v>0.197918494712862</v>
      </c>
      <c r="I305" s="39" t="n">
        <v>0.167012967120423</v>
      </c>
      <c r="J305" s="39" t="n">
        <v>0.127735290901356</v>
      </c>
      <c r="K305" s="38" t="n">
        <f aca="false">E305*Scorecard!$E$18+F305*Scorecard!$E$19+G305*Scorecard!$E$20+H305*Scorecard!$E$21+I305*Scorecard!$E$22+J305*Scorecard!$E$23</f>
        <v>3.39482106930762</v>
      </c>
      <c r="M305" s="0" t="str">
        <f aca="false">IF(AND(T305&gt;=U305,T305&gt;=V305),"A. Distribution",IF(U305&gt;=V305,"B. Manufacturing","C. Prof. services"))</f>
        <v>A. Distribution</v>
      </c>
      <c r="N305" s="39" t="n">
        <v>0.202703525223381</v>
      </c>
      <c r="O305" s="39" t="n">
        <v>0.299831346738993</v>
      </c>
      <c r="P305" s="39" t="n">
        <v>0.179877027307161</v>
      </c>
      <c r="Q305" s="39" t="n">
        <v>0.165874990840821</v>
      </c>
      <c r="R305" s="39" t="n">
        <v>0.0282958254149161</v>
      </c>
      <c r="S305" s="39" t="n">
        <v>0.123417284474727</v>
      </c>
      <c r="T305" s="38" t="n">
        <f aca="false">N305*Scorecard!$C$18+O305*Scorecard!$C$19+P305*Scorecard!$C$20+Q305*Scorecard!$C$21+R305*Scorecard!$C$22+S305*Scorecard!$C$23</f>
        <v>4.0188492385079</v>
      </c>
      <c r="U305" s="38" t="n">
        <f aca="false">N305*Scorecard!$D$18+O305*Scorecard!$D$19+P305*Scorecard!$D$20+Q305*Scorecard!$D$21+R305*Scorecard!$D$22+S305*Scorecard!$D$23</f>
        <v>2.59349098422985</v>
      </c>
      <c r="V305" s="38" t="n">
        <f aca="false">N305*Scorecard!$E$18+O305*Scorecard!$E$19+P305*Scorecard!$E$20+Q305*Scorecard!$E$21+R305*Scorecard!$E$22+S305*Scorecard!$E$23</f>
        <v>3.50051872195697</v>
      </c>
    </row>
    <row r="306" customFormat="false" ht="15" hidden="false" customHeight="false" outlineLevel="0" collapsed="false">
      <c r="A306" s="0" t="n">
        <v>301</v>
      </c>
      <c r="B306" s="38" t="n">
        <f aca="false">E306*Scorecard!$C$18+F306*Scorecard!$C$19+G306*Scorecard!$C$20+H306*Scorecard!$C$21+I306*Scorecard!$C$22+J306*Scorecard!$C$23</f>
        <v>3.29989741261185</v>
      </c>
      <c r="C306" s="38" t="n">
        <f aca="false">E306*Scorecard!$D$18+F306*Scorecard!$D$19+G306*Scorecard!$D$20+H306*Scorecard!$D$21+I306*Scorecard!$D$22+J306*Scorecard!$D$23</f>
        <v>2.10043006756314</v>
      </c>
      <c r="D306" s="0" t="str">
        <f aca="false">IF(AND(B306&gt;=C306,B306&gt;=K306),"A. Distribution",IF(C306&gt;=K306,"B. Manufacturing","C. Prof. services"))</f>
        <v>C. Prof. services</v>
      </c>
      <c r="E306" s="39" t="n">
        <v>0.0874846823996112</v>
      </c>
      <c r="F306" s="39" t="n">
        <v>0.145027476184951</v>
      </c>
      <c r="G306" s="39" t="n">
        <v>0.25325170758006</v>
      </c>
      <c r="H306" s="39" t="n">
        <v>0.0751380941993165</v>
      </c>
      <c r="I306" s="39" t="n">
        <v>0.0240930260881818</v>
      </c>
      <c r="J306" s="39" t="n">
        <v>0.41500501354788</v>
      </c>
      <c r="K306" s="38" t="n">
        <f aca="false">E306*Scorecard!$E$18+F306*Scorecard!$E$19+G306*Scorecard!$E$20+H306*Scorecard!$E$21+I306*Scorecard!$E$22+J306*Scorecard!$E$23</f>
        <v>3.92566000097321</v>
      </c>
      <c r="M306" s="0" t="str">
        <f aca="false">IF(AND(T306&gt;=U306,T306&gt;=V306),"A. Distribution",IF(U306&gt;=V306,"B. Manufacturing","C. Prof. services"))</f>
        <v>A. Distribution</v>
      </c>
      <c r="N306" s="39" t="n">
        <v>0.256374281973496</v>
      </c>
      <c r="O306" s="39" t="n">
        <v>0.167543052209284</v>
      </c>
      <c r="P306" s="39" t="n">
        <v>0.126274510802857</v>
      </c>
      <c r="Q306" s="39" t="n">
        <v>0.132807811334121</v>
      </c>
      <c r="R306" s="39" t="n">
        <v>0.179994324279945</v>
      </c>
      <c r="S306" s="39" t="n">
        <v>0.137006019400298</v>
      </c>
      <c r="T306" s="38" t="n">
        <f aca="false">N306*Scorecard!$C$18+O306*Scorecard!$C$19+P306*Scorecard!$C$20+Q306*Scorecard!$C$21+R306*Scorecard!$C$22+S306*Scorecard!$C$23</f>
        <v>3.8586374303207</v>
      </c>
      <c r="U306" s="38" t="n">
        <f aca="false">N306*Scorecard!$D$18+O306*Scorecard!$D$19+P306*Scorecard!$D$20+Q306*Scorecard!$D$21+R306*Scorecard!$D$22+S306*Scorecard!$D$23</f>
        <v>2.81779623819736</v>
      </c>
      <c r="V306" s="38" t="n">
        <f aca="false">N306*Scorecard!$E$18+O306*Scorecard!$E$19+P306*Scorecard!$E$20+Q306*Scorecard!$E$21+R306*Scorecard!$E$22+S306*Scorecard!$E$23</f>
        <v>3.39659711453698</v>
      </c>
    </row>
    <row r="307" customFormat="false" ht="15" hidden="false" customHeight="false" outlineLevel="0" collapsed="false">
      <c r="A307" s="0" t="n">
        <v>302</v>
      </c>
      <c r="B307" s="38" t="n">
        <f aca="false">E307*Scorecard!$C$18+F307*Scorecard!$C$19+G307*Scorecard!$C$20+H307*Scorecard!$C$21+I307*Scorecard!$C$22+J307*Scorecard!$C$23</f>
        <v>3.81964762402557</v>
      </c>
      <c r="C307" s="38" t="n">
        <f aca="false">E307*Scorecard!$D$18+F307*Scorecard!$D$19+G307*Scorecard!$D$20+H307*Scorecard!$D$21+I307*Scorecard!$D$22+J307*Scorecard!$D$23</f>
        <v>3.01957943849773</v>
      </c>
      <c r="D307" s="0" t="str">
        <f aca="false">IF(AND(B307&gt;=C307,B307&gt;=K307),"A. Distribution",IF(C307&gt;=K307,"B. Manufacturing","C. Prof. services"))</f>
        <v>A. Distribution</v>
      </c>
      <c r="E307" s="39" t="n">
        <v>0.411745681552816</v>
      </c>
      <c r="F307" s="39" t="n">
        <v>0.0712189082414038</v>
      </c>
      <c r="G307" s="39" t="n">
        <v>0.0793001613223382</v>
      </c>
      <c r="H307" s="39" t="n">
        <v>0.24895738178094</v>
      </c>
      <c r="I307" s="39" t="n">
        <v>0.092933742779804</v>
      </c>
      <c r="J307" s="39" t="n">
        <v>0.0958441243226982</v>
      </c>
      <c r="K307" s="38" t="n">
        <f aca="false">E307*Scorecard!$E$18+F307*Scorecard!$E$19+G307*Scorecard!$E$20+H307*Scorecard!$E$21+I307*Scorecard!$E$22+J307*Scorecard!$E$23</f>
        <v>3.52059224500671</v>
      </c>
      <c r="M307" s="0" t="str">
        <f aca="false">IF(AND(T307&gt;=U307,T307&gt;=V307),"A. Distribution",IF(U307&gt;=V307,"B. Manufacturing","C. Prof. services"))</f>
        <v>A. Distribution</v>
      </c>
      <c r="N307" s="39" t="n">
        <v>0.0648056305005369</v>
      </c>
      <c r="O307" s="39" t="n">
        <v>0.406986036291187</v>
      </c>
      <c r="P307" s="39" t="n">
        <v>0.114923303613564</v>
      </c>
      <c r="Q307" s="39" t="n">
        <v>0.150813145453953</v>
      </c>
      <c r="R307" s="39" t="n">
        <v>0.197308682197406</v>
      </c>
      <c r="S307" s="39" t="n">
        <v>0.0651632019433539</v>
      </c>
      <c r="T307" s="38" t="n">
        <f aca="false">N307*Scorecard!$C$18+O307*Scorecard!$C$19+P307*Scorecard!$C$20+Q307*Scorecard!$C$21+R307*Scorecard!$C$22+S307*Scorecard!$C$23</f>
        <v>4.25520639261362</v>
      </c>
      <c r="U307" s="38" t="n">
        <f aca="false">N307*Scorecard!$D$18+O307*Scorecard!$D$19+P307*Scorecard!$D$20+Q307*Scorecard!$D$21+R307*Scorecard!$D$22+S307*Scorecard!$D$23</f>
        <v>2.62132069938413</v>
      </c>
      <c r="V307" s="38" t="n">
        <f aca="false">N307*Scorecard!$E$18+O307*Scorecard!$E$19+P307*Scorecard!$E$20+Q307*Scorecard!$E$21+R307*Scorecard!$E$22+S307*Scorecard!$E$23</f>
        <v>3.1354786134206</v>
      </c>
    </row>
    <row r="308" customFormat="false" ht="15" hidden="false" customHeight="false" outlineLevel="0" collapsed="false">
      <c r="A308" s="0" t="n">
        <v>303</v>
      </c>
      <c r="B308" s="38" t="n">
        <f aca="false">E308*Scorecard!$C$18+F308*Scorecard!$C$19+G308*Scorecard!$C$20+H308*Scorecard!$C$21+I308*Scorecard!$C$22+J308*Scorecard!$C$23</f>
        <v>3.82664968479732</v>
      </c>
      <c r="C308" s="38" t="n">
        <f aca="false">E308*Scorecard!$D$18+F308*Scorecard!$D$19+G308*Scorecard!$D$20+H308*Scorecard!$D$21+I308*Scorecard!$D$22+J308*Scorecard!$D$23</f>
        <v>2.76351457845288</v>
      </c>
      <c r="D308" s="0" t="str">
        <f aca="false">IF(AND(B308&gt;=C308,B308&gt;=K308),"A. Distribution",IF(C308&gt;=K308,"B. Manufacturing","C. Prof. services"))</f>
        <v>A. Distribution</v>
      </c>
      <c r="E308" s="39" t="n">
        <v>0.269589682360923</v>
      </c>
      <c r="F308" s="39" t="n">
        <v>0.092730632513092</v>
      </c>
      <c r="G308" s="39" t="n">
        <v>0.283959716733625</v>
      </c>
      <c r="H308" s="39" t="n">
        <v>0.0834552352334903</v>
      </c>
      <c r="I308" s="39" t="n">
        <v>0.152542677245323</v>
      </c>
      <c r="J308" s="39" t="n">
        <v>0.117722055913547</v>
      </c>
      <c r="K308" s="38" t="n">
        <f aca="false">E308*Scorecard!$E$18+F308*Scorecard!$E$19+G308*Scorecard!$E$20+H308*Scorecard!$E$21+I308*Scorecard!$E$22+J308*Scorecard!$E$23</f>
        <v>3.53167524455458</v>
      </c>
      <c r="M308" s="0" t="str">
        <f aca="false">IF(AND(T308&gt;=U308,T308&gt;=V308),"A. Distribution",IF(U308&gt;=V308,"B. Manufacturing","C. Prof. services"))</f>
        <v>A. Distribution</v>
      </c>
      <c r="N308" s="39" t="n">
        <v>0.289757579220992</v>
      </c>
      <c r="O308" s="39" t="n">
        <v>0.0817473667000491</v>
      </c>
      <c r="P308" s="39" t="n">
        <v>0.0674754452779825</v>
      </c>
      <c r="Q308" s="39" t="n">
        <v>0.232077607944333</v>
      </c>
      <c r="R308" s="39" t="n">
        <v>0.218584542897576</v>
      </c>
      <c r="S308" s="39" t="n">
        <v>0.110357457959067</v>
      </c>
      <c r="T308" s="38" t="n">
        <f aca="false">N308*Scorecard!$C$18+O308*Scorecard!$C$19+P308*Scorecard!$C$20+Q308*Scorecard!$C$21+R308*Scorecard!$C$22+S308*Scorecard!$C$23</f>
        <v>3.81276225168764</v>
      </c>
      <c r="U308" s="38" t="n">
        <f aca="false">N308*Scorecard!$D$18+O308*Scorecard!$D$19+P308*Scorecard!$D$20+Q308*Scorecard!$D$21+R308*Scorecard!$D$22+S308*Scorecard!$D$23</f>
        <v>2.93367574729903</v>
      </c>
      <c r="V308" s="38" t="n">
        <f aca="false">N308*Scorecard!$E$18+O308*Scorecard!$E$19+P308*Scorecard!$E$20+Q308*Scorecard!$E$21+R308*Scorecard!$E$22+S308*Scorecard!$E$23</f>
        <v>3.37235583074422</v>
      </c>
    </row>
    <row r="309" customFormat="false" ht="15" hidden="false" customHeight="false" outlineLevel="0" collapsed="false">
      <c r="A309" s="0" t="n">
        <v>304</v>
      </c>
      <c r="B309" s="38" t="n">
        <f aca="false">E309*Scorecard!$C$18+F309*Scorecard!$C$19+G309*Scorecard!$C$20+H309*Scorecard!$C$21+I309*Scorecard!$C$22+J309*Scorecard!$C$23</f>
        <v>4.0232658615788</v>
      </c>
      <c r="C309" s="38" t="n">
        <f aca="false">E309*Scorecard!$D$18+F309*Scorecard!$D$19+G309*Scorecard!$D$20+H309*Scorecard!$D$21+I309*Scorecard!$D$22+J309*Scorecard!$D$23</f>
        <v>2.93103303223684</v>
      </c>
      <c r="D309" s="0" t="str">
        <f aca="false">IF(AND(B309&gt;=C309,B309&gt;=K309),"A. Distribution",IF(C309&gt;=K309,"B. Manufacturing","C. Prof. services"))</f>
        <v>A. Distribution</v>
      </c>
      <c r="E309" s="39" t="n">
        <v>0.00775088194734464</v>
      </c>
      <c r="F309" s="39" t="n">
        <v>0.200704345200829</v>
      </c>
      <c r="G309" s="39" t="n">
        <v>0.0382508020217372</v>
      </c>
      <c r="H309" s="39" t="n">
        <v>0.0353139999917884</v>
      </c>
      <c r="I309" s="39" t="n">
        <v>0.631474427783298</v>
      </c>
      <c r="J309" s="39" t="n">
        <v>0.0865055430550021</v>
      </c>
      <c r="K309" s="38" t="n">
        <f aca="false">E309*Scorecard!$E$18+F309*Scorecard!$E$19+G309*Scorecard!$E$20+H309*Scorecard!$E$21+I309*Scorecard!$E$22+J309*Scorecard!$E$23</f>
        <v>2.73542294673286</v>
      </c>
      <c r="M309" s="0" t="str">
        <f aca="false">IF(AND(T309&gt;=U309,T309&gt;=V309),"A. Distribution",IF(U309&gt;=V309,"B. Manufacturing","C. Prof. services"))</f>
        <v>A. Distribution</v>
      </c>
      <c r="N309" s="39" t="n">
        <v>0.206724053341886</v>
      </c>
      <c r="O309" s="39" t="n">
        <v>0.270746028370274</v>
      </c>
      <c r="P309" s="39" t="n">
        <v>0.24316376698366</v>
      </c>
      <c r="Q309" s="39" t="n">
        <v>0.10259171940737</v>
      </c>
      <c r="R309" s="39" t="n">
        <v>0.1181600323561</v>
      </c>
      <c r="S309" s="39" t="n">
        <v>0.0586143995407098</v>
      </c>
      <c r="T309" s="38" t="n">
        <f aca="false">N309*Scorecard!$C$18+O309*Scorecard!$C$19+P309*Scorecard!$C$20+Q309*Scorecard!$C$21+R309*Scorecard!$C$22+S309*Scorecard!$C$23</f>
        <v>4.12586570441525</v>
      </c>
      <c r="U309" s="38" t="n">
        <f aca="false">N309*Scorecard!$D$18+O309*Scorecard!$D$19+P309*Scorecard!$D$20+Q309*Scorecard!$D$21+R309*Scorecard!$D$22+S309*Scorecard!$D$23</f>
        <v>2.71993733406466</v>
      </c>
      <c r="V309" s="38" t="n">
        <f aca="false">N309*Scorecard!$E$18+O309*Scorecard!$E$19+P309*Scorecard!$E$20+Q309*Scorecard!$E$21+R309*Scorecard!$E$22+S309*Scorecard!$E$23</f>
        <v>3.37179788410827</v>
      </c>
    </row>
    <row r="310" customFormat="false" ht="15" hidden="false" customHeight="false" outlineLevel="0" collapsed="false">
      <c r="A310" s="0" t="n">
        <v>305</v>
      </c>
      <c r="B310" s="38" t="n">
        <f aca="false">E310*Scorecard!$C$18+F310*Scorecard!$C$19+G310*Scorecard!$C$20+H310*Scorecard!$C$21+I310*Scorecard!$C$22+J310*Scorecard!$C$23</f>
        <v>4.05285768289704</v>
      </c>
      <c r="C310" s="38" t="n">
        <f aca="false">E310*Scorecard!$D$18+F310*Scorecard!$D$19+G310*Scorecard!$D$20+H310*Scorecard!$D$21+I310*Scorecard!$D$22+J310*Scorecard!$D$23</f>
        <v>2.37495544784492</v>
      </c>
      <c r="D310" s="0" t="str">
        <f aca="false">IF(AND(B310&gt;=C310,B310&gt;=K310),"A. Distribution",IF(C310&gt;=K310,"B. Manufacturing","C. Prof. services"))</f>
        <v>A. Distribution</v>
      </c>
      <c r="E310" s="39" t="n">
        <v>0.0257875124677372</v>
      </c>
      <c r="F310" s="39" t="n">
        <v>0.270478672079888</v>
      </c>
      <c r="G310" s="39" t="n">
        <v>0.199907552965735</v>
      </c>
      <c r="H310" s="39" t="n">
        <v>0.312751866818232</v>
      </c>
      <c r="I310" s="39" t="n">
        <v>0.100148697728794</v>
      </c>
      <c r="J310" s="39" t="n">
        <v>0.0909256979396145</v>
      </c>
      <c r="K310" s="38" t="n">
        <f aca="false">E310*Scorecard!$E$18+F310*Scorecard!$E$19+G310*Scorecard!$E$20+H310*Scorecard!$E$21+I310*Scorecard!$E$22+J310*Scorecard!$E$23</f>
        <v>3.44002259678511</v>
      </c>
      <c r="M310" s="0" t="str">
        <f aca="false">IF(AND(T310&gt;=U310,T310&gt;=V310),"A. Distribution",IF(U310&gt;=V310,"B. Manufacturing","C. Prof. services"))</f>
        <v>A. Distribution</v>
      </c>
      <c r="N310" s="39" t="n">
        <v>0.159040477626088</v>
      </c>
      <c r="O310" s="39" t="n">
        <v>0.256639390495998</v>
      </c>
      <c r="P310" s="39" t="n">
        <v>0.16741465677962</v>
      </c>
      <c r="Q310" s="39" t="n">
        <v>0.198584218900537</v>
      </c>
      <c r="R310" s="39" t="n">
        <v>0.129089277057549</v>
      </c>
      <c r="S310" s="39" t="n">
        <v>0.0892319791402076</v>
      </c>
      <c r="T310" s="38" t="n">
        <f aca="false">N310*Scorecard!$C$18+O310*Scorecard!$C$19+P310*Scorecard!$C$20+Q310*Scorecard!$C$21+R310*Scorecard!$C$22+S310*Scorecard!$C$23</f>
        <v>4.04400901955727</v>
      </c>
      <c r="U310" s="38" t="n">
        <f aca="false">N310*Scorecard!$D$18+O310*Scorecard!$D$19+P310*Scorecard!$D$20+Q310*Scorecard!$D$21+R310*Scorecard!$D$22+S310*Scorecard!$D$23</f>
        <v>2.64330292365664</v>
      </c>
      <c r="V310" s="38" t="n">
        <f aca="false">N310*Scorecard!$E$18+O310*Scorecard!$E$19+P310*Scorecard!$E$20+Q310*Scorecard!$E$21+R310*Scorecard!$E$22+S310*Scorecard!$E$23</f>
        <v>3.3781991946171</v>
      </c>
    </row>
    <row r="311" customFormat="false" ht="15" hidden="false" customHeight="false" outlineLevel="0" collapsed="false">
      <c r="A311" s="0" t="n">
        <v>306</v>
      </c>
      <c r="B311" s="38" t="n">
        <f aca="false">E311*Scorecard!$C$18+F311*Scorecard!$C$19+G311*Scorecard!$C$20+H311*Scorecard!$C$21+I311*Scorecard!$C$22+J311*Scorecard!$C$23</f>
        <v>3.61143941651106</v>
      </c>
      <c r="C311" s="38" t="n">
        <f aca="false">E311*Scorecard!$D$18+F311*Scorecard!$D$19+G311*Scorecard!$D$20+H311*Scorecard!$D$21+I311*Scorecard!$D$22+J311*Scorecard!$D$23</f>
        <v>2.1831451579051</v>
      </c>
      <c r="D311" s="0" t="str">
        <f aca="false">IF(AND(B311&gt;=C311,B311&gt;=K311),"A. Distribution",IF(C311&gt;=K311,"B. Manufacturing","C. Prof. services"))</f>
        <v>C. Prof. services</v>
      </c>
      <c r="E311" s="39" t="n">
        <v>0.0210274642914302</v>
      </c>
      <c r="F311" s="39" t="n">
        <v>0.28128839422769</v>
      </c>
      <c r="G311" s="39" t="n">
        <v>0.00643920982695706</v>
      </c>
      <c r="H311" s="39" t="n">
        <v>0.33706214003177</v>
      </c>
      <c r="I311" s="39" t="n">
        <v>0.0382617380667412</v>
      </c>
      <c r="J311" s="39" t="n">
        <v>0.315921053555411</v>
      </c>
      <c r="K311" s="38" t="n">
        <f aca="false">E311*Scorecard!$E$18+F311*Scorecard!$E$19+G311*Scorecard!$E$20+H311*Scorecard!$E$21+I311*Scorecard!$E$22+J311*Scorecard!$E$23</f>
        <v>3.63717385486826</v>
      </c>
      <c r="M311" s="0" t="str">
        <f aca="false">IF(AND(T311&gt;=U311,T311&gt;=V311),"A. Distribution",IF(U311&gt;=V311,"B. Manufacturing","C. Prof. services"))</f>
        <v>A. Distribution</v>
      </c>
      <c r="N311" s="39" t="n">
        <v>0.111590275563947</v>
      </c>
      <c r="O311" s="39" t="n">
        <v>0.222301309680575</v>
      </c>
      <c r="P311" s="39" t="n">
        <v>0.0689602981462268</v>
      </c>
      <c r="Q311" s="39" t="n">
        <v>0.205089530141536</v>
      </c>
      <c r="R311" s="39" t="n">
        <v>0.312169601048672</v>
      </c>
      <c r="S311" s="39" t="n">
        <v>0.0798889854190421</v>
      </c>
      <c r="T311" s="38" t="n">
        <f aca="false">N311*Scorecard!$C$18+O311*Scorecard!$C$19+P311*Scorecard!$C$20+Q311*Scorecard!$C$21+R311*Scorecard!$C$22+S311*Scorecard!$C$23</f>
        <v>4.03146559862775</v>
      </c>
      <c r="U311" s="38" t="n">
        <f aca="false">N311*Scorecard!$D$18+O311*Scorecard!$D$19+P311*Scorecard!$D$20+Q311*Scorecard!$D$21+R311*Scorecard!$D$22+S311*Scorecard!$D$23</f>
        <v>2.77977642880446</v>
      </c>
      <c r="V311" s="38" t="n">
        <f aca="false">N311*Scorecard!$E$18+O311*Scorecard!$E$19+P311*Scorecard!$E$20+Q311*Scorecard!$E$21+R311*Scorecard!$E$22+S311*Scorecard!$E$23</f>
        <v>3.13103345492767</v>
      </c>
    </row>
    <row r="312" customFormat="false" ht="15" hidden="false" customHeight="false" outlineLevel="0" collapsed="false">
      <c r="A312" s="0" t="n">
        <v>307</v>
      </c>
      <c r="B312" s="38" t="n">
        <f aca="false">E312*Scorecard!$C$18+F312*Scorecard!$C$19+G312*Scorecard!$C$20+H312*Scorecard!$C$21+I312*Scorecard!$C$22+J312*Scorecard!$C$23</f>
        <v>4.23108542210708</v>
      </c>
      <c r="C312" s="38" t="n">
        <f aca="false">E312*Scorecard!$D$18+F312*Scorecard!$D$19+G312*Scorecard!$D$20+H312*Scorecard!$D$21+I312*Scorecard!$D$22+J312*Scorecard!$D$23</f>
        <v>3.19422990520466</v>
      </c>
      <c r="D312" s="0" t="str">
        <f aca="false">IF(AND(B312&gt;=C312,B312&gt;=K312),"A. Distribution",IF(C312&gt;=K312,"B. Manufacturing","C. Prof. services"))</f>
        <v>A. Distribution</v>
      </c>
      <c r="E312" s="39" t="n">
        <v>0.32470197334959</v>
      </c>
      <c r="F312" s="39" t="n">
        <v>0.279833326330762</v>
      </c>
      <c r="G312" s="39" t="n">
        <v>0.00989966296313979</v>
      </c>
      <c r="H312" s="39" t="n">
        <v>0.110686532343457</v>
      </c>
      <c r="I312" s="39" t="n">
        <v>0.269502458933388</v>
      </c>
      <c r="J312" s="39" t="n">
        <v>0.0053760460796632</v>
      </c>
      <c r="K312" s="38" t="n">
        <f aca="false">E312*Scorecard!$E$18+F312*Scorecard!$E$19+G312*Scorecard!$E$20+H312*Scorecard!$E$21+I312*Scorecard!$E$22+J312*Scorecard!$E$23</f>
        <v>3.02043658734515</v>
      </c>
      <c r="M312" s="0" t="str">
        <f aca="false">IF(AND(T312&gt;=U312,T312&gt;=V312),"A. Distribution",IF(U312&gt;=V312,"B. Manufacturing","C. Prof. services"))</f>
        <v>A. Distribution</v>
      </c>
      <c r="N312" s="39" t="n">
        <v>0.195048791059283</v>
      </c>
      <c r="O312" s="39" t="n">
        <v>0.0950188995926414</v>
      </c>
      <c r="P312" s="39" t="n">
        <v>0.154496103688257</v>
      </c>
      <c r="Q312" s="39" t="n">
        <v>0.218994860041124</v>
      </c>
      <c r="R312" s="39" t="n">
        <v>0.233900460570535</v>
      </c>
      <c r="S312" s="39" t="n">
        <v>0.10254088504816</v>
      </c>
      <c r="T312" s="38" t="n">
        <f aca="false">N312*Scorecard!$C$18+O312*Scorecard!$C$19+P312*Scorecard!$C$20+Q312*Scorecard!$C$21+R312*Scorecard!$C$22+S312*Scorecard!$C$23</f>
        <v>3.85068046703281</v>
      </c>
      <c r="U312" s="38" t="n">
        <f aca="false">N312*Scorecard!$D$18+O312*Scorecard!$D$19+P312*Scorecard!$D$20+Q312*Scorecard!$D$21+R312*Scorecard!$D$22+S312*Scorecard!$D$23</f>
        <v>2.76958560759777</v>
      </c>
      <c r="V312" s="38" t="n">
        <f aca="false">N312*Scorecard!$E$18+O312*Scorecard!$E$19+P312*Scorecard!$E$20+Q312*Scorecard!$E$21+R312*Scorecard!$E$22+S312*Scorecard!$E$23</f>
        <v>3.37868891862281</v>
      </c>
    </row>
    <row r="313" customFormat="false" ht="15" hidden="false" customHeight="false" outlineLevel="0" collapsed="false">
      <c r="A313" s="0" t="n">
        <v>308</v>
      </c>
      <c r="B313" s="38" t="n">
        <f aca="false">E313*Scorecard!$C$18+F313*Scorecard!$C$19+G313*Scorecard!$C$20+H313*Scorecard!$C$21+I313*Scorecard!$C$22+J313*Scorecard!$C$23</f>
        <v>3.07593179333602</v>
      </c>
      <c r="C313" s="38" t="n">
        <f aca="false">E313*Scorecard!$D$18+F313*Scorecard!$D$19+G313*Scorecard!$D$20+H313*Scorecard!$D$21+I313*Scorecard!$D$22+J313*Scorecard!$D$23</f>
        <v>1.95731785772818</v>
      </c>
      <c r="D313" s="0" t="str">
        <f aca="false">IF(AND(B313&gt;=C313,B313&gt;=K313),"A. Distribution",IF(C313&gt;=K313,"B. Manufacturing","C. Prof. services"))</f>
        <v>C. Prof. services</v>
      </c>
      <c r="E313" s="39" t="n">
        <v>0.0550093128059146</v>
      </c>
      <c r="F313" s="39" t="n">
        <v>0.0747618715881254</v>
      </c>
      <c r="G313" s="39" t="n">
        <v>0.304349493179173</v>
      </c>
      <c r="H313" s="39" t="n">
        <v>0.0387919365875441</v>
      </c>
      <c r="I313" s="39" t="n">
        <v>0.0319705337518636</v>
      </c>
      <c r="J313" s="39" t="n">
        <v>0.495116852087379</v>
      </c>
      <c r="K313" s="38" t="n">
        <f aca="false">E313*Scorecard!$E$18+F313*Scorecard!$E$19+G313*Scorecard!$E$20+H313*Scorecard!$E$21+I313*Scorecard!$E$22+J313*Scorecard!$E$23</f>
        <v>4.06470888506278</v>
      </c>
      <c r="M313" s="0" t="str">
        <f aca="false">IF(AND(T313&gt;=U313,T313&gt;=V313),"A. Distribution",IF(U313&gt;=V313,"B. Manufacturing","C. Prof. services"))</f>
        <v>A. Distribution</v>
      </c>
      <c r="N313" s="39" t="n">
        <v>0.207087031768945</v>
      </c>
      <c r="O313" s="39" t="n">
        <v>0.101339897139223</v>
      </c>
      <c r="P313" s="39" t="n">
        <v>0.173776198281506</v>
      </c>
      <c r="Q313" s="39" t="n">
        <v>0.207207455981386</v>
      </c>
      <c r="R313" s="39" t="n">
        <v>0.143917639863841</v>
      </c>
      <c r="S313" s="39" t="n">
        <v>0.166671776965099</v>
      </c>
      <c r="T313" s="38" t="n">
        <f aca="false">N313*Scorecard!$C$18+O313*Scorecard!$C$19+P313*Scorecard!$C$20+Q313*Scorecard!$C$21+R313*Scorecard!$C$22+S313*Scorecard!$C$23</f>
        <v>3.72904326896453</v>
      </c>
      <c r="U313" s="38" t="n">
        <f aca="false">N313*Scorecard!$D$18+O313*Scorecard!$D$19+P313*Scorecard!$D$20+Q313*Scorecard!$D$21+R313*Scorecard!$D$22+S313*Scorecard!$D$23</f>
        <v>2.6418072378825</v>
      </c>
      <c r="V313" s="38" t="n">
        <f aca="false">N313*Scorecard!$E$18+O313*Scorecard!$E$19+P313*Scorecard!$E$20+Q313*Scorecard!$E$21+R313*Scorecard!$E$22+S313*Scorecard!$E$23</f>
        <v>3.55100875160523</v>
      </c>
    </row>
    <row r="314" customFormat="false" ht="15" hidden="false" customHeight="false" outlineLevel="0" collapsed="false">
      <c r="A314" s="0" t="n">
        <v>309</v>
      </c>
      <c r="B314" s="38" t="n">
        <f aca="false">E314*Scorecard!$C$18+F314*Scorecard!$C$19+G314*Scorecard!$C$20+H314*Scorecard!$C$21+I314*Scorecard!$C$22+J314*Scorecard!$C$23</f>
        <v>3.68059239972244</v>
      </c>
      <c r="C314" s="38" t="n">
        <f aca="false">E314*Scorecard!$D$18+F314*Scorecard!$D$19+G314*Scorecard!$D$20+H314*Scorecard!$D$21+I314*Scorecard!$D$22+J314*Scorecard!$D$23</f>
        <v>2.3545428529428</v>
      </c>
      <c r="D314" s="0" t="str">
        <f aca="false">IF(AND(B314&gt;=C314,B314&gt;=K314),"A. Distribution",IF(C314&gt;=K314,"B. Manufacturing","C. Prof. services"))</f>
        <v>A. Distribution</v>
      </c>
      <c r="E314" s="39" t="n">
        <v>0.0890589866519179</v>
      </c>
      <c r="F314" s="39" t="n">
        <v>0.0894814474640643</v>
      </c>
      <c r="G314" s="39" t="n">
        <v>0.280879299178418</v>
      </c>
      <c r="H314" s="39" t="n">
        <v>0.239385991975907</v>
      </c>
      <c r="I314" s="39" t="n">
        <v>0.113221870684051</v>
      </c>
      <c r="J314" s="39" t="n">
        <v>0.187972404045641</v>
      </c>
      <c r="K314" s="38" t="n">
        <f aca="false">E314*Scorecard!$E$18+F314*Scorecard!$E$19+G314*Scorecard!$E$20+H314*Scorecard!$E$21+I314*Scorecard!$E$22+J314*Scorecard!$E$23</f>
        <v>3.67548471035203</v>
      </c>
      <c r="M314" s="0" t="str">
        <f aca="false">IF(AND(T314&gt;=U314,T314&gt;=V314),"A. Distribution",IF(U314&gt;=V314,"B. Manufacturing","C. Prof. services"))</f>
        <v>A. Distribution</v>
      </c>
      <c r="N314" s="39" t="n">
        <v>0.386304259409632</v>
      </c>
      <c r="O314" s="39" t="n">
        <v>0.247469362941113</v>
      </c>
      <c r="P314" s="39" t="n">
        <v>0.0368927507061907</v>
      </c>
      <c r="Q314" s="39" t="n">
        <v>0.242820358573718</v>
      </c>
      <c r="R314" s="39" t="n">
        <v>0.0759036593402846</v>
      </c>
      <c r="S314" s="39" t="n">
        <v>0.0106096090290621</v>
      </c>
      <c r="T314" s="38" t="n">
        <f aca="false">N314*Scorecard!$C$18+O314*Scorecard!$C$19+P314*Scorecard!$C$20+Q314*Scorecard!$C$21+R314*Scorecard!$C$22+S314*Scorecard!$C$23</f>
        <v>4.16907098681947</v>
      </c>
      <c r="U314" s="38" t="n">
        <f aca="false">N314*Scorecard!$D$18+O314*Scorecard!$D$19+P314*Scorecard!$D$20+Q314*Scorecard!$D$21+R314*Scorecard!$D$22+S314*Scorecard!$D$23</f>
        <v>3.07960140351862</v>
      </c>
      <c r="V314" s="38" t="n">
        <f aca="false">N314*Scorecard!$E$18+O314*Scorecard!$E$19+P314*Scorecard!$E$20+Q314*Scorecard!$E$21+R314*Scorecard!$E$22+S314*Scorecard!$E$23</f>
        <v>3.31039403299132</v>
      </c>
    </row>
    <row r="315" customFormat="false" ht="15" hidden="false" customHeight="false" outlineLevel="0" collapsed="false">
      <c r="A315" s="0" t="n">
        <v>310</v>
      </c>
      <c r="B315" s="38" t="n">
        <f aca="false">E315*Scorecard!$C$18+F315*Scorecard!$C$19+G315*Scorecard!$C$20+H315*Scorecard!$C$21+I315*Scorecard!$C$22+J315*Scorecard!$C$23</f>
        <v>4.46979595343791</v>
      </c>
      <c r="C315" s="38" t="n">
        <f aca="false">E315*Scorecard!$D$18+F315*Scorecard!$D$19+G315*Scorecard!$D$20+H315*Scorecard!$D$21+I315*Scorecard!$D$22+J315*Scorecard!$D$23</f>
        <v>2.88006346917034</v>
      </c>
      <c r="D315" s="0" t="str">
        <f aca="false">IF(AND(B315&gt;=C315,B315&gt;=K315),"A. Distribution",IF(C315&gt;=K315,"B. Manufacturing","C. Prof. services"))</f>
        <v>A. Distribution</v>
      </c>
      <c r="E315" s="39" t="n">
        <v>0.172333189974353</v>
      </c>
      <c r="F315" s="39" t="n">
        <v>0.505694923975527</v>
      </c>
      <c r="G315" s="39" t="n">
        <v>0.0639500499633272</v>
      </c>
      <c r="H315" s="39" t="n">
        <v>0.0640447431354506</v>
      </c>
      <c r="I315" s="39" t="n">
        <v>0.1863960747625</v>
      </c>
      <c r="J315" s="39" t="n">
        <v>0.00758101818884164</v>
      </c>
      <c r="K315" s="38" t="n">
        <f aca="false">E315*Scorecard!$E$18+F315*Scorecard!$E$19+G315*Scorecard!$E$20+H315*Scorecard!$E$21+I315*Scorecard!$E$22+J315*Scorecard!$E$23</f>
        <v>2.98149324285816</v>
      </c>
      <c r="M315" s="0" t="str">
        <f aca="false">IF(AND(T315&gt;=U315,T315&gt;=V315),"A. Distribution",IF(U315&gt;=V315,"B. Manufacturing","C. Prof. services"))</f>
        <v>A. Distribution</v>
      </c>
      <c r="N315" s="39" t="n">
        <v>0.0776111996785311</v>
      </c>
      <c r="O315" s="39" t="n">
        <v>0.307934304684505</v>
      </c>
      <c r="P315" s="39" t="n">
        <v>0.240206124162262</v>
      </c>
      <c r="Q315" s="39" t="n">
        <v>0.160595014357516</v>
      </c>
      <c r="R315" s="39" t="n">
        <v>0.191156132873101</v>
      </c>
      <c r="S315" s="39" t="n">
        <v>0.0224972242440853</v>
      </c>
      <c r="T315" s="38" t="n">
        <f aca="false">N315*Scorecard!$C$18+O315*Scorecard!$C$19+P315*Scorecard!$C$20+Q315*Scorecard!$C$21+R315*Scorecard!$C$22+S315*Scorecard!$C$23</f>
        <v>4.2394044964801</v>
      </c>
      <c r="U315" s="38" t="n">
        <f aca="false">N315*Scorecard!$D$18+O315*Scorecard!$D$19+P315*Scorecard!$D$20+Q315*Scorecard!$D$21+R315*Scorecard!$D$22+S315*Scorecard!$D$23</f>
        <v>2.61073978067975</v>
      </c>
      <c r="V315" s="38" t="n">
        <f aca="false">N315*Scorecard!$E$18+O315*Scorecard!$E$19+P315*Scorecard!$E$20+Q315*Scorecard!$E$21+R315*Scorecard!$E$22+S315*Scorecard!$E$23</f>
        <v>3.23320611046963</v>
      </c>
    </row>
    <row r="316" customFormat="false" ht="15" hidden="false" customHeight="false" outlineLevel="0" collapsed="false">
      <c r="A316" s="0" t="n">
        <v>311</v>
      </c>
      <c r="B316" s="38" t="n">
        <f aca="false">E316*Scorecard!$C$18+F316*Scorecard!$C$19+G316*Scorecard!$C$20+H316*Scorecard!$C$21+I316*Scorecard!$C$22+J316*Scorecard!$C$23</f>
        <v>3.67115967793152</v>
      </c>
      <c r="C316" s="38" t="n">
        <f aca="false">E316*Scorecard!$D$18+F316*Scorecard!$D$19+G316*Scorecard!$D$20+H316*Scorecard!$D$21+I316*Scorecard!$D$22+J316*Scorecard!$D$23</f>
        <v>2.84918214320864</v>
      </c>
      <c r="D316" s="0" t="str">
        <f aca="false">IF(AND(B316&gt;=C316,B316&gt;=K316),"A. Distribution",IF(C316&gt;=K316,"B. Manufacturing","C. Prof. services"))</f>
        <v>A. Distribution</v>
      </c>
      <c r="E316" s="39" t="n">
        <v>0.0267372671792951</v>
      </c>
      <c r="F316" s="39" t="n">
        <v>0.0759692171945453</v>
      </c>
      <c r="G316" s="39" t="n">
        <v>0.0436584342174936</v>
      </c>
      <c r="H316" s="39" t="n">
        <v>0.0150880117810164</v>
      </c>
      <c r="I316" s="39" t="n">
        <v>0.638028495492625</v>
      </c>
      <c r="J316" s="39" t="n">
        <v>0.200518574135025</v>
      </c>
      <c r="K316" s="38" t="n">
        <f aca="false">E316*Scorecard!$E$18+F316*Scorecard!$E$19+G316*Scorecard!$E$20+H316*Scorecard!$E$21+I316*Scorecard!$E$22+J316*Scorecard!$E$23</f>
        <v>2.92773866177921</v>
      </c>
      <c r="M316" s="0" t="str">
        <f aca="false">IF(AND(T316&gt;=U316,T316&gt;=V316),"A. Distribution",IF(U316&gt;=V316,"B. Manufacturing","C. Prof. services"))</f>
        <v>A. Distribution</v>
      </c>
      <c r="N316" s="39" t="n">
        <v>0.175009107082494</v>
      </c>
      <c r="O316" s="39" t="n">
        <v>0.143861903678934</v>
      </c>
      <c r="P316" s="39" t="n">
        <v>0.204718732971785</v>
      </c>
      <c r="Q316" s="39" t="n">
        <v>0.154861817827138</v>
      </c>
      <c r="R316" s="39" t="n">
        <v>0.184403764461198</v>
      </c>
      <c r="S316" s="39" t="n">
        <v>0.137144673978452</v>
      </c>
      <c r="T316" s="38" t="n">
        <f aca="false">N316*Scorecard!$C$18+O316*Scorecard!$C$19+P316*Scorecard!$C$20+Q316*Scorecard!$C$21+R316*Scorecard!$C$22+S316*Scorecard!$C$23</f>
        <v>3.83883518772594</v>
      </c>
      <c r="U316" s="38" t="n">
        <f aca="false">N316*Scorecard!$D$18+O316*Scorecard!$D$19+P316*Scorecard!$D$20+Q316*Scorecard!$D$21+R316*Scorecard!$D$22+S316*Scorecard!$D$23</f>
        <v>2.65287661369774</v>
      </c>
      <c r="V316" s="38" t="n">
        <f aca="false">N316*Scorecard!$E$18+O316*Scorecard!$E$19+P316*Scorecard!$E$20+Q316*Scorecard!$E$21+R316*Scorecard!$E$22+S316*Scorecard!$E$23</f>
        <v>3.45109535596639</v>
      </c>
    </row>
    <row r="317" customFormat="false" ht="15" hidden="false" customHeight="false" outlineLevel="0" collapsed="false">
      <c r="A317" s="0" t="n">
        <v>312</v>
      </c>
      <c r="B317" s="38" t="n">
        <f aca="false">E317*Scorecard!$C$18+F317*Scorecard!$C$19+G317*Scorecard!$C$20+H317*Scorecard!$C$21+I317*Scorecard!$C$22+J317*Scorecard!$C$23</f>
        <v>3.99941623761774</v>
      </c>
      <c r="C317" s="38" t="n">
        <f aca="false">E317*Scorecard!$D$18+F317*Scorecard!$D$19+G317*Scorecard!$D$20+H317*Scorecard!$D$21+I317*Scorecard!$D$22+J317*Scorecard!$D$23</f>
        <v>2.23533293468689</v>
      </c>
      <c r="D317" s="0" t="str">
        <f aca="false">IF(AND(B317&gt;=C317,B317&gt;=K317),"A. Distribution",IF(C317&gt;=K317,"B. Manufacturing","C. Prof. services"))</f>
        <v>A. Distribution</v>
      </c>
      <c r="E317" s="39" t="n">
        <v>0.0429007275479939</v>
      </c>
      <c r="F317" s="39" t="n">
        <v>0.262923022131238</v>
      </c>
      <c r="G317" s="39" t="n">
        <v>0.367940057406182</v>
      </c>
      <c r="H317" s="39" t="n">
        <v>0.198836664466307</v>
      </c>
      <c r="I317" s="39" t="n">
        <v>0.00808070029107657</v>
      </c>
      <c r="J317" s="39" t="n">
        <v>0.119318828157202</v>
      </c>
      <c r="K317" s="38" t="n">
        <f aca="false">E317*Scorecard!$E$18+F317*Scorecard!$E$19+G317*Scorecard!$E$20+H317*Scorecard!$E$21+I317*Scorecard!$E$22+J317*Scorecard!$E$23</f>
        <v>3.64540335345774</v>
      </c>
      <c r="M317" s="0" t="str">
        <f aca="false">IF(AND(T317&gt;=U317,T317&gt;=V317),"A. Distribution",IF(U317&gt;=V317,"B. Manufacturing","C. Prof. services"))</f>
        <v>A. Distribution</v>
      </c>
      <c r="N317" s="39" t="n">
        <v>0.132492609192076</v>
      </c>
      <c r="O317" s="39" t="n">
        <v>0.28893377430397</v>
      </c>
      <c r="P317" s="39" t="n">
        <v>0.316969351828199</v>
      </c>
      <c r="Q317" s="39" t="n">
        <v>0.116827356282484</v>
      </c>
      <c r="R317" s="39" t="n">
        <v>0.110102018865674</v>
      </c>
      <c r="S317" s="39" t="n">
        <v>0.0346748895275984</v>
      </c>
      <c r="T317" s="38" t="n">
        <f aca="false">N317*Scorecard!$C$18+O317*Scorecard!$C$19+P317*Scorecard!$C$20+Q317*Scorecard!$C$21+R317*Scorecard!$C$22+S317*Scorecard!$C$23</f>
        <v>4.1963583751688</v>
      </c>
      <c r="U317" s="38" t="n">
        <f aca="false">N317*Scorecard!$D$18+O317*Scorecard!$D$19+P317*Scorecard!$D$20+Q317*Scorecard!$D$21+R317*Scorecard!$D$22+S317*Scorecard!$D$23</f>
        <v>2.58476568258637</v>
      </c>
      <c r="V317" s="38" t="n">
        <f aca="false">N317*Scorecard!$E$18+O317*Scorecard!$E$19+P317*Scorecard!$E$20+Q317*Scorecard!$E$21+R317*Scorecard!$E$22+S317*Scorecard!$E$23</f>
        <v>3.38397604973199</v>
      </c>
    </row>
    <row r="318" customFormat="false" ht="15" hidden="false" customHeight="false" outlineLevel="0" collapsed="false">
      <c r="A318" s="0" t="n">
        <v>313</v>
      </c>
      <c r="B318" s="38" t="n">
        <f aca="false">E318*Scorecard!$C$18+F318*Scorecard!$C$19+G318*Scorecard!$C$20+H318*Scorecard!$C$21+I318*Scorecard!$C$22+J318*Scorecard!$C$23</f>
        <v>4.07824697595973</v>
      </c>
      <c r="C318" s="38" t="n">
        <f aca="false">E318*Scorecard!$D$18+F318*Scorecard!$D$19+G318*Scorecard!$D$20+H318*Scorecard!$D$21+I318*Scorecard!$D$22+J318*Scorecard!$D$23</f>
        <v>2.99351629191384</v>
      </c>
      <c r="D318" s="0" t="str">
        <f aca="false">IF(AND(B318&gt;=C318,B318&gt;=K318),"A. Distribution",IF(C318&gt;=K318,"B. Manufacturing","C. Prof. services"))</f>
        <v>A. Distribution</v>
      </c>
      <c r="E318" s="39" t="n">
        <v>0.144512195244843</v>
      </c>
      <c r="F318" s="39" t="n">
        <v>0.150294580495157</v>
      </c>
      <c r="G318" s="39" t="n">
        <v>0.0234329684101793</v>
      </c>
      <c r="H318" s="39" t="n">
        <v>0.246314700226263</v>
      </c>
      <c r="I318" s="39" t="n">
        <v>0.418493238924184</v>
      </c>
      <c r="J318" s="39" t="n">
        <v>0.0169523166993726</v>
      </c>
      <c r="K318" s="38" t="n">
        <f aca="false">E318*Scorecard!$E$18+F318*Scorecard!$E$19+G318*Scorecard!$E$20+H318*Scorecard!$E$21+I318*Scorecard!$E$22+J318*Scorecard!$E$23</f>
        <v>2.97848894229586</v>
      </c>
      <c r="M318" s="0" t="str">
        <f aca="false">IF(AND(T318&gt;=U318,T318&gt;=V318),"A. Distribution",IF(U318&gt;=V318,"B. Manufacturing","C. Prof. services"))</f>
        <v>A. Distribution</v>
      </c>
      <c r="N318" s="39" t="n">
        <v>0.122647301936295</v>
      </c>
      <c r="O318" s="39" t="n">
        <v>0.348761312065736</v>
      </c>
      <c r="P318" s="39" t="n">
        <v>0.111541377456981</v>
      </c>
      <c r="Q318" s="39" t="n">
        <v>0.0773940442336018</v>
      </c>
      <c r="R318" s="39" t="n">
        <v>0.190530138627362</v>
      </c>
      <c r="S318" s="39" t="n">
        <v>0.149125825680024</v>
      </c>
      <c r="T318" s="38" t="n">
        <f aca="false">N318*Scorecard!$C$18+O318*Scorecard!$C$19+P318*Scorecard!$C$20+Q318*Scorecard!$C$21+R318*Scorecard!$C$22+S318*Scorecard!$C$23</f>
        <v>4.03232345107602</v>
      </c>
      <c r="U318" s="38" t="n">
        <f aca="false">N318*Scorecard!$D$18+O318*Scorecard!$D$19+P318*Scorecard!$D$20+Q318*Scorecard!$D$21+R318*Scorecard!$D$22+S318*Scorecard!$D$23</f>
        <v>2.63502729501762</v>
      </c>
      <c r="V318" s="38" t="n">
        <f aca="false">N318*Scorecard!$E$18+O318*Scorecard!$E$19+P318*Scorecard!$E$20+Q318*Scorecard!$E$21+R318*Scorecard!$E$22+S318*Scorecard!$E$23</f>
        <v>3.25345338742547</v>
      </c>
    </row>
    <row r="319" customFormat="false" ht="15" hidden="false" customHeight="false" outlineLevel="0" collapsed="false">
      <c r="A319" s="0" t="n">
        <v>314</v>
      </c>
      <c r="B319" s="38" t="n">
        <f aca="false">E319*Scorecard!$C$18+F319*Scorecard!$C$19+G319*Scorecard!$C$20+H319*Scorecard!$C$21+I319*Scorecard!$C$22+J319*Scorecard!$C$23</f>
        <v>3.44409419469805</v>
      </c>
      <c r="C319" s="38" t="n">
        <f aca="false">E319*Scorecard!$D$18+F319*Scorecard!$D$19+G319*Scorecard!$D$20+H319*Scorecard!$D$21+I319*Scorecard!$D$22+J319*Scorecard!$D$23</f>
        <v>2.10195410585906</v>
      </c>
      <c r="D319" s="0" t="str">
        <f aca="false">IF(AND(B319&gt;=C319,B319&gt;=K319),"A. Distribution",IF(C319&gt;=K319,"B. Manufacturing","C. Prof. services"))</f>
        <v>C. Prof. services</v>
      </c>
      <c r="E319" s="39" t="n">
        <v>0.0344783500923702</v>
      </c>
      <c r="F319" s="39" t="n">
        <v>0.00127130093901112</v>
      </c>
      <c r="G319" s="39" t="n">
        <v>0.189280608979568</v>
      </c>
      <c r="H319" s="39" t="n">
        <v>0.523793198373526</v>
      </c>
      <c r="I319" s="39" t="n">
        <v>0.00219157845306736</v>
      </c>
      <c r="J319" s="39" t="n">
        <v>0.248984963162457</v>
      </c>
      <c r="K319" s="38" t="n">
        <f aca="false">E319*Scorecard!$E$18+F319*Scorecard!$E$19+G319*Scorecard!$E$20+H319*Scorecard!$E$21+I319*Scorecard!$E$22+J319*Scorecard!$E$23</f>
        <v>3.93076078079807</v>
      </c>
      <c r="M319" s="0" t="str">
        <f aca="false">IF(AND(T319&gt;=U319,T319&gt;=V319),"A. Distribution",IF(U319&gt;=V319,"B. Manufacturing","C. Prof. services"))</f>
        <v>A. Distribution</v>
      </c>
      <c r="N319" s="39" t="n">
        <v>0.250237015856209</v>
      </c>
      <c r="O319" s="39" t="n">
        <v>0.154306754934765</v>
      </c>
      <c r="P319" s="39" t="n">
        <v>0.136131300226377</v>
      </c>
      <c r="Q319" s="39" t="n">
        <v>0.193095207246687</v>
      </c>
      <c r="R319" s="39" t="n">
        <v>0.173818441605911</v>
      </c>
      <c r="S319" s="39" t="n">
        <v>0.092411280130052</v>
      </c>
      <c r="T319" s="38" t="n">
        <f aca="false">N319*Scorecard!$C$18+O319*Scorecard!$C$19+P319*Scorecard!$C$20+Q319*Scorecard!$C$21+R319*Scorecard!$C$22+S319*Scorecard!$C$23</f>
        <v>3.92858735058476</v>
      </c>
      <c r="U319" s="38" t="n">
        <f aca="false">N319*Scorecard!$D$18+O319*Scorecard!$D$19+P319*Scorecard!$D$20+Q319*Scorecard!$D$21+R319*Scorecard!$D$22+S319*Scorecard!$D$23</f>
        <v>2.83004905861879</v>
      </c>
      <c r="V319" s="38" t="n">
        <f aca="false">N319*Scorecard!$E$18+O319*Scorecard!$E$19+P319*Scorecard!$E$20+Q319*Scorecard!$E$21+R319*Scorecard!$E$22+S319*Scorecard!$E$23</f>
        <v>3.38376608148946</v>
      </c>
    </row>
    <row r="320" customFormat="false" ht="15" hidden="false" customHeight="false" outlineLevel="0" collapsed="false">
      <c r="A320" s="0" t="n">
        <v>315</v>
      </c>
      <c r="B320" s="38" t="n">
        <f aca="false">E320*Scorecard!$C$18+F320*Scorecard!$C$19+G320*Scorecard!$C$20+H320*Scorecard!$C$21+I320*Scorecard!$C$22+J320*Scorecard!$C$23</f>
        <v>4.10973685187993</v>
      </c>
      <c r="C320" s="38" t="n">
        <f aca="false">E320*Scorecard!$D$18+F320*Scorecard!$D$19+G320*Scorecard!$D$20+H320*Scorecard!$D$21+I320*Scorecard!$D$22+J320*Scorecard!$D$23</f>
        <v>2.30408555556447</v>
      </c>
      <c r="D320" s="0" t="str">
        <f aca="false">IF(AND(B320&gt;=C320,B320&gt;=K320),"A. Distribution",IF(C320&gt;=K320,"B. Manufacturing","C. Prof. services"))</f>
        <v>A. Distribution</v>
      </c>
      <c r="E320" s="39" t="n">
        <v>0.0601330999963431</v>
      </c>
      <c r="F320" s="39" t="n">
        <v>0.295348306466339</v>
      </c>
      <c r="G320" s="39" t="n">
        <v>0.383826604981893</v>
      </c>
      <c r="H320" s="39" t="n">
        <v>0.165485470646834</v>
      </c>
      <c r="I320" s="39" t="n">
        <v>0.0137303151401947</v>
      </c>
      <c r="J320" s="39" t="n">
        <v>0.0814762027683955</v>
      </c>
      <c r="K320" s="38" t="n">
        <f aca="false">E320*Scorecard!$E$18+F320*Scorecard!$E$19+G320*Scorecard!$E$20+H320*Scorecard!$E$21+I320*Scorecard!$E$22+J320*Scorecard!$E$23</f>
        <v>3.5805962396502</v>
      </c>
      <c r="M320" s="0" t="str">
        <f aca="false">IF(AND(T320&gt;=U320,T320&gt;=V320),"A. Distribution",IF(U320&gt;=V320,"B. Manufacturing","C. Prof. services"))</f>
        <v>A. Distribution</v>
      </c>
      <c r="N320" s="39" t="n">
        <v>0.291187712018885</v>
      </c>
      <c r="O320" s="39" t="n">
        <v>0.191915308927259</v>
      </c>
      <c r="P320" s="39" t="n">
        <v>0.108132434216667</v>
      </c>
      <c r="Q320" s="39" t="n">
        <v>0.126196013858381</v>
      </c>
      <c r="R320" s="39" t="n">
        <v>0.198954893566998</v>
      </c>
      <c r="S320" s="39" t="n">
        <v>0.0836136374118097</v>
      </c>
      <c r="T320" s="38" t="n">
        <f aca="false">N320*Scorecard!$C$18+O320*Scorecard!$C$19+P320*Scorecard!$C$20+Q320*Scorecard!$C$21+R320*Scorecard!$C$22+S320*Scorecard!$C$23</f>
        <v>3.98771181815816</v>
      </c>
      <c r="U320" s="38" t="n">
        <f aca="false">N320*Scorecard!$D$18+O320*Scorecard!$D$19+P320*Scorecard!$D$20+Q320*Scorecard!$D$21+R320*Scorecard!$D$22+S320*Scorecard!$D$23</f>
        <v>2.95119199847623</v>
      </c>
      <c r="V320" s="38" t="n">
        <f aca="false">N320*Scorecard!$E$18+O320*Scorecard!$E$19+P320*Scorecard!$E$20+Q320*Scorecard!$E$21+R320*Scorecard!$E$22+S320*Scorecard!$E$23</f>
        <v>3.29392015077498</v>
      </c>
    </row>
    <row r="321" customFormat="false" ht="15" hidden="false" customHeight="false" outlineLevel="0" collapsed="false">
      <c r="A321" s="0" t="n">
        <v>316</v>
      </c>
      <c r="B321" s="38" t="n">
        <f aca="false">E321*Scorecard!$C$18+F321*Scorecard!$C$19+G321*Scorecard!$C$20+H321*Scorecard!$C$21+I321*Scorecard!$C$22+J321*Scorecard!$C$23</f>
        <v>3.78448804529004</v>
      </c>
      <c r="C321" s="38" t="n">
        <f aca="false">E321*Scorecard!$D$18+F321*Scorecard!$D$19+G321*Scorecard!$D$20+H321*Scorecard!$D$21+I321*Scorecard!$D$22+J321*Scorecard!$D$23</f>
        <v>2.18361148318289</v>
      </c>
      <c r="D321" s="0" t="str">
        <f aca="false">IF(AND(B321&gt;=C321,B321&gt;=K321),"A. Distribution",IF(C321&gt;=K321,"B. Manufacturing","C. Prof. services"))</f>
        <v>A. Distribution</v>
      </c>
      <c r="E321" s="39" t="n">
        <v>0.0197960266050828</v>
      </c>
      <c r="F321" s="39" t="n">
        <v>0.495716448062205</v>
      </c>
      <c r="G321" s="39" t="n">
        <v>0.0671517804082903</v>
      </c>
      <c r="H321" s="39" t="n">
        <v>0.0265593293389836</v>
      </c>
      <c r="I321" s="39" t="n">
        <v>0.0373877853958213</v>
      </c>
      <c r="J321" s="39" t="n">
        <v>0.353388630189618</v>
      </c>
      <c r="K321" s="38" t="n">
        <f aca="false">E321*Scorecard!$E$18+F321*Scorecard!$E$19+G321*Scorecard!$E$20+H321*Scorecard!$E$21+I321*Scorecard!$E$22+J321*Scorecard!$E$23</f>
        <v>3.50320676895583</v>
      </c>
      <c r="M321" s="0" t="str">
        <f aca="false">IF(AND(T321&gt;=U321,T321&gt;=V321),"A. Distribution",IF(U321&gt;=V321,"B. Manufacturing","C. Prof. services"))</f>
        <v>A. Distribution</v>
      </c>
      <c r="N321" s="39" t="n">
        <v>0.225240497945926</v>
      </c>
      <c r="O321" s="39" t="n">
        <v>0.243981764124662</v>
      </c>
      <c r="P321" s="39" t="n">
        <v>0.167100762744768</v>
      </c>
      <c r="Q321" s="39" t="n">
        <v>0.132015295029152</v>
      </c>
      <c r="R321" s="39" t="n">
        <v>0.113569225187803</v>
      </c>
      <c r="S321" s="39" t="n">
        <v>0.118092454967688</v>
      </c>
      <c r="T321" s="38" t="n">
        <f aca="false">N321*Scorecard!$C$18+O321*Scorecard!$C$19+P321*Scorecard!$C$20+Q321*Scorecard!$C$21+R321*Scorecard!$C$22+S321*Scorecard!$C$23</f>
        <v>3.97548829621321</v>
      </c>
      <c r="U321" s="38" t="n">
        <f aca="false">N321*Scorecard!$D$18+O321*Scorecard!$D$19+P321*Scorecard!$D$20+Q321*Scorecard!$D$21+R321*Scorecard!$D$22+S321*Scorecard!$D$23</f>
        <v>2.71596167429634</v>
      </c>
      <c r="V321" s="38" t="n">
        <f aca="false">N321*Scorecard!$E$18+O321*Scorecard!$E$19+P321*Scorecard!$E$20+Q321*Scorecard!$E$21+R321*Scorecard!$E$22+S321*Scorecard!$E$23</f>
        <v>3.422300932883</v>
      </c>
    </row>
    <row r="322" customFormat="false" ht="15" hidden="false" customHeight="false" outlineLevel="0" collapsed="false">
      <c r="A322" s="0" t="n">
        <v>317</v>
      </c>
      <c r="B322" s="38" t="n">
        <f aca="false">E322*Scorecard!$C$18+F322*Scorecard!$C$19+G322*Scorecard!$C$20+H322*Scorecard!$C$21+I322*Scorecard!$C$22+J322*Scorecard!$C$23</f>
        <v>3.93749477422089</v>
      </c>
      <c r="C322" s="38" t="n">
        <f aca="false">E322*Scorecard!$D$18+F322*Scorecard!$D$19+G322*Scorecard!$D$20+H322*Scorecard!$D$21+I322*Scorecard!$D$22+J322*Scorecard!$D$23</f>
        <v>2.35127833486288</v>
      </c>
      <c r="D322" s="0" t="str">
        <f aca="false">IF(AND(B322&gt;=C322,B322&gt;=K322),"A. Distribution",IF(C322&gt;=K322,"B. Manufacturing","C. Prof. services"))</f>
        <v>A. Distribution</v>
      </c>
      <c r="E322" s="39" t="n">
        <v>0.0190005402054985</v>
      </c>
      <c r="F322" s="39" t="n">
        <v>0.216454477519163</v>
      </c>
      <c r="G322" s="39" t="n">
        <v>0.364652864771657</v>
      </c>
      <c r="H322" s="39" t="n">
        <v>0.0856600226151712</v>
      </c>
      <c r="I322" s="39" t="n">
        <v>0.180129948108812</v>
      </c>
      <c r="J322" s="39" t="n">
        <v>0.134102146779699</v>
      </c>
      <c r="K322" s="38" t="n">
        <f aca="false">E322*Scorecard!$E$18+F322*Scorecard!$E$19+G322*Scorecard!$E$20+H322*Scorecard!$E$21+I322*Scorecard!$E$22+J322*Scorecard!$E$23</f>
        <v>3.47055730480949</v>
      </c>
      <c r="M322" s="0" t="str">
        <f aca="false">IF(AND(T322&gt;=U322,T322&gt;=V322),"A. Distribution",IF(U322&gt;=V322,"B. Manufacturing","C. Prof. services"))</f>
        <v>A. Distribution</v>
      </c>
      <c r="N322" s="39" t="n">
        <v>0.177860422281737</v>
      </c>
      <c r="O322" s="39" t="n">
        <v>0.248627424184713</v>
      </c>
      <c r="P322" s="39" t="n">
        <v>0.22561535862694</v>
      </c>
      <c r="Q322" s="39" t="n">
        <v>0.0502048176865969</v>
      </c>
      <c r="R322" s="39" t="n">
        <v>0.193381953070607</v>
      </c>
      <c r="S322" s="39" t="n">
        <v>0.104310024149407</v>
      </c>
      <c r="T322" s="38" t="n">
        <f aca="false">N322*Scorecard!$C$18+O322*Scorecard!$C$19+P322*Scorecard!$C$20+Q322*Scorecard!$C$21+R322*Scorecard!$C$22+S322*Scorecard!$C$23</f>
        <v>4.02031793817518</v>
      </c>
      <c r="U322" s="38" t="n">
        <f aca="false">N322*Scorecard!$D$18+O322*Scorecard!$D$19+P322*Scorecard!$D$20+Q322*Scorecard!$D$21+R322*Scorecard!$D$22+S322*Scorecard!$D$23</f>
        <v>2.71195223354833</v>
      </c>
      <c r="V322" s="38" t="n">
        <f aca="false">N322*Scorecard!$E$18+O322*Scorecard!$E$19+P322*Scorecard!$E$20+Q322*Scorecard!$E$21+R322*Scorecard!$E$22+S322*Scorecard!$E$23</f>
        <v>3.32728060411746</v>
      </c>
    </row>
    <row r="323" customFormat="false" ht="15" hidden="false" customHeight="false" outlineLevel="0" collapsed="false">
      <c r="A323" s="0" t="n">
        <v>318</v>
      </c>
      <c r="B323" s="38" t="n">
        <f aca="false">E323*Scorecard!$C$18+F323*Scorecard!$C$19+G323*Scorecard!$C$20+H323*Scorecard!$C$21+I323*Scorecard!$C$22+J323*Scorecard!$C$23</f>
        <v>3.66370212954063</v>
      </c>
      <c r="C323" s="38" t="n">
        <f aca="false">E323*Scorecard!$D$18+F323*Scorecard!$D$19+G323*Scorecard!$D$20+H323*Scorecard!$D$21+I323*Scorecard!$D$22+J323*Scorecard!$D$23</f>
        <v>2.66982175717189</v>
      </c>
      <c r="D323" s="0" t="str">
        <f aca="false">IF(AND(B323&gt;=C323,B323&gt;=K323),"A. Distribution",IF(C323&gt;=K323,"B. Manufacturing","C. Prof. services"))</f>
        <v>A. Distribution</v>
      </c>
      <c r="E323" s="39" t="n">
        <v>0.26176172901549</v>
      </c>
      <c r="F323" s="39" t="n">
        <v>0.219522522838616</v>
      </c>
      <c r="G323" s="39" t="n">
        <v>0.0300103524466023</v>
      </c>
      <c r="H323" s="39" t="n">
        <v>0.145902461954208</v>
      </c>
      <c r="I323" s="39" t="n">
        <v>0.0832612771499908</v>
      </c>
      <c r="J323" s="39" t="n">
        <v>0.259541656595093</v>
      </c>
      <c r="K323" s="38" t="n">
        <f aca="false">E323*Scorecard!$E$18+F323*Scorecard!$E$19+G323*Scorecard!$E$20+H323*Scorecard!$E$21+I323*Scorecard!$E$22+J323*Scorecard!$E$23</f>
        <v>3.54997603762261</v>
      </c>
      <c r="M323" s="0" t="str">
        <f aca="false">IF(AND(T323&gt;=U323,T323&gt;=V323),"A. Distribution",IF(U323&gt;=V323,"B. Manufacturing","C. Prof. services"))</f>
        <v>A. Distribution</v>
      </c>
      <c r="N323" s="39" t="n">
        <v>0.386555879948668</v>
      </c>
      <c r="O323" s="39" t="n">
        <v>0.135659803525469</v>
      </c>
      <c r="P323" s="39" t="n">
        <v>0.259643816449766</v>
      </c>
      <c r="Q323" s="39" t="n">
        <v>0.135248961245836</v>
      </c>
      <c r="R323" s="39" t="n">
        <v>0.0613801428415469</v>
      </c>
      <c r="S323" s="39" t="n">
        <v>0.0215113959887152</v>
      </c>
      <c r="T323" s="38" t="n">
        <f aca="false">N323*Scorecard!$C$18+O323*Scorecard!$C$19+P323*Scorecard!$C$20+Q323*Scorecard!$C$21+R323*Scorecard!$C$22+S323*Scorecard!$C$23</f>
        <v>4.04702853286907</v>
      </c>
      <c r="U323" s="38" t="n">
        <f aca="false">N323*Scorecard!$D$18+O323*Scorecard!$D$19+P323*Scorecard!$D$20+Q323*Scorecard!$D$21+R323*Scorecard!$D$22+S323*Scorecard!$D$23</f>
        <v>2.96461643857193</v>
      </c>
      <c r="V323" s="38" t="n">
        <f aca="false">N323*Scorecard!$E$18+O323*Scorecard!$E$19+P323*Scorecard!$E$20+Q323*Scorecard!$E$21+R323*Scorecard!$E$22+S323*Scorecard!$E$23</f>
        <v>3.50876863037652</v>
      </c>
    </row>
    <row r="324" customFormat="false" ht="15" hidden="false" customHeight="false" outlineLevel="0" collapsed="false">
      <c r="A324" s="0" t="n">
        <v>319</v>
      </c>
      <c r="B324" s="38" t="n">
        <f aca="false">E324*Scorecard!$C$18+F324*Scorecard!$C$19+G324*Scorecard!$C$20+H324*Scorecard!$C$21+I324*Scorecard!$C$22+J324*Scorecard!$C$23</f>
        <v>3.35069903752838</v>
      </c>
      <c r="C324" s="38" t="n">
        <f aca="false">E324*Scorecard!$D$18+F324*Scorecard!$D$19+G324*Scorecard!$D$20+H324*Scorecard!$D$21+I324*Scorecard!$D$22+J324*Scorecard!$D$23</f>
        <v>2.70312231799847</v>
      </c>
      <c r="D324" s="0" t="str">
        <f aca="false">IF(AND(B324&gt;=C324,B324&gt;=K324),"A. Distribution",IF(C324&gt;=K324,"B. Manufacturing","C. Prof. services"))</f>
        <v>C. Prof. services</v>
      </c>
      <c r="E324" s="39" t="n">
        <v>0.235466204182436</v>
      </c>
      <c r="F324" s="39" t="n">
        <v>0.0457824828271524</v>
      </c>
      <c r="G324" s="39" t="n">
        <v>0.0554760140356908</v>
      </c>
      <c r="H324" s="39" t="n">
        <v>0.065889882926712</v>
      </c>
      <c r="I324" s="39" t="n">
        <v>0.26284594086013</v>
      </c>
      <c r="J324" s="39" t="n">
        <v>0.334539475167879</v>
      </c>
      <c r="K324" s="38" t="n">
        <f aca="false">E324*Scorecard!$E$18+F324*Scorecard!$E$19+G324*Scorecard!$E$20+H324*Scorecard!$E$21+I324*Scorecard!$E$22+J324*Scorecard!$E$23</f>
        <v>3.5351711118899</v>
      </c>
      <c r="M324" s="0" t="str">
        <f aca="false">IF(AND(T324&gt;=U324,T324&gt;=V324),"A. Distribution",IF(U324&gt;=V324,"B. Manufacturing","C. Prof. services"))</f>
        <v>A. Distribution</v>
      </c>
      <c r="N324" s="39" t="n">
        <v>0.308412803473441</v>
      </c>
      <c r="O324" s="39" t="n">
        <v>0.191260200436825</v>
      </c>
      <c r="P324" s="39" t="n">
        <v>0.157919955059801</v>
      </c>
      <c r="Q324" s="39" t="n">
        <v>0.052727228459653</v>
      </c>
      <c r="R324" s="39" t="n">
        <v>0.240024234256399</v>
      </c>
      <c r="S324" s="39" t="n">
        <v>0.0496555783138819</v>
      </c>
      <c r="T324" s="38" t="n">
        <f aca="false">N324*Scorecard!$C$18+O324*Scorecard!$C$19+P324*Scorecard!$C$20+Q324*Scorecard!$C$21+R324*Scorecard!$C$22+S324*Scorecard!$C$23</f>
        <v>4.06150618561436</v>
      </c>
      <c r="U324" s="38" t="n">
        <f aca="false">N324*Scorecard!$D$18+O324*Scorecard!$D$19+P324*Scorecard!$D$20+Q324*Scorecard!$D$21+R324*Scorecard!$D$22+S324*Scorecard!$D$23</f>
        <v>3.03596084478776</v>
      </c>
      <c r="V324" s="38" t="n">
        <f aca="false">N324*Scorecard!$E$18+O324*Scorecard!$E$19+P324*Scorecard!$E$20+Q324*Scorecard!$E$21+R324*Scorecard!$E$22+S324*Scorecard!$E$23</f>
        <v>3.22469129655625</v>
      </c>
    </row>
    <row r="325" customFormat="false" ht="15" hidden="false" customHeight="false" outlineLevel="0" collapsed="false">
      <c r="A325" s="0" t="n">
        <v>320</v>
      </c>
      <c r="B325" s="38" t="n">
        <f aca="false">E325*Scorecard!$C$18+F325*Scorecard!$C$19+G325*Scorecard!$C$20+H325*Scorecard!$C$21+I325*Scorecard!$C$22+J325*Scorecard!$C$23</f>
        <v>4.08569189638213</v>
      </c>
      <c r="C325" s="38" t="n">
        <f aca="false">E325*Scorecard!$D$18+F325*Scorecard!$D$19+G325*Scorecard!$D$20+H325*Scorecard!$D$21+I325*Scorecard!$D$22+J325*Scorecard!$D$23</f>
        <v>2.42415362847462</v>
      </c>
      <c r="D325" s="0" t="str">
        <f aca="false">IF(AND(B325&gt;=C325,B325&gt;=K325),"A. Distribution",IF(C325&gt;=K325,"B. Manufacturing","C. Prof. services"))</f>
        <v>A. Distribution</v>
      </c>
      <c r="E325" s="39" t="n">
        <v>0.0244376770546931</v>
      </c>
      <c r="F325" s="39" t="n">
        <v>0.381942893199008</v>
      </c>
      <c r="G325" s="39" t="n">
        <v>0.250964252822008</v>
      </c>
      <c r="H325" s="39" t="n">
        <v>0.0156589475653276</v>
      </c>
      <c r="I325" s="39" t="n">
        <v>0.180695372446066</v>
      </c>
      <c r="J325" s="39" t="n">
        <v>0.146300856912897</v>
      </c>
      <c r="K325" s="38" t="n">
        <f aca="false">E325*Scorecard!$E$18+F325*Scorecard!$E$19+G325*Scorecard!$E$20+H325*Scorecard!$E$21+I325*Scorecard!$E$22+J325*Scorecard!$E$23</f>
        <v>3.29806351568256</v>
      </c>
      <c r="M325" s="0" t="str">
        <f aca="false">IF(AND(T325&gt;=U325,T325&gt;=V325),"A. Distribution",IF(U325&gt;=V325,"B. Manufacturing","C. Prof. services"))</f>
        <v>A. Distribution</v>
      </c>
      <c r="N325" s="39" t="n">
        <v>0.185767968134401</v>
      </c>
      <c r="O325" s="39" t="n">
        <v>0.170717612023231</v>
      </c>
      <c r="P325" s="39" t="n">
        <v>0.342368090465824</v>
      </c>
      <c r="Q325" s="39" t="n">
        <v>0.119112398723218</v>
      </c>
      <c r="R325" s="39" t="n">
        <v>0.0916975384546639</v>
      </c>
      <c r="S325" s="39" t="n">
        <v>0.0903363921986616</v>
      </c>
      <c r="T325" s="38" t="n">
        <f aca="false">N325*Scorecard!$C$18+O325*Scorecard!$C$19+P325*Scorecard!$C$20+Q325*Scorecard!$C$21+R325*Scorecard!$C$22+S325*Scorecard!$C$23</f>
        <v>3.96229568629352</v>
      </c>
      <c r="U325" s="38" t="n">
        <f aca="false">N325*Scorecard!$D$18+O325*Scorecard!$D$19+P325*Scorecard!$D$20+Q325*Scorecard!$D$21+R325*Scorecard!$D$22+S325*Scorecard!$D$23</f>
        <v>2.57822437969579</v>
      </c>
      <c r="V325" s="38" t="n">
        <f aca="false">N325*Scorecard!$E$18+O325*Scorecard!$E$19+P325*Scorecard!$E$20+Q325*Scorecard!$E$21+R325*Scorecard!$E$22+S325*Scorecard!$E$23</f>
        <v>3.55641422284759</v>
      </c>
    </row>
    <row r="326" customFormat="false" ht="15" hidden="false" customHeight="false" outlineLevel="0" collapsed="false">
      <c r="A326" s="0" t="n">
        <v>321</v>
      </c>
      <c r="B326" s="38" t="n">
        <f aca="false">E326*Scorecard!$C$18+F326*Scorecard!$C$19+G326*Scorecard!$C$20+H326*Scorecard!$C$21+I326*Scorecard!$C$22+J326*Scorecard!$C$23</f>
        <v>3.64782998476162</v>
      </c>
      <c r="C326" s="38" t="n">
        <f aca="false">E326*Scorecard!$D$18+F326*Scorecard!$D$19+G326*Scorecard!$D$20+H326*Scorecard!$D$21+I326*Scorecard!$D$22+J326*Scorecard!$D$23</f>
        <v>2.53339449778914</v>
      </c>
      <c r="D326" s="0" t="str">
        <f aca="false">IF(AND(B326&gt;=C326,B326&gt;=K326),"A. Distribution",IF(C326&gt;=K326,"B. Manufacturing","C. Prof. services"))</f>
        <v>C. Prof. services</v>
      </c>
      <c r="E326" s="39" t="n">
        <v>0.209212735639061</v>
      </c>
      <c r="F326" s="39" t="n">
        <v>0.0228227207871057</v>
      </c>
      <c r="G326" s="39" t="n">
        <v>0.293585318699377</v>
      </c>
      <c r="H326" s="39" t="n">
        <v>0.21878612915788</v>
      </c>
      <c r="I326" s="39" t="n">
        <v>0.0882824021914873</v>
      </c>
      <c r="J326" s="39" t="n">
        <v>0.167310693525089</v>
      </c>
      <c r="K326" s="38" t="n">
        <f aca="false">E326*Scorecard!$E$18+F326*Scorecard!$E$19+G326*Scorecard!$E$20+H326*Scorecard!$E$21+I326*Scorecard!$E$22+J326*Scorecard!$E$23</f>
        <v>3.73306635560027</v>
      </c>
      <c r="M326" s="0" t="str">
        <f aca="false">IF(AND(T326&gt;=U326,T326&gt;=V326),"A. Distribution",IF(U326&gt;=V326,"B. Manufacturing","C. Prof. services"))</f>
        <v>A. Distribution</v>
      </c>
      <c r="N326" s="39" t="n">
        <v>0.183147485683453</v>
      </c>
      <c r="O326" s="39" t="n">
        <v>0.421946566650359</v>
      </c>
      <c r="P326" s="39" t="n">
        <v>0.154116736497626</v>
      </c>
      <c r="Q326" s="39" t="n">
        <v>0.0591260113851717</v>
      </c>
      <c r="R326" s="39" t="n">
        <v>0.0954637525645119</v>
      </c>
      <c r="S326" s="39" t="n">
        <v>0.0861994472188787</v>
      </c>
      <c r="T326" s="38" t="n">
        <f aca="false">N326*Scorecard!$C$18+O326*Scorecard!$C$19+P326*Scorecard!$C$20+Q326*Scorecard!$C$21+R326*Scorecard!$C$22+S326*Scorecard!$C$23</f>
        <v>4.22847248939279</v>
      </c>
      <c r="U326" s="38" t="n">
        <f aca="false">N326*Scorecard!$D$18+O326*Scorecard!$D$19+P326*Scorecard!$D$20+Q326*Scorecard!$D$21+R326*Scorecard!$D$22+S326*Scorecard!$D$23</f>
        <v>2.69558593240984</v>
      </c>
      <c r="V326" s="38" t="n">
        <f aca="false">N326*Scorecard!$E$18+O326*Scorecard!$E$19+P326*Scorecard!$E$20+Q326*Scorecard!$E$21+R326*Scorecard!$E$22+S326*Scorecard!$E$23</f>
        <v>3.26867530829637</v>
      </c>
    </row>
    <row r="327" customFormat="false" ht="15" hidden="false" customHeight="false" outlineLevel="0" collapsed="false">
      <c r="A327" s="0" t="n">
        <v>322</v>
      </c>
      <c r="B327" s="38" t="n">
        <f aca="false">E327*Scorecard!$C$18+F327*Scorecard!$C$19+G327*Scorecard!$C$20+H327*Scorecard!$C$21+I327*Scorecard!$C$22+J327*Scorecard!$C$23</f>
        <v>3.34820383959026</v>
      </c>
      <c r="C327" s="38" t="n">
        <f aca="false">E327*Scorecard!$D$18+F327*Scorecard!$D$19+G327*Scorecard!$D$20+H327*Scorecard!$D$21+I327*Scorecard!$D$22+J327*Scorecard!$D$23</f>
        <v>2.51451687237805</v>
      </c>
      <c r="D327" s="0" t="str">
        <f aca="false">IF(AND(B327&gt;=C327,B327&gt;=K327),"A. Distribution",IF(C327&gt;=K327,"B. Manufacturing","C. Prof. services"))</f>
        <v>C. Prof. services</v>
      </c>
      <c r="E327" s="39" t="n">
        <v>0.228824529393629</v>
      </c>
      <c r="F327" s="39" t="n">
        <v>0.00733179984709352</v>
      </c>
      <c r="G327" s="39" t="n">
        <v>0.0852060734072688</v>
      </c>
      <c r="H327" s="39" t="n">
        <v>0.286368196616158</v>
      </c>
      <c r="I327" s="39" t="n">
        <v>0.0873193826134593</v>
      </c>
      <c r="J327" s="39" t="n">
        <v>0.304950018122392</v>
      </c>
      <c r="K327" s="38" t="n">
        <f aca="false">E327*Scorecard!$E$18+F327*Scorecard!$E$19+G327*Scorecard!$E$20+H327*Scorecard!$E$21+I327*Scorecard!$E$22+J327*Scorecard!$E$23</f>
        <v>3.79009885286495</v>
      </c>
      <c r="M327" s="0" t="str">
        <f aca="false">IF(AND(T327&gt;=U327,T327&gt;=V327),"A. Distribution",IF(U327&gt;=V327,"B. Manufacturing","C. Prof. services"))</f>
        <v>A. Distribution</v>
      </c>
      <c r="N327" s="39" t="n">
        <v>0.224674753789493</v>
      </c>
      <c r="O327" s="39" t="n">
        <v>0.0858110041924187</v>
      </c>
      <c r="P327" s="39" t="n">
        <v>0.151062703893722</v>
      </c>
      <c r="Q327" s="39" t="n">
        <v>0.30968072652189</v>
      </c>
      <c r="R327" s="39" t="n">
        <v>0.0839850006902798</v>
      </c>
      <c r="S327" s="39" t="n">
        <v>0.144785810912197</v>
      </c>
      <c r="T327" s="38" t="n">
        <f aca="false">N327*Scorecard!$C$18+O327*Scorecard!$C$19+P327*Scorecard!$C$20+Q327*Scorecard!$C$21+R327*Scorecard!$C$22+S327*Scorecard!$C$23</f>
        <v>3.74483269166591</v>
      </c>
      <c r="U327" s="38" t="n">
        <f aca="false">N327*Scorecard!$D$18+O327*Scorecard!$D$19+P327*Scorecard!$D$20+Q327*Scorecard!$D$21+R327*Scorecard!$D$22+S327*Scorecard!$D$23</f>
        <v>2.6301502998499</v>
      </c>
      <c r="V327" s="38" t="n">
        <f aca="false">N327*Scorecard!$E$18+O327*Scorecard!$E$19+P327*Scorecard!$E$20+Q327*Scorecard!$E$21+R327*Scorecard!$E$22+S327*Scorecard!$E$23</f>
        <v>3.6162086282252</v>
      </c>
    </row>
    <row r="328" customFormat="false" ht="15" hidden="false" customHeight="false" outlineLevel="0" collapsed="false">
      <c r="A328" s="0" t="n">
        <v>323</v>
      </c>
      <c r="B328" s="38" t="n">
        <f aca="false">E328*Scorecard!$C$18+F328*Scorecard!$C$19+G328*Scorecard!$C$20+H328*Scorecard!$C$21+I328*Scorecard!$C$22+J328*Scorecard!$C$23</f>
        <v>4.12612851951219</v>
      </c>
      <c r="C328" s="38" t="n">
        <f aca="false">E328*Scorecard!$D$18+F328*Scorecard!$D$19+G328*Scorecard!$D$20+H328*Scorecard!$D$21+I328*Scorecard!$D$22+J328*Scorecard!$D$23</f>
        <v>2.50950489798997</v>
      </c>
      <c r="D328" s="0" t="str">
        <f aca="false">IF(AND(B328&gt;=C328,B328&gt;=K328),"A. Distribution",IF(C328&gt;=K328,"B. Manufacturing","C. Prof. services"))</f>
        <v>A. Distribution</v>
      </c>
      <c r="E328" s="39" t="n">
        <v>0.0269299303924706</v>
      </c>
      <c r="F328" s="39" t="n">
        <v>0.221832951243761</v>
      </c>
      <c r="G328" s="39" t="n">
        <v>0.417576173004814</v>
      </c>
      <c r="H328" s="39" t="n">
        <v>0.0229652384209095</v>
      </c>
      <c r="I328" s="39" t="n">
        <v>0.265161808618888</v>
      </c>
      <c r="J328" s="39" t="n">
        <v>0.0455338983191578</v>
      </c>
      <c r="K328" s="38" t="n">
        <f aca="false">E328*Scorecard!$E$18+F328*Scorecard!$E$19+G328*Scorecard!$E$20+H328*Scorecard!$E$21+I328*Scorecard!$E$22+J328*Scorecard!$E$23</f>
        <v>3.29466230639146</v>
      </c>
      <c r="M328" s="0" t="str">
        <f aca="false">IF(AND(T328&gt;=U328,T328&gt;=V328),"A. Distribution",IF(U328&gt;=V328,"B. Manufacturing","C. Prof. services"))</f>
        <v>A. Distribution</v>
      </c>
      <c r="N328" s="39" t="n">
        <v>0.201125092146463</v>
      </c>
      <c r="O328" s="39" t="n">
        <v>0.234352059444555</v>
      </c>
      <c r="P328" s="39" t="n">
        <v>0.113194954285242</v>
      </c>
      <c r="Q328" s="39" t="n">
        <v>0.151225652627963</v>
      </c>
      <c r="R328" s="39" t="n">
        <v>0.192898835101268</v>
      </c>
      <c r="S328" s="39" t="n">
        <v>0.10720340639451</v>
      </c>
      <c r="T328" s="38" t="n">
        <f aca="false">N328*Scorecard!$C$18+O328*Scorecard!$C$19+P328*Scorecard!$C$20+Q328*Scorecard!$C$21+R328*Scorecard!$C$22+S328*Scorecard!$C$23</f>
        <v>3.98750290945894</v>
      </c>
      <c r="U328" s="38" t="n">
        <f aca="false">N328*Scorecard!$D$18+O328*Scorecard!$D$19+P328*Scorecard!$D$20+Q328*Scorecard!$D$21+R328*Scorecard!$D$22+S328*Scorecard!$D$23</f>
        <v>2.7788956330159</v>
      </c>
      <c r="V328" s="38" t="n">
        <f aca="false">N328*Scorecard!$E$18+O328*Scorecard!$E$19+P328*Scorecard!$E$20+Q328*Scorecard!$E$21+R328*Scorecard!$E$22+S328*Scorecard!$E$23</f>
        <v>3.3019237302645</v>
      </c>
    </row>
    <row r="329" customFormat="false" ht="15" hidden="false" customHeight="false" outlineLevel="0" collapsed="false">
      <c r="A329" s="0" t="n">
        <v>324</v>
      </c>
      <c r="B329" s="38" t="n">
        <f aca="false">E329*Scorecard!$C$18+F329*Scorecard!$C$19+G329*Scorecard!$C$20+H329*Scorecard!$C$21+I329*Scorecard!$C$22+J329*Scorecard!$C$23</f>
        <v>3.3907975105443</v>
      </c>
      <c r="C329" s="38" t="n">
        <f aca="false">E329*Scorecard!$D$18+F329*Scorecard!$D$19+G329*Scorecard!$D$20+H329*Scorecard!$D$21+I329*Scorecard!$D$22+J329*Scorecard!$D$23</f>
        <v>2.26926481042986</v>
      </c>
      <c r="D329" s="0" t="str">
        <f aca="false">IF(AND(B329&gt;=C329,B329&gt;=K329),"A. Distribution",IF(C329&gt;=K329,"B. Manufacturing","C. Prof. services"))</f>
        <v>C. Prof. services</v>
      </c>
      <c r="E329" s="39" t="n">
        <v>0.0783075905648811</v>
      </c>
      <c r="F329" s="39" t="n">
        <v>0.0661095544790619</v>
      </c>
      <c r="G329" s="39" t="n">
        <v>0.332182227924798</v>
      </c>
      <c r="H329" s="39" t="n">
        <v>0.00933031412047584</v>
      </c>
      <c r="I329" s="39" t="n">
        <v>0.180060496183019</v>
      </c>
      <c r="J329" s="39" t="n">
        <v>0.334009816727764</v>
      </c>
      <c r="K329" s="38" t="n">
        <f aca="false">E329*Scorecard!$E$18+F329*Scorecard!$E$19+G329*Scorecard!$E$20+H329*Scorecard!$E$21+I329*Scorecard!$E$22+J329*Scorecard!$E$23</f>
        <v>3.74566400838758</v>
      </c>
      <c r="M329" s="0" t="str">
        <f aca="false">IF(AND(T329&gt;=U329,T329&gt;=V329),"A. Distribution",IF(U329&gt;=V329,"B. Manufacturing","C. Prof. services"))</f>
        <v>A. Distribution</v>
      </c>
      <c r="N329" s="39" t="n">
        <v>0.19724894039977</v>
      </c>
      <c r="O329" s="39" t="n">
        <v>0.27020184308344</v>
      </c>
      <c r="P329" s="39" t="n">
        <v>0.116036542679176</v>
      </c>
      <c r="Q329" s="39" t="n">
        <v>0.180802920596627</v>
      </c>
      <c r="R329" s="39" t="n">
        <v>0.0437007013436217</v>
      </c>
      <c r="S329" s="39" t="n">
        <v>0.192009051897365</v>
      </c>
      <c r="T329" s="38" t="n">
        <f aca="false">N329*Scorecard!$C$18+O329*Scorecard!$C$19+P329*Scorecard!$C$20+Q329*Scorecard!$C$21+R329*Scorecard!$C$22+S329*Scorecard!$C$23</f>
        <v>3.85086563782338</v>
      </c>
      <c r="U329" s="38" t="n">
        <f aca="false">N329*Scorecard!$D$18+O329*Scorecard!$D$19+P329*Scorecard!$D$20+Q329*Scorecard!$D$21+R329*Scorecard!$D$22+S329*Scorecard!$D$23</f>
        <v>2.55736273033409</v>
      </c>
      <c r="V329" s="38" t="n">
        <f aca="false">N329*Scorecard!$E$18+O329*Scorecard!$E$19+P329*Scorecard!$E$20+Q329*Scorecard!$E$21+R329*Scorecard!$E$22+S329*Scorecard!$E$23</f>
        <v>3.54240367052034</v>
      </c>
    </row>
    <row r="330" customFormat="false" ht="15" hidden="false" customHeight="false" outlineLevel="0" collapsed="false">
      <c r="A330" s="0" t="n">
        <v>325</v>
      </c>
      <c r="B330" s="38" t="n">
        <f aca="false">E330*Scorecard!$C$18+F330*Scorecard!$C$19+G330*Scorecard!$C$20+H330*Scorecard!$C$21+I330*Scorecard!$C$22+J330*Scorecard!$C$23</f>
        <v>3.22443301735242</v>
      </c>
      <c r="C330" s="38" t="n">
        <f aca="false">E330*Scorecard!$D$18+F330*Scorecard!$D$19+G330*Scorecard!$D$20+H330*Scorecard!$D$21+I330*Scorecard!$D$22+J330*Scorecard!$D$23</f>
        <v>2.39619604338949</v>
      </c>
      <c r="D330" s="0" t="str">
        <f aca="false">IF(AND(B330&gt;=C330,B330&gt;=K330),"A. Distribution",IF(C330&gt;=K330,"B. Manufacturing","C. Prof. services"))</f>
        <v>C. Prof. services</v>
      </c>
      <c r="E330" s="39" t="n">
        <v>0.203632765050117</v>
      </c>
      <c r="F330" s="39" t="n">
        <v>0.0804791424968048</v>
      </c>
      <c r="G330" s="39" t="n">
        <v>0.132883678527266</v>
      </c>
      <c r="H330" s="39" t="n">
        <v>0.0701194720871837</v>
      </c>
      <c r="I330" s="39" t="n">
        <v>0.0968140950725475</v>
      </c>
      <c r="J330" s="39" t="n">
        <v>0.416070846766082</v>
      </c>
      <c r="K330" s="38" t="n">
        <f aca="false">E330*Scorecard!$E$18+F330*Scorecard!$E$19+G330*Scorecard!$E$20+H330*Scorecard!$E$21+I330*Scorecard!$E$22+J330*Scorecard!$E$23</f>
        <v>3.82571838458498</v>
      </c>
      <c r="M330" s="0" t="str">
        <f aca="false">IF(AND(T330&gt;=U330,T330&gt;=V330),"A. Distribution",IF(U330&gt;=V330,"B. Manufacturing","C. Prof. services"))</f>
        <v>A. Distribution</v>
      </c>
      <c r="N330" s="39" t="n">
        <v>0.207885992366314</v>
      </c>
      <c r="O330" s="39" t="n">
        <v>0.30617549470113</v>
      </c>
      <c r="P330" s="39" t="n">
        <v>0.0510650313018692</v>
      </c>
      <c r="Q330" s="39" t="n">
        <v>0.220621784423809</v>
      </c>
      <c r="R330" s="39" t="n">
        <v>0.108830130892191</v>
      </c>
      <c r="S330" s="39" t="n">
        <v>0.105421566314687</v>
      </c>
      <c r="T330" s="38" t="n">
        <f aca="false">N330*Scorecard!$C$18+O330*Scorecard!$C$19+P330*Scorecard!$C$20+Q330*Scorecard!$C$21+R330*Scorecard!$C$22+S330*Scorecard!$C$23</f>
        <v>4.05486974009882</v>
      </c>
      <c r="U330" s="38" t="n">
        <f aca="false">N330*Scorecard!$D$18+O330*Scorecard!$D$19+P330*Scorecard!$D$20+Q330*Scorecard!$D$21+R330*Scorecard!$D$22+S330*Scorecard!$D$23</f>
        <v>2.7397132615378</v>
      </c>
      <c r="V330" s="38" t="n">
        <f aca="false">N330*Scorecard!$E$18+O330*Scorecard!$E$19+P330*Scorecard!$E$20+Q330*Scorecard!$E$21+R330*Scorecard!$E$22+S330*Scorecard!$E$23</f>
        <v>3.32921284131048</v>
      </c>
    </row>
    <row r="331" customFormat="false" ht="15" hidden="false" customHeight="false" outlineLevel="0" collapsed="false">
      <c r="A331" s="0" t="n">
        <v>326</v>
      </c>
      <c r="B331" s="38" t="n">
        <f aca="false">E331*Scorecard!$C$18+F331*Scorecard!$C$19+G331*Scorecard!$C$20+H331*Scorecard!$C$21+I331*Scorecard!$C$22+J331*Scorecard!$C$23</f>
        <v>3.71750469774715</v>
      </c>
      <c r="C331" s="38" t="n">
        <f aca="false">E331*Scorecard!$D$18+F331*Scorecard!$D$19+G331*Scorecard!$D$20+H331*Scorecard!$D$21+I331*Scorecard!$D$22+J331*Scorecard!$D$23</f>
        <v>2.52277181467167</v>
      </c>
      <c r="D331" s="0" t="str">
        <f aca="false">IF(AND(B331&gt;=C331,B331&gt;=K331),"A. Distribution",IF(C331&gt;=K331,"B. Manufacturing","C. Prof. services"))</f>
        <v>A. Distribution</v>
      </c>
      <c r="E331" s="39" t="n">
        <v>0.126329712445663</v>
      </c>
      <c r="F331" s="39" t="n">
        <v>0.322579169208718</v>
      </c>
      <c r="G331" s="39" t="n">
        <v>0.0653288578291435</v>
      </c>
      <c r="H331" s="39" t="n">
        <v>0.00643761820532724</v>
      </c>
      <c r="I331" s="39" t="n">
        <v>0.182205537550394</v>
      </c>
      <c r="J331" s="39" t="n">
        <v>0.297119104760753</v>
      </c>
      <c r="K331" s="38" t="n">
        <f aca="false">E331*Scorecard!$E$18+F331*Scorecard!$E$19+G331*Scorecard!$E$20+H331*Scorecard!$E$21+I331*Scorecard!$E$22+J331*Scorecard!$E$23</f>
        <v>3.39399017153434</v>
      </c>
      <c r="M331" s="0" t="str">
        <f aca="false">IF(AND(T331&gt;=U331,T331&gt;=V331),"A. Distribution",IF(U331&gt;=V331,"B. Manufacturing","C. Prof. services"))</f>
        <v>A. Distribution</v>
      </c>
      <c r="N331" s="39" t="n">
        <v>0.222976751811073</v>
      </c>
      <c r="O331" s="39" t="n">
        <v>0.165244475214843</v>
      </c>
      <c r="P331" s="39" t="n">
        <v>0.21192757576207</v>
      </c>
      <c r="Q331" s="39" t="n">
        <v>0.10621650995041</v>
      </c>
      <c r="R331" s="39" t="n">
        <v>0.220979742183575</v>
      </c>
      <c r="S331" s="39" t="n">
        <v>0.0726549450780308</v>
      </c>
      <c r="T331" s="38" t="n">
        <f aca="false">N331*Scorecard!$C$18+O331*Scorecard!$C$19+P331*Scorecard!$C$20+Q331*Scorecard!$C$21+R331*Scorecard!$C$22+S331*Scorecard!$C$23</f>
        <v>3.99058761018321</v>
      </c>
      <c r="U331" s="38" t="n">
        <f aca="false">N331*Scorecard!$D$18+O331*Scorecard!$D$19+P331*Scorecard!$D$20+Q331*Scorecard!$D$21+R331*Scorecard!$D$22+S331*Scorecard!$D$23</f>
        <v>2.828053757912</v>
      </c>
      <c r="V331" s="38" t="n">
        <f aca="false">N331*Scorecard!$E$18+O331*Scorecard!$E$19+P331*Scorecard!$E$20+Q331*Scorecard!$E$21+R331*Scorecard!$E$22+S331*Scorecard!$E$23</f>
        <v>3.32425507839753</v>
      </c>
    </row>
    <row r="332" customFormat="false" ht="15" hidden="false" customHeight="false" outlineLevel="0" collapsed="false">
      <c r="A332" s="0" t="n">
        <v>327</v>
      </c>
      <c r="B332" s="38" t="n">
        <f aca="false">E332*Scorecard!$C$18+F332*Scorecard!$C$19+G332*Scorecard!$C$20+H332*Scorecard!$C$21+I332*Scorecard!$C$22+J332*Scorecard!$C$23</f>
        <v>4.33542674597247</v>
      </c>
      <c r="C332" s="38" t="n">
        <f aca="false">E332*Scorecard!$D$18+F332*Scorecard!$D$19+G332*Scorecard!$D$20+H332*Scorecard!$D$21+I332*Scorecard!$D$22+J332*Scorecard!$D$23</f>
        <v>2.73887705947429</v>
      </c>
      <c r="D332" s="0" t="str">
        <f aca="false">IF(AND(B332&gt;=C332,B332&gt;=K332),"A. Distribution",IF(C332&gt;=K332,"B. Manufacturing","C. Prof. services"))</f>
        <v>A. Distribution</v>
      </c>
      <c r="E332" s="39" t="n">
        <v>0.0380065713157395</v>
      </c>
      <c r="F332" s="39" t="n">
        <v>0.430289177372832</v>
      </c>
      <c r="G332" s="39" t="n">
        <v>0.0466222092977242</v>
      </c>
      <c r="H332" s="39" t="n">
        <v>0.136480201601153</v>
      </c>
      <c r="I332" s="39" t="n">
        <v>0.310049248077155</v>
      </c>
      <c r="J332" s="39" t="n">
        <v>0.0385525923353967</v>
      </c>
      <c r="K332" s="38" t="n">
        <f aca="false">E332*Scorecard!$E$18+F332*Scorecard!$E$19+G332*Scorecard!$E$20+H332*Scorecard!$E$21+I332*Scorecard!$E$22+J332*Scorecard!$E$23</f>
        <v>2.92449910051019</v>
      </c>
      <c r="M332" s="0" t="str">
        <f aca="false">IF(AND(T332&gt;=U332,T332&gt;=V332),"A. Distribution",IF(U332&gt;=V332,"B. Manufacturing","C. Prof. services"))</f>
        <v>A. Distribution</v>
      </c>
      <c r="N332" s="39" t="n">
        <v>0.209525808568635</v>
      </c>
      <c r="O332" s="39" t="n">
        <v>0.211191351008591</v>
      </c>
      <c r="P332" s="39" t="n">
        <v>0.221193057792819</v>
      </c>
      <c r="Q332" s="39" t="n">
        <v>0.0811559263110025</v>
      </c>
      <c r="R332" s="39" t="n">
        <v>0.0978194203492777</v>
      </c>
      <c r="S332" s="39" t="n">
        <v>0.179114435969675</v>
      </c>
      <c r="T332" s="38" t="n">
        <f aca="false">N332*Scorecard!$C$18+O332*Scorecard!$C$19+P332*Scorecard!$C$20+Q332*Scorecard!$C$21+R332*Scorecard!$C$22+S332*Scorecard!$C$23</f>
        <v>3.82739572959771</v>
      </c>
      <c r="U332" s="38" t="n">
        <f aca="false">N332*Scorecard!$D$18+O332*Scorecard!$D$19+P332*Scorecard!$D$20+Q332*Scorecard!$D$21+R332*Scorecard!$D$22+S332*Scorecard!$D$23</f>
        <v>2.60041773695303</v>
      </c>
      <c r="V332" s="38" t="n">
        <f aca="false">N332*Scorecard!$E$18+O332*Scorecard!$E$19+P332*Scorecard!$E$20+Q332*Scorecard!$E$21+R332*Scorecard!$E$22+S332*Scorecard!$E$23</f>
        <v>3.54275258930152</v>
      </c>
    </row>
    <row r="333" customFormat="false" ht="15" hidden="false" customHeight="false" outlineLevel="0" collapsed="false">
      <c r="A333" s="0" t="n">
        <v>328</v>
      </c>
      <c r="B333" s="38" t="n">
        <f aca="false">E333*Scorecard!$C$18+F333*Scorecard!$C$19+G333*Scorecard!$C$20+H333*Scorecard!$C$21+I333*Scorecard!$C$22+J333*Scorecard!$C$23</f>
        <v>3.45744026792402</v>
      </c>
      <c r="C333" s="38" t="n">
        <f aca="false">E333*Scorecard!$D$18+F333*Scorecard!$D$19+G333*Scorecard!$D$20+H333*Scorecard!$D$21+I333*Scorecard!$D$22+J333*Scorecard!$D$23</f>
        <v>2.40720853157656</v>
      </c>
      <c r="D333" s="0" t="str">
        <f aca="false">IF(AND(B333&gt;=C333,B333&gt;=K333),"A. Distribution",IF(C333&gt;=K333,"B. Manufacturing","C. Prof. services"))</f>
        <v>C. Prof. services</v>
      </c>
      <c r="E333" s="39" t="n">
        <v>0.202129072727933</v>
      </c>
      <c r="F333" s="39" t="n">
        <v>0.157680831740621</v>
      </c>
      <c r="G333" s="39" t="n">
        <v>0.222174479650859</v>
      </c>
      <c r="H333" s="39" t="n">
        <v>0.0166065125356629</v>
      </c>
      <c r="I333" s="39" t="n">
        <v>0.0602976475448959</v>
      </c>
      <c r="J333" s="39" t="n">
        <v>0.341111455800028</v>
      </c>
      <c r="K333" s="38" t="n">
        <f aca="false">E333*Scorecard!$E$18+F333*Scorecard!$E$19+G333*Scorecard!$E$20+H333*Scorecard!$E$21+I333*Scorecard!$E$22+J333*Scorecard!$E$23</f>
        <v>3.77506699916645</v>
      </c>
      <c r="M333" s="0" t="str">
        <f aca="false">IF(AND(T333&gt;=U333,T333&gt;=V333),"A. Distribution",IF(U333&gt;=V333,"B. Manufacturing","C. Prof. services"))</f>
        <v>A. Distribution</v>
      </c>
      <c r="N333" s="39" t="n">
        <v>0.252145401322215</v>
      </c>
      <c r="O333" s="39" t="n">
        <v>0.24545300754652</v>
      </c>
      <c r="P333" s="39" t="n">
        <v>0.218513027851644</v>
      </c>
      <c r="Q333" s="39" t="n">
        <v>0.103042146656269</v>
      </c>
      <c r="R333" s="39" t="n">
        <v>0.097692056335202</v>
      </c>
      <c r="S333" s="39" t="n">
        <v>0.0831543602881512</v>
      </c>
      <c r="T333" s="38" t="n">
        <f aca="false">N333*Scorecard!$C$18+O333*Scorecard!$C$19+P333*Scorecard!$C$20+Q333*Scorecard!$C$21+R333*Scorecard!$C$22+S333*Scorecard!$C$23</f>
        <v>4.04779749489388</v>
      </c>
      <c r="U333" s="38" t="n">
        <f aca="false">N333*Scorecard!$D$18+O333*Scorecard!$D$19+P333*Scorecard!$D$20+Q333*Scorecard!$D$21+R333*Scorecard!$D$22+S333*Scorecard!$D$23</f>
        <v>2.75901059446154</v>
      </c>
      <c r="V333" s="38" t="n">
        <f aca="false">N333*Scorecard!$E$18+O333*Scorecard!$E$19+P333*Scorecard!$E$20+Q333*Scorecard!$E$21+R333*Scorecard!$E$22+S333*Scorecard!$E$23</f>
        <v>3.4255595762567</v>
      </c>
    </row>
    <row r="334" customFormat="false" ht="15" hidden="false" customHeight="false" outlineLevel="0" collapsed="false">
      <c r="A334" s="0" t="n">
        <v>329</v>
      </c>
      <c r="B334" s="38" t="n">
        <f aca="false">E334*Scorecard!$C$18+F334*Scorecard!$C$19+G334*Scorecard!$C$20+H334*Scorecard!$C$21+I334*Scorecard!$C$22+J334*Scorecard!$C$23</f>
        <v>3.73613797405963</v>
      </c>
      <c r="C334" s="38" t="n">
        <f aca="false">E334*Scorecard!$D$18+F334*Scorecard!$D$19+G334*Scorecard!$D$20+H334*Scorecard!$D$21+I334*Scorecard!$D$22+J334*Scorecard!$D$23</f>
        <v>2.09738182515322</v>
      </c>
      <c r="D334" s="0" t="str">
        <f aca="false">IF(AND(B334&gt;=C334,B334&gt;=K334),"A. Distribution",IF(C334&gt;=K334,"B. Manufacturing","C. Prof. services"))</f>
        <v>A. Distribution</v>
      </c>
      <c r="E334" s="39" t="n">
        <v>0.0049142048427978</v>
      </c>
      <c r="F334" s="39" t="n">
        <v>0.360004901704508</v>
      </c>
      <c r="G334" s="39" t="n">
        <v>0.269740408436348</v>
      </c>
      <c r="H334" s="39" t="n">
        <v>0.0200596399731072</v>
      </c>
      <c r="I334" s="39" t="n">
        <v>0.0346253730313994</v>
      </c>
      <c r="J334" s="39" t="n">
        <v>0.310655472011839</v>
      </c>
      <c r="K334" s="38" t="n">
        <f aca="false">E334*Scorecard!$E$18+F334*Scorecard!$E$19+G334*Scorecard!$E$20+H334*Scorecard!$E$21+I334*Scorecard!$E$22+J334*Scorecard!$E$23</f>
        <v>3.65824313864183</v>
      </c>
      <c r="M334" s="0" t="str">
        <f aca="false">IF(AND(T334&gt;=U334,T334&gt;=V334),"A. Distribution",IF(U334&gt;=V334,"B. Manufacturing","C. Prof. services"))</f>
        <v>A. Distribution</v>
      </c>
      <c r="N334" s="39" t="n">
        <v>0.272590926850798</v>
      </c>
      <c r="O334" s="39" t="n">
        <v>0.189113599158029</v>
      </c>
      <c r="P334" s="39" t="n">
        <v>0.11095313493234</v>
      </c>
      <c r="Q334" s="39" t="n">
        <v>0.0566413449580644</v>
      </c>
      <c r="R334" s="39" t="n">
        <v>0.189173892622787</v>
      </c>
      <c r="S334" s="39" t="n">
        <v>0.181527101477982</v>
      </c>
      <c r="T334" s="38" t="n">
        <f aca="false">N334*Scorecard!$C$18+O334*Scorecard!$C$19+P334*Scorecard!$C$20+Q334*Scorecard!$C$21+R334*Scorecard!$C$22+S334*Scorecard!$C$23</f>
        <v>3.79807081249343</v>
      </c>
      <c r="U334" s="38" t="n">
        <f aca="false">N334*Scorecard!$D$18+O334*Scorecard!$D$19+P334*Scorecard!$D$20+Q334*Scorecard!$D$21+R334*Scorecard!$D$22+S334*Scorecard!$D$23</f>
        <v>2.82975359302361</v>
      </c>
      <c r="V334" s="38" t="n">
        <f aca="false">N334*Scorecard!$E$18+O334*Scorecard!$E$19+P334*Scorecard!$E$20+Q334*Scorecard!$E$21+R334*Scorecard!$E$22+S334*Scorecard!$E$23</f>
        <v>3.39457613396246</v>
      </c>
    </row>
    <row r="335" customFormat="false" ht="15" hidden="false" customHeight="false" outlineLevel="0" collapsed="false">
      <c r="A335" s="0" t="n">
        <v>330</v>
      </c>
      <c r="B335" s="38" t="n">
        <f aca="false">E335*Scorecard!$C$18+F335*Scorecard!$C$19+G335*Scorecard!$C$20+H335*Scorecard!$C$21+I335*Scorecard!$C$22+J335*Scorecard!$C$23</f>
        <v>3.7965295936999</v>
      </c>
      <c r="C335" s="38" t="n">
        <f aca="false">E335*Scorecard!$D$18+F335*Scorecard!$D$19+G335*Scorecard!$D$20+H335*Scorecard!$D$21+I335*Scorecard!$D$22+J335*Scorecard!$D$23</f>
        <v>2.69213763413967</v>
      </c>
      <c r="D335" s="0" t="str">
        <f aca="false">IF(AND(B335&gt;=C335,B335&gt;=K335),"A. Distribution",IF(C335&gt;=K335,"B. Manufacturing","C. Prof. services"))</f>
        <v>A. Distribution</v>
      </c>
      <c r="E335" s="39" t="n">
        <v>0.215456968119257</v>
      </c>
      <c r="F335" s="39" t="n">
        <v>0.178977293339445</v>
      </c>
      <c r="G335" s="39" t="n">
        <v>0.1015403010023</v>
      </c>
      <c r="H335" s="39" t="n">
        <v>0.186712117233535</v>
      </c>
      <c r="I335" s="39" t="n">
        <v>0.144797812804601</v>
      </c>
      <c r="J335" s="39" t="n">
        <v>0.172515507500863</v>
      </c>
      <c r="K335" s="38" t="n">
        <f aca="false">E335*Scorecard!$E$18+F335*Scorecard!$E$19+G335*Scorecard!$E$20+H335*Scorecard!$E$21+I335*Scorecard!$E$22+J335*Scorecard!$E$23</f>
        <v>3.46217304815658</v>
      </c>
      <c r="M335" s="0" t="str">
        <f aca="false">IF(AND(T335&gt;=U335,T335&gt;=V335),"A. Distribution",IF(U335&gt;=V335,"B. Manufacturing","C. Prof. services"))</f>
        <v>A. Distribution</v>
      </c>
      <c r="N335" s="39" t="n">
        <v>0.0982886282340145</v>
      </c>
      <c r="O335" s="39" t="n">
        <v>0.311473125546128</v>
      </c>
      <c r="P335" s="39" t="n">
        <v>0.260256586861886</v>
      </c>
      <c r="Q335" s="39" t="n">
        <v>0.10592334838231</v>
      </c>
      <c r="R335" s="39" t="n">
        <v>0.178050235926158</v>
      </c>
      <c r="S335" s="39" t="n">
        <v>0.0460080750495037</v>
      </c>
      <c r="T335" s="38" t="n">
        <f aca="false">N335*Scorecard!$C$18+O335*Scorecard!$C$19+P335*Scorecard!$C$20+Q335*Scorecard!$C$21+R335*Scorecard!$C$22+S335*Scorecard!$C$23</f>
        <v>4.2001523958324</v>
      </c>
      <c r="U335" s="38" t="n">
        <f aca="false">N335*Scorecard!$D$18+O335*Scorecard!$D$19+P335*Scorecard!$D$20+Q335*Scorecard!$D$21+R335*Scorecard!$D$22+S335*Scorecard!$D$23</f>
        <v>2.60924343175105</v>
      </c>
      <c r="V335" s="38" t="n">
        <f aca="false">N335*Scorecard!$E$18+O335*Scorecard!$E$19+P335*Scorecard!$E$20+Q335*Scorecard!$E$21+R335*Scorecard!$E$22+S335*Scorecard!$E$23</f>
        <v>3.2701178292096</v>
      </c>
    </row>
    <row r="336" customFormat="false" ht="15" hidden="false" customHeight="false" outlineLevel="0" collapsed="false">
      <c r="A336" s="0" t="n">
        <v>331</v>
      </c>
      <c r="B336" s="38" t="n">
        <f aca="false">E336*Scorecard!$C$18+F336*Scorecard!$C$19+G336*Scorecard!$C$20+H336*Scorecard!$C$21+I336*Scorecard!$C$22+J336*Scorecard!$C$23</f>
        <v>3.58489593398557</v>
      </c>
      <c r="C336" s="38" t="n">
        <f aca="false">E336*Scorecard!$D$18+F336*Scorecard!$D$19+G336*Scorecard!$D$20+H336*Scorecard!$D$21+I336*Scorecard!$D$22+J336*Scorecard!$D$23</f>
        <v>2.61874443885213</v>
      </c>
      <c r="D336" s="0" t="str">
        <f aca="false">IF(AND(B336&gt;=C336,B336&gt;=K336),"A. Distribution",IF(C336&gt;=K336,"B. Manufacturing","C. Prof. services"))</f>
        <v>C. Prof. services</v>
      </c>
      <c r="E336" s="39" t="n">
        <v>0.306323035832638</v>
      </c>
      <c r="F336" s="39" t="n">
        <v>0.00599645400855656</v>
      </c>
      <c r="G336" s="39" t="n">
        <v>0.37705457723447</v>
      </c>
      <c r="H336" s="39" t="n">
        <v>0.0582898666856011</v>
      </c>
      <c r="I336" s="39" t="n">
        <v>0.0572230337422056</v>
      </c>
      <c r="J336" s="39" t="n">
        <v>0.195113032496529</v>
      </c>
      <c r="K336" s="38" t="n">
        <f aca="false">E336*Scorecard!$E$18+F336*Scorecard!$E$19+G336*Scorecard!$E$20+H336*Scorecard!$E$21+I336*Scorecard!$E$22+J336*Scorecard!$E$23</f>
        <v>3.8227878930577</v>
      </c>
      <c r="M336" s="0" t="str">
        <f aca="false">IF(AND(T336&gt;=U336,T336&gt;=V336),"A. Distribution",IF(U336&gt;=V336,"B. Manufacturing","C. Prof. services"))</f>
        <v>A. Distribution</v>
      </c>
      <c r="N336" s="39" t="n">
        <v>0.172251512029084</v>
      </c>
      <c r="O336" s="39" t="n">
        <v>0.190508123218208</v>
      </c>
      <c r="P336" s="39" t="n">
        <v>0.310049558378227</v>
      </c>
      <c r="Q336" s="39" t="n">
        <v>0.121418544986375</v>
      </c>
      <c r="R336" s="39" t="n">
        <v>0.0969462690364292</v>
      </c>
      <c r="S336" s="39" t="n">
        <v>0.108825992351677</v>
      </c>
      <c r="T336" s="38" t="n">
        <f aca="false">N336*Scorecard!$C$18+O336*Scorecard!$C$19+P336*Scorecard!$C$20+Q336*Scorecard!$C$21+R336*Scorecard!$C$22+S336*Scorecard!$C$23</f>
        <v>3.94594370119689</v>
      </c>
      <c r="U336" s="38" t="n">
        <f aca="false">N336*Scorecard!$D$18+O336*Scorecard!$D$19+P336*Scorecard!$D$20+Q336*Scorecard!$D$21+R336*Scorecard!$D$22+S336*Scorecard!$D$23</f>
        <v>2.55978890998463</v>
      </c>
      <c r="V336" s="38" t="n">
        <f aca="false">N336*Scorecard!$E$18+O336*Scorecard!$E$19+P336*Scorecard!$E$20+Q336*Scorecard!$E$21+R336*Scorecard!$E$22+S336*Scorecard!$E$23</f>
        <v>3.53925697247303</v>
      </c>
    </row>
    <row r="337" customFormat="false" ht="15" hidden="false" customHeight="false" outlineLevel="0" collapsed="false">
      <c r="A337" s="0" t="n">
        <v>332</v>
      </c>
      <c r="B337" s="38" t="n">
        <f aca="false">E337*Scorecard!$C$18+F337*Scorecard!$C$19+G337*Scorecard!$C$20+H337*Scorecard!$C$21+I337*Scorecard!$C$22+J337*Scorecard!$C$23</f>
        <v>4.13042687938689</v>
      </c>
      <c r="C337" s="38" t="n">
        <f aca="false">E337*Scorecard!$D$18+F337*Scorecard!$D$19+G337*Scorecard!$D$20+H337*Scorecard!$D$21+I337*Scorecard!$D$22+J337*Scorecard!$D$23</f>
        <v>3.35283143193267</v>
      </c>
      <c r="D337" s="0" t="str">
        <f aca="false">IF(AND(B337&gt;=C337,B337&gt;=K337),"A. Distribution",IF(C337&gt;=K337,"B. Manufacturing","C. Prof. services"))</f>
        <v>A. Distribution</v>
      </c>
      <c r="E337" s="39" t="n">
        <v>0.51885006838009</v>
      </c>
      <c r="F337" s="39" t="n">
        <v>0.216020596592314</v>
      </c>
      <c r="G337" s="39" t="n">
        <v>0.0730830283062961</v>
      </c>
      <c r="H337" s="39" t="n">
        <v>0.0288720237944834</v>
      </c>
      <c r="I337" s="39" t="n">
        <v>0.142761311608957</v>
      </c>
      <c r="J337" s="39" t="n">
        <v>0.0204129713178601</v>
      </c>
      <c r="K337" s="38" t="n">
        <f aca="false">E337*Scorecard!$E$18+F337*Scorecard!$E$19+G337*Scorecard!$E$20+H337*Scorecard!$E$21+I337*Scorecard!$E$22+J337*Scorecard!$E$23</f>
        <v>3.24516290938493</v>
      </c>
      <c r="M337" s="0" t="str">
        <f aca="false">IF(AND(T337&gt;=U337,T337&gt;=V337),"A. Distribution",IF(U337&gt;=V337,"B. Manufacturing","C. Prof. services"))</f>
        <v>A. Distribution</v>
      </c>
      <c r="N337" s="39" t="n">
        <v>0.252914475461934</v>
      </c>
      <c r="O337" s="39" t="n">
        <v>0.145216674256851</v>
      </c>
      <c r="P337" s="39" t="n">
        <v>0.125552523838607</v>
      </c>
      <c r="Q337" s="39" t="n">
        <v>0.0884758985407537</v>
      </c>
      <c r="R337" s="39" t="n">
        <v>0.260067128959776</v>
      </c>
      <c r="S337" s="39" t="n">
        <v>0.127773298942079</v>
      </c>
      <c r="T337" s="38" t="n">
        <f aca="false">N337*Scorecard!$C$18+O337*Scorecard!$C$19+P337*Scorecard!$C$20+Q337*Scorecard!$C$21+R337*Scorecard!$C$22+S337*Scorecard!$C$23</f>
        <v>3.85983105959834</v>
      </c>
      <c r="U337" s="38" t="n">
        <f aca="false">N337*Scorecard!$D$18+O337*Scorecard!$D$19+P337*Scorecard!$D$20+Q337*Scorecard!$D$21+R337*Scorecard!$D$22+S337*Scorecard!$D$23</f>
        <v>2.89738742569644</v>
      </c>
      <c r="V337" s="38" t="n">
        <f aca="false">N337*Scorecard!$E$18+O337*Scorecard!$E$19+P337*Scorecard!$E$20+Q337*Scorecard!$E$21+R337*Scorecard!$E$22+S337*Scorecard!$E$23</f>
        <v>3.30144256590129</v>
      </c>
    </row>
    <row r="338" customFormat="false" ht="15" hidden="false" customHeight="false" outlineLevel="0" collapsed="false">
      <c r="A338" s="0" t="n">
        <v>333</v>
      </c>
      <c r="B338" s="38" t="n">
        <f aca="false">E338*Scorecard!$C$18+F338*Scorecard!$C$19+G338*Scorecard!$C$20+H338*Scorecard!$C$21+I338*Scorecard!$C$22+J338*Scorecard!$C$23</f>
        <v>3.64293810958353</v>
      </c>
      <c r="C338" s="38" t="n">
        <f aca="false">E338*Scorecard!$D$18+F338*Scorecard!$D$19+G338*Scorecard!$D$20+H338*Scorecard!$D$21+I338*Scorecard!$D$22+J338*Scorecard!$D$23</f>
        <v>2.67899749567279</v>
      </c>
      <c r="D338" s="0" t="str">
        <f aca="false">IF(AND(B338&gt;=C338,B338&gt;=K338),"A. Distribution",IF(C338&gt;=K338,"B. Manufacturing","C. Prof. services"))</f>
        <v>A. Distribution</v>
      </c>
      <c r="E338" s="39" t="n">
        <v>0.258737932534461</v>
      </c>
      <c r="F338" s="39" t="n">
        <v>0.0471274301104202</v>
      </c>
      <c r="G338" s="39" t="n">
        <v>0.175551878179594</v>
      </c>
      <c r="H338" s="39" t="n">
        <v>0.222286390125201</v>
      </c>
      <c r="I338" s="39" t="n">
        <v>0.116564069953079</v>
      </c>
      <c r="J338" s="39" t="n">
        <v>0.179732299097246</v>
      </c>
      <c r="K338" s="38" t="n">
        <f aca="false">E338*Scorecard!$E$18+F338*Scorecard!$E$19+G338*Scorecard!$E$20+H338*Scorecard!$E$21+I338*Scorecard!$E$22+J338*Scorecard!$E$23</f>
        <v>3.63717836501281</v>
      </c>
      <c r="M338" s="0" t="str">
        <f aca="false">IF(AND(T338&gt;=U338,T338&gt;=V338),"A. Distribution",IF(U338&gt;=V338,"B. Manufacturing","C. Prof. services"))</f>
        <v>A. Distribution</v>
      </c>
      <c r="N338" s="39" t="n">
        <v>0.171784099004914</v>
      </c>
      <c r="O338" s="39" t="n">
        <v>0.302626589612102</v>
      </c>
      <c r="P338" s="39" t="n">
        <v>0.143250552114876</v>
      </c>
      <c r="Q338" s="39" t="n">
        <v>0.140014270336251</v>
      </c>
      <c r="R338" s="39" t="n">
        <v>0.0774545164904869</v>
      </c>
      <c r="S338" s="39" t="n">
        <v>0.164869972441371</v>
      </c>
      <c r="T338" s="38" t="n">
        <f aca="false">N338*Scorecard!$C$18+O338*Scorecard!$C$19+P338*Scorecard!$C$20+Q338*Scorecard!$C$21+R338*Scorecard!$C$22+S338*Scorecard!$C$23</f>
        <v>3.94400803417574</v>
      </c>
      <c r="U338" s="38" t="n">
        <f aca="false">N338*Scorecard!$D$18+O338*Scorecard!$D$19+P338*Scorecard!$D$20+Q338*Scorecard!$D$21+R338*Scorecard!$D$22+S338*Scorecard!$D$23</f>
        <v>2.56967039845802</v>
      </c>
      <c r="V338" s="38" t="n">
        <f aca="false">N338*Scorecard!$E$18+O338*Scorecard!$E$19+P338*Scorecard!$E$20+Q338*Scorecard!$E$21+R338*Scorecard!$E$22+S338*Scorecard!$E$23</f>
        <v>3.45988892097476</v>
      </c>
    </row>
    <row r="339" customFormat="false" ht="15" hidden="false" customHeight="false" outlineLevel="0" collapsed="false">
      <c r="A339" s="0" t="n">
        <v>334</v>
      </c>
      <c r="B339" s="38" t="n">
        <f aca="false">E339*Scorecard!$C$18+F339*Scorecard!$C$19+G339*Scorecard!$C$20+H339*Scorecard!$C$21+I339*Scorecard!$C$22+J339*Scorecard!$C$23</f>
        <v>3.50472020202553</v>
      </c>
      <c r="C339" s="38" t="n">
        <f aca="false">E339*Scorecard!$D$18+F339*Scorecard!$D$19+G339*Scorecard!$D$20+H339*Scorecard!$D$21+I339*Scorecard!$D$22+J339*Scorecard!$D$23</f>
        <v>2.3327457281221</v>
      </c>
      <c r="D339" s="0" t="str">
        <f aca="false">IF(AND(B339&gt;=C339,B339&gt;=K339),"A. Distribution",IF(C339&gt;=K339,"B. Manufacturing","C. Prof. services"))</f>
        <v>C. Prof. services</v>
      </c>
      <c r="E339" s="39" t="n">
        <v>0.158706973409554</v>
      </c>
      <c r="F339" s="39" t="n">
        <v>0.0808428371121574</v>
      </c>
      <c r="G339" s="39" t="n">
        <v>0.239579746449386</v>
      </c>
      <c r="H339" s="39" t="n">
        <v>0.222079593873296</v>
      </c>
      <c r="I339" s="39" t="n">
        <v>0.0290651701732173</v>
      </c>
      <c r="J339" s="39" t="n">
        <v>0.269725678982389</v>
      </c>
      <c r="K339" s="38" t="n">
        <f aca="false">E339*Scorecard!$E$18+F339*Scorecard!$E$19+G339*Scorecard!$E$20+H339*Scorecard!$E$21+I339*Scorecard!$E$22+J339*Scorecard!$E$23</f>
        <v>3.83778858226361</v>
      </c>
      <c r="M339" s="0" t="str">
        <f aca="false">IF(AND(T339&gt;=U339,T339&gt;=V339),"A. Distribution",IF(U339&gt;=V339,"B. Manufacturing","C. Prof. services"))</f>
        <v>A. Distribution</v>
      </c>
      <c r="N339" s="39" t="n">
        <v>0.18306355396408</v>
      </c>
      <c r="O339" s="39" t="n">
        <v>0.184864731341307</v>
      </c>
      <c r="P339" s="39" t="n">
        <v>0.305384007761343</v>
      </c>
      <c r="Q339" s="39" t="n">
        <v>0.0508806741079616</v>
      </c>
      <c r="R339" s="39" t="n">
        <v>0.0905716369184818</v>
      </c>
      <c r="S339" s="39" t="n">
        <v>0.185235395906827</v>
      </c>
      <c r="T339" s="38" t="n">
        <f aca="false">N339*Scorecard!$C$18+O339*Scorecard!$C$19+P339*Scorecard!$C$20+Q339*Scorecard!$C$21+R339*Scorecard!$C$22+S339*Scorecard!$C$23</f>
        <v>3.79421393524466</v>
      </c>
      <c r="U339" s="38" t="n">
        <f aca="false">N339*Scorecard!$D$18+O339*Scorecard!$D$19+P339*Scorecard!$D$20+Q339*Scorecard!$D$21+R339*Scorecard!$D$22+S339*Scorecard!$D$23</f>
        <v>2.51135500729462</v>
      </c>
      <c r="V339" s="38" t="n">
        <f aca="false">N339*Scorecard!$E$18+O339*Scorecard!$E$19+P339*Scorecard!$E$20+Q339*Scorecard!$E$21+R339*Scorecard!$E$22+S339*Scorecard!$E$23</f>
        <v>3.61249769664036</v>
      </c>
    </row>
    <row r="340" customFormat="false" ht="15" hidden="false" customHeight="false" outlineLevel="0" collapsed="false">
      <c r="A340" s="0" t="n">
        <v>335</v>
      </c>
      <c r="B340" s="38" t="n">
        <f aca="false">E340*Scorecard!$C$18+F340*Scorecard!$C$19+G340*Scorecard!$C$20+H340*Scorecard!$C$21+I340*Scorecard!$C$22+J340*Scorecard!$C$23</f>
        <v>4.33697276237858</v>
      </c>
      <c r="C340" s="38" t="n">
        <f aca="false">E340*Scorecard!$D$18+F340*Scorecard!$D$19+G340*Scorecard!$D$20+H340*Scorecard!$D$21+I340*Scorecard!$D$22+J340*Scorecard!$D$23</f>
        <v>2.5485186671146</v>
      </c>
      <c r="D340" s="0" t="str">
        <f aca="false">IF(AND(B340&gt;=C340,B340&gt;=K340),"A. Distribution",IF(C340&gt;=K340,"B. Manufacturing","C. Prof. services"))</f>
        <v>A. Distribution</v>
      </c>
      <c r="E340" s="39" t="n">
        <v>0.0663159722951044</v>
      </c>
      <c r="F340" s="39" t="n">
        <v>0.39555578867438</v>
      </c>
      <c r="G340" s="39" t="n">
        <v>0.27265796585135</v>
      </c>
      <c r="H340" s="39" t="n">
        <v>0.106515750869738</v>
      </c>
      <c r="I340" s="39" t="n">
        <v>0.138063724160331</v>
      </c>
      <c r="J340" s="39" t="n">
        <v>0.0208907981490968</v>
      </c>
      <c r="K340" s="38" t="n">
        <f aca="false">E340*Scorecard!$E$18+F340*Scorecard!$E$19+G340*Scorecard!$E$20+H340*Scorecard!$E$21+I340*Scorecard!$E$22+J340*Scorecard!$E$23</f>
        <v>3.23948334298046</v>
      </c>
      <c r="M340" s="0" t="str">
        <f aca="false">IF(AND(T340&gt;=U340,T340&gt;=V340),"A. Distribution",IF(U340&gt;=V340,"B. Manufacturing","C. Prof. services"))</f>
        <v>A. Distribution</v>
      </c>
      <c r="N340" s="39" t="n">
        <v>0.115638857568369</v>
      </c>
      <c r="O340" s="39" t="n">
        <v>0.425385250224141</v>
      </c>
      <c r="P340" s="39" t="n">
        <v>0.191295319538236</v>
      </c>
      <c r="Q340" s="39" t="n">
        <v>0.0483863086526909</v>
      </c>
      <c r="R340" s="39" t="n">
        <v>0.0272917160260539</v>
      </c>
      <c r="S340" s="39" t="n">
        <v>0.192002547990509</v>
      </c>
      <c r="T340" s="38" t="n">
        <f aca="false">N340*Scorecard!$C$18+O340*Scorecard!$C$19+P340*Scorecard!$C$20+Q340*Scorecard!$C$21+R340*Scorecard!$C$22+S340*Scorecard!$C$23</f>
        <v>4.02688223051811</v>
      </c>
      <c r="U340" s="38" t="n">
        <f aca="false">N340*Scorecard!$D$18+O340*Scorecard!$D$19+P340*Scorecard!$D$20+Q340*Scorecard!$D$21+R340*Scorecard!$D$22+S340*Scorecard!$D$23</f>
        <v>2.41388148086715</v>
      </c>
      <c r="V340" s="38" t="n">
        <f aca="false">N340*Scorecard!$E$18+O340*Scorecard!$E$19+P340*Scorecard!$E$20+Q340*Scorecard!$E$21+R340*Scorecard!$E$22+S340*Scorecard!$E$23</f>
        <v>3.46835553857226</v>
      </c>
    </row>
    <row r="341" customFormat="false" ht="15" hidden="false" customHeight="false" outlineLevel="0" collapsed="false">
      <c r="A341" s="0" t="n">
        <v>336</v>
      </c>
      <c r="B341" s="38" t="n">
        <f aca="false">E341*Scorecard!$C$18+F341*Scorecard!$C$19+G341*Scorecard!$C$20+H341*Scorecard!$C$21+I341*Scorecard!$C$22+J341*Scorecard!$C$23</f>
        <v>4.02463377575537</v>
      </c>
      <c r="C341" s="38" t="n">
        <f aca="false">E341*Scorecard!$D$18+F341*Scorecard!$D$19+G341*Scorecard!$D$20+H341*Scorecard!$D$21+I341*Scorecard!$D$22+J341*Scorecard!$D$23</f>
        <v>3.10205715684098</v>
      </c>
      <c r="D341" s="0" t="str">
        <f aca="false">IF(AND(B341&gt;=C341,B341&gt;=K341),"A. Distribution",IF(C341&gt;=K341,"B. Manufacturing","C. Prof. services"))</f>
        <v>A. Distribution</v>
      </c>
      <c r="E341" s="39" t="n">
        <v>0.101712124715285</v>
      </c>
      <c r="F341" s="39" t="n">
        <v>0.088183942191803</v>
      </c>
      <c r="G341" s="39" t="n">
        <v>0.0694112640272973</v>
      </c>
      <c r="H341" s="39" t="n">
        <v>0.0926063925359734</v>
      </c>
      <c r="I341" s="39" t="n">
        <v>0.625383458955805</v>
      </c>
      <c r="J341" s="39" t="n">
        <v>0.0227028175738359</v>
      </c>
      <c r="K341" s="38" t="n">
        <f aca="false">E341*Scorecard!$E$18+F341*Scorecard!$E$19+G341*Scorecard!$E$20+H341*Scorecard!$E$21+I341*Scorecard!$E$22+J341*Scorecard!$E$23</f>
        <v>2.7824627468648</v>
      </c>
      <c r="M341" s="0" t="str">
        <f aca="false">IF(AND(T341&gt;=U341,T341&gt;=V341),"A. Distribution",IF(U341&gt;=V341,"B. Manufacturing","C. Prof. services"))</f>
        <v>A. Distribution</v>
      </c>
      <c r="N341" s="39" t="n">
        <v>0.248738225442231</v>
      </c>
      <c r="O341" s="39" t="n">
        <v>0.214134232669417</v>
      </c>
      <c r="P341" s="39" t="n">
        <v>0.248359072436015</v>
      </c>
      <c r="Q341" s="39" t="n">
        <v>0.0626447150371307</v>
      </c>
      <c r="R341" s="39" t="n">
        <v>0.167026923483623</v>
      </c>
      <c r="S341" s="39" t="n">
        <v>0.0590968309315834</v>
      </c>
      <c r="T341" s="38" t="n">
        <f aca="false">N341*Scorecard!$C$18+O341*Scorecard!$C$19+P341*Scorecard!$C$20+Q341*Scorecard!$C$21+R341*Scorecard!$C$22+S341*Scorecard!$C$23</f>
        <v>4.06922017684476</v>
      </c>
      <c r="U341" s="38" t="n">
        <f aca="false">N341*Scorecard!$D$18+O341*Scorecard!$D$19+P341*Scorecard!$D$20+Q341*Scorecard!$D$21+R341*Scorecard!$D$22+S341*Scorecard!$D$23</f>
        <v>2.82818937354631</v>
      </c>
      <c r="V341" s="38" t="n">
        <f aca="false">N341*Scorecard!$E$18+O341*Scorecard!$E$19+P341*Scorecard!$E$20+Q341*Scorecard!$E$21+R341*Scorecard!$E$22+S341*Scorecard!$E$23</f>
        <v>3.35032602843729</v>
      </c>
    </row>
    <row r="342" customFormat="false" ht="15" hidden="false" customHeight="false" outlineLevel="0" collapsed="false">
      <c r="A342" s="0" t="n">
        <v>337</v>
      </c>
      <c r="B342" s="38" t="n">
        <f aca="false">E342*Scorecard!$C$18+F342*Scorecard!$C$19+G342*Scorecard!$C$20+H342*Scorecard!$C$21+I342*Scorecard!$C$22+J342*Scorecard!$C$23</f>
        <v>3.21919134209294</v>
      </c>
      <c r="C342" s="38" t="n">
        <f aca="false">E342*Scorecard!$D$18+F342*Scorecard!$D$19+G342*Scorecard!$D$20+H342*Scorecard!$D$21+I342*Scorecard!$D$22+J342*Scorecard!$D$23</f>
        <v>2.04809129248247</v>
      </c>
      <c r="D342" s="0" t="str">
        <f aca="false">IF(AND(B342&gt;=C342,B342&gt;=K342),"A. Distribution",IF(C342&gt;=K342,"B. Manufacturing","C. Prof. services"))</f>
        <v>C. Prof. services</v>
      </c>
      <c r="E342" s="39" t="n">
        <v>0.0207297128545796</v>
      </c>
      <c r="F342" s="39" t="n">
        <v>0.138123495644908</v>
      </c>
      <c r="G342" s="39" t="n">
        <v>0.0921951441189047</v>
      </c>
      <c r="H342" s="39" t="n">
        <v>0.238571357853054</v>
      </c>
      <c r="I342" s="39" t="n">
        <v>0.0645994755173824</v>
      </c>
      <c r="J342" s="39" t="n">
        <v>0.445780814011171</v>
      </c>
      <c r="K342" s="38" t="n">
        <f aca="false">E342*Scorecard!$E$18+F342*Scorecard!$E$19+G342*Scorecard!$E$20+H342*Scorecard!$E$21+I342*Scorecard!$E$22+J342*Scorecard!$E$23</f>
        <v>3.8617113623035</v>
      </c>
      <c r="M342" s="0" t="str">
        <f aca="false">IF(AND(T342&gt;=U342,T342&gt;=V342),"A. Distribution",IF(U342&gt;=V342,"B. Manufacturing","C. Prof. services"))</f>
        <v>A. Distribution</v>
      </c>
      <c r="N342" s="39" t="n">
        <v>0.226298484548651</v>
      </c>
      <c r="O342" s="39" t="n">
        <v>0.192193805758029</v>
      </c>
      <c r="P342" s="39" t="n">
        <v>0.247308688635101</v>
      </c>
      <c r="Q342" s="39" t="n">
        <v>0.14692623222416</v>
      </c>
      <c r="R342" s="39" t="n">
        <v>0.131643935979161</v>
      </c>
      <c r="S342" s="39" t="n">
        <v>0.0556288528548984</v>
      </c>
      <c r="T342" s="38" t="n">
        <f aca="false">N342*Scorecard!$C$18+O342*Scorecard!$C$19+P342*Scorecard!$C$20+Q342*Scorecard!$C$21+R342*Scorecard!$C$22+S342*Scorecard!$C$23</f>
        <v>4.04693593751061</v>
      </c>
      <c r="U342" s="38" t="n">
        <f aca="false">N342*Scorecard!$D$18+O342*Scorecard!$D$19+P342*Scorecard!$D$20+Q342*Scorecard!$D$21+R342*Scorecard!$D$22+S342*Scorecard!$D$23</f>
        <v>2.75035291478784</v>
      </c>
      <c r="V342" s="38" t="n">
        <f aca="false">N342*Scorecard!$E$18+O342*Scorecard!$E$19+P342*Scorecard!$E$20+Q342*Scorecard!$E$21+R342*Scorecard!$E$22+S342*Scorecard!$E$23</f>
        <v>3.41744627209037</v>
      </c>
    </row>
    <row r="343" customFormat="false" ht="15" hidden="false" customHeight="false" outlineLevel="0" collapsed="false">
      <c r="A343" s="0" t="n">
        <v>338</v>
      </c>
      <c r="B343" s="38" t="n">
        <f aca="false">E343*Scorecard!$C$18+F343*Scorecard!$C$19+G343*Scorecard!$C$20+H343*Scorecard!$C$21+I343*Scorecard!$C$22+J343*Scorecard!$C$23</f>
        <v>3.80944150122133</v>
      </c>
      <c r="C343" s="38" t="n">
        <f aca="false">E343*Scorecard!$D$18+F343*Scorecard!$D$19+G343*Scorecard!$D$20+H343*Scorecard!$D$21+I343*Scorecard!$D$22+J343*Scorecard!$D$23</f>
        <v>3.05744869935911</v>
      </c>
      <c r="D343" s="0" t="str">
        <f aca="false">IF(AND(B343&gt;=C343,B343&gt;=K343),"A. Distribution",IF(C343&gt;=K343,"B. Manufacturing","C. Prof. services"))</f>
        <v>A. Distribution</v>
      </c>
      <c r="E343" s="39" t="n">
        <v>0.47504041581321</v>
      </c>
      <c r="F343" s="39" t="n">
        <v>0.0600760415197863</v>
      </c>
      <c r="G343" s="39" t="n">
        <v>0.0389703425345576</v>
      </c>
      <c r="H343" s="39" t="n">
        <v>0.327542529018295</v>
      </c>
      <c r="I343" s="39" t="n">
        <v>0.00976958155896495</v>
      </c>
      <c r="J343" s="39" t="n">
        <v>0.0886010895551859</v>
      </c>
      <c r="K343" s="38" t="n">
        <f aca="false">E343*Scorecard!$E$18+F343*Scorecard!$E$19+G343*Scorecard!$E$20+H343*Scorecard!$E$21+I343*Scorecard!$E$22+J343*Scorecard!$E$23</f>
        <v>3.61155015129939</v>
      </c>
      <c r="M343" s="0" t="str">
        <f aca="false">IF(AND(T343&gt;=U343,T343&gt;=V343),"A. Distribution",IF(U343&gt;=V343,"B. Manufacturing","C. Prof. services"))</f>
        <v>A. Distribution</v>
      </c>
      <c r="N343" s="39" t="n">
        <v>0.143827251041466</v>
      </c>
      <c r="O343" s="39" t="n">
        <v>0.129544340265883</v>
      </c>
      <c r="P343" s="39" t="n">
        <v>0.175171706110131</v>
      </c>
      <c r="Q343" s="39" t="n">
        <v>0.320528892549454</v>
      </c>
      <c r="R343" s="39" t="n">
        <v>0.135184966002987</v>
      </c>
      <c r="S343" s="39" t="n">
        <v>0.0957428440300788</v>
      </c>
      <c r="T343" s="38" t="n">
        <f aca="false">N343*Scorecard!$C$18+O343*Scorecard!$C$19+P343*Scorecard!$C$20+Q343*Scorecard!$C$21+R343*Scorecard!$C$22+S343*Scorecard!$C$23</f>
        <v>3.89197405025605</v>
      </c>
      <c r="U343" s="38" t="n">
        <f aca="false">N343*Scorecard!$D$18+O343*Scorecard!$D$19+P343*Scorecard!$D$20+Q343*Scorecard!$D$21+R343*Scorecard!$D$22+S343*Scorecard!$D$23</f>
        <v>2.58569707455388</v>
      </c>
      <c r="V343" s="38" t="n">
        <f aca="false">N343*Scorecard!$E$18+O343*Scorecard!$E$19+P343*Scorecard!$E$20+Q343*Scorecard!$E$21+R343*Scorecard!$E$22+S343*Scorecard!$E$23</f>
        <v>3.4909481213094</v>
      </c>
    </row>
    <row r="344" customFormat="false" ht="15" hidden="false" customHeight="false" outlineLevel="0" collapsed="false">
      <c r="A344" s="0" t="n">
        <v>339</v>
      </c>
      <c r="B344" s="38" t="n">
        <f aca="false">E344*Scorecard!$C$18+F344*Scorecard!$C$19+G344*Scorecard!$C$20+H344*Scorecard!$C$21+I344*Scorecard!$C$22+J344*Scorecard!$C$23</f>
        <v>3.86452814704623</v>
      </c>
      <c r="C344" s="38" t="n">
        <f aca="false">E344*Scorecard!$D$18+F344*Scorecard!$D$19+G344*Scorecard!$D$20+H344*Scorecard!$D$21+I344*Scorecard!$D$22+J344*Scorecard!$D$23</f>
        <v>3.15016419434251</v>
      </c>
      <c r="D344" s="0" t="str">
        <f aca="false">IF(AND(B344&gt;=C344,B344&gt;=K344),"A. Distribution",IF(C344&gt;=K344,"B. Manufacturing","C. Prof. services"))</f>
        <v>A. Distribution</v>
      </c>
      <c r="E344" s="39" t="n">
        <v>0.271033014273631</v>
      </c>
      <c r="F344" s="39" t="n">
        <v>0.0184526434236193</v>
      </c>
      <c r="G344" s="39" t="n">
        <v>0.116211330470973</v>
      </c>
      <c r="H344" s="39" t="n">
        <v>0.0840926310727409</v>
      </c>
      <c r="I344" s="39" t="n">
        <v>0.448658830632519</v>
      </c>
      <c r="J344" s="39" t="n">
        <v>0.0615515501265174</v>
      </c>
      <c r="K344" s="38" t="n">
        <f aca="false">E344*Scorecard!$E$18+F344*Scorecard!$E$19+G344*Scorecard!$E$20+H344*Scorecard!$E$21+I344*Scorecard!$E$22+J344*Scorecard!$E$23</f>
        <v>3.09791630601726</v>
      </c>
      <c r="M344" s="0" t="str">
        <f aca="false">IF(AND(T344&gt;=U344,T344&gt;=V344),"A. Distribution",IF(U344&gt;=V344,"B. Manufacturing","C. Prof. services"))</f>
        <v>A. Distribution</v>
      </c>
      <c r="N344" s="39" t="n">
        <v>0.159229262457109</v>
      </c>
      <c r="O344" s="39" t="n">
        <v>0.176698954580981</v>
      </c>
      <c r="P344" s="39" t="n">
        <v>0.258956611515126</v>
      </c>
      <c r="Q344" s="39" t="n">
        <v>0.133496823836427</v>
      </c>
      <c r="R344" s="39" t="n">
        <v>0.232225621085933</v>
      </c>
      <c r="S344" s="39" t="n">
        <v>0.0393927265244243</v>
      </c>
      <c r="T344" s="38" t="n">
        <f aca="false">N344*Scorecard!$C$18+O344*Scorecard!$C$19+P344*Scorecard!$C$20+Q344*Scorecard!$C$21+R344*Scorecard!$C$22+S344*Scorecard!$C$23</f>
        <v>4.07074513696084</v>
      </c>
      <c r="U344" s="38" t="n">
        <f aca="false">N344*Scorecard!$D$18+O344*Scorecard!$D$19+P344*Scorecard!$D$20+Q344*Scorecard!$D$21+R344*Scorecard!$D$22+S344*Scorecard!$D$23</f>
        <v>2.74473899430202</v>
      </c>
      <c r="V344" s="38" t="n">
        <f aca="false">N344*Scorecard!$E$18+O344*Scorecard!$E$19+P344*Scorecard!$E$20+Q344*Scorecard!$E$21+R344*Scorecard!$E$22+S344*Scorecard!$E$23</f>
        <v>3.29813858505829</v>
      </c>
    </row>
    <row r="345" customFormat="false" ht="15" hidden="false" customHeight="false" outlineLevel="0" collapsed="false">
      <c r="A345" s="0" t="n">
        <v>340</v>
      </c>
      <c r="B345" s="38" t="n">
        <f aca="false">E345*Scorecard!$C$18+F345*Scorecard!$C$19+G345*Scorecard!$C$20+H345*Scorecard!$C$21+I345*Scorecard!$C$22+J345*Scorecard!$C$23</f>
        <v>4.13895759384193</v>
      </c>
      <c r="C345" s="38" t="n">
        <f aca="false">E345*Scorecard!$D$18+F345*Scorecard!$D$19+G345*Scorecard!$D$20+H345*Scorecard!$D$21+I345*Scorecard!$D$22+J345*Scorecard!$D$23</f>
        <v>2.8861779320489</v>
      </c>
      <c r="D345" s="0" t="str">
        <f aca="false">IF(AND(B345&gt;=C345,B345&gt;=K345),"A. Distribution",IF(C345&gt;=K345,"B. Manufacturing","C. Prof. services"))</f>
        <v>A. Distribution</v>
      </c>
      <c r="E345" s="39" t="n">
        <v>0.271108895607055</v>
      </c>
      <c r="F345" s="39" t="n">
        <v>0.377191871468002</v>
      </c>
      <c r="G345" s="39" t="n">
        <v>0.0261234231296925</v>
      </c>
      <c r="H345" s="39" t="n">
        <v>0.103870531945987</v>
      </c>
      <c r="I345" s="39" t="n">
        <v>0.119067423444478</v>
      </c>
      <c r="J345" s="39" t="n">
        <v>0.102637854404785</v>
      </c>
      <c r="K345" s="38" t="n">
        <f aca="false">E345*Scorecard!$E$18+F345*Scorecard!$E$19+G345*Scorecard!$E$20+H345*Scorecard!$E$21+I345*Scorecard!$E$22+J345*Scorecard!$E$23</f>
        <v>3.23243928934028</v>
      </c>
      <c r="M345" s="0" t="str">
        <f aca="false">IF(AND(T345&gt;=U345,T345&gt;=V345),"A. Distribution",IF(U345&gt;=V345,"B. Manufacturing","C. Prof. services"))</f>
        <v>A. Distribution</v>
      </c>
      <c r="N345" s="39" t="n">
        <v>0.229472908112824</v>
      </c>
      <c r="O345" s="39" t="n">
        <v>0.296484852467638</v>
      </c>
      <c r="P345" s="39" t="n">
        <v>0.168471657335299</v>
      </c>
      <c r="Q345" s="39" t="n">
        <v>0.0689662784310334</v>
      </c>
      <c r="R345" s="39" t="n">
        <v>0.157737613743185</v>
      </c>
      <c r="S345" s="39" t="n">
        <v>0.0788666899100204</v>
      </c>
      <c r="T345" s="38" t="n">
        <f aca="false">N345*Scorecard!$C$18+O345*Scorecard!$C$19+P345*Scorecard!$C$20+Q345*Scorecard!$C$21+R345*Scorecard!$C$22+S345*Scorecard!$C$23</f>
        <v>4.11289667665792</v>
      </c>
      <c r="U345" s="38" t="n">
        <f aca="false">N345*Scorecard!$D$18+O345*Scorecard!$D$19+P345*Scorecard!$D$20+Q345*Scorecard!$D$21+R345*Scorecard!$D$22+S345*Scorecard!$D$23</f>
        <v>2.8124175356436</v>
      </c>
      <c r="V345" s="38" t="n">
        <f aca="false">N345*Scorecard!$E$18+O345*Scorecard!$E$19+P345*Scorecard!$E$20+Q345*Scorecard!$E$21+R345*Scorecard!$E$22+S345*Scorecard!$E$23</f>
        <v>3.28481506015455</v>
      </c>
    </row>
    <row r="346" customFormat="false" ht="15" hidden="false" customHeight="false" outlineLevel="0" collapsed="false">
      <c r="A346" s="0" t="n">
        <v>341</v>
      </c>
      <c r="B346" s="38" t="n">
        <f aca="false">E346*Scorecard!$C$18+F346*Scorecard!$C$19+G346*Scorecard!$C$20+H346*Scorecard!$C$21+I346*Scorecard!$C$22+J346*Scorecard!$C$23</f>
        <v>3.7598506361209</v>
      </c>
      <c r="C346" s="38" t="n">
        <f aca="false">E346*Scorecard!$D$18+F346*Scorecard!$D$19+G346*Scorecard!$D$20+H346*Scorecard!$D$21+I346*Scorecard!$D$22+J346*Scorecard!$D$23</f>
        <v>3.37485771185468</v>
      </c>
      <c r="D346" s="0" t="str">
        <f aca="false">IF(AND(B346&gt;=C346,B346&gt;=K346),"A. Distribution",IF(C346&gt;=K346,"B. Manufacturing","C. Prof. services"))</f>
        <v>A. Distribution</v>
      </c>
      <c r="E346" s="39" t="n">
        <v>0.665108152976324</v>
      </c>
      <c r="F346" s="39" t="n">
        <v>0.0194182532201314</v>
      </c>
      <c r="G346" s="39" t="n">
        <v>0.102681557729064</v>
      </c>
      <c r="H346" s="39" t="n">
        <v>0.0805446482161669</v>
      </c>
      <c r="I346" s="39" t="n">
        <v>0.033502639129603</v>
      </c>
      <c r="J346" s="39" t="n">
        <v>0.0987447487287114</v>
      </c>
      <c r="K346" s="38" t="n">
        <f aca="false">E346*Scorecard!$E$18+F346*Scorecard!$E$19+G346*Scorecard!$E$20+H346*Scorecard!$E$21+I346*Scorecard!$E$22+J346*Scorecard!$E$23</f>
        <v>3.61142231232602</v>
      </c>
      <c r="M346" s="0" t="str">
        <f aca="false">IF(AND(T346&gt;=U346,T346&gt;=V346),"A. Distribution",IF(U346&gt;=V346,"B. Manufacturing","C. Prof. services"))</f>
        <v>A. Distribution</v>
      </c>
      <c r="N346" s="39" t="n">
        <v>0.167411173930447</v>
      </c>
      <c r="O346" s="39" t="n">
        <v>0.210318951062744</v>
      </c>
      <c r="P346" s="39" t="n">
        <v>0.124750157953899</v>
      </c>
      <c r="Q346" s="39" t="n">
        <v>0.0817127476518831</v>
      </c>
      <c r="R346" s="39" t="n">
        <v>0.323234305050766</v>
      </c>
      <c r="S346" s="39" t="n">
        <v>0.0925726643502612</v>
      </c>
      <c r="T346" s="38" t="n">
        <f aca="false">N346*Scorecard!$C$18+O346*Scorecard!$C$19+P346*Scorecard!$C$20+Q346*Scorecard!$C$21+R346*Scorecard!$C$22+S346*Scorecard!$C$23</f>
        <v>4.00292812312715</v>
      </c>
      <c r="U346" s="38" t="n">
        <f aca="false">N346*Scorecard!$D$18+O346*Scorecard!$D$19+P346*Scorecard!$D$20+Q346*Scorecard!$D$21+R346*Scorecard!$D$22+S346*Scorecard!$D$23</f>
        <v>2.85872309971141</v>
      </c>
      <c r="V346" s="38" t="n">
        <f aca="false">N346*Scorecard!$E$18+O346*Scorecard!$E$19+P346*Scorecard!$E$20+Q346*Scorecard!$E$21+R346*Scorecard!$E$22+S346*Scorecard!$E$23</f>
        <v>3.14570079234098</v>
      </c>
    </row>
    <row r="347" customFormat="false" ht="15" hidden="false" customHeight="false" outlineLevel="0" collapsed="false">
      <c r="A347" s="0" t="n">
        <v>342</v>
      </c>
      <c r="B347" s="38" t="n">
        <f aca="false">E347*Scorecard!$C$18+F347*Scorecard!$C$19+G347*Scorecard!$C$20+H347*Scorecard!$C$21+I347*Scorecard!$C$22+J347*Scorecard!$C$23</f>
        <v>3.653137741076</v>
      </c>
      <c r="C347" s="38" t="n">
        <f aca="false">E347*Scorecard!$D$18+F347*Scorecard!$D$19+G347*Scorecard!$D$20+H347*Scorecard!$D$21+I347*Scorecard!$D$22+J347*Scorecard!$D$23</f>
        <v>2.51792830130682</v>
      </c>
      <c r="D347" s="0" t="str">
        <f aca="false">IF(AND(B347&gt;=C347,B347&gt;=K347),"A. Distribution",IF(C347&gt;=K347,"B. Manufacturing","C. Prof. services"))</f>
        <v>A. Distribution</v>
      </c>
      <c r="E347" s="39" t="n">
        <v>0.170429045200259</v>
      </c>
      <c r="F347" s="39" t="n">
        <v>0.175508761516764</v>
      </c>
      <c r="G347" s="39" t="n">
        <v>0.0139561495899379</v>
      </c>
      <c r="H347" s="39" t="n">
        <v>0.325874673946746</v>
      </c>
      <c r="I347" s="39" t="n">
        <v>0.0774440521311825</v>
      </c>
      <c r="J347" s="39" t="n">
        <v>0.236787317615111</v>
      </c>
      <c r="K347" s="38" t="n">
        <f aca="false">E347*Scorecard!$E$18+F347*Scorecard!$E$19+G347*Scorecard!$E$20+H347*Scorecard!$E$21+I347*Scorecard!$E$22+J347*Scorecard!$E$23</f>
        <v>3.58771106690928</v>
      </c>
      <c r="M347" s="0" t="str">
        <f aca="false">IF(AND(T347&gt;=U347,T347&gt;=V347),"A. Distribution",IF(U347&gt;=V347,"B. Manufacturing","C. Prof. services"))</f>
        <v>A. Distribution</v>
      </c>
      <c r="N347" s="39" t="n">
        <v>0.226405918803985</v>
      </c>
      <c r="O347" s="39" t="n">
        <v>0.206018477480106</v>
      </c>
      <c r="P347" s="39" t="n">
        <v>0.227582772473215</v>
      </c>
      <c r="Q347" s="39" t="n">
        <v>0.127724795239937</v>
      </c>
      <c r="R347" s="39" t="n">
        <v>0.167896600292582</v>
      </c>
      <c r="S347" s="39" t="n">
        <v>0.044371435710174</v>
      </c>
      <c r="T347" s="38" t="n">
        <f aca="false">N347*Scorecard!$C$18+O347*Scorecard!$C$19+P347*Scorecard!$C$20+Q347*Scorecard!$C$21+R347*Scorecard!$C$22+S347*Scorecard!$C$23</f>
        <v>4.08533578407511</v>
      </c>
      <c r="U347" s="38" t="n">
        <f aca="false">N347*Scorecard!$D$18+O347*Scorecard!$D$19+P347*Scorecard!$D$20+Q347*Scorecard!$D$21+R347*Scorecard!$D$22+S347*Scorecard!$D$23</f>
        <v>2.8062472180613</v>
      </c>
      <c r="V347" s="38" t="n">
        <f aca="false">N347*Scorecard!$E$18+O347*Scorecard!$E$19+P347*Scorecard!$E$20+Q347*Scorecard!$E$21+R347*Scorecard!$E$22+S347*Scorecard!$E$23</f>
        <v>3.34109559407037</v>
      </c>
    </row>
    <row r="348" customFormat="false" ht="15" hidden="false" customHeight="false" outlineLevel="0" collapsed="false">
      <c r="A348" s="0" t="n">
        <v>343</v>
      </c>
      <c r="B348" s="38" t="n">
        <f aca="false">E348*Scorecard!$C$18+F348*Scorecard!$C$19+G348*Scorecard!$C$20+H348*Scorecard!$C$21+I348*Scorecard!$C$22+J348*Scorecard!$C$23</f>
        <v>3.94109224849149</v>
      </c>
      <c r="C348" s="38" t="n">
        <f aca="false">E348*Scorecard!$D$18+F348*Scorecard!$D$19+G348*Scorecard!$D$20+H348*Scorecard!$D$21+I348*Scorecard!$D$22+J348*Scorecard!$D$23</f>
        <v>2.60511262417393</v>
      </c>
      <c r="D348" s="0" t="str">
        <f aca="false">IF(AND(B348&gt;=C348,B348&gt;=K348),"A. Distribution",IF(C348&gt;=K348,"B. Manufacturing","C. Prof. services"))</f>
        <v>A. Distribution</v>
      </c>
      <c r="E348" s="39" t="n">
        <v>0.248212552263665</v>
      </c>
      <c r="F348" s="39" t="n">
        <v>0.343714940910349</v>
      </c>
      <c r="G348" s="39" t="n">
        <v>0.181224243560519</v>
      </c>
      <c r="H348" s="39" t="n">
        <v>0.0327612137875302</v>
      </c>
      <c r="I348" s="39" t="n">
        <v>0.00450481555028072</v>
      </c>
      <c r="J348" s="39" t="n">
        <v>0.189582233927656</v>
      </c>
      <c r="K348" s="38" t="n">
        <f aca="false">E348*Scorecard!$E$18+F348*Scorecard!$E$19+G348*Scorecard!$E$20+H348*Scorecard!$E$21+I348*Scorecard!$E$22+J348*Scorecard!$E$23</f>
        <v>3.54157821486788</v>
      </c>
      <c r="M348" s="0" t="str">
        <f aca="false">IF(AND(T348&gt;=U348,T348&gt;=V348),"A. Distribution",IF(U348&gt;=V348,"B. Manufacturing","C. Prof. services"))</f>
        <v>A. Distribution</v>
      </c>
      <c r="N348" s="39" t="n">
        <v>0.119885240309844</v>
      </c>
      <c r="O348" s="39" t="n">
        <v>0.179564070088949</v>
      </c>
      <c r="P348" s="39" t="n">
        <v>0.253173851039738</v>
      </c>
      <c r="Q348" s="39" t="n">
        <v>0.171449496161592</v>
      </c>
      <c r="R348" s="39" t="n">
        <v>0.197986252383975</v>
      </c>
      <c r="S348" s="39" t="n">
        <v>0.0779410900159017</v>
      </c>
      <c r="T348" s="38" t="n">
        <f aca="false">N348*Scorecard!$C$18+O348*Scorecard!$C$19+P348*Scorecard!$C$20+Q348*Scorecard!$C$21+R348*Scorecard!$C$22+S348*Scorecard!$C$23</f>
        <v>3.99558290730179</v>
      </c>
      <c r="U348" s="38" t="n">
        <f aca="false">N348*Scorecard!$D$18+O348*Scorecard!$D$19+P348*Scorecard!$D$20+Q348*Scorecard!$D$21+R348*Scorecard!$D$22+S348*Scorecard!$D$23</f>
        <v>2.61281809297014</v>
      </c>
      <c r="V348" s="38" t="n">
        <f aca="false">N348*Scorecard!$E$18+O348*Scorecard!$E$19+P348*Scorecard!$E$20+Q348*Scorecard!$E$21+R348*Scorecard!$E$22+S348*Scorecard!$E$23</f>
        <v>3.37831312173043</v>
      </c>
    </row>
    <row r="349" customFormat="false" ht="15" hidden="false" customHeight="false" outlineLevel="0" collapsed="false">
      <c r="A349" s="0" t="n">
        <v>344</v>
      </c>
      <c r="B349" s="38" t="n">
        <f aca="false">E349*Scorecard!$C$18+F349*Scorecard!$C$19+G349*Scorecard!$C$20+H349*Scorecard!$C$21+I349*Scorecard!$C$22+J349*Scorecard!$C$23</f>
        <v>3.87659777705322</v>
      </c>
      <c r="C349" s="38" t="n">
        <f aca="false">E349*Scorecard!$D$18+F349*Scorecard!$D$19+G349*Scorecard!$D$20+H349*Scorecard!$D$21+I349*Scorecard!$D$22+J349*Scorecard!$D$23</f>
        <v>2.63464662919898</v>
      </c>
      <c r="D349" s="0" t="str">
        <f aca="false">IF(AND(B349&gt;=C349,B349&gt;=K349),"A. Distribution",IF(C349&gt;=K349,"B. Manufacturing","C. Prof. services"))</f>
        <v>A. Distribution</v>
      </c>
      <c r="E349" s="39" t="n">
        <v>0.133146579316321</v>
      </c>
      <c r="F349" s="39" t="n">
        <v>0.293755582137116</v>
      </c>
      <c r="G349" s="39" t="n">
        <v>0.110163709590183</v>
      </c>
      <c r="H349" s="39" t="n">
        <v>0.0371780042967774</v>
      </c>
      <c r="I349" s="39" t="n">
        <v>0.224525152525228</v>
      </c>
      <c r="J349" s="39" t="n">
        <v>0.201230972134375</v>
      </c>
      <c r="K349" s="38" t="n">
        <f aca="false">E349*Scorecard!$E$18+F349*Scorecard!$E$19+G349*Scorecard!$E$20+H349*Scorecard!$E$21+I349*Scorecard!$E$22+J349*Scorecard!$E$23</f>
        <v>3.29650536941522</v>
      </c>
      <c r="M349" s="0" t="str">
        <f aca="false">IF(AND(T349&gt;=U349,T349&gt;=V349),"A. Distribution",IF(U349&gt;=V349,"B. Manufacturing","C. Prof. services"))</f>
        <v>A. Distribution</v>
      </c>
      <c r="N349" s="39" t="n">
        <v>0.098127509694832</v>
      </c>
      <c r="O349" s="39" t="n">
        <v>0.228107963816402</v>
      </c>
      <c r="P349" s="39" t="n">
        <v>0.141237429164177</v>
      </c>
      <c r="Q349" s="39" t="n">
        <v>0.195489430076837</v>
      </c>
      <c r="R349" s="39" t="n">
        <v>0.240941032011134</v>
      </c>
      <c r="S349" s="39" t="n">
        <v>0.0960966352366182</v>
      </c>
      <c r="T349" s="38" t="n">
        <f aca="false">N349*Scorecard!$C$18+O349*Scorecard!$C$19+P349*Scorecard!$C$20+Q349*Scorecard!$C$21+R349*Scorecard!$C$22+S349*Scorecard!$C$23</f>
        <v>4.00697225155556</v>
      </c>
      <c r="U349" s="38" t="n">
        <f aca="false">N349*Scorecard!$D$18+O349*Scorecard!$D$19+P349*Scorecard!$D$20+Q349*Scorecard!$D$21+R349*Scorecard!$D$22+S349*Scorecard!$D$23</f>
        <v>2.64973460257425</v>
      </c>
      <c r="V349" s="38" t="n">
        <f aca="false">N349*Scorecard!$E$18+O349*Scorecard!$E$19+P349*Scorecard!$E$20+Q349*Scorecard!$E$21+R349*Scorecard!$E$22+S349*Scorecard!$E$23</f>
        <v>3.26078390006633</v>
      </c>
    </row>
    <row r="350" customFormat="false" ht="15" hidden="false" customHeight="false" outlineLevel="0" collapsed="false">
      <c r="A350" s="0" t="n">
        <v>345</v>
      </c>
      <c r="B350" s="38" t="n">
        <f aca="false">E350*Scorecard!$C$18+F350*Scorecard!$C$19+G350*Scorecard!$C$20+H350*Scorecard!$C$21+I350*Scorecard!$C$22+J350*Scorecard!$C$23</f>
        <v>4.03275312292102</v>
      </c>
      <c r="C350" s="38" t="n">
        <f aca="false">E350*Scorecard!$D$18+F350*Scorecard!$D$19+G350*Scorecard!$D$20+H350*Scorecard!$D$21+I350*Scorecard!$D$22+J350*Scorecard!$D$23</f>
        <v>2.70290541898652</v>
      </c>
      <c r="D350" s="0" t="str">
        <f aca="false">IF(AND(B350&gt;=C350,B350&gt;=K350),"A. Distribution",IF(C350&gt;=K350,"B. Manufacturing","C. Prof. services"))</f>
        <v>A. Distribution</v>
      </c>
      <c r="E350" s="39" t="n">
        <v>0.169283229443681</v>
      </c>
      <c r="F350" s="39" t="n">
        <v>0.287434340593754</v>
      </c>
      <c r="G350" s="39" t="n">
        <v>0.160120893115046</v>
      </c>
      <c r="H350" s="39" t="n">
        <v>0.0867835215853896</v>
      </c>
      <c r="I350" s="39" t="n">
        <v>0.180508496123681</v>
      </c>
      <c r="J350" s="39" t="n">
        <v>0.115869519138449</v>
      </c>
      <c r="K350" s="38" t="n">
        <f aca="false">E350*Scorecard!$E$18+F350*Scorecard!$E$19+G350*Scorecard!$E$20+H350*Scorecard!$E$21+I350*Scorecard!$E$22+J350*Scorecard!$E$23</f>
        <v>3.30045064054623</v>
      </c>
      <c r="M350" s="0" t="str">
        <f aca="false">IF(AND(T350&gt;=U350,T350&gt;=V350),"A. Distribution",IF(U350&gt;=V350,"B. Manufacturing","C. Prof. services"))</f>
        <v>A. Distribution</v>
      </c>
      <c r="N350" s="39" t="n">
        <v>0.090538028622956</v>
      </c>
      <c r="O350" s="39" t="n">
        <v>0.156681823667377</v>
      </c>
      <c r="P350" s="39" t="n">
        <v>0.411093146423313</v>
      </c>
      <c r="Q350" s="39" t="n">
        <v>0.143049298405283</v>
      </c>
      <c r="R350" s="39" t="n">
        <v>0.148201015054259</v>
      </c>
      <c r="S350" s="39" t="n">
        <v>0.0504366878268124</v>
      </c>
      <c r="T350" s="38" t="n">
        <f aca="false">N350*Scorecard!$C$18+O350*Scorecard!$C$19+P350*Scorecard!$C$20+Q350*Scorecard!$C$21+R350*Scorecard!$C$22+S350*Scorecard!$C$23</f>
        <v>4.03312579612108</v>
      </c>
      <c r="U350" s="38" t="n">
        <f aca="false">N350*Scorecard!$D$18+O350*Scorecard!$D$19+P350*Scorecard!$D$20+Q350*Scorecard!$D$21+R350*Scorecard!$D$22+S350*Scorecard!$D$23</f>
        <v>2.48038856463601</v>
      </c>
      <c r="V350" s="38" t="n">
        <f aca="false">N350*Scorecard!$E$18+O350*Scorecard!$E$19+P350*Scorecard!$E$20+Q350*Scorecard!$E$21+R350*Scorecard!$E$22+S350*Scorecard!$E$23</f>
        <v>3.4988544500069</v>
      </c>
    </row>
    <row r="351" customFormat="false" ht="15" hidden="false" customHeight="false" outlineLevel="0" collapsed="false">
      <c r="A351" s="0" t="n">
        <v>346</v>
      </c>
      <c r="B351" s="38" t="n">
        <f aca="false">E351*Scorecard!$C$18+F351*Scorecard!$C$19+G351*Scorecard!$C$20+H351*Scorecard!$C$21+I351*Scorecard!$C$22+J351*Scorecard!$C$23</f>
        <v>3.69040741705672</v>
      </c>
      <c r="C351" s="38" t="n">
        <f aca="false">E351*Scorecard!$D$18+F351*Scorecard!$D$19+G351*Scorecard!$D$20+H351*Scorecard!$D$21+I351*Scorecard!$D$22+J351*Scorecard!$D$23</f>
        <v>3.1866116181927</v>
      </c>
      <c r="D351" s="0" t="str">
        <f aca="false">IF(AND(B351&gt;=C351,B351&gt;=K351),"A. Distribution",IF(C351&gt;=K351,"B. Manufacturing","C. Prof. services"))</f>
        <v>A. Distribution</v>
      </c>
      <c r="E351" s="39" t="n">
        <v>0.567239041084965</v>
      </c>
      <c r="F351" s="39" t="n">
        <v>0.0607899204810814</v>
      </c>
      <c r="G351" s="39" t="n">
        <v>0.0371091614378234</v>
      </c>
      <c r="H351" s="39" t="n">
        <v>0.150715289273973</v>
      </c>
      <c r="I351" s="39" t="n">
        <v>0.0298460621773391</v>
      </c>
      <c r="J351" s="39" t="n">
        <v>0.154300525544818</v>
      </c>
      <c r="K351" s="38" t="n">
        <f aca="false">E351*Scorecard!$E$18+F351*Scorecard!$E$19+G351*Scorecard!$E$20+H351*Scorecard!$E$21+I351*Scorecard!$E$22+J351*Scorecard!$E$23</f>
        <v>3.62182161567736</v>
      </c>
      <c r="M351" s="0" t="str">
        <f aca="false">IF(AND(T351&gt;=U351,T351&gt;=V351),"A. Distribution",IF(U351&gt;=V351,"B. Manufacturing","C. Prof. services"))</f>
        <v>A. Distribution</v>
      </c>
      <c r="N351" s="39" t="n">
        <v>0.137456641639091</v>
      </c>
      <c r="O351" s="39" t="n">
        <v>0.308535941826797</v>
      </c>
      <c r="P351" s="39" t="n">
        <v>0.0596088174254246</v>
      </c>
      <c r="Q351" s="39" t="n">
        <v>0.0991361446316683</v>
      </c>
      <c r="R351" s="39" t="n">
        <v>0.307936150103555</v>
      </c>
      <c r="S351" s="39" t="n">
        <v>0.0873263043734646</v>
      </c>
      <c r="T351" s="38" t="n">
        <f aca="false">N351*Scorecard!$C$18+O351*Scorecard!$C$19+P351*Scorecard!$C$20+Q351*Scorecard!$C$21+R351*Scorecard!$C$22+S351*Scorecard!$C$23</f>
        <v>4.11216540529601</v>
      </c>
      <c r="U351" s="38" t="n">
        <f aca="false">N351*Scorecard!$D$18+O351*Scorecard!$D$19+P351*Scorecard!$D$20+Q351*Scorecard!$D$21+R351*Scorecard!$D$22+S351*Scorecard!$D$23</f>
        <v>2.83747105712124</v>
      </c>
      <c r="V351" s="38" t="n">
        <f aca="false">N351*Scorecard!$E$18+O351*Scorecard!$E$19+P351*Scorecard!$E$20+Q351*Scorecard!$E$21+R351*Scorecard!$E$22+S351*Scorecard!$E$23</f>
        <v>3.06044317666514</v>
      </c>
    </row>
    <row r="352" customFormat="false" ht="15" hidden="false" customHeight="false" outlineLevel="0" collapsed="false">
      <c r="A352" s="0" t="n">
        <v>347</v>
      </c>
      <c r="B352" s="38" t="n">
        <f aca="false">E352*Scorecard!$C$18+F352*Scorecard!$C$19+G352*Scorecard!$C$20+H352*Scorecard!$C$21+I352*Scorecard!$C$22+J352*Scorecard!$C$23</f>
        <v>4.1146547528281</v>
      </c>
      <c r="C352" s="38" t="n">
        <f aca="false">E352*Scorecard!$D$18+F352*Scorecard!$D$19+G352*Scorecard!$D$20+H352*Scorecard!$D$21+I352*Scorecard!$D$22+J352*Scorecard!$D$23</f>
        <v>2.48984932586145</v>
      </c>
      <c r="D352" s="0" t="str">
        <f aca="false">IF(AND(B352&gt;=C352,B352&gt;=K352),"A. Distribution",IF(C352&gt;=K352,"B. Manufacturing","C. Prof. services"))</f>
        <v>A. Distribution</v>
      </c>
      <c r="E352" s="39" t="n">
        <v>0.144725560538128</v>
      </c>
      <c r="F352" s="39" t="n">
        <v>0.24315819017043</v>
      </c>
      <c r="G352" s="39" t="n">
        <v>0.446430652787817</v>
      </c>
      <c r="H352" s="39" t="n">
        <v>0.0483677174428288</v>
      </c>
      <c r="I352" s="39" t="n">
        <v>0.0614817593878264</v>
      </c>
      <c r="J352" s="39" t="n">
        <v>0.0558361196729695</v>
      </c>
      <c r="K352" s="38" t="n">
        <f aca="false">E352*Scorecard!$E$18+F352*Scorecard!$E$19+G352*Scorecard!$E$20+H352*Scorecard!$E$21+I352*Scorecard!$E$22+J352*Scorecard!$E$23</f>
        <v>3.54658802775423</v>
      </c>
      <c r="M352" s="0" t="str">
        <f aca="false">IF(AND(T352&gt;=U352,T352&gt;=V352),"A. Distribution",IF(U352&gt;=V352,"B. Manufacturing","C. Prof. services"))</f>
        <v>A. Distribution</v>
      </c>
      <c r="N352" s="39" t="n">
        <v>0.116069640510011</v>
      </c>
      <c r="O352" s="39" t="n">
        <v>0.293757611702625</v>
      </c>
      <c r="P352" s="39" t="n">
        <v>0.205364191770176</v>
      </c>
      <c r="Q352" s="39" t="n">
        <v>0.0638486323176835</v>
      </c>
      <c r="R352" s="39" t="n">
        <v>0.201271176900378</v>
      </c>
      <c r="S352" s="39" t="n">
        <v>0.119688746799126</v>
      </c>
      <c r="T352" s="38" t="n">
        <f aca="false">N352*Scorecard!$C$18+O352*Scorecard!$C$19+P352*Scorecard!$C$20+Q352*Scorecard!$C$21+R352*Scorecard!$C$22+S352*Scorecard!$C$23</f>
        <v>4.03818153375936</v>
      </c>
      <c r="U352" s="38" t="n">
        <f aca="false">N352*Scorecard!$D$18+O352*Scorecard!$D$19+P352*Scorecard!$D$20+Q352*Scorecard!$D$21+R352*Scorecard!$D$22+S352*Scorecard!$D$23</f>
        <v>2.61765711657974</v>
      </c>
      <c r="V352" s="38" t="n">
        <f aca="false">N352*Scorecard!$E$18+O352*Scorecard!$E$19+P352*Scorecard!$E$20+Q352*Scorecard!$E$21+R352*Scorecard!$E$22+S352*Scorecard!$E$23</f>
        <v>3.29430438382161</v>
      </c>
    </row>
    <row r="353" customFormat="false" ht="15" hidden="false" customHeight="false" outlineLevel="0" collapsed="false">
      <c r="A353" s="0" t="n">
        <v>348</v>
      </c>
      <c r="B353" s="38" t="n">
        <f aca="false">E353*Scorecard!$C$18+F353*Scorecard!$C$19+G353*Scorecard!$C$20+H353*Scorecard!$C$21+I353*Scorecard!$C$22+J353*Scorecard!$C$23</f>
        <v>2.77473862907914</v>
      </c>
      <c r="C353" s="38" t="n">
        <f aca="false">E353*Scorecard!$D$18+F353*Scorecard!$D$19+G353*Scorecard!$D$20+H353*Scorecard!$D$21+I353*Scorecard!$D$22+J353*Scorecard!$D$23</f>
        <v>1.94899262145339</v>
      </c>
      <c r="D353" s="0" t="str">
        <f aca="false">IF(AND(B353&gt;=C353,B353&gt;=K353),"A. Distribution",IF(C353&gt;=K353,"B. Manufacturing","C. Prof. services"))</f>
        <v>C. Prof. services</v>
      </c>
      <c r="E353" s="39" t="n">
        <v>0.0103323641726088</v>
      </c>
      <c r="F353" s="39" t="n">
        <v>0.0383502383365535</v>
      </c>
      <c r="G353" s="39" t="n">
        <v>0.0235489176356355</v>
      </c>
      <c r="H353" s="39" t="n">
        <v>0.182217901602573</v>
      </c>
      <c r="I353" s="39" t="n">
        <v>0.123976592618312</v>
      </c>
      <c r="J353" s="39" t="n">
        <v>0.621573985634318</v>
      </c>
      <c r="K353" s="38" t="n">
        <f aca="false">E353*Scorecard!$E$18+F353*Scorecard!$E$19+G353*Scorecard!$E$20+H353*Scorecard!$E$21+I353*Scorecard!$E$22+J353*Scorecard!$E$23</f>
        <v>3.99354538796509</v>
      </c>
      <c r="M353" s="0" t="str">
        <f aca="false">IF(AND(T353&gt;=U353,T353&gt;=V353),"A. Distribution",IF(U353&gt;=V353,"B. Manufacturing","C. Prof. services"))</f>
        <v>A. Distribution</v>
      </c>
      <c r="N353" s="39" t="n">
        <v>0.189818616835209</v>
      </c>
      <c r="O353" s="39" t="n">
        <v>0.2315334992579</v>
      </c>
      <c r="P353" s="39" t="n">
        <v>0.108325512961644</v>
      </c>
      <c r="Q353" s="39" t="n">
        <v>0.161754266391325</v>
      </c>
      <c r="R353" s="39" t="n">
        <v>0.148204185568481</v>
      </c>
      <c r="S353" s="39" t="n">
        <v>0.160363918985441</v>
      </c>
      <c r="T353" s="38" t="n">
        <f aca="false">N353*Scorecard!$C$18+O353*Scorecard!$C$19+P353*Scorecard!$C$20+Q353*Scorecard!$C$21+R353*Scorecard!$C$22+S353*Scorecard!$C$23</f>
        <v>3.87813662018292</v>
      </c>
      <c r="U353" s="38" t="n">
        <f aca="false">N353*Scorecard!$D$18+O353*Scorecard!$D$19+P353*Scorecard!$D$20+Q353*Scorecard!$D$21+R353*Scorecard!$D$22+S353*Scorecard!$D$23</f>
        <v>2.67143118166856</v>
      </c>
      <c r="V353" s="38" t="n">
        <f aca="false">N353*Scorecard!$E$18+O353*Scorecard!$E$19+P353*Scorecard!$E$20+Q353*Scorecard!$E$21+R353*Scorecard!$E$22+S353*Scorecard!$E$23</f>
        <v>3.40857549945508</v>
      </c>
    </row>
    <row r="354" customFormat="false" ht="15" hidden="false" customHeight="false" outlineLevel="0" collapsed="false">
      <c r="A354" s="0" t="n">
        <v>349</v>
      </c>
      <c r="B354" s="38" t="n">
        <f aca="false">E354*Scorecard!$C$18+F354*Scorecard!$C$19+G354*Scorecard!$C$20+H354*Scorecard!$C$21+I354*Scorecard!$C$22+J354*Scorecard!$C$23</f>
        <v>3.77878103501743</v>
      </c>
      <c r="C354" s="38" t="n">
        <f aca="false">E354*Scorecard!$D$18+F354*Scorecard!$D$19+G354*Scorecard!$D$20+H354*Scorecard!$D$21+I354*Scorecard!$D$22+J354*Scorecard!$D$23</f>
        <v>2.27285987981112</v>
      </c>
      <c r="D354" s="0" t="str">
        <f aca="false">IF(AND(B354&gt;=C354,B354&gt;=K354),"A. Distribution",IF(C354&gt;=K354,"B. Manufacturing","C. Prof. services"))</f>
        <v>A. Distribution</v>
      </c>
      <c r="E354" s="39" t="n">
        <v>0.0118129897155191</v>
      </c>
      <c r="F354" s="39" t="n">
        <v>0.132763057787252</v>
      </c>
      <c r="G354" s="39" t="n">
        <v>0.210554341340614</v>
      </c>
      <c r="H354" s="39" t="n">
        <v>0.379490871992881</v>
      </c>
      <c r="I354" s="39" t="n">
        <v>0.109307123255807</v>
      </c>
      <c r="J354" s="39" t="n">
        <v>0.156071615907927</v>
      </c>
      <c r="K354" s="38" t="n">
        <f aca="false">E354*Scorecard!$E$18+F354*Scorecard!$E$19+G354*Scorecard!$E$20+H354*Scorecard!$E$21+I354*Scorecard!$E$22+J354*Scorecard!$E$23</f>
        <v>3.60711748802988</v>
      </c>
      <c r="M354" s="0" t="str">
        <f aca="false">IF(AND(T354&gt;=U354,T354&gt;=V354),"A. Distribution",IF(U354&gt;=V354,"B. Manufacturing","C. Prof. services"))</f>
        <v>A. Distribution</v>
      </c>
      <c r="N354" s="39" t="n">
        <v>0.136627248267921</v>
      </c>
      <c r="O354" s="39" t="n">
        <v>0.31389352964633</v>
      </c>
      <c r="P354" s="39" t="n">
        <v>0.26493170944887</v>
      </c>
      <c r="Q354" s="39" t="n">
        <v>0.130614979452059</v>
      </c>
      <c r="R354" s="39" t="n">
        <v>0.14086543634493</v>
      </c>
      <c r="S354" s="39" t="n">
        <v>0.0130670968398902</v>
      </c>
      <c r="T354" s="38" t="n">
        <f aca="false">N354*Scorecard!$C$18+O354*Scorecard!$C$19+P354*Scorecard!$C$20+Q354*Scorecard!$C$21+R354*Scorecard!$C$22+S354*Scorecard!$C$23</f>
        <v>4.26271613457527</v>
      </c>
      <c r="U354" s="38" t="n">
        <f aca="false">N354*Scorecard!$D$18+O354*Scorecard!$D$19+P354*Scorecard!$D$20+Q354*Scorecard!$D$21+R354*Scorecard!$D$22+S354*Scorecard!$D$23</f>
        <v>2.66220607426349</v>
      </c>
      <c r="V354" s="38" t="n">
        <f aca="false">N354*Scorecard!$E$18+O354*Scorecard!$E$19+P354*Scorecard!$E$20+Q354*Scorecard!$E$21+R354*Scorecard!$E$22+S354*Scorecard!$E$23</f>
        <v>3.28548450547748</v>
      </c>
    </row>
    <row r="355" customFormat="false" ht="15" hidden="false" customHeight="false" outlineLevel="0" collapsed="false">
      <c r="A355" s="0" t="n">
        <v>350</v>
      </c>
      <c r="B355" s="38" t="n">
        <f aca="false">E355*Scorecard!$C$18+F355*Scorecard!$C$19+G355*Scorecard!$C$20+H355*Scorecard!$C$21+I355*Scorecard!$C$22+J355*Scorecard!$C$23</f>
        <v>3.89357051069076</v>
      </c>
      <c r="C355" s="38" t="n">
        <f aca="false">E355*Scorecard!$D$18+F355*Scorecard!$D$19+G355*Scorecard!$D$20+H355*Scorecard!$D$21+I355*Scorecard!$D$22+J355*Scorecard!$D$23</f>
        <v>2.56705228164076</v>
      </c>
      <c r="D355" s="0" t="str">
        <f aca="false">IF(AND(B355&gt;=C355,B355&gt;=K355),"A. Distribution",IF(C355&gt;=K355,"B. Manufacturing","C. Prof. services"))</f>
        <v>A. Distribution</v>
      </c>
      <c r="E355" s="39" t="n">
        <v>0.0540341796137835</v>
      </c>
      <c r="F355" s="39" t="n">
        <v>0.23336212137559</v>
      </c>
      <c r="G355" s="39" t="n">
        <v>0.0533672576258182</v>
      </c>
      <c r="H355" s="39" t="n">
        <v>0.251929779419439</v>
      </c>
      <c r="I355" s="39" t="n">
        <v>0.253152762331164</v>
      </c>
      <c r="J355" s="39" t="n">
        <v>0.154153899634206</v>
      </c>
      <c r="K355" s="38" t="n">
        <f aca="false">E355*Scorecard!$E$18+F355*Scorecard!$E$19+G355*Scorecard!$E$20+H355*Scorecard!$E$21+I355*Scorecard!$E$22+J355*Scorecard!$E$23</f>
        <v>3.26676471841693</v>
      </c>
      <c r="M355" s="0" t="str">
        <f aca="false">IF(AND(T355&gt;=U355,T355&gt;=V355),"A. Distribution",IF(U355&gt;=V355,"B. Manufacturing","C. Prof. services"))</f>
        <v>A. Distribution</v>
      </c>
      <c r="N355" s="39" t="n">
        <v>0.148962321027555</v>
      </c>
      <c r="O355" s="39" t="n">
        <v>0.201739957337251</v>
      </c>
      <c r="P355" s="39" t="n">
        <v>0.132080697140889</v>
      </c>
      <c r="Q355" s="39" t="n">
        <v>0.179068601384591</v>
      </c>
      <c r="R355" s="39" t="n">
        <v>0.135742953275154</v>
      </c>
      <c r="S355" s="39" t="n">
        <v>0.20240546983456</v>
      </c>
      <c r="T355" s="38" t="n">
        <f aca="false">N355*Scorecard!$C$18+O355*Scorecard!$C$19+P355*Scorecard!$C$20+Q355*Scorecard!$C$21+R355*Scorecard!$C$22+S355*Scorecard!$C$23</f>
        <v>3.76567456690848</v>
      </c>
      <c r="U355" s="38" t="n">
        <f aca="false">N355*Scorecard!$D$18+O355*Scorecard!$D$19+P355*Scorecard!$D$20+Q355*Scorecard!$D$21+R355*Scorecard!$D$22+S355*Scorecard!$D$23</f>
        <v>2.54040545087945</v>
      </c>
      <c r="V355" s="38" t="n">
        <f aca="false">N355*Scorecard!$E$18+O355*Scorecard!$E$19+P355*Scorecard!$E$20+Q355*Scorecard!$E$21+R355*Scorecard!$E$22+S355*Scorecard!$E$23</f>
        <v>3.50074619667122</v>
      </c>
    </row>
    <row r="356" customFormat="false" ht="15" hidden="false" customHeight="false" outlineLevel="0" collapsed="false">
      <c r="A356" s="0" t="n">
        <v>351</v>
      </c>
      <c r="B356" s="38" t="n">
        <f aca="false">E356*Scorecard!$C$18+F356*Scorecard!$C$19+G356*Scorecard!$C$20+H356*Scorecard!$C$21+I356*Scorecard!$C$22+J356*Scorecard!$C$23</f>
        <v>3.93539808876642</v>
      </c>
      <c r="C356" s="38" t="n">
        <f aca="false">E356*Scorecard!$D$18+F356*Scorecard!$D$19+G356*Scorecard!$D$20+H356*Scorecard!$D$21+I356*Scorecard!$D$22+J356*Scorecard!$D$23</f>
        <v>3.13023609008837</v>
      </c>
      <c r="D356" s="0" t="str">
        <f aca="false">IF(AND(B356&gt;=C356,B356&gt;=K356),"A. Distribution",IF(C356&gt;=K356,"B. Manufacturing","C. Prof. services"))</f>
        <v>A. Distribution</v>
      </c>
      <c r="E356" s="39" t="n">
        <v>0.030281205430095</v>
      </c>
      <c r="F356" s="39" t="n">
        <v>0.00972385433583755</v>
      </c>
      <c r="G356" s="39" t="n">
        <v>0.0468974438368219</v>
      </c>
      <c r="H356" s="39" t="n">
        <v>0.0930905023321841</v>
      </c>
      <c r="I356" s="39" t="n">
        <v>0.789074979522249</v>
      </c>
      <c r="J356" s="39" t="n">
        <v>0.030932014542812</v>
      </c>
      <c r="K356" s="38" t="n">
        <f aca="false">E356*Scorecard!$E$18+F356*Scorecard!$E$19+G356*Scorecard!$E$20+H356*Scorecard!$E$21+I356*Scorecard!$E$22+J356*Scorecard!$E$23</f>
        <v>2.64310241339526</v>
      </c>
      <c r="M356" s="0" t="str">
        <f aca="false">IF(AND(T356&gt;=U356,T356&gt;=V356),"A. Distribution",IF(U356&gt;=V356,"B. Manufacturing","C. Prof. services"))</f>
        <v>A. Distribution</v>
      </c>
      <c r="N356" s="39" t="n">
        <v>0.152147706781193</v>
      </c>
      <c r="O356" s="39" t="n">
        <v>0.266839443703442</v>
      </c>
      <c r="P356" s="39" t="n">
        <v>0.108606618692691</v>
      </c>
      <c r="Q356" s="39" t="n">
        <v>0.13635235524939</v>
      </c>
      <c r="R356" s="39" t="n">
        <v>0.192285136663211</v>
      </c>
      <c r="S356" s="39" t="n">
        <v>0.143768738910073</v>
      </c>
      <c r="T356" s="38" t="n">
        <f aca="false">N356*Scorecard!$C$18+O356*Scorecard!$C$19+P356*Scorecard!$C$20+Q356*Scorecard!$C$21+R356*Scorecard!$C$22+S356*Scorecard!$C$23</f>
        <v>3.9523944713715</v>
      </c>
      <c r="U356" s="38" t="n">
        <f aca="false">N356*Scorecard!$D$18+O356*Scorecard!$D$19+P356*Scorecard!$D$20+Q356*Scorecard!$D$21+R356*Scorecard!$D$22+S356*Scorecard!$D$23</f>
        <v>2.67356281564633</v>
      </c>
      <c r="V356" s="38" t="n">
        <f aca="false">N356*Scorecard!$E$18+O356*Scorecard!$E$19+P356*Scorecard!$E$20+Q356*Scorecard!$E$21+R356*Scorecard!$E$22+S356*Scorecard!$E$23</f>
        <v>3.3117466302135</v>
      </c>
    </row>
    <row r="357" customFormat="false" ht="15" hidden="false" customHeight="false" outlineLevel="0" collapsed="false">
      <c r="A357" s="0" t="n">
        <v>352</v>
      </c>
      <c r="B357" s="38" t="n">
        <f aca="false">E357*Scorecard!$C$18+F357*Scorecard!$C$19+G357*Scorecard!$C$20+H357*Scorecard!$C$21+I357*Scorecard!$C$22+J357*Scorecard!$C$23</f>
        <v>3.7137986470155</v>
      </c>
      <c r="C357" s="38" t="n">
        <f aca="false">E357*Scorecard!$D$18+F357*Scorecard!$D$19+G357*Scorecard!$D$20+H357*Scorecard!$D$21+I357*Scorecard!$D$22+J357*Scorecard!$D$23</f>
        <v>2.17573857941585</v>
      </c>
      <c r="D357" s="0" t="str">
        <f aca="false">IF(AND(B357&gt;=C357,B357&gt;=K357),"A. Distribution",IF(C357&gt;=K357,"B. Manufacturing","C. Prof. services"))</f>
        <v>C. Prof. services</v>
      </c>
      <c r="E357" s="39" t="n">
        <v>0.0351811464897355</v>
      </c>
      <c r="F357" s="39" t="n">
        <v>0.0222757349188144</v>
      </c>
      <c r="G357" s="39" t="n">
        <v>0.543878917422614</v>
      </c>
      <c r="H357" s="39" t="n">
        <v>0.168328677328303</v>
      </c>
      <c r="I357" s="39" t="n">
        <v>0.0865780271086708</v>
      </c>
      <c r="J357" s="39" t="n">
        <v>0.143757496731863</v>
      </c>
      <c r="K357" s="38" t="n">
        <f aca="false">E357*Scorecard!$E$18+F357*Scorecard!$E$19+G357*Scorecard!$E$20+H357*Scorecard!$E$21+I357*Scorecard!$E$22+J357*Scorecard!$E$23</f>
        <v>3.82830352255908</v>
      </c>
      <c r="M357" s="0" t="str">
        <f aca="false">IF(AND(T357&gt;=U357,T357&gt;=V357),"A. Distribution",IF(U357&gt;=V357,"B. Manufacturing","C. Prof. services"))</f>
        <v>A. Distribution</v>
      </c>
      <c r="N357" s="39" t="n">
        <v>0.147785086202575</v>
      </c>
      <c r="O357" s="39" t="n">
        <v>0.27710242277845</v>
      </c>
      <c r="P357" s="39" t="n">
        <v>0.302083208353636</v>
      </c>
      <c r="Q357" s="39" t="n">
        <v>0.0891401037708648</v>
      </c>
      <c r="R357" s="39" t="n">
        <v>0.116364268318039</v>
      </c>
      <c r="S357" s="39" t="n">
        <v>0.0675249105764353</v>
      </c>
      <c r="T357" s="38" t="n">
        <f aca="false">N357*Scorecard!$C$18+O357*Scorecard!$C$19+P357*Scorecard!$C$20+Q357*Scorecard!$C$21+R357*Scorecard!$C$22+S357*Scorecard!$C$23</f>
        <v>4.12058251563797</v>
      </c>
      <c r="U357" s="38" t="n">
        <f aca="false">N357*Scorecard!$D$18+O357*Scorecard!$D$19+P357*Scorecard!$D$20+Q357*Scorecard!$D$21+R357*Scorecard!$D$22+S357*Scorecard!$D$23</f>
        <v>2.59327114066236</v>
      </c>
      <c r="V357" s="38" t="n">
        <f aca="false">N357*Scorecard!$E$18+O357*Scorecard!$E$19+P357*Scorecard!$E$20+Q357*Scorecard!$E$21+R357*Scorecard!$E$22+S357*Scorecard!$E$23</f>
        <v>3.40551677253047</v>
      </c>
    </row>
    <row r="358" customFormat="false" ht="15" hidden="false" customHeight="false" outlineLevel="0" collapsed="false">
      <c r="A358" s="0" t="n">
        <v>353</v>
      </c>
      <c r="B358" s="38" t="n">
        <f aca="false">E358*Scorecard!$C$18+F358*Scorecard!$C$19+G358*Scorecard!$C$20+H358*Scorecard!$C$21+I358*Scorecard!$C$22+J358*Scorecard!$C$23</f>
        <v>3.47934566931878</v>
      </c>
      <c r="C358" s="38" t="n">
        <f aca="false">E358*Scorecard!$D$18+F358*Scorecard!$D$19+G358*Scorecard!$D$20+H358*Scorecard!$D$21+I358*Scorecard!$D$22+J358*Scorecard!$D$23</f>
        <v>2.42977397134216</v>
      </c>
      <c r="D358" s="0" t="str">
        <f aca="false">IF(AND(B358&gt;=C358,B358&gt;=K358),"A. Distribution",IF(C358&gt;=K358,"B. Manufacturing","C. Prof. services"))</f>
        <v>C. Prof. services</v>
      </c>
      <c r="E358" s="39" t="n">
        <v>0.0794617178499333</v>
      </c>
      <c r="F358" s="39" t="n">
        <v>0.108196830557952</v>
      </c>
      <c r="G358" s="39" t="n">
        <v>0.190406021242339</v>
      </c>
      <c r="H358" s="39" t="n">
        <v>0.0498440727896946</v>
      </c>
      <c r="I358" s="39" t="n">
        <v>0.263541003392235</v>
      </c>
      <c r="J358" s="39" t="n">
        <v>0.308550354167846</v>
      </c>
      <c r="K358" s="38" t="n">
        <f aca="false">E358*Scorecard!$E$18+F358*Scorecard!$E$19+G358*Scorecard!$E$20+H358*Scorecard!$E$21+I358*Scorecard!$E$22+J358*Scorecard!$E$23</f>
        <v>3.52965729147971</v>
      </c>
      <c r="M358" s="0" t="str">
        <f aca="false">IF(AND(T358&gt;=U358,T358&gt;=V358),"A. Distribution",IF(U358&gt;=V358,"B. Manufacturing","C. Prof. services"))</f>
        <v>A. Distribution</v>
      </c>
      <c r="N358" s="39" t="n">
        <v>0.119385564087282</v>
      </c>
      <c r="O358" s="39" t="n">
        <v>0.254978424847068</v>
      </c>
      <c r="P358" s="39" t="n">
        <v>0.253748112644004</v>
      </c>
      <c r="Q358" s="39" t="n">
        <v>0.0972733918473839</v>
      </c>
      <c r="R358" s="39" t="n">
        <v>0.147852106513126</v>
      </c>
      <c r="S358" s="39" t="n">
        <v>0.126762400061136</v>
      </c>
      <c r="T358" s="38" t="n">
        <f aca="false">N358*Scorecard!$C$18+O358*Scorecard!$C$19+P358*Scorecard!$C$20+Q358*Scorecard!$C$21+R358*Scorecard!$C$22+S358*Scorecard!$C$23</f>
        <v>3.98138727812698</v>
      </c>
      <c r="U358" s="38" t="n">
        <f aca="false">N358*Scorecard!$D$18+O358*Scorecard!$D$19+P358*Scorecard!$D$20+Q358*Scorecard!$D$21+R358*Scorecard!$D$22+S358*Scorecard!$D$23</f>
        <v>2.53882898780538</v>
      </c>
      <c r="V358" s="38" t="n">
        <f aca="false">N358*Scorecard!$E$18+O358*Scorecard!$E$19+P358*Scorecard!$E$20+Q358*Scorecard!$E$21+R358*Scorecard!$E$22+S358*Scorecard!$E$23</f>
        <v>3.42064172338459</v>
      </c>
    </row>
    <row r="359" customFormat="false" ht="15" hidden="false" customHeight="false" outlineLevel="0" collapsed="false">
      <c r="A359" s="0" t="n">
        <v>354</v>
      </c>
      <c r="B359" s="38" t="n">
        <f aca="false">E359*Scorecard!$C$18+F359*Scorecard!$C$19+G359*Scorecard!$C$20+H359*Scorecard!$C$21+I359*Scorecard!$C$22+J359*Scorecard!$C$23</f>
        <v>2.68506499958303</v>
      </c>
      <c r="C359" s="38" t="n">
        <f aca="false">E359*Scorecard!$D$18+F359*Scorecard!$D$19+G359*Scorecard!$D$20+H359*Scorecard!$D$21+I359*Scorecard!$D$22+J359*Scorecard!$D$23</f>
        <v>1.8468140958079</v>
      </c>
      <c r="D359" s="0" t="str">
        <f aca="false">IF(AND(B359&gt;=C359,B359&gt;=K359),"A. Distribution",IF(C359&gt;=K359,"B. Manufacturing","C. Prof. services"))</f>
        <v>C. Prof. services</v>
      </c>
      <c r="E359" s="39" t="n">
        <v>0.0185164973414894</v>
      </c>
      <c r="F359" s="39" t="n">
        <v>0.0201777781437206</v>
      </c>
      <c r="G359" s="39" t="n">
        <v>0.0724719555016886</v>
      </c>
      <c r="H359" s="39" t="n">
        <v>0.174002216270519</v>
      </c>
      <c r="I359" s="39" t="n">
        <v>0.0573928988151173</v>
      </c>
      <c r="J359" s="39" t="n">
        <v>0.657438653927465</v>
      </c>
      <c r="K359" s="38" t="n">
        <f aca="false">E359*Scorecard!$E$18+F359*Scorecard!$E$19+G359*Scorecard!$E$20+H359*Scorecard!$E$21+I359*Scorecard!$E$22+J359*Scorecard!$E$23</f>
        <v>4.14277153712659</v>
      </c>
      <c r="M359" s="0" t="str">
        <f aca="false">IF(AND(T359&gt;=U359,T359&gt;=V359),"A. Distribution",IF(U359&gt;=V359,"B. Manufacturing","C. Prof. services"))</f>
        <v>A. Distribution</v>
      </c>
      <c r="N359" s="39" t="n">
        <v>0.2476153551989</v>
      </c>
      <c r="O359" s="39" t="n">
        <v>0.195071865121901</v>
      </c>
      <c r="P359" s="39" t="n">
        <v>0.160736960044557</v>
      </c>
      <c r="Q359" s="39" t="n">
        <v>0.230378208672245</v>
      </c>
      <c r="R359" s="39" t="n">
        <v>0.0798975569078549</v>
      </c>
      <c r="S359" s="39" t="n">
        <v>0.0863000540545416</v>
      </c>
      <c r="T359" s="38" t="n">
        <f aca="false">N359*Scorecard!$C$18+O359*Scorecard!$C$19+P359*Scorecard!$C$20+Q359*Scorecard!$C$21+R359*Scorecard!$C$22+S359*Scorecard!$C$23</f>
        <v>3.97776813231257</v>
      </c>
      <c r="U359" s="38" t="n">
        <f aca="false">N359*Scorecard!$D$18+O359*Scorecard!$D$19+P359*Scorecard!$D$20+Q359*Scorecard!$D$21+R359*Scorecard!$D$22+S359*Scorecard!$D$23</f>
        <v>2.73507039956435</v>
      </c>
      <c r="V359" s="38" t="n">
        <f aca="false">N359*Scorecard!$E$18+O359*Scorecard!$E$19+P359*Scorecard!$E$20+Q359*Scorecard!$E$21+R359*Scorecard!$E$22+S359*Scorecard!$E$23</f>
        <v>3.47763352022734</v>
      </c>
    </row>
    <row r="360" customFormat="false" ht="15" hidden="false" customHeight="false" outlineLevel="0" collapsed="false">
      <c r="A360" s="0" t="n">
        <v>355</v>
      </c>
      <c r="B360" s="38" t="n">
        <f aca="false">E360*Scorecard!$C$18+F360*Scorecard!$C$19+G360*Scorecard!$C$20+H360*Scorecard!$C$21+I360*Scorecard!$C$22+J360*Scorecard!$C$23</f>
        <v>3.32528419817152</v>
      </c>
      <c r="C360" s="38" t="n">
        <f aca="false">E360*Scorecard!$D$18+F360*Scorecard!$D$19+G360*Scorecard!$D$20+H360*Scorecard!$D$21+I360*Scorecard!$D$22+J360*Scorecard!$D$23</f>
        <v>2.503249874427</v>
      </c>
      <c r="D360" s="0" t="str">
        <f aca="false">IF(AND(B360&gt;=C360,B360&gt;=K360),"A. Distribution",IF(C360&gt;=K360,"B. Manufacturing","C. Prof. services"))</f>
        <v>C. Prof. services</v>
      </c>
      <c r="E360" s="39" t="n">
        <v>0.277622191860156</v>
      </c>
      <c r="F360" s="39" t="n">
        <v>0.00911671431774842</v>
      </c>
      <c r="G360" s="39" t="n">
        <v>0.147852372134408</v>
      </c>
      <c r="H360" s="39" t="n">
        <v>0.223672162234716</v>
      </c>
      <c r="I360" s="39" t="n">
        <v>0.0230153995350485</v>
      </c>
      <c r="J360" s="39" t="n">
        <v>0.318721159917923</v>
      </c>
      <c r="K360" s="38" t="n">
        <f aca="false">E360*Scorecard!$E$18+F360*Scorecard!$E$19+G360*Scorecard!$E$20+H360*Scorecard!$E$21+I360*Scorecard!$E$22+J360*Scorecard!$E$23</f>
        <v>3.89813367849678</v>
      </c>
      <c r="M360" s="0" t="str">
        <f aca="false">IF(AND(T360&gt;=U360,T360&gt;=V360),"A. Distribution",IF(U360&gt;=V360,"B. Manufacturing","C. Prof. services"))</f>
        <v>C. Prof. services</v>
      </c>
      <c r="N360" s="39" t="n">
        <v>0.186814764866677</v>
      </c>
      <c r="O360" s="39" t="n">
        <v>0.121475468876542</v>
      </c>
      <c r="P360" s="39" t="n">
        <v>0.219646732610389</v>
      </c>
      <c r="Q360" s="39" t="n">
        <v>0.151897717707201</v>
      </c>
      <c r="R360" s="39" t="n">
        <v>0.10102677043293</v>
      </c>
      <c r="S360" s="39" t="n">
        <v>0.21913854550626</v>
      </c>
      <c r="T360" s="38" t="n">
        <f aca="false">N360*Scorecard!$C$18+O360*Scorecard!$C$19+P360*Scorecard!$C$20+Q360*Scorecard!$C$21+R360*Scorecard!$C$22+S360*Scorecard!$C$23</f>
        <v>3.65183255524215</v>
      </c>
      <c r="U360" s="38" t="n">
        <f aca="false">N360*Scorecard!$D$18+O360*Scorecard!$D$19+P360*Scorecard!$D$20+Q360*Scorecard!$D$21+R360*Scorecard!$D$22+S360*Scorecard!$D$23</f>
        <v>2.5118727554024</v>
      </c>
      <c r="V360" s="38" t="n">
        <f aca="false">N360*Scorecard!$E$18+O360*Scorecard!$E$19+P360*Scorecard!$E$20+Q360*Scorecard!$E$21+R360*Scorecard!$E$22+S360*Scorecard!$E$23</f>
        <v>3.65288453279377</v>
      </c>
    </row>
    <row r="361" customFormat="false" ht="15" hidden="false" customHeight="false" outlineLevel="0" collapsed="false">
      <c r="A361" s="0" t="n">
        <v>356</v>
      </c>
      <c r="B361" s="38" t="n">
        <f aca="false">E361*Scorecard!$C$18+F361*Scorecard!$C$19+G361*Scorecard!$C$20+H361*Scorecard!$C$21+I361*Scorecard!$C$22+J361*Scorecard!$C$23</f>
        <v>3.87395609848822</v>
      </c>
      <c r="C361" s="38" t="n">
        <f aca="false">E361*Scorecard!$D$18+F361*Scorecard!$D$19+G361*Scorecard!$D$20+H361*Scorecard!$D$21+I361*Scorecard!$D$22+J361*Scorecard!$D$23</f>
        <v>2.67322621140859</v>
      </c>
      <c r="D361" s="0" t="str">
        <f aca="false">IF(AND(B361&gt;=C361,B361&gt;=K361),"A. Distribution",IF(C361&gt;=K361,"B. Manufacturing","C. Prof. services"))</f>
        <v>A. Distribution</v>
      </c>
      <c r="E361" s="39" t="n">
        <v>0.0874347604949175</v>
      </c>
      <c r="F361" s="39" t="n">
        <v>0.0829921714354711</v>
      </c>
      <c r="G361" s="39" t="n">
        <v>0.334761497721406</v>
      </c>
      <c r="H361" s="39" t="n">
        <v>0.0235688573759281</v>
      </c>
      <c r="I361" s="39" t="n">
        <v>0.371504382938667</v>
      </c>
      <c r="J361" s="39" t="n">
        <v>0.0997383300336105</v>
      </c>
      <c r="K361" s="38" t="n">
        <f aca="false">E361*Scorecard!$E$18+F361*Scorecard!$E$19+G361*Scorecard!$E$20+H361*Scorecard!$E$21+I361*Scorecard!$E$22+J361*Scorecard!$E$23</f>
        <v>3.28004628563948</v>
      </c>
      <c r="M361" s="0" t="str">
        <f aca="false">IF(AND(T361&gt;=U361,T361&gt;=V361),"A. Distribution",IF(U361&gt;=V361,"B. Manufacturing","C. Prof. services"))</f>
        <v>A. Distribution</v>
      </c>
      <c r="N361" s="39" t="n">
        <v>0.20188027661277</v>
      </c>
      <c r="O361" s="39" t="n">
        <v>0.151997468255735</v>
      </c>
      <c r="P361" s="39" t="n">
        <v>0.214687426899192</v>
      </c>
      <c r="Q361" s="39" t="n">
        <v>0.184987141457967</v>
      </c>
      <c r="R361" s="39" t="n">
        <v>0.202507034094561</v>
      </c>
      <c r="S361" s="39" t="n">
        <v>0.0439406526797749</v>
      </c>
      <c r="T361" s="38" t="n">
        <f aca="false">N361*Scorecard!$C$18+O361*Scorecard!$C$19+P361*Scorecard!$C$20+Q361*Scorecard!$C$21+R361*Scorecard!$C$22+S361*Scorecard!$C$23</f>
        <v>4.02797537414384</v>
      </c>
      <c r="U361" s="38" t="n">
        <f aca="false">N361*Scorecard!$D$18+O361*Scorecard!$D$19+P361*Scorecard!$D$20+Q361*Scorecard!$D$21+R361*Scorecard!$D$22+S361*Scorecard!$D$23</f>
        <v>2.79110006622385</v>
      </c>
      <c r="V361" s="38" t="n">
        <f aca="false">N361*Scorecard!$E$18+O361*Scorecard!$E$19+P361*Scorecard!$E$20+Q361*Scorecard!$E$21+R361*Scorecard!$E$22+S361*Scorecard!$E$23</f>
        <v>3.3413063755004</v>
      </c>
    </row>
    <row r="362" customFormat="false" ht="15" hidden="false" customHeight="false" outlineLevel="0" collapsed="false">
      <c r="A362" s="0" t="n">
        <v>357</v>
      </c>
      <c r="B362" s="38" t="n">
        <f aca="false">E362*Scorecard!$C$18+F362*Scorecard!$C$19+G362*Scorecard!$C$20+H362*Scorecard!$C$21+I362*Scorecard!$C$22+J362*Scorecard!$C$23</f>
        <v>3.48802438201641</v>
      </c>
      <c r="C362" s="38" t="n">
        <f aca="false">E362*Scorecard!$D$18+F362*Scorecard!$D$19+G362*Scorecard!$D$20+H362*Scorecard!$D$21+I362*Scorecard!$D$22+J362*Scorecard!$D$23</f>
        <v>2.2319106355675</v>
      </c>
      <c r="D362" s="0" t="str">
        <f aca="false">IF(AND(B362&gt;=C362,B362&gt;=K362),"A. Distribution",IF(C362&gt;=K362,"B. Manufacturing","C. Prof. services"))</f>
        <v>C. Prof. services</v>
      </c>
      <c r="E362" s="39" t="n">
        <v>0.0378153426986741</v>
      </c>
      <c r="F362" s="39" t="n">
        <v>0.190530701577466</v>
      </c>
      <c r="G362" s="39" t="n">
        <v>0.108192267915941</v>
      </c>
      <c r="H362" s="39" t="n">
        <v>0.200553391906242</v>
      </c>
      <c r="I362" s="39" t="n">
        <v>0.123978044848633</v>
      </c>
      <c r="J362" s="39" t="n">
        <v>0.338930251053044</v>
      </c>
      <c r="K362" s="38" t="n">
        <f aca="false">E362*Scorecard!$E$18+F362*Scorecard!$E$19+G362*Scorecard!$E$20+H362*Scorecard!$E$21+I362*Scorecard!$E$22+J362*Scorecard!$E$23</f>
        <v>3.65056324082868</v>
      </c>
      <c r="M362" s="0" t="str">
        <f aca="false">IF(AND(T362&gt;=U362,T362&gt;=V362),"A. Distribution",IF(U362&gt;=V362,"B. Manufacturing","C. Prof. services"))</f>
        <v>A. Distribution</v>
      </c>
      <c r="N362" s="39" t="n">
        <v>0.26144870647155</v>
      </c>
      <c r="O362" s="39" t="n">
        <v>0.168462261265775</v>
      </c>
      <c r="P362" s="39" t="n">
        <v>0.199167480387319</v>
      </c>
      <c r="Q362" s="39" t="n">
        <v>0.0955705847099593</v>
      </c>
      <c r="R362" s="39" t="n">
        <v>0.132658213466192</v>
      </c>
      <c r="S362" s="39" t="n">
        <v>0.142692753699204</v>
      </c>
      <c r="T362" s="38" t="n">
        <f aca="false">N362*Scorecard!$C$18+O362*Scorecard!$C$19+P362*Scorecard!$C$20+Q362*Scorecard!$C$21+R362*Scorecard!$C$22+S362*Scorecard!$C$23</f>
        <v>3.85178809463713</v>
      </c>
      <c r="U362" s="38" t="n">
        <f aca="false">N362*Scorecard!$D$18+O362*Scorecard!$D$19+P362*Scorecard!$D$20+Q362*Scorecard!$D$21+R362*Scorecard!$D$22+S362*Scorecard!$D$23</f>
        <v>2.75171048272295</v>
      </c>
      <c r="V362" s="38" t="n">
        <f aca="false">N362*Scorecard!$E$18+O362*Scorecard!$E$19+P362*Scorecard!$E$20+Q362*Scorecard!$E$21+R362*Scorecard!$E$22+S362*Scorecard!$E$23</f>
        <v>3.48687892236478</v>
      </c>
    </row>
    <row r="363" customFormat="false" ht="15" hidden="false" customHeight="false" outlineLevel="0" collapsed="false">
      <c r="A363" s="0" t="n">
        <v>358</v>
      </c>
      <c r="B363" s="38" t="n">
        <f aca="false">E363*Scorecard!$C$18+F363*Scorecard!$C$19+G363*Scorecard!$C$20+H363*Scorecard!$C$21+I363*Scorecard!$C$22+J363*Scorecard!$C$23</f>
        <v>4.0256613970382</v>
      </c>
      <c r="C363" s="38" t="n">
        <f aca="false">E363*Scorecard!$D$18+F363*Scorecard!$D$19+G363*Scorecard!$D$20+H363*Scorecard!$D$21+I363*Scorecard!$D$22+J363*Scorecard!$D$23</f>
        <v>3.10770361580518</v>
      </c>
      <c r="D363" s="0" t="str">
        <f aca="false">IF(AND(B363&gt;=C363,B363&gt;=K363),"A. Distribution",IF(C363&gt;=K363,"B. Manufacturing","C. Prof. services"))</f>
        <v>A. Distribution</v>
      </c>
      <c r="E363" s="39" t="n">
        <v>0.34815235592795</v>
      </c>
      <c r="F363" s="39" t="n">
        <v>0.107422068738565</v>
      </c>
      <c r="G363" s="39" t="n">
        <v>0.228729151358057</v>
      </c>
      <c r="H363" s="39" t="n">
        <v>0.0267776161474707</v>
      </c>
      <c r="I363" s="39" t="n">
        <v>0.263457138288784</v>
      </c>
      <c r="J363" s="39" t="n">
        <v>0.0254616695391739</v>
      </c>
      <c r="K363" s="38" t="n">
        <f aca="false">E363*Scorecard!$E$18+F363*Scorecard!$E$19+G363*Scorecard!$E$20+H363*Scorecard!$E$21+I363*Scorecard!$E$22+J363*Scorecard!$E$23</f>
        <v>3.26237805241113</v>
      </c>
      <c r="M363" s="0" t="str">
        <f aca="false">IF(AND(T363&gt;=U363,T363&gt;=V363),"A. Distribution",IF(U363&gt;=V363,"B. Manufacturing","C. Prof. services"))</f>
        <v>A. Distribution</v>
      </c>
      <c r="N363" s="39" t="n">
        <v>0.327326309155003</v>
      </c>
      <c r="O363" s="39" t="n">
        <v>0.165718589859908</v>
      </c>
      <c r="P363" s="39" t="n">
        <v>0.115191538088308</v>
      </c>
      <c r="Q363" s="39" t="n">
        <v>0.281914734560479</v>
      </c>
      <c r="R363" s="39" t="n">
        <v>0.0868665616078124</v>
      </c>
      <c r="S363" s="39" t="n">
        <v>0.0229822667284897</v>
      </c>
      <c r="T363" s="38" t="n">
        <f aca="false">N363*Scorecard!$C$18+O363*Scorecard!$C$19+P363*Scorecard!$C$20+Q363*Scorecard!$C$21+R363*Scorecard!$C$22+S363*Scorecard!$C$23</f>
        <v>4.06309760562231</v>
      </c>
      <c r="U363" s="38" t="n">
        <f aca="false">N363*Scorecard!$D$18+O363*Scorecard!$D$19+P363*Scorecard!$D$20+Q363*Scorecard!$D$21+R363*Scorecard!$D$22+S363*Scorecard!$D$23</f>
        <v>2.93681320297051</v>
      </c>
      <c r="V363" s="38" t="n">
        <f aca="false">N363*Scorecard!$E$18+O363*Scorecard!$E$19+P363*Scorecard!$E$20+Q363*Scorecard!$E$21+R363*Scorecard!$E$22+S363*Scorecard!$E$23</f>
        <v>3.41273699387574</v>
      </c>
    </row>
    <row r="364" customFormat="false" ht="15" hidden="false" customHeight="false" outlineLevel="0" collapsed="false">
      <c r="A364" s="0" t="n">
        <v>359</v>
      </c>
      <c r="B364" s="38" t="n">
        <f aca="false">E364*Scorecard!$C$18+F364*Scorecard!$C$19+G364*Scorecard!$C$20+H364*Scorecard!$C$21+I364*Scorecard!$C$22+J364*Scorecard!$C$23</f>
        <v>3.0648123835047</v>
      </c>
      <c r="C364" s="38" t="n">
        <f aca="false">E364*Scorecard!$D$18+F364*Scorecard!$D$19+G364*Scorecard!$D$20+H364*Scorecard!$D$21+I364*Scorecard!$D$22+J364*Scorecard!$D$23</f>
        <v>1.91298285870243</v>
      </c>
      <c r="D364" s="0" t="str">
        <f aca="false">IF(AND(B364&gt;=C364,B364&gt;=K364),"A. Distribution",IF(C364&gt;=K364,"B. Manufacturing","C. Prof. services"))</f>
        <v>C. Prof. services</v>
      </c>
      <c r="E364" s="39" t="n">
        <v>0.00406566927809609</v>
      </c>
      <c r="F364" s="39" t="n">
        <v>0.114953137973776</v>
      </c>
      <c r="G364" s="39" t="n">
        <v>0.0971571018085064</v>
      </c>
      <c r="H364" s="39" t="n">
        <v>0.253548325661798</v>
      </c>
      <c r="I364" s="39" t="n">
        <v>0.0190285882107172</v>
      </c>
      <c r="J364" s="39" t="n">
        <v>0.511247177067106</v>
      </c>
      <c r="K364" s="38" t="n">
        <f aca="false">E364*Scorecard!$E$18+F364*Scorecard!$E$19+G364*Scorecard!$E$20+H364*Scorecard!$E$21+I364*Scorecard!$E$22+J364*Scorecard!$E$23</f>
        <v>4.00152922369472</v>
      </c>
      <c r="M364" s="0" t="str">
        <f aca="false">IF(AND(T364&gt;=U364,T364&gt;=V364),"A. Distribution",IF(U364&gt;=V364,"B. Manufacturing","C. Prof. services"))</f>
        <v>A. Distribution</v>
      </c>
      <c r="N364" s="39" t="n">
        <v>0.217410107703309</v>
      </c>
      <c r="O364" s="39" t="n">
        <v>0.0910696868333197</v>
      </c>
      <c r="P364" s="39" t="n">
        <v>0.430052009924985</v>
      </c>
      <c r="Q364" s="39" t="n">
        <v>0.0695916734619316</v>
      </c>
      <c r="R364" s="39" t="n">
        <v>0.134605991878438</v>
      </c>
      <c r="S364" s="39" t="n">
        <v>0.0572705301980157</v>
      </c>
      <c r="T364" s="38" t="n">
        <f aca="false">N364*Scorecard!$C$18+O364*Scorecard!$C$19+P364*Scorecard!$C$20+Q364*Scorecard!$C$21+R364*Scorecard!$C$22+S364*Scorecard!$C$23</f>
        <v>3.95157492707038</v>
      </c>
      <c r="U364" s="38" t="n">
        <f aca="false">N364*Scorecard!$D$18+O364*Scorecard!$D$19+P364*Scorecard!$D$20+Q364*Scorecard!$D$21+R364*Scorecard!$D$22+S364*Scorecard!$D$23</f>
        <v>2.65931703698415</v>
      </c>
      <c r="V364" s="38" t="n">
        <f aca="false">N364*Scorecard!$E$18+O364*Scorecard!$E$19+P364*Scorecard!$E$20+Q364*Scorecard!$E$21+R364*Scorecard!$E$22+S364*Scorecard!$E$23</f>
        <v>3.5639543027232</v>
      </c>
    </row>
    <row r="365" customFormat="false" ht="15" hidden="false" customHeight="false" outlineLevel="0" collapsed="false">
      <c r="A365" s="0" t="n">
        <v>360</v>
      </c>
      <c r="B365" s="38" t="n">
        <f aca="false">E365*Scorecard!$C$18+F365*Scorecard!$C$19+G365*Scorecard!$C$20+H365*Scorecard!$C$21+I365*Scorecard!$C$22+J365*Scorecard!$C$23</f>
        <v>4.37505758223548</v>
      </c>
      <c r="C365" s="38" t="n">
        <f aca="false">E365*Scorecard!$D$18+F365*Scorecard!$D$19+G365*Scorecard!$D$20+H365*Scorecard!$D$21+I365*Scorecard!$D$22+J365*Scorecard!$D$23</f>
        <v>2.97541473754896</v>
      </c>
      <c r="D365" s="0" t="str">
        <f aca="false">IF(AND(B365&gt;=C365,B365&gt;=K365),"A. Distribution",IF(C365&gt;=K365,"B. Manufacturing","C. Prof. services"))</f>
        <v>A. Distribution</v>
      </c>
      <c r="E365" s="39" t="n">
        <v>0.329255272433133</v>
      </c>
      <c r="F365" s="39" t="n">
        <v>0.497953568280841</v>
      </c>
      <c r="G365" s="39" t="n">
        <v>0.0179650856175513</v>
      </c>
      <c r="H365" s="39" t="n">
        <v>0.0770602586576162</v>
      </c>
      <c r="I365" s="39" t="n">
        <v>0.0336868875018615</v>
      </c>
      <c r="J365" s="39" t="n">
        <v>0.0440789275089972</v>
      </c>
      <c r="K365" s="38" t="n">
        <f aca="false">E365*Scorecard!$E$18+F365*Scorecard!$E$19+G365*Scorecard!$E$20+H365*Scorecard!$E$21+I365*Scorecard!$E$22+J365*Scorecard!$E$23</f>
        <v>3.18079865482287</v>
      </c>
      <c r="M365" s="0" t="str">
        <f aca="false">IF(AND(T365&gt;=U365,T365&gt;=V365),"A. Distribution",IF(U365&gt;=V365,"B. Manufacturing","C. Prof. services"))</f>
        <v>A. Distribution</v>
      </c>
      <c r="N365" s="39" t="n">
        <v>0.150615738029985</v>
      </c>
      <c r="O365" s="39" t="n">
        <v>0.270557582509583</v>
      </c>
      <c r="P365" s="39" t="n">
        <v>0.174185579637528</v>
      </c>
      <c r="Q365" s="39" t="n">
        <v>0.0508548959612307</v>
      </c>
      <c r="R365" s="39" t="n">
        <v>0.271819895655567</v>
      </c>
      <c r="S365" s="39" t="n">
        <v>0.081966308206107</v>
      </c>
      <c r="T365" s="38" t="n">
        <f aca="false">N365*Scorecard!$C$18+O365*Scorecard!$C$19+P365*Scorecard!$C$20+Q365*Scorecard!$C$21+R365*Scorecard!$C$22+S365*Scorecard!$C$23</f>
        <v>4.0890528698197</v>
      </c>
      <c r="U365" s="38" t="n">
        <f aca="false">N365*Scorecard!$D$18+O365*Scorecard!$D$19+P365*Scorecard!$D$20+Q365*Scorecard!$D$21+R365*Scorecard!$D$22+S365*Scorecard!$D$23</f>
        <v>2.78438949540395</v>
      </c>
      <c r="V365" s="38" t="n">
        <f aca="false">N365*Scorecard!$E$18+O365*Scorecard!$E$19+P365*Scorecard!$E$20+Q365*Scorecard!$E$21+R365*Scorecard!$E$22+S365*Scorecard!$E$23</f>
        <v>3.17257023707482</v>
      </c>
    </row>
    <row r="366" customFormat="false" ht="15" hidden="false" customHeight="false" outlineLevel="0" collapsed="false">
      <c r="A366" s="0" t="n">
        <v>361</v>
      </c>
      <c r="B366" s="38" t="n">
        <f aca="false">E366*Scorecard!$C$18+F366*Scorecard!$C$19+G366*Scorecard!$C$20+H366*Scorecard!$C$21+I366*Scorecard!$C$22+J366*Scorecard!$C$23</f>
        <v>3.93750200520046</v>
      </c>
      <c r="C366" s="38" t="n">
        <f aca="false">E366*Scorecard!$D$18+F366*Scorecard!$D$19+G366*Scorecard!$D$20+H366*Scorecard!$D$21+I366*Scorecard!$D$22+J366*Scorecard!$D$23</f>
        <v>2.94672653620016</v>
      </c>
      <c r="D366" s="0" t="str">
        <f aca="false">IF(AND(B366&gt;=C366,B366&gt;=K366),"A. Distribution",IF(C366&gt;=K366,"B. Manufacturing","C. Prof. services"))</f>
        <v>A. Distribution</v>
      </c>
      <c r="E366" s="39" t="n">
        <v>0.230235254645618</v>
      </c>
      <c r="F366" s="39" t="n">
        <v>0.121031433045348</v>
      </c>
      <c r="G366" s="39" t="n">
        <v>0.0985886530237994</v>
      </c>
      <c r="H366" s="39" t="n">
        <v>0.175598784643374</v>
      </c>
      <c r="I366" s="39" t="n">
        <v>0.301484019443689</v>
      </c>
      <c r="J366" s="39" t="n">
        <v>0.0730618551981715</v>
      </c>
      <c r="K366" s="38" t="n">
        <f aca="false">E366*Scorecard!$E$18+F366*Scorecard!$E$19+G366*Scorecard!$E$20+H366*Scorecard!$E$21+I366*Scorecard!$E$22+J366*Scorecard!$E$23</f>
        <v>3.21681260855784</v>
      </c>
      <c r="M366" s="0" t="str">
        <f aca="false">IF(AND(T366&gt;=U366,T366&gt;=V366),"A. Distribution",IF(U366&gt;=V366,"B. Manufacturing","C. Prof. services"))</f>
        <v>A. Distribution</v>
      </c>
      <c r="N366" s="39" t="n">
        <v>0.267117444377763</v>
      </c>
      <c r="O366" s="39" t="n">
        <v>0.0886071747875294</v>
      </c>
      <c r="P366" s="39" t="n">
        <v>0.384964651566381</v>
      </c>
      <c r="Q366" s="39" t="n">
        <v>0.108885771387603</v>
      </c>
      <c r="R366" s="39" t="n">
        <v>0.0537603413274418</v>
      </c>
      <c r="S366" s="39" t="n">
        <v>0.0966646165532821</v>
      </c>
      <c r="T366" s="38" t="n">
        <f aca="false">N366*Scorecard!$C$18+O366*Scorecard!$C$19+P366*Scorecard!$C$20+Q366*Scorecard!$C$21+R366*Scorecard!$C$22+S366*Scorecard!$C$23</f>
        <v>3.86209943860586</v>
      </c>
      <c r="U366" s="38" t="n">
        <f aca="false">N366*Scorecard!$D$18+O366*Scorecard!$D$19+P366*Scorecard!$D$20+Q366*Scorecard!$D$21+R366*Scorecard!$D$22+S366*Scorecard!$D$23</f>
        <v>2.64258260174901</v>
      </c>
      <c r="V366" s="38" t="n">
        <f aca="false">N366*Scorecard!$E$18+O366*Scorecard!$E$19+P366*Scorecard!$E$20+Q366*Scorecard!$E$21+R366*Scorecard!$E$22+S366*Scorecard!$E$23</f>
        <v>3.683634705723</v>
      </c>
    </row>
    <row r="367" customFormat="false" ht="15" hidden="false" customHeight="false" outlineLevel="0" collapsed="false">
      <c r="A367" s="0" t="n">
        <v>362</v>
      </c>
      <c r="B367" s="38" t="n">
        <f aca="false">E367*Scorecard!$C$18+F367*Scorecard!$C$19+G367*Scorecard!$C$20+H367*Scorecard!$C$21+I367*Scorecard!$C$22+J367*Scorecard!$C$23</f>
        <v>3.43210725789498</v>
      </c>
      <c r="C367" s="38" t="n">
        <f aca="false">E367*Scorecard!$D$18+F367*Scorecard!$D$19+G367*Scorecard!$D$20+H367*Scorecard!$D$21+I367*Scorecard!$D$22+J367*Scorecard!$D$23</f>
        <v>2.37109377033894</v>
      </c>
      <c r="D367" s="0" t="str">
        <f aca="false">IF(AND(B367&gt;=C367,B367&gt;=K367),"A. Distribution",IF(C367&gt;=K367,"B. Manufacturing","C. Prof. services"))</f>
        <v>C. Prof. services</v>
      </c>
      <c r="E367" s="39" t="n">
        <v>0.0421258693980293</v>
      </c>
      <c r="F367" s="39" t="n">
        <v>0.0653575492877718</v>
      </c>
      <c r="G367" s="39" t="n">
        <v>0.214677782244088</v>
      </c>
      <c r="H367" s="39" t="n">
        <v>0.079768148743917</v>
      </c>
      <c r="I367" s="39" t="n">
        <v>0.287434112080133</v>
      </c>
      <c r="J367" s="39" t="n">
        <v>0.310636538246061</v>
      </c>
      <c r="K367" s="38" t="n">
        <f aca="false">E367*Scorecard!$E$18+F367*Scorecard!$E$19+G367*Scorecard!$E$20+H367*Scorecard!$E$21+I367*Scorecard!$E$22+J367*Scorecard!$E$23</f>
        <v>3.55096907273011</v>
      </c>
      <c r="M367" s="0" t="str">
        <f aca="false">IF(AND(T367&gt;=U367,T367&gt;=V367),"A. Distribution",IF(U367&gt;=V367,"B. Manufacturing","C. Prof. services"))</f>
        <v>A. Distribution</v>
      </c>
      <c r="N367" s="39" t="n">
        <v>0.249286255523413</v>
      </c>
      <c r="O367" s="39" t="n">
        <v>0.217774354804483</v>
      </c>
      <c r="P367" s="39" t="n">
        <v>0.216166941471837</v>
      </c>
      <c r="Q367" s="39" t="n">
        <v>0.158870130274179</v>
      </c>
      <c r="R367" s="39" t="n">
        <v>0.132232566299354</v>
      </c>
      <c r="S367" s="39" t="n">
        <v>0.0256697516267342</v>
      </c>
      <c r="T367" s="38" t="n">
        <f aca="false">N367*Scorecard!$C$18+O367*Scorecard!$C$19+P367*Scorecard!$C$20+Q367*Scorecard!$C$21+R367*Scorecard!$C$22+S367*Scorecard!$C$23</f>
        <v>4.12930211306622</v>
      </c>
      <c r="U367" s="38" t="n">
        <f aca="false">N367*Scorecard!$D$18+O367*Scorecard!$D$19+P367*Scorecard!$D$20+Q367*Scorecard!$D$21+R367*Scorecard!$D$22+S367*Scorecard!$D$23</f>
        <v>2.82967302553601</v>
      </c>
      <c r="V367" s="38" t="n">
        <f aca="false">N367*Scorecard!$E$18+O367*Scorecard!$E$19+P367*Scorecard!$E$20+Q367*Scorecard!$E$21+R367*Scorecard!$E$22+S367*Scorecard!$E$23</f>
        <v>3.3555057552573</v>
      </c>
    </row>
    <row r="368" customFormat="false" ht="15" hidden="false" customHeight="false" outlineLevel="0" collapsed="false">
      <c r="A368" s="0" t="n">
        <v>363</v>
      </c>
      <c r="B368" s="38" t="n">
        <f aca="false">E368*Scorecard!$C$18+F368*Scorecard!$C$19+G368*Scorecard!$C$20+H368*Scorecard!$C$21+I368*Scorecard!$C$22+J368*Scorecard!$C$23</f>
        <v>3.73031842449172</v>
      </c>
      <c r="C368" s="38" t="n">
        <f aca="false">E368*Scorecard!$D$18+F368*Scorecard!$D$19+G368*Scorecard!$D$20+H368*Scorecard!$D$21+I368*Scorecard!$D$22+J368*Scorecard!$D$23</f>
        <v>2.53411950112702</v>
      </c>
      <c r="D368" s="0" t="str">
        <f aca="false">IF(AND(B368&gt;=C368,B368&gt;=K368),"A. Distribution",IF(C368&gt;=K368,"B. Manufacturing","C. Prof. services"))</f>
        <v>A. Distribution</v>
      </c>
      <c r="E368" s="39" t="n">
        <v>0.0192185839237898</v>
      </c>
      <c r="F368" s="39" t="n">
        <v>0.00861462028958995</v>
      </c>
      <c r="G368" s="39" t="n">
        <v>0.261751329575023</v>
      </c>
      <c r="H368" s="39" t="n">
        <v>0.215271381454877</v>
      </c>
      <c r="I368" s="39" t="n">
        <v>0.368365294726044</v>
      </c>
      <c r="J368" s="39" t="n">
        <v>0.126778790030677</v>
      </c>
      <c r="K368" s="38" t="n">
        <f aca="false">E368*Scorecard!$E$18+F368*Scorecard!$E$19+G368*Scorecard!$E$20+H368*Scorecard!$E$21+I368*Scorecard!$E$22+J368*Scorecard!$E$23</f>
        <v>3.35911753167497</v>
      </c>
      <c r="M368" s="0" t="str">
        <f aca="false">IF(AND(T368&gt;=U368,T368&gt;=V368),"A. Distribution",IF(U368&gt;=V368,"B. Manufacturing","C. Prof. services"))</f>
        <v>A. Distribution</v>
      </c>
      <c r="N368" s="39" t="n">
        <v>0.152768286912972</v>
      </c>
      <c r="O368" s="39" t="n">
        <v>0.143824170552412</v>
      </c>
      <c r="P368" s="39" t="n">
        <v>0.284213724862354</v>
      </c>
      <c r="Q368" s="39" t="n">
        <v>0.200985908129311</v>
      </c>
      <c r="R368" s="39" t="n">
        <v>0.0958198303794395</v>
      </c>
      <c r="S368" s="39" t="n">
        <v>0.122388079163513</v>
      </c>
      <c r="T368" s="38" t="n">
        <f aca="false">N368*Scorecard!$C$18+O368*Scorecard!$C$19+P368*Scorecard!$C$20+Q368*Scorecard!$C$21+R368*Scorecard!$C$22+S368*Scorecard!$C$23</f>
        <v>3.86512639008813</v>
      </c>
      <c r="U368" s="38" t="n">
        <f aca="false">N368*Scorecard!$D$18+O368*Scorecard!$D$19+P368*Scorecard!$D$20+Q368*Scorecard!$D$21+R368*Scorecard!$D$22+S368*Scorecard!$D$23</f>
        <v>2.51060625829</v>
      </c>
      <c r="V368" s="38" t="n">
        <f aca="false">N368*Scorecard!$E$18+O368*Scorecard!$E$19+P368*Scorecard!$E$20+Q368*Scorecard!$E$21+R368*Scorecard!$E$22+S368*Scorecard!$E$23</f>
        <v>3.58743934413781</v>
      </c>
    </row>
    <row r="369" customFormat="false" ht="15" hidden="false" customHeight="false" outlineLevel="0" collapsed="false">
      <c r="A369" s="0" t="n">
        <v>364</v>
      </c>
      <c r="B369" s="38" t="n">
        <f aca="false">E369*Scorecard!$C$18+F369*Scorecard!$C$19+G369*Scorecard!$C$20+H369*Scorecard!$C$21+I369*Scorecard!$C$22+J369*Scorecard!$C$23</f>
        <v>4.09320288255828</v>
      </c>
      <c r="C369" s="38" t="n">
        <f aca="false">E369*Scorecard!$D$18+F369*Scorecard!$D$19+G369*Scorecard!$D$20+H369*Scorecard!$D$21+I369*Scorecard!$D$22+J369*Scorecard!$D$23</f>
        <v>2.35858376118118</v>
      </c>
      <c r="D369" s="0" t="str">
        <f aca="false">IF(AND(B369&gt;=C369,B369&gt;=K369),"A. Distribution",IF(C369&gt;=K369,"B. Manufacturing","C. Prof. services"))</f>
        <v>A. Distribution</v>
      </c>
      <c r="E369" s="39" t="n">
        <v>0.0268634081974366</v>
      </c>
      <c r="F369" s="39" t="n">
        <v>0.239033900716301</v>
      </c>
      <c r="G369" s="39" t="n">
        <v>0.190075361402982</v>
      </c>
      <c r="H369" s="39" t="n">
        <v>0.441563702830743</v>
      </c>
      <c r="I369" s="39" t="n">
        <v>0.0544158799816238</v>
      </c>
      <c r="J369" s="39" t="n">
        <v>0.0480477468709139</v>
      </c>
      <c r="K369" s="38" t="n">
        <f aca="false">E369*Scorecard!$E$18+F369*Scorecard!$E$19+G369*Scorecard!$E$20+H369*Scorecard!$E$21+I369*Scorecard!$E$22+J369*Scorecard!$E$23</f>
        <v>3.48972697254126</v>
      </c>
      <c r="M369" s="0" t="str">
        <f aca="false">IF(AND(T369&gt;=U369,T369&gt;=V369),"A. Distribution",IF(U369&gt;=V369,"B. Manufacturing","C. Prof. services"))</f>
        <v>A. Distribution</v>
      </c>
      <c r="N369" s="39" t="n">
        <v>0.288201954372284</v>
      </c>
      <c r="O369" s="39" t="n">
        <v>0.13352911858124</v>
      </c>
      <c r="P369" s="39" t="n">
        <v>0.0927657003948727</v>
      </c>
      <c r="Q369" s="39" t="n">
        <v>0.296286252149963</v>
      </c>
      <c r="R369" s="39" t="n">
        <v>0.123040795072616</v>
      </c>
      <c r="S369" s="39" t="n">
        <v>0.0661761794290248</v>
      </c>
      <c r="T369" s="38" t="n">
        <f aca="false">N369*Scorecard!$C$18+O369*Scorecard!$C$19+P369*Scorecard!$C$20+Q369*Scorecard!$C$21+R369*Scorecard!$C$22+S369*Scorecard!$C$23</f>
        <v>3.9461129376352</v>
      </c>
      <c r="U369" s="38" t="n">
        <f aca="false">N369*Scorecard!$D$18+O369*Scorecard!$D$19+P369*Scorecard!$D$20+Q369*Scorecard!$D$21+R369*Scorecard!$D$22+S369*Scorecard!$D$23</f>
        <v>2.87143172964744</v>
      </c>
      <c r="V369" s="38" t="n">
        <f aca="false">N369*Scorecard!$E$18+O369*Scorecard!$E$19+P369*Scorecard!$E$20+Q369*Scorecard!$E$21+R369*Scorecard!$E$22+S369*Scorecard!$E$23</f>
        <v>3.42738383235371</v>
      </c>
    </row>
    <row r="370" customFormat="false" ht="15" hidden="false" customHeight="false" outlineLevel="0" collapsed="false">
      <c r="A370" s="0" t="n">
        <v>365</v>
      </c>
      <c r="B370" s="38" t="n">
        <f aca="false">E370*Scorecard!$C$18+F370*Scorecard!$C$19+G370*Scorecard!$C$20+H370*Scorecard!$C$21+I370*Scorecard!$C$22+J370*Scorecard!$C$23</f>
        <v>3.47582707155195</v>
      </c>
      <c r="C370" s="38" t="n">
        <f aca="false">E370*Scorecard!$D$18+F370*Scorecard!$D$19+G370*Scorecard!$D$20+H370*Scorecard!$D$21+I370*Scorecard!$D$22+J370*Scorecard!$D$23</f>
        <v>2.61638800040871</v>
      </c>
      <c r="D370" s="0" t="str">
        <f aca="false">IF(AND(B370&gt;=C370,B370&gt;=K370),"A. Distribution",IF(C370&gt;=K370,"B. Manufacturing","C. Prof. services"))</f>
        <v>A. Distribution</v>
      </c>
      <c r="E370" s="39" t="n">
        <v>0.103174929755538</v>
      </c>
      <c r="F370" s="39" t="n">
        <v>0.0159055863814431</v>
      </c>
      <c r="G370" s="39" t="n">
        <v>0.017327768737641</v>
      </c>
      <c r="H370" s="39" t="n">
        <v>0.280976808493468</v>
      </c>
      <c r="I370" s="39" t="n">
        <v>0.331855148236733</v>
      </c>
      <c r="J370" s="39" t="n">
        <v>0.250759758395177</v>
      </c>
      <c r="K370" s="38" t="n">
        <f aca="false">E370*Scorecard!$E$18+F370*Scorecard!$E$19+G370*Scorecard!$E$20+H370*Scorecard!$E$21+I370*Scorecard!$E$22+J370*Scorecard!$E$23</f>
        <v>3.40977489560443</v>
      </c>
      <c r="M370" s="0" t="str">
        <f aca="false">IF(AND(T370&gt;=U370,T370&gt;=V370),"A. Distribution",IF(U370&gt;=V370,"B. Manufacturing","C. Prof. services"))</f>
        <v>A. Distribution</v>
      </c>
      <c r="N370" s="39" t="n">
        <v>0.136855760295254</v>
      </c>
      <c r="O370" s="39" t="n">
        <v>0.246991915106702</v>
      </c>
      <c r="P370" s="39" t="n">
        <v>0.289736193441126</v>
      </c>
      <c r="Q370" s="39" t="n">
        <v>0.2245756294226</v>
      </c>
      <c r="R370" s="39" t="n">
        <v>0.0490641760545874</v>
      </c>
      <c r="S370" s="39" t="n">
        <v>0.0527763256797294</v>
      </c>
      <c r="T370" s="38" t="n">
        <f aca="false">N370*Scorecard!$C$18+O370*Scorecard!$C$19+P370*Scorecard!$C$20+Q370*Scorecard!$C$21+R370*Scorecard!$C$22+S370*Scorecard!$C$23</f>
        <v>4.10625340069219</v>
      </c>
      <c r="U370" s="38" t="n">
        <f aca="false">N370*Scorecard!$D$18+O370*Scorecard!$D$19+P370*Scorecard!$D$20+Q370*Scorecard!$D$21+R370*Scorecard!$D$22+S370*Scorecard!$D$23</f>
        <v>2.51243146004477</v>
      </c>
      <c r="V370" s="38" t="n">
        <f aca="false">N370*Scorecard!$E$18+O370*Scorecard!$E$19+P370*Scorecard!$E$20+Q370*Scorecard!$E$21+R370*Scorecard!$E$22+S370*Scorecard!$E$23</f>
        <v>3.50747316703887</v>
      </c>
    </row>
    <row r="371" customFormat="false" ht="15" hidden="false" customHeight="false" outlineLevel="0" collapsed="false">
      <c r="A371" s="0" t="n">
        <v>366</v>
      </c>
      <c r="B371" s="38" t="n">
        <f aca="false">E371*Scorecard!$C$18+F371*Scorecard!$C$19+G371*Scorecard!$C$20+H371*Scorecard!$C$21+I371*Scorecard!$C$22+J371*Scorecard!$C$23</f>
        <v>4.01021695756227</v>
      </c>
      <c r="C371" s="38" t="n">
        <f aca="false">E371*Scorecard!$D$18+F371*Scorecard!$D$19+G371*Scorecard!$D$20+H371*Scorecard!$D$21+I371*Scorecard!$D$22+J371*Scorecard!$D$23</f>
        <v>3.07820958080143</v>
      </c>
      <c r="D371" s="0" t="str">
        <f aca="false">IF(AND(B371&gt;=C371,B371&gt;=K371),"A. Distribution",IF(C371&gt;=K371,"B. Manufacturing","C. Prof. services"))</f>
        <v>A. Distribution</v>
      </c>
      <c r="E371" s="39" t="n">
        <v>0.17490862268011</v>
      </c>
      <c r="F371" s="39" t="n">
        <v>0.0525579035033478</v>
      </c>
      <c r="G371" s="39" t="n">
        <v>0.0538824709186923</v>
      </c>
      <c r="H371" s="39" t="n">
        <v>0.250220117054237</v>
      </c>
      <c r="I371" s="39" t="n">
        <v>0.467762519436134</v>
      </c>
      <c r="J371" s="39" t="n">
        <v>0.000668366407479129</v>
      </c>
      <c r="K371" s="38" t="n">
        <f aca="false">E371*Scorecard!$E$18+F371*Scorecard!$E$19+G371*Scorecard!$E$20+H371*Scorecard!$E$21+I371*Scorecard!$E$22+J371*Scorecard!$E$23</f>
        <v>2.98859046542584</v>
      </c>
      <c r="M371" s="0" t="str">
        <f aca="false">IF(AND(T371&gt;=U371,T371&gt;=V371),"A. Distribution",IF(U371&gt;=V371,"B. Manufacturing","C. Prof. services"))</f>
        <v>A. Distribution</v>
      </c>
      <c r="N371" s="39" t="n">
        <v>0.135444033254895</v>
      </c>
      <c r="O371" s="39" t="n">
        <v>0.26803371077589</v>
      </c>
      <c r="P371" s="39" t="n">
        <v>0.146784120753243</v>
      </c>
      <c r="Q371" s="39" t="n">
        <v>0.138620329225039</v>
      </c>
      <c r="R371" s="39" t="n">
        <v>0.213986528624818</v>
      </c>
      <c r="S371" s="39" t="n">
        <v>0.0971312773661149</v>
      </c>
      <c r="T371" s="38" t="n">
        <f aca="false">N371*Scorecard!$C$18+O371*Scorecard!$C$19+P371*Scorecard!$C$20+Q371*Scorecard!$C$21+R371*Scorecard!$C$22+S371*Scorecard!$C$23</f>
        <v>4.04796037003057</v>
      </c>
      <c r="U371" s="38" t="n">
        <f aca="false">N371*Scorecard!$D$18+O371*Scorecard!$D$19+P371*Scorecard!$D$20+Q371*Scorecard!$D$21+R371*Scorecard!$D$22+S371*Scorecard!$D$23</f>
        <v>2.69331461367785</v>
      </c>
      <c r="V371" s="38" t="n">
        <f aca="false">N371*Scorecard!$E$18+O371*Scorecard!$E$19+P371*Scorecard!$E$20+Q371*Scorecard!$E$21+R371*Scorecard!$E$22+S371*Scorecard!$E$23</f>
        <v>3.25844057836015</v>
      </c>
    </row>
    <row r="372" customFormat="false" ht="15" hidden="false" customHeight="false" outlineLevel="0" collapsed="false">
      <c r="A372" s="0" t="n">
        <v>367</v>
      </c>
      <c r="B372" s="38" t="n">
        <f aca="false">E372*Scorecard!$C$18+F372*Scorecard!$C$19+G372*Scorecard!$C$20+H372*Scorecard!$C$21+I372*Scorecard!$C$22+J372*Scorecard!$C$23</f>
        <v>3.73480910463238</v>
      </c>
      <c r="C372" s="38" t="n">
        <f aca="false">E372*Scorecard!$D$18+F372*Scorecard!$D$19+G372*Scorecard!$D$20+H372*Scorecard!$D$21+I372*Scorecard!$D$22+J372*Scorecard!$D$23</f>
        <v>3.17786267027854</v>
      </c>
      <c r="D372" s="0" t="str">
        <f aca="false">IF(AND(B372&gt;=C372,B372&gt;=K372),"A. Distribution",IF(C372&gt;=K372,"B. Manufacturing","C. Prof. services"))</f>
        <v>A. Distribution</v>
      </c>
      <c r="E372" s="39" t="n">
        <v>0.566436505347708</v>
      </c>
      <c r="F372" s="39" t="n">
        <v>0.024868197141496</v>
      </c>
      <c r="G372" s="39" t="n">
        <v>0.206649375638078</v>
      </c>
      <c r="H372" s="39" t="n">
        <v>0.028221320444546</v>
      </c>
      <c r="I372" s="39" t="n">
        <v>0.0530541663285231</v>
      </c>
      <c r="J372" s="39" t="n">
        <v>0.120770435099649</v>
      </c>
      <c r="K372" s="38" t="n">
        <f aca="false">E372*Scorecard!$E$18+F372*Scorecard!$E$19+G372*Scorecard!$E$20+H372*Scorecard!$E$21+I372*Scorecard!$E$22+J372*Scorecard!$E$23</f>
        <v>3.64978318246306</v>
      </c>
      <c r="M372" s="0" t="str">
        <f aca="false">IF(AND(T372&gt;=U372,T372&gt;=V372),"A. Distribution",IF(U372&gt;=V372,"B. Manufacturing","C. Prof. services"))</f>
        <v>A. Distribution</v>
      </c>
      <c r="N372" s="39" t="n">
        <v>0.174998396778401</v>
      </c>
      <c r="O372" s="39" t="n">
        <v>0.141222805293919</v>
      </c>
      <c r="P372" s="39" t="n">
        <v>0.22559024508146</v>
      </c>
      <c r="Q372" s="39" t="n">
        <v>0.183942928724433</v>
      </c>
      <c r="R372" s="39" t="n">
        <v>0.142975566293803</v>
      </c>
      <c r="S372" s="39" t="n">
        <v>0.131270057827985</v>
      </c>
      <c r="T372" s="38" t="n">
        <f aca="false">N372*Scorecard!$C$18+O372*Scorecard!$C$19+P372*Scorecard!$C$20+Q372*Scorecard!$C$21+R372*Scorecard!$C$22+S372*Scorecard!$C$23</f>
        <v>3.84481267477351</v>
      </c>
      <c r="U372" s="38" t="n">
        <f aca="false">N372*Scorecard!$D$18+O372*Scorecard!$D$19+P372*Scorecard!$D$20+Q372*Scorecard!$D$21+R372*Scorecard!$D$22+S372*Scorecard!$D$23</f>
        <v>2.60765737770028</v>
      </c>
      <c r="V372" s="38" t="n">
        <f aca="false">N372*Scorecard!$E$18+O372*Scorecard!$E$19+P372*Scorecard!$E$20+Q372*Scorecard!$E$21+R372*Scorecard!$E$22+S372*Scorecard!$E$23</f>
        <v>3.51085487884269</v>
      </c>
    </row>
    <row r="373" customFormat="false" ht="15" hidden="false" customHeight="false" outlineLevel="0" collapsed="false">
      <c r="A373" s="0" t="n">
        <v>368</v>
      </c>
      <c r="B373" s="38" t="n">
        <f aca="false">E373*Scorecard!$C$18+F373*Scorecard!$C$19+G373*Scorecard!$C$20+H373*Scorecard!$C$21+I373*Scorecard!$C$22+J373*Scorecard!$C$23</f>
        <v>3.8848852748092</v>
      </c>
      <c r="C373" s="38" t="n">
        <f aca="false">E373*Scorecard!$D$18+F373*Scorecard!$D$19+G373*Scorecard!$D$20+H373*Scorecard!$D$21+I373*Scorecard!$D$22+J373*Scorecard!$D$23</f>
        <v>2.68301061443706</v>
      </c>
      <c r="D373" s="0" t="str">
        <f aca="false">IF(AND(B373&gt;=C373,B373&gt;=K373),"A. Distribution",IF(C373&gt;=K373,"B. Manufacturing","C. Prof. services"))</f>
        <v>A. Distribution</v>
      </c>
      <c r="E373" s="39" t="n">
        <v>0.0357287394929974</v>
      </c>
      <c r="F373" s="39" t="n">
        <v>0.312308772863196</v>
      </c>
      <c r="G373" s="39" t="n">
        <v>0.0198132410968051</v>
      </c>
      <c r="H373" s="39" t="n">
        <v>0.00894014650642709</v>
      </c>
      <c r="I373" s="39" t="n">
        <v>0.411413276607724</v>
      </c>
      <c r="J373" s="39" t="n">
        <v>0.211795823432851</v>
      </c>
      <c r="K373" s="38" t="n">
        <f aca="false">E373*Scorecard!$E$18+F373*Scorecard!$E$19+G373*Scorecard!$E$20+H373*Scorecard!$E$21+I373*Scorecard!$E$22+J373*Scorecard!$E$23</f>
        <v>3.02606737950027</v>
      </c>
      <c r="M373" s="0" t="str">
        <f aca="false">IF(AND(T373&gt;=U373,T373&gt;=V373),"A. Distribution",IF(U373&gt;=V373,"B. Manufacturing","C. Prof. services"))</f>
        <v>A. Distribution</v>
      </c>
      <c r="N373" s="39" t="n">
        <v>0.3503206576708</v>
      </c>
      <c r="O373" s="39" t="n">
        <v>0.182368075467501</v>
      </c>
      <c r="P373" s="39" t="n">
        <v>0.132219816520517</v>
      </c>
      <c r="Q373" s="39" t="n">
        <v>0.116710411825854</v>
      </c>
      <c r="R373" s="39" t="n">
        <v>0.170205334675835</v>
      </c>
      <c r="S373" s="39" t="n">
        <v>0.0481757038394929</v>
      </c>
      <c r="T373" s="38" t="n">
        <f aca="false">N373*Scorecard!$C$18+O373*Scorecard!$C$19+P373*Scorecard!$C$20+Q373*Scorecard!$C$21+R373*Scorecard!$C$22+S373*Scorecard!$C$23</f>
        <v>4.04531493771194</v>
      </c>
      <c r="U373" s="38" t="n">
        <f aca="false">N373*Scorecard!$D$18+O373*Scorecard!$D$19+P373*Scorecard!$D$20+Q373*Scorecard!$D$21+R373*Scorecard!$D$22+S373*Scorecard!$D$23</f>
        <v>3.04239383518165</v>
      </c>
      <c r="V373" s="38" t="n">
        <f aca="false">N373*Scorecard!$E$18+O373*Scorecard!$E$19+P373*Scorecard!$E$20+Q373*Scorecard!$E$21+R373*Scorecard!$E$22+S373*Scorecard!$E$23</f>
        <v>3.30906704729673</v>
      </c>
    </row>
    <row r="374" customFormat="false" ht="15" hidden="false" customHeight="false" outlineLevel="0" collapsed="false">
      <c r="A374" s="0" t="n">
        <v>369</v>
      </c>
      <c r="B374" s="38" t="n">
        <f aca="false">E374*Scorecard!$C$18+F374*Scorecard!$C$19+G374*Scorecard!$C$20+H374*Scorecard!$C$21+I374*Scorecard!$C$22+J374*Scorecard!$C$23</f>
        <v>3.69601328562031</v>
      </c>
      <c r="C374" s="38" t="n">
        <f aca="false">E374*Scorecard!$D$18+F374*Scorecard!$D$19+G374*Scorecard!$D$20+H374*Scorecard!$D$21+I374*Scorecard!$D$22+J374*Scorecard!$D$23</f>
        <v>2.35528039565964</v>
      </c>
      <c r="D374" s="0" t="str">
        <f aca="false">IF(AND(B374&gt;=C374,B374&gt;=K374),"A. Distribution",IF(C374&gt;=K374,"B. Manufacturing","C. Prof. services"))</f>
        <v>A. Distribution</v>
      </c>
      <c r="E374" s="39" t="n">
        <v>0.0888094152110311</v>
      </c>
      <c r="F374" s="39" t="n">
        <v>0.120667667790506</v>
      </c>
      <c r="G374" s="39" t="n">
        <v>0.205380622875598</v>
      </c>
      <c r="H374" s="39" t="n">
        <v>0.303302045353844</v>
      </c>
      <c r="I374" s="39" t="n">
        <v>0.089418654995247</v>
      </c>
      <c r="J374" s="39" t="n">
        <v>0.192421593773773</v>
      </c>
      <c r="K374" s="38" t="n">
        <f aca="false">E374*Scorecard!$E$18+F374*Scorecard!$E$19+G374*Scorecard!$E$20+H374*Scorecard!$E$21+I374*Scorecard!$E$22+J374*Scorecard!$E$23</f>
        <v>3.65932094431893</v>
      </c>
      <c r="M374" s="0" t="str">
        <f aca="false">IF(AND(T374&gt;=U374,T374&gt;=V374),"A. Distribution",IF(U374&gt;=V374,"B. Manufacturing","C. Prof. services"))</f>
        <v>A. Distribution</v>
      </c>
      <c r="N374" s="39" t="n">
        <v>0.155692874502341</v>
      </c>
      <c r="O374" s="39" t="n">
        <v>0.221026057905161</v>
      </c>
      <c r="P374" s="39" t="n">
        <v>0.187644798642385</v>
      </c>
      <c r="Q374" s="39" t="n">
        <v>0.0865146885092408</v>
      </c>
      <c r="R374" s="39" t="n">
        <v>0.15325917813655</v>
      </c>
      <c r="S374" s="39" t="n">
        <v>0.195862402304322</v>
      </c>
      <c r="T374" s="38" t="n">
        <f aca="false">N374*Scorecard!$C$18+O374*Scorecard!$C$19+P374*Scorecard!$C$20+Q374*Scorecard!$C$21+R374*Scorecard!$C$22+S374*Scorecard!$C$23</f>
        <v>3.8074791665489</v>
      </c>
      <c r="U374" s="38" t="n">
        <f aca="false">N374*Scorecard!$D$18+O374*Scorecard!$D$19+P374*Scorecard!$D$20+Q374*Scorecard!$D$21+R374*Scorecard!$D$22+S374*Scorecard!$D$23</f>
        <v>2.56381673774081</v>
      </c>
      <c r="V374" s="38" t="n">
        <f aca="false">N374*Scorecard!$E$18+O374*Scorecard!$E$19+P374*Scorecard!$E$20+Q374*Scorecard!$E$21+R374*Scorecard!$E$22+S374*Scorecard!$E$23</f>
        <v>3.47213228741958</v>
      </c>
    </row>
    <row r="375" customFormat="false" ht="15" hidden="false" customHeight="false" outlineLevel="0" collapsed="false">
      <c r="A375" s="0" t="n">
        <v>370</v>
      </c>
      <c r="B375" s="38" t="n">
        <f aca="false">E375*Scorecard!$C$18+F375*Scorecard!$C$19+G375*Scorecard!$C$20+H375*Scorecard!$C$21+I375*Scorecard!$C$22+J375*Scorecard!$C$23</f>
        <v>3.02276767796907</v>
      </c>
      <c r="C375" s="38" t="n">
        <f aca="false">E375*Scorecard!$D$18+F375*Scorecard!$D$19+G375*Scorecard!$D$20+H375*Scorecard!$D$21+I375*Scorecard!$D$22+J375*Scorecard!$D$23</f>
        <v>1.91602547523414</v>
      </c>
      <c r="D375" s="0" t="str">
        <f aca="false">IF(AND(B375&gt;=C375,B375&gt;=K375),"A. Distribution",IF(C375&gt;=K375,"B. Manufacturing","C. Prof. services"))</f>
        <v>C. Prof. services</v>
      </c>
      <c r="E375" s="39" t="n">
        <v>0.0705806179354392</v>
      </c>
      <c r="F375" s="39" t="n">
        <v>0.00753049774927463</v>
      </c>
      <c r="G375" s="39" t="n">
        <v>0.404500968176544</v>
      </c>
      <c r="H375" s="39" t="n">
        <v>0.0245335067313387</v>
      </c>
      <c r="I375" s="39" t="n">
        <v>0.00462809437518497</v>
      </c>
      <c r="J375" s="39" t="n">
        <v>0.488226315032219</v>
      </c>
      <c r="K375" s="38" t="n">
        <f aca="false">E375*Scorecard!$E$18+F375*Scorecard!$E$19+G375*Scorecard!$E$20+H375*Scorecard!$E$21+I375*Scorecard!$E$22+J375*Scorecard!$E$23</f>
        <v>4.1840827939698</v>
      </c>
      <c r="M375" s="0" t="str">
        <f aca="false">IF(AND(T375&gt;=U375,T375&gt;=V375),"A. Distribution",IF(U375&gt;=V375,"B. Manufacturing","C. Prof. services"))</f>
        <v>A. Distribution</v>
      </c>
      <c r="N375" s="39" t="n">
        <v>0.195251548688666</v>
      </c>
      <c r="O375" s="39" t="n">
        <v>0.0966496993299674</v>
      </c>
      <c r="P375" s="39" t="n">
        <v>0.208227455202422</v>
      </c>
      <c r="Q375" s="39" t="n">
        <v>0.102560730123208</v>
      </c>
      <c r="R375" s="39" t="n">
        <v>0.293751047850578</v>
      </c>
      <c r="S375" s="39" t="n">
        <v>0.103559518805158</v>
      </c>
      <c r="T375" s="38" t="n">
        <f aca="false">N375*Scorecard!$C$18+O375*Scorecard!$C$19+P375*Scorecard!$C$20+Q375*Scorecard!$C$21+R375*Scorecard!$C$22+S375*Scorecard!$C$23</f>
        <v>3.86280356632323</v>
      </c>
      <c r="U375" s="38" t="n">
        <f aca="false">N375*Scorecard!$D$18+O375*Scorecard!$D$19+P375*Scorecard!$D$20+Q375*Scorecard!$D$21+R375*Scorecard!$D$22+S375*Scorecard!$D$23</f>
        <v>2.81611893957472</v>
      </c>
      <c r="V375" s="38" t="n">
        <f aca="false">N375*Scorecard!$E$18+O375*Scorecard!$E$19+P375*Scorecard!$E$20+Q375*Scorecard!$E$21+R375*Scorecard!$E$22+S375*Scorecard!$E$23</f>
        <v>3.31547718302135</v>
      </c>
    </row>
    <row r="376" customFormat="false" ht="15" hidden="false" customHeight="false" outlineLevel="0" collapsed="false">
      <c r="A376" s="0" t="n">
        <v>371</v>
      </c>
      <c r="B376" s="38" t="n">
        <f aca="false">E376*Scorecard!$C$18+F376*Scorecard!$C$19+G376*Scorecard!$C$20+H376*Scorecard!$C$21+I376*Scorecard!$C$22+J376*Scorecard!$C$23</f>
        <v>3.9615465502559</v>
      </c>
      <c r="C376" s="38" t="n">
        <f aca="false">E376*Scorecard!$D$18+F376*Scorecard!$D$19+G376*Scorecard!$D$20+H376*Scorecard!$D$21+I376*Scorecard!$D$22+J376*Scorecard!$D$23</f>
        <v>3.14371746981022</v>
      </c>
      <c r="D376" s="0" t="str">
        <f aca="false">IF(AND(B376&gt;=C376,B376&gt;=K376),"A. Distribution",IF(C376&gt;=K376,"B. Manufacturing","C. Prof. services"))</f>
        <v>A. Distribution</v>
      </c>
      <c r="E376" s="39" t="n">
        <v>0.464172443925613</v>
      </c>
      <c r="F376" s="39" t="n">
        <v>0.119990294543008</v>
      </c>
      <c r="G376" s="39" t="n">
        <v>0.163349156168629</v>
      </c>
      <c r="H376" s="39" t="n">
        <v>0.0897783862663374</v>
      </c>
      <c r="I376" s="39" t="n">
        <v>0.106958137406019</v>
      </c>
      <c r="J376" s="39" t="n">
        <v>0.0557515816903944</v>
      </c>
      <c r="K376" s="38" t="n">
        <f aca="false">E376*Scorecard!$E$18+F376*Scorecard!$E$19+G376*Scorecard!$E$20+H376*Scorecard!$E$21+I376*Scorecard!$E$22+J376*Scorecard!$E$23</f>
        <v>3.44471953703797</v>
      </c>
      <c r="M376" s="0" t="str">
        <f aca="false">IF(AND(T376&gt;=U376,T376&gt;=V376),"A. Distribution",IF(U376&gt;=V376,"B. Manufacturing","C. Prof. services"))</f>
        <v>A. Distribution</v>
      </c>
      <c r="N376" s="39" t="n">
        <v>0.134200780099605</v>
      </c>
      <c r="O376" s="39" t="n">
        <v>0.232602089307148</v>
      </c>
      <c r="P376" s="39" t="n">
        <v>0.192184223070134</v>
      </c>
      <c r="Q376" s="39" t="n">
        <v>0.230151332790449</v>
      </c>
      <c r="R376" s="39" t="n">
        <v>0.0988451982112395</v>
      </c>
      <c r="S376" s="39" t="n">
        <v>0.112016376521425</v>
      </c>
      <c r="T376" s="38" t="n">
        <f aca="false">N376*Scorecard!$C$18+O376*Scorecard!$C$19+P376*Scorecard!$C$20+Q376*Scorecard!$C$21+R376*Scorecard!$C$22+S376*Scorecard!$C$23</f>
        <v>3.97299584768875</v>
      </c>
      <c r="U376" s="38" t="n">
        <f aca="false">N376*Scorecard!$D$18+O376*Scorecard!$D$19+P376*Scorecard!$D$20+Q376*Scorecard!$D$21+R376*Scorecard!$D$22+S376*Scorecard!$D$23</f>
        <v>2.53781818567186</v>
      </c>
      <c r="V376" s="38" t="n">
        <f aca="false">N376*Scorecard!$E$18+O376*Scorecard!$E$19+P376*Scorecard!$E$20+Q376*Scorecard!$E$21+R376*Scorecard!$E$22+S376*Scorecard!$E$23</f>
        <v>3.47082883292149</v>
      </c>
    </row>
    <row r="377" customFormat="false" ht="15" hidden="false" customHeight="false" outlineLevel="0" collapsed="false">
      <c r="A377" s="0" t="n">
        <v>372</v>
      </c>
      <c r="B377" s="38" t="n">
        <f aca="false">E377*Scorecard!$C$18+F377*Scorecard!$C$19+G377*Scorecard!$C$20+H377*Scorecard!$C$21+I377*Scorecard!$C$22+J377*Scorecard!$C$23</f>
        <v>3.71666206056098</v>
      </c>
      <c r="C377" s="38" t="n">
        <f aca="false">E377*Scorecard!$D$18+F377*Scorecard!$D$19+G377*Scorecard!$D$20+H377*Scorecard!$D$21+I377*Scorecard!$D$22+J377*Scorecard!$D$23</f>
        <v>2.37516561729445</v>
      </c>
      <c r="D377" s="0" t="str">
        <f aca="false">IF(AND(B377&gt;=C377,B377&gt;=K377),"A. Distribution",IF(C377&gt;=K377,"B. Manufacturing","C. Prof. services"))</f>
        <v>A. Distribution</v>
      </c>
      <c r="E377" s="39" t="n">
        <v>0.0288660438882612</v>
      </c>
      <c r="F377" s="39" t="n">
        <v>0.0487313970288671</v>
      </c>
      <c r="G377" s="39" t="n">
        <v>0.210960438977364</v>
      </c>
      <c r="H377" s="39" t="n">
        <v>0.377133742206382</v>
      </c>
      <c r="I377" s="39" t="n">
        <v>0.189750681418176</v>
      </c>
      <c r="J377" s="39" t="n">
        <v>0.144557696480951</v>
      </c>
      <c r="K377" s="38" t="n">
        <f aca="false">E377*Scorecard!$E$18+F377*Scorecard!$E$19+G377*Scorecard!$E$20+H377*Scorecard!$E$21+I377*Scorecard!$E$22+J377*Scorecard!$E$23</f>
        <v>3.55998264820982</v>
      </c>
      <c r="M377" s="0" t="str">
        <f aca="false">IF(AND(T377&gt;=U377,T377&gt;=V377),"A. Distribution",IF(U377&gt;=V377,"B. Manufacturing","C. Prof. services"))</f>
        <v>A. Distribution</v>
      </c>
      <c r="N377" s="39" t="n">
        <v>0.108698901306879</v>
      </c>
      <c r="O377" s="39" t="n">
        <v>0.235630802504381</v>
      </c>
      <c r="P377" s="39" t="n">
        <v>0.133001290582166</v>
      </c>
      <c r="Q377" s="39" t="n">
        <v>0.181134260162377</v>
      </c>
      <c r="R377" s="39" t="n">
        <v>0.200702505126825</v>
      </c>
      <c r="S377" s="39" t="n">
        <v>0.140832240317373</v>
      </c>
      <c r="T377" s="38" t="n">
        <f aca="false">N377*Scorecard!$C$18+O377*Scorecard!$C$19+P377*Scorecard!$C$20+Q377*Scorecard!$C$21+R377*Scorecard!$C$22+S377*Scorecard!$C$23</f>
        <v>3.9257219151575</v>
      </c>
      <c r="U377" s="38" t="n">
        <f aca="false">N377*Scorecard!$D$18+O377*Scorecard!$D$19+P377*Scorecard!$D$20+Q377*Scorecard!$D$21+R377*Scorecard!$D$22+S377*Scorecard!$D$23</f>
        <v>2.5948962998109</v>
      </c>
      <c r="V377" s="38" t="n">
        <f aca="false">N377*Scorecard!$E$18+O377*Scorecard!$E$19+P377*Scorecard!$E$20+Q377*Scorecard!$E$21+R377*Scorecard!$E$22+S377*Scorecard!$E$23</f>
        <v>3.34063385115772</v>
      </c>
    </row>
    <row r="378" customFormat="false" ht="15" hidden="false" customHeight="false" outlineLevel="0" collapsed="false">
      <c r="A378" s="0" t="n">
        <v>373</v>
      </c>
      <c r="B378" s="38" t="n">
        <f aca="false">E378*Scorecard!$C$18+F378*Scorecard!$C$19+G378*Scorecard!$C$20+H378*Scorecard!$C$21+I378*Scorecard!$C$22+J378*Scorecard!$C$23</f>
        <v>3.69408249738955</v>
      </c>
      <c r="C378" s="38" t="n">
        <f aca="false">E378*Scorecard!$D$18+F378*Scorecard!$D$19+G378*Scorecard!$D$20+H378*Scorecard!$D$21+I378*Scorecard!$D$22+J378*Scorecard!$D$23</f>
        <v>2.84524482950896</v>
      </c>
      <c r="D378" s="0" t="str">
        <f aca="false">IF(AND(B378&gt;=C378,B378&gt;=K378),"A. Distribution",IF(C378&gt;=K378,"B. Manufacturing","C. Prof. services"))</f>
        <v>A. Distribution</v>
      </c>
      <c r="E378" s="39" t="n">
        <v>0.0910969247781196</v>
      </c>
      <c r="F378" s="39" t="n">
        <v>0.0472549836480959</v>
      </c>
      <c r="G378" s="39" t="n">
        <v>0.140277501107713</v>
      </c>
      <c r="H378" s="39" t="n">
        <v>0.00942719326917208</v>
      </c>
      <c r="I378" s="39" t="n">
        <v>0.539521985878841</v>
      </c>
      <c r="J378" s="39" t="n">
        <v>0.172421411318058</v>
      </c>
      <c r="K378" s="38" t="n">
        <f aca="false">E378*Scorecard!$E$18+F378*Scorecard!$E$19+G378*Scorecard!$E$20+H378*Scorecard!$E$21+I378*Scorecard!$E$22+J378*Scorecard!$E$23</f>
        <v>3.08186808143659</v>
      </c>
      <c r="M378" s="0" t="str">
        <f aca="false">IF(AND(T378&gt;=U378,T378&gt;=V378),"A. Distribution",IF(U378&gt;=V378,"B. Manufacturing","C. Prof. services"))</f>
        <v>A. Distribution</v>
      </c>
      <c r="N378" s="39" t="n">
        <v>0.119296439846004</v>
      </c>
      <c r="O378" s="39" t="n">
        <v>0.158032063433345</v>
      </c>
      <c r="P378" s="39" t="n">
        <v>0.234706238390744</v>
      </c>
      <c r="Q378" s="39" t="n">
        <v>0.234595503487045</v>
      </c>
      <c r="R378" s="39" t="n">
        <v>0.118960723038373</v>
      </c>
      <c r="S378" s="39" t="n">
        <v>0.134409031804488</v>
      </c>
      <c r="T378" s="38" t="n">
        <f aca="false">N378*Scorecard!$C$18+O378*Scorecard!$C$19+P378*Scorecard!$C$20+Q378*Scorecard!$C$21+R378*Scorecard!$C$22+S378*Scorecard!$C$23</f>
        <v>3.8543582706139</v>
      </c>
      <c r="U378" s="38" t="n">
        <f aca="false">N378*Scorecard!$D$18+O378*Scorecard!$D$19+P378*Scorecard!$D$20+Q378*Scorecard!$D$21+R378*Scorecard!$D$22+S378*Scorecard!$D$23</f>
        <v>2.48507576710191</v>
      </c>
      <c r="V378" s="38" t="n">
        <f aca="false">N378*Scorecard!$E$18+O378*Scorecard!$E$19+P378*Scorecard!$E$20+Q378*Scorecard!$E$21+R378*Scorecard!$E$22+S378*Scorecard!$E$23</f>
        <v>3.54363956069219</v>
      </c>
    </row>
    <row r="379" customFormat="false" ht="15" hidden="false" customHeight="false" outlineLevel="0" collapsed="false">
      <c r="A379" s="0" t="n">
        <v>374</v>
      </c>
      <c r="B379" s="38" t="n">
        <f aca="false">E379*Scorecard!$C$18+F379*Scorecard!$C$19+G379*Scorecard!$C$20+H379*Scorecard!$C$21+I379*Scorecard!$C$22+J379*Scorecard!$C$23</f>
        <v>3.58482374521437</v>
      </c>
      <c r="C379" s="38" t="n">
        <f aca="false">E379*Scorecard!$D$18+F379*Scorecard!$D$19+G379*Scorecard!$D$20+H379*Scorecard!$D$21+I379*Scorecard!$D$22+J379*Scorecard!$D$23</f>
        <v>2.9758585925634</v>
      </c>
      <c r="D379" s="0" t="str">
        <f aca="false">IF(AND(B379&gt;=C379,B379&gt;=K379),"A. Distribution",IF(C379&gt;=K379,"B. Manufacturing","C. Prof. services"))</f>
        <v>C. Prof. services</v>
      </c>
      <c r="E379" s="39" t="n">
        <v>0.473863806870777</v>
      </c>
      <c r="F379" s="39" t="n">
        <v>0.00294432738489924</v>
      </c>
      <c r="G379" s="39" t="n">
        <v>0.0237086784689214</v>
      </c>
      <c r="H379" s="39" t="n">
        <v>0.320557326761375</v>
      </c>
      <c r="I379" s="39" t="n">
        <v>0.00615818713488803</v>
      </c>
      <c r="J379" s="39" t="n">
        <v>0.172767673379139</v>
      </c>
      <c r="K379" s="38" t="n">
        <f aca="false">E379*Scorecard!$E$18+F379*Scorecard!$E$19+G379*Scorecard!$E$20+H379*Scorecard!$E$21+I379*Scorecard!$E$22+J379*Scorecard!$E$23</f>
        <v>3.73082183258286</v>
      </c>
      <c r="M379" s="0" t="str">
        <f aca="false">IF(AND(T379&gt;=U379,T379&gt;=V379),"A. Distribution",IF(U379&gt;=V379,"B. Manufacturing","C. Prof. services"))</f>
        <v>A. Distribution</v>
      </c>
      <c r="N379" s="39" t="n">
        <v>0.139497052715141</v>
      </c>
      <c r="O379" s="39" t="n">
        <v>0.174726839465755</v>
      </c>
      <c r="P379" s="39" t="n">
        <v>0.230105810577686</v>
      </c>
      <c r="Q379" s="39" t="n">
        <v>0.144770731985363</v>
      </c>
      <c r="R379" s="39" t="n">
        <v>0.137379094363369</v>
      </c>
      <c r="S379" s="39" t="n">
        <v>0.173520470892686</v>
      </c>
      <c r="T379" s="38" t="n">
        <f aca="false">N379*Scorecard!$C$18+O379*Scorecard!$C$19+P379*Scorecard!$C$20+Q379*Scorecard!$C$21+R379*Scorecard!$C$22+S379*Scorecard!$C$23</f>
        <v>3.80088699831209</v>
      </c>
      <c r="U379" s="38" t="n">
        <f aca="false">N379*Scorecard!$D$18+O379*Scorecard!$D$19+P379*Scorecard!$D$20+Q379*Scorecard!$D$21+R379*Scorecard!$D$22+S379*Scorecard!$D$23</f>
        <v>2.51354169690662</v>
      </c>
      <c r="V379" s="38" t="n">
        <f aca="false">N379*Scorecard!$E$18+O379*Scorecard!$E$19+P379*Scorecard!$E$20+Q379*Scorecard!$E$21+R379*Scorecard!$E$22+S379*Scorecard!$E$23</f>
        <v>3.53181934756987</v>
      </c>
    </row>
    <row r="380" customFormat="false" ht="15" hidden="false" customHeight="false" outlineLevel="0" collapsed="false">
      <c r="A380" s="0" t="n">
        <v>375</v>
      </c>
      <c r="B380" s="38" t="n">
        <f aca="false">E380*Scorecard!$C$18+F380*Scorecard!$C$19+G380*Scorecard!$C$20+H380*Scorecard!$C$21+I380*Scorecard!$C$22+J380*Scorecard!$C$23</f>
        <v>3.54170031197288</v>
      </c>
      <c r="C380" s="38" t="n">
        <f aca="false">E380*Scorecard!$D$18+F380*Scorecard!$D$19+G380*Scorecard!$D$20+H380*Scorecard!$D$21+I380*Scorecard!$D$22+J380*Scorecard!$D$23</f>
        <v>2.23376428184247</v>
      </c>
      <c r="D380" s="0" t="str">
        <f aca="false">IF(AND(B380&gt;=C380,B380&gt;=K380),"A. Distribution",IF(C380&gt;=K380,"B. Manufacturing","C. Prof. services"))</f>
        <v>C. Prof. services</v>
      </c>
      <c r="E380" s="39" t="n">
        <v>0.072896015548189</v>
      </c>
      <c r="F380" s="39" t="n">
        <v>0.107433706830364</v>
      </c>
      <c r="G380" s="39" t="n">
        <v>0.357480855846964</v>
      </c>
      <c r="H380" s="39" t="n">
        <v>0.0781857059110572</v>
      </c>
      <c r="I380" s="39" t="n">
        <v>0.108275589164961</v>
      </c>
      <c r="J380" s="39" t="n">
        <v>0.275728126698465</v>
      </c>
      <c r="K380" s="38" t="n">
        <f aca="false">E380*Scorecard!$E$18+F380*Scorecard!$E$19+G380*Scorecard!$E$20+H380*Scorecard!$E$21+I380*Scorecard!$E$22+J380*Scorecard!$E$23</f>
        <v>3.76695228400327</v>
      </c>
      <c r="M380" s="0" t="str">
        <f aca="false">IF(AND(T380&gt;=U380,T380&gt;=V380),"A. Distribution",IF(U380&gt;=V380,"B. Manufacturing","C. Prof. services"))</f>
        <v>A. Distribution</v>
      </c>
      <c r="N380" s="39" t="n">
        <v>0.153310836219803</v>
      </c>
      <c r="O380" s="39" t="n">
        <v>0.16013983083235</v>
      </c>
      <c r="P380" s="39" t="n">
        <v>0.13281657766292</v>
      </c>
      <c r="Q380" s="39" t="n">
        <v>0.206394502700391</v>
      </c>
      <c r="R380" s="39" t="n">
        <v>0.153475906189211</v>
      </c>
      <c r="S380" s="39" t="n">
        <v>0.193862346395326</v>
      </c>
      <c r="T380" s="38" t="n">
        <f aca="false">N380*Scorecard!$C$18+O380*Scorecard!$C$19+P380*Scorecard!$C$20+Q380*Scorecard!$C$21+R380*Scorecard!$C$22+S380*Scorecard!$C$23</f>
        <v>3.73786717713321</v>
      </c>
      <c r="U380" s="38" t="n">
        <f aca="false">N380*Scorecard!$D$18+O380*Scorecard!$D$19+P380*Scorecard!$D$20+Q380*Scorecard!$D$21+R380*Scorecard!$D$22+S380*Scorecard!$D$23</f>
        <v>2.56306486128695</v>
      </c>
      <c r="V380" s="38" t="n">
        <f aca="false">N380*Scorecard!$E$18+O380*Scorecard!$E$19+P380*Scorecard!$E$20+Q380*Scorecard!$E$21+R380*Scorecard!$E$22+S380*Scorecard!$E$23</f>
        <v>3.5055367660587</v>
      </c>
    </row>
    <row r="381" customFormat="false" ht="15" hidden="false" customHeight="false" outlineLevel="0" collapsed="false">
      <c r="A381" s="0" t="n">
        <v>376</v>
      </c>
      <c r="B381" s="38" t="n">
        <f aca="false">E381*Scorecard!$C$18+F381*Scorecard!$C$19+G381*Scorecard!$C$20+H381*Scorecard!$C$21+I381*Scorecard!$C$22+J381*Scorecard!$C$23</f>
        <v>4.06660195953297</v>
      </c>
      <c r="C381" s="38" t="n">
        <f aca="false">E381*Scorecard!$D$18+F381*Scorecard!$D$19+G381*Scorecard!$D$20+H381*Scorecard!$D$21+I381*Scorecard!$D$22+J381*Scorecard!$D$23</f>
        <v>2.38600595610261</v>
      </c>
      <c r="D381" s="0" t="str">
        <f aca="false">IF(AND(B381&gt;=C381,B381&gt;=K381),"A. Distribution",IF(C381&gt;=K381,"B. Manufacturing","C. Prof. services"))</f>
        <v>A. Distribution</v>
      </c>
      <c r="E381" s="39" t="n">
        <v>0.0262061353451218</v>
      </c>
      <c r="F381" s="39" t="n">
        <v>0.182719035680565</v>
      </c>
      <c r="G381" s="39" t="n">
        <v>0.282342660280534</v>
      </c>
      <c r="H381" s="39" t="n">
        <v>0.358296843838676</v>
      </c>
      <c r="I381" s="39" t="n">
        <v>0.112732137372789</v>
      </c>
      <c r="J381" s="39" t="n">
        <v>0.0377031874823133</v>
      </c>
      <c r="K381" s="38" t="n">
        <f aca="false">E381*Scorecard!$E$18+F381*Scorecard!$E$19+G381*Scorecard!$E$20+H381*Scorecard!$E$21+I381*Scorecard!$E$22+J381*Scorecard!$E$23</f>
        <v>3.48224200556242</v>
      </c>
      <c r="M381" s="0" t="str">
        <f aca="false">IF(AND(T381&gt;=U381,T381&gt;=V381),"A. Distribution",IF(U381&gt;=V381,"B. Manufacturing","C. Prof. services"))</f>
        <v>A. Distribution</v>
      </c>
      <c r="N381" s="39" t="n">
        <v>0.296366615128744</v>
      </c>
      <c r="O381" s="39" t="n">
        <v>0.213744038789313</v>
      </c>
      <c r="P381" s="39" t="n">
        <v>0.199768806636194</v>
      </c>
      <c r="Q381" s="39" t="n">
        <v>0.0479174401685661</v>
      </c>
      <c r="R381" s="39" t="n">
        <v>0.185232090209267</v>
      </c>
      <c r="S381" s="39" t="n">
        <v>0.0569710090679161</v>
      </c>
      <c r="T381" s="38" t="n">
        <f aca="false">N381*Scorecard!$C$18+O381*Scorecard!$C$19+P381*Scorecard!$C$20+Q381*Scorecard!$C$21+R381*Scorecard!$C$22+S381*Scorecard!$C$23</f>
        <v>4.07084456954482</v>
      </c>
      <c r="U381" s="38" t="n">
        <f aca="false">N381*Scorecard!$D$18+O381*Scorecard!$D$19+P381*Scorecard!$D$20+Q381*Scorecard!$D$21+R381*Scorecard!$D$22+S381*Scorecard!$D$23</f>
        <v>2.94538198580624</v>
      </c>
      <c r="V381" s="38" t="n">
        <f aca="false">N381*Scorecard!$E$18+O381*Scorecard!$E$19+P381*Scorecard!$E$20+Q381*Scorecard!$E$21+R381*Scorecard!$E$22+S381*Scorecard!$E$23</f>
        <v>3.30038975148358</v>
      </c>
    </row>
    <row r="382" customFormat="false" ht="15" hidden="false" customHeight="false" outlineLevel="0" collapsed="false">
      <c r="A382" s="0" t="n">
        <v>377</v>
      </c>
      <c r="B382" s="38" t="n">
        <f aca="false">E382*Scorecard!$C$18+F382*Scorecard!$C$19+G382*Scorecard!$C$20+H382*Scorecard!$C$21+I382*Scorecard!$C$22+J382*Scorecard!$C$23</f>
        <v>3.05354068326349</v>
      </c>
      <c r="C382" s="38" t="n">
        <f aca="false">E382*Scorecard!$D$18+F382*Scorecard!$D$19+G382*Scorecard!$D$20+H382*Scorecard!$D$21+I382*Scorecard!$D$22+J382*Scorecard!$D$23</f>
        <v>2.14290447510286</v>
      </c>
      <c r="D382" s="0" t="str">
        <f aca="false">IF(AND(B382&gt;=C382,B382&gt;=K382),"A. Distribution",IF(C382&gt;=K382,"B. Manufacturing","C. Prof. services"))</f>
        <v>C. Prof. services</v>
      </c>
      <c r="E382" s="39" t="n">
        <v>0.0397470674874361</v>
      </c>
      <c r="F382" s="39" t="n">
        <v>0.0390974445465532</v>
      </c>
      <c r="G382" s="39" t="n">
        <v>0.00745501016408126</v>
      </c>
      <c r="H382" s="39" t="n">
        <v>0.292895056636019</v>
      </c>
      <c r="I382" s="39" t="n">
        <v>0.145402429506083</v>
      </c>
      <c r="J382" s="39" t="n">
        <v>0.475402991659828</v>
      </c>
      <c r="K382" s="38" t="n">
        <f aca="false">E382*Scorecard!$E$18+F382*Scorecard!$E$19+G382*Scorecard!$E$20+H382*Scorecard!$E$21+I382*Scorecard!$E$22+J382*Scorecard!$E$23</f>
        <v>3.83294905279574</v>
      </c>
      <c r="M382" s="0" t="str">
        <f aca="false">IF(AND(T382&gt;=U382,T382&gt;=V382),"A. Distribution",IF(U382&gt;=V382,"B. Manufacturing","C. Prof. services"))</f>
        <v>A. Distribution</v>
      </c>
      <c r="N382" s="39" t="n">
        <v>0.275170393829514</v>
      </c>
      <c r="O382" s="39" t="n">
        <v>0.154804428128099</v>
      </c>
      <c r="P382" s="39" t="n">
        <v>0.0905434412323247</v>
      </c>
      <c r="Q382" s="39" t="n">
        <v>0.235969855217251</v>
      </c>
      <c r="R382" s="39" t="n">
        <v>0.123723559110531</v>
      </c>
      <c r="S382" s="39" t="n">
        <v>0.119788322482281</v>
      </c>
      <c r="T382" s="38" t="n">
        <f aca="false">N382*Scorecard!$C$18+O382*Scorecard!$C$19+P382*Scorecard!$C$20+Q382*Scorecard!$C$21+R382*Scorecard!$C$22+S382*Scorecard!$C$23</f>
        <v>3.86770935016706</v>
      </c>
      <c r="U382" s="38" t="n">
        <f aca="false">N382*Scorecard!$D$18+O382*Scorecard!$D$19+P382*Scorecard!$D$20+Q382*Scorecard!$D$21+R382*Scorecard!$D$22+S382*Scorecard!$D$23</f>
        <v>2.81281215917219</v>
      </c>
      <c r="V382" s="38" t="n">
        <f aca="false">N382*Scorecard!$E$18+O382*Scorecard!$E$19+P382*Scorecard!$E$20+Q382*Scorecard!$E$21+R382*Scorecard!$E$22+S382*Scorecard!$E$23</f>
        <v>3.45386286649768</v>
      </c>
    </row>
    <row r="383" customFormat="false" ht="15" hidden="false" customHeight="false" outlineLevel="0" collapsed="false">
      <c r="A383" s="0" t="n">
        <v>378</v>
      </c>
      <c r="B383" s="38" t="n">
        <f aca="false">E383*Scorecard!$C$18+F383*Scorecard!$C$19+G383*Scorecard!$C$20+H383*Scorecard!$C$21+I383*Scorecard!$C$22+J383*Scorecard!$C$23</f>
        <v>4.62874760927745</v>
      </c>
      <c r="C383" s="38" t="n">
        <f aca="false">E383*Scorecard!$D$18+F383*Scorecard!$D$19+G383*Scorecard!$D$20+H383*Scorecard!$D$21+I383*Scorecard!$D$22+J383*Scorecard!$D$23</f>
        <v>2.44350155701258</v>
      </c>
      <c r="D383" s="0" t="str">
        <f aca="false">IF(AND(B383&gt;=C383,B383&gt;=K383),"A. Distribution",IF(C383&gt;=K383,"B. Manufacturing","C. Prof. services"))</f>
        <v>A. Distribution</v>
      </c>
      <c r="E383" s="39" t="n">
        <v>0.0310816399731864</v>
      </c>
      <c r="F383" s="39" t="n">
        <v>0.741926971155159</v>
      </c>
      <c r="G383" s="39" t="n">
        <v>0.140072731236181</v>
      </c>
      <c r="H383" s="39" t="n">
        <v>0.0285531412649688</v>
      </c>
      <c r="I383" s="39" t="n">
        <v>0.00456186656344704</v>
      </c>
      <c r="J383" s="39" t="n">
        <v>0.053803649807058</v>
      </c>
      <c r="K383" s="38" t="n">
        <f aca="false">E383*Scorecard!$E$18+F383*Scorecard!$E$19+G383*Scorecard!$E$20+H383*Scorecard!$E$21+I383*Scorecard!$E$22+J383*Scorecard!$E$23</f>
        <v>3.10750579645884</v>
      </c>
      <c r="M383" s="0" t="str">
        <f aca="false">IF(AND(T383&gt;=U383,T383&gt;=V383),"A. Distribution",IF(U383&gt;=V383,"B. Manufacturing","C. Prof. services"))</f>
        <v>A. Distribution</v>
      </c>
      <c r="N383" s="39" t="n">
        <v>0.157835757809674</v>
      </c>
      <c r="O383" s="39" t="n">
        <v>0.334428953565815</v>
      </c>
      <c r="P383" s="39" t="n">
        <v>0.138114773111727</v>
      </c>
      <c r="Q383" s="39" t="n">
        <v>0.125586132813613</v>
      </c>
      <c r="R383" s="39" t="n">
        <v>0.0532523430387574</v>
      </c>
      <c r="S383" s="39" t="n">
        <v>0.190782039660413</v>
      </c>
      <c r="T383" s="38" t="n">
        <f aca="false">N383*Scorecard!$C$18+O383*Scorecard!$C$19+P383*Scorecard!$C$20+Q383*Scorecard!$C$21+R383*Scorecard!$C$22+S383*Scorecard!$C$23</f>
        <v>3.92666077126312</v>
      </c>
      <c r="U383" s="38" t="n">
        <f aca="false">N383*Scorecard!$D$18+O383*Scorecard!$D$19+P383*Scorecard!$D$20+Q383*Scorecard!$D$21+R383*Scorecard!$D$22+S383*Scorecard!$D$23</f>
        <v>2.50885611473095</v>
      </c>
      <c r="V383" s="38" t="n">
        <f aca="false">N383*Scorecard!$E$18+O383*Scorecard!$E$19+P383*Scorecard!$E$20+Q383*Scorecard!$E$21+R383*Scorecard!$E$22+S383*Scorecard!$E$23</f>
        <v>3.4868588621214</v>
      </c>
    </row>
    <row r="384" customFormat="false" ht="15" hidden="false" customHeight="false" outlineLevel="0" collapsed="false">
      <c r="A384" s="0" t="n">
        <v>379</v>
      </c>
      <c r="B384" s="38" t="n">
        <f aca="false">E384*Scorecard!$C$18+F384*Scorecard!$C$19+G384*Scorecard!$C$20+H384*Scorecard!$C$21+I384*Scorecard!$C$22+J384*Scorecard!$C$23</f>
        <v>3.6187042965504</v>
      </c>
      <c r="C384" s="38" t="n">
        <f aca="false">E384*Scorecard!$D$18+F384*Scorecard!$D$19+G384*Scorecard!$D$20+H384*Scorecard!$D$21+I384*Scorecard!$D$22+J384*Scorecard!$D$23</f>
        <v>2.85486197460053</v>
      </c>
      <c r="D384" s="0" t="str">
        <f aca="false">IF(AND(B384&gt;=C384,B384&gt;=K384),"A. Distribution",IF(C384&gt;=K384,"B. Manufacturing","C. Prof. services"))</f>
        <v>C. Prof. services</v>
      </c>
      <c r="E384" s="39" t="n">
        <v>0.380188877188587</v>
      </c>
      <c r="F384" s="39" t="n">
        <v>0.0441681193317339</v>
      </c>
      <c r="G384" s="39" t="n">
        <v>0.245993228618548</v>
      </c>
      <c r="H384" s="39" t="n">
        <v>0.016223277907619</v>
      </c>
      <c r="I384" s="39" t="n">
        <v>0.116830688241157</v>
      </c>
      <c r="J384" s="39" t="n">
        <v>0.196595808712355</v>
      </c>
      <c r="K384" s="38" t="n">
        <f aca="false">E384*Scorecard!$E$18+F384*Scorecard!$E$19+G384*Scorecard!$E$20+H384*Scorecard!$E$21+I384*Scorecard!$E$22+J384*Scorecard!$E$23</f>
        <v>3.65537614816313</v>
      </c>
      <c r="M384" s="0" t="str">
        <f aca="false">IF(AND(T384&gt;=U384,T384&gt;=V384),"A. Distribution",IF(U384&gt;=V384,"B. Manufacturing","C. Prof. services"))</f>
        <v>A. Distribution</v>
      </c>
      <c r="N384" s="39" t="n">
        <v>0.13406384209622</v>
      </c>
      <c r="O384" s="39" t="n">
        <v>0.204396498355832</v>
      </c>
      <c r="P384" s="39" t="n">
        <v>0.216424300246619</v>
      </c>
      <c r="Q384" s="39" t="n">
        <v>0.217330094296134</v>
      </c>
      <c r="R384" s="39" t="n">
        <v>0.147796858348845</v>
      </c>
      <c r="S384" s="39" t="n">
        <v>0.079988406656351</v>
      </c>
      <c r="T384" s="38" t="n">
        <f aca="false">N384*Scorecard!$C$18+O384*Scorecard!$C$19+P384*Scorecard!$C$20+Q384*Scorecard!$C$21+R384*Scorecard!$C$22+S384*Scorecard!$C$23</f>
        <v>4.01023868674913</v>
      </c>
      <c r="U384" s="38" t="n">
        <f aca="false">N384*Scorecard!$D$18+O384*Scorecard!$D$19+P384*Scorecard!$D$20+Q384*Scorecard!$D$21+R384*Scorecard!$D$22+S384*Scorecard!$D$23</f>
        <v>2.60013118840979</v>
      </c>
      <c r="V384" s="38" t="n">
        <f aca="false">N384*Scorecard!$E$18+O384*Scorecard!$E$19+P384*Scorecard!$E$20+Q384*Scorecard!$E$21+R384*Scorecard!$E$22+S384*Scorecard!$E$23</f>
        <v>3.41120657496687</v>
      </c>
    </row>
    <row r="385" customFormat="false" ht="15" hidden="false" customHeight="false" outlineLevel="0" collapsed="false">
      <c r="A385" s="0" t="n">
        <v>380</v>
      </c>
      <c r="B385" s="38" t="n">
        <f aca="false">E385*Scorecard!$C$18+F385*Scorecard!$C$19+G385*Scorecard!$C$20+H385*Scorecard!$C$21+I385*Scorecard!$C$22+J385*Scorecard!$C$23</f>
        <v>4.08239429784237</v>
      </c>
      <c r="C385" s="38" t="n">
        <f aca="false">E385*Scorecard!$D$18+F385*Scorecard!$D$19+G385*Scorecard!$D$20+H385*Scorecard!$D$21+I385*Scorecard!$D$22+J385*Scorecard!$D$23</f>
        <v>2.97284990680669</v>
      </c>
      <c r="D385" s="0" t="str">
        <f aca="false">IF(AND(B385&gt;=C385,B385&gt;=K385),"A. Distribution",IF(C385&gt;=K385,"B. Manufacturing","C. Prof. services"))</f>
        <v>A. Distribution</v>
      </c>
      <c r="E385" s="39" t="n">
        <v>0.381715575961212</v>
      </c>
      <c r="F385" s="39" t="n">
        <v>0.235092359099876</v>
      </c>
      <c r="G385" s="39" t="n">
        <v>0.0100878628790277</v>
      </c>
      <c r="H385" s="39" t="n">
        <v>0.328597557344241</v>
      </c>
      <c r="I385" s="39" t="n">
        <v>0.00118425957904209</v>
      </c>
      <c r="J385" s="39" t="n">
        <v>0.043322385136602</v>
      </c>
      <c r="K385" s="38" t="n">
        <f aca="false">E385*Scorecard!$E$18+F385*Scorecard!$E$19+G385*Scorecard!$E$20+H385*Scorecard!$E$21+I385*Scorecard!$E$22+J385*Scorecard!$E$23</f>
        <v>3.4403196333605</v>
      </c>
      <c r="M385" s="0" t="str">
        <f aca="false">IF(AND(T385&gt;=U385,T385&gt;=V385),"A. Distribution",IF(U385&gt;=V385,"B. Manufacturing","C. Prof. services"))</f>
        <v>A. Distribution</v>
      </c>
      <c r="N385" s="39" t="n">
        <v>0.243953910034256</v>
      </c>
      <c r="O385" s="39" t="n">
        <v>0.197828195131592</v>
      </c>
      <c r="P385" s="39" t="n">
        <v>0.149244112635536</v>
      </c>
      <c r="Q385" s="39" t="n">
        <v>0.221362346224828</v>
      </c>
      <c r="R385" s="39" t="n">
        <v>0.155149153856095</v>
      </c>
      <c r="S385" s="39" t="n">
        <v>0.0324622821176923</v>
      </c>
      <c r="T385" s="38" t="n">
        <f aca="false">N385*Scorecard!$C$18+O385*Scorecard!$C$19+P385*Scorecard!$C$20+Q385*Scorecard!$C$21+R385*Scorecard!$C$22+S385*Scorecard!$C$23</f>
        <v>4.08946543627778</v>
      </c>
      <c r="U385" s="38" t="n">
        <f aca="false">N385*Scorecard!$D$18+O385*Scorecard!$D$19+P385*Scorecard!$D$20+Q385*Scorecard!$D$21+R385*Scorecard!$D$22+S385*Scorecard!$D$23</f>
        <v>2.85373921049105</v>
      </c>
      <c r="V385" s="38" t="n">
        <f aca="false">N385*Scorecard!$E$18+O385*Scorecard!$E$19+P385*Scorecard!$E$20+Q385*Scorecard!$E$21+R385*Scorecard!$E$22+S385*Scorecard!$E$23</f>
        <v>3.32677742405666</v>
      </c>
    </row>
    <row r="386" customFormat="false" ht="15" hidden="false" customHeight="false" outlineLevel="0" collapsed="false">
      <c r="A386" s="0" t="n">
        <v>381</v>
      </c>
      <c r="B386" s="38" t="n">
        <f aca="false">E386*Scorecard!$C$18+F386*Scorecard!$C$19+G386*Scorecard!$C$20+H386*Scorecard!$C$21+I386*Scorecard!$C$22+J386*Scorecard!$C$23</f>
        <v>4.08387806599921</v>
      </c>
      <c r="C386" s="38" t="n">
        <f aca="false">E386*Scorecard!$D$18+F386*Scorecard!$D$19+G386*Scorecard!$D$20+H386*Scorecard!$D$21+I386*Scorecard!$D$22+J386*Scorecard!$D$23</f>
        <v>3.04475881131483</v>
      </c>
      <c r="D386" s="0" t="str">
        <f aca="false">IF(AND(B386&gt;=C386,B386&gt;=K386),"A. Distribution",IF(C386&gt;=K386,"B. Manufacturing","C. Prof. services"))</f>
        <v>A. Distribution</v>
      </c>
      <c r="E386" s="39" t="n">
        <v>0.3465450465594</v>
      </c>
      <c r="F386" s="39" t="n">
        <v>0.180359353235054</v>
      </c>
      <c r="G386" s="39" t="n">
        <v>0.168831957967509</v>
      </c>
      <c r="H386" s="39" t="n">
        <v>0.100516416795382</v>
      </c>
      <c r="I386" s="39" t="n">
        <v>0.174833424815459</v>
      </c>
      <c r="J386" s="39" t="n">
        <v>0.028913800627195</v>
      </c>
      <c r="K386" s="38" t="n">
        <f aca="false">E386*Scorecard!$E$18+F386*Scorecard!$E$19+G386*Scorecard!$E$20+H386*Scorecard!$E$21+I386*Scorecard!$E$22+J386*Scorecard!$E$23</f>
        <v>3.30130819033162</v>
      </c>
      <c r="M386" s="0" t="str">
        <f aca="false">IF(AND(T386&gt;=U386,T386&gt;=V386),"A. Distribution",IF(U386&gt;=V386,"B. Manufacturing","C. Prof. services"))</f>
        <v>A. Distribution</v>
      </c>
      <c r="N386" s="39" t="n">
        <v>0.311883414355436</v>
      </c>
      <c r="O386" s="39" t="n">
        <v>0.134290255478958</v>
      </c>
      <c r="P386" s="39" t="n">
        <v>0.264847248486408</v>
      </c>
      <c r="Q386" s="39" t="n">
        <v>0.0560316671562147</v>
      </c>
      <c r="R386" s="39" t="n">
        <v>0.197628839357418</v>
      </c>
      <c r="S386" s="39" t="n">
        <v>0.0353185751655652</v>
      </c>
      <c r="T386" s="38" t="n">
        <f aca="false">N386*Scorecard!$C$18+O386*Scorecard!$C$19+P386*Scorecard!$C$20+Q386*Scorecard!$C$21+R386*Scorecard!$C$22+S386*Scorecard!$C$23</f>
        <v>4.03257554760046</v>
      </c>
      <c r="U386" s="38" t="n">
        <f aca="false">N386*Scorecard!$D$18+O386*Scorecard!$D$19+P386*Scorecard!$D$20+Q386*Scorecard!$D$21+R386*Scorecard!$D$22+S386*Scorecard!$D$23</f>
        <v>2.96440775387712</v>
      </c>
      <c r="V386" s="38" t="n">
        <f aca="false">N386*Scorecard!$E$18+O386*Scorecard!$E$19+P386*Scorecard!$E$20+Q386*Scorecard!$E$21+R386*Scorecard!$E$22+S386*Scorecard!$E$23</f>
        <v>3.35346999356359</v>
      </c>
    </row>
    <row r="387" customFormat="false" ht="15" hidden="false" customHeight="false" outlineLevel="0" collapsed="false">
      <c r="A387" s="0" t="n">
        <v>382</v>
      </c>
      <c r="B387" s="38" t="n">
        <f aca="false">E387*Scorecard!$C$18+F387*Scorecard!$C$19+G387*Scorecard!$C$20+H387*Scorecard!$C$21+I387*Scorecard!$C$22+J387*Scorecard!$C$23</f>
        <v>3.57956442931543</v>
      </c>
      <c r="C387" s="38" t="n">
        <f aca="false">E387*Scorecard!$D$18+F387*Scorecard!$D$19+G387*Scorecard!$D$20+H387*Scorecard!$D$21+I387*Scorecard!$D$22+J387*Scorecard!$D$23</f>
        <v>2.51281094900128</v>
      </c>
      <c r="D387" s="0" t="str">
        <f aca="false">IF(AND(B387&gt;=C387,B387&gt;=K387),"A. Distribution",IF(C387&gt;=K387,"B. Manufacturing","C. Prof. services"))</f>
        <v>C. Prof. services</v>
      </c>
      <c r="E387" s="39" t="n">
        <v>0.196310976375917</v>
      </c>
      <c r="F387" s="39" t="n">
        <v>0.113156126886439</v>
      </c>
      <c r="G387" s="39" t="n">
        <v>0.100609514256135</v>
      </c>
      <c r="H387" s="39" t="n">
        <v>0.271919363113049</v>
      </c>
      <c r="I387" s="39" t="n">
        <v>0.0737384933381265</v>
      </c>
      <c r="J387" s="39" t="n">
        <v>0.244265526030334</v>
      </c>
      <c r="K387" s="38" t="n">
        <f aca="false">E387*Scorecard!$E$18+F387*Scorecard!$E$19+G387*Scorecard!$E$20+H387*Scorecard!$E$21+I387*Scorecard!$E$22+J387*Scorecard!$E$23</f>
        <v>3.67687020327012</v>
      </c>
      <c r="M387" s="0" t="str">
        <f aca="false">IF(AND(T387&gt;=U387,T387&gt;=V387),"A. Distribution",IF(U387&gt;=V387,"B. Manufacturing","C. Prof. services"))</f>
        <v>A. Distribution</v>
      </c>
      <c r="N387" s="39" t="n">
        <v>0.211169464771613</v>
      </c>
      <c r="O387" s="39" t="n">
        <v>0.236480425641357</v>
      </c>
      <c r="P387" s="39" t="n">
        <v>0.176444684247695</v>
      </c>
      <c r="Q387" s="39" t="n">
        <v>0.144417386379819</v>
      </c>
      <c r="R387" s="39" t="n">
        <v>0.0834951613199393</v>
      </c>
      <c r="S387" s="39" t="n">
        <v>0.147992877639577</v>
      </c>
      <c r="T387" s="38" t="n">
        <f aca="false">N387*Scorecard!$C$18+O387*Scorecard!$C$19+P387*Scorecard!$C$20+Q387*Scorecard!$C$21+R387*Scorecard!$C$22+S387*Scorecard!$C$23</f>
        <v>3.90797949759564</v>
      </c>
      <c r="U387" s="38" t="n">
        <f aca="false">N387*Scorecard!$D$18+O387*Scorecard!$D$19+P387*Scorecard!$D$20+Q387*Scorecard!$D$21+R387*Scorecard!$D$22+S387*Scorecard!$D$23</f>
        <v>2.63209382475955</v>
      </c>
      <c r="V387" s="38" t="n">
        <f aca="false">N387*Scorecard!$E$18+O387*Scorecard!$E$19+P387*Scorecard!$E$20+Q387*Scorecard!$E$21+R387*Scorecard!$E$22+S387*Scorecard!$E$23</f>
        <v>3.49932191448035</v>
      </c>
    </row>
    <row r="388" customFormat="false" ht="15" hidden="false" customHeight="false" outlineLevel="0" collapsed="false">
      <c r="A388" s="0" t="n">
        <v>383</v>
      </c>
      <c r="B388" s="38" t="n">
        <f aca="false">E388*Scorecard!$C$18+F388*Scorecard!$C$19+G388*Scorecard!$C$20+H388*Scorecard!$C$21+I388*Scorecard!$C$22+J388*Scorecard!$C$23</f>
        <v>3.83059061952405</v>
      </c>
      <c r="C388" s="38" t="n">
        <f aca="false">E388*Scorecard!$D$18+F388*Scorecard!$D$19+G388*Scorecard!$D$20+H388*Scorecard!$D$21+I388*Scorecard!$D$22+J388*Scorecard!$D$23</f>
        <v>2.43254041409012</v>
      </c>
      <c r="D388" s="0" t="str">
        <f aca="false">IF(AND(B388&gt;=C388,B388&gt;=K388),"A. Distribution",IF(C388&gt;=K388,"B. Manufacturing","C. Prof. services"))</f>
        <v>A. Distribution</v>
      </c>
      <c r="E388" s="39" t="n">
        <v>0.0457953951912096</v>
      </c>
      <c r="F388" s="39" t="n">
        <v>0.432113724617281</v>
      </c>
      <c r="G388" s="39" t="n">
        <v>0.0233415272212239</v>
      </c>
      <c r="H388" s="39" t="n">
        <v>0.00639702671227476</v>
      </c>
      <c r="I388" s="39" t="n">
        <v>0.193773797625133</v>
      </c>
      <c r="J388" s="39" t="n">
        <v>0.298578528632878</v>
      </c>
      <c r="K388" s="38" t="n">
        <f aca="false">E388*Scorecard!$E$18+F388*Scorecard!$E$19+G388*Scorecard!$E$20+H388*Scorecard!$E$21+I388*Scorecard!$E$22+J388*Scorecard!$E$23</f>
        <v>3.28477991334472</v>
      </c>
      <c r="M388" s="0" t="str">
        <f aca="false">IF(AND(T388&gt;=U388,T388&gt;=V388),"A. Distribution",IF(U388&gt;=V388,"B. Manufacturing","C. Prof. services"))</f>
        <v>A. Distribution</v>
      </c>
      <c r="N388" s="39" t="n">
        <v>0.240793456991139</v>
      </c>
      <c r="O388" s="39" t="n">
        <v>0.148721937739717</v>
      </c>
      <c r="P388" s="39" t="n">
        <v>0.244613086971061</v>
      </c>
      <c r="Q388" s="39" t="n">
        <v>0.186091200635783</v>
      </c>
      <c r="R388" s="39" t="n">
        <v>0.164875965193419</v>
      </c>
      <c r="S388" s="39" t="n">
        <v>0.0149043524688802</v>
      </c>
      <c r="T388" s="38" t="n">
        <f aca="false">N388*Scorecard!$C$18+O388*Scorecard!$C$19+P388*Scorecard!$C$20+Q388*Scorecard!$C$21+R388*Scorecard!$C$22+S388*Scorecard!$C$23</f>
        <v>4.0795292673904</v>
      </c>
      <c r="U388" s="38" t="n">
        <f aca="false">N388*Scorecard!$D$18+O388*Scorecard!$D$19+P388*Scorecard!$D$20+Q388*Scorecard!$D$21+R388*Scorecard!$D$22+S388*Scorecard!$D$23</f>
        <v>2.83276608298995</v>
      </c>
      <c r="V388" s="38" t="n">
        <f aca="false">N388*Scorecard!$E$18+O388*Scorecard!$E$19+P388*Scorecard!$E$20+Q388*Scorecard!$E$21+R388*Scorecard!$E$22+S388*Scorecard!$E$23</f>
        <v>3.37360585503937</v>
      </c>
    </row>
    <row r="389" customFormat="false" ht="15" hidden="false" customHeight="false" outlineLevel="0" collapsed="false">
      <c r="A389" s="0" t="n">
        <v>384</v>
      </c>
      <c r="B389" s="38" t="n">
        <f aca="false">E389*Scorecard!$C$18+F389*Scorecard!$C$19+G389*Scorecard!$C$20+H389*Scorecard!$C$21+I389*Scorecard!$C$22+J389*Scorecard!$C$23</f>
        <v>2.97637870054642</v>
      </c>
      <c r="C389" s="38" t="n">
        <f aca="false">E389*Scorecard!$D$18+F389*Scorecard!$D$19+G389*Scorecard!$D$20+H389*Scorecard!$D$21+I389*Scorecard!$D$22+J389*Scorecard!$D$23</f>
        <v>2.48908895388364</v>
      </c>
      <c r="D389" s="0" t="str">
        <f aca="false">IF(AND(B389&gt;=C389,B389&gt;=K389),"A. Distribution",IF(C389&gt;=K389,"B. Manufacturing","C. Prof. services"))</f>
        <v>C. Prof. services</v>
      </c>
      <c r="E389" s="39" t="n">
        <v>0.16212217150683</v>
      </c>
      <c r="F389" s="39" t="n">
        <v>0.00668210197503302</v>
      </c>
      <c r="G389" s="39" t="n">
        <v>0.00264220541227639</v>
      </c>
      <c r="H389" s="39" t="n">
        <v>0.015592144502901</v>
      </c>
      <c r="I389" s="39" t="n">
        <v>0.30515784014619</v>
      </c>
      <c r="J389" s="39" t="n">
        <v>0.507803536456769</v>
      </c>
      <c r="K389" s="38" t="n">
        <f aca="false">E389*Scorecard!$E$18+F389*Scorecard!$E$19+G389*Scorecard!$E$20+H389*Scorecard!$E$21+I389*Scorecard!$E$22+J389*Scorecard!$E$23</f>
        <v>3.65114639156761</v>
      </c>
      <c r="M389" s="0" t="str">
        <f aca="false">IF(AND(T389&gt;=U389,T389&gt;=V389),"A. Distribution",IF(U389&gt;=V389,"B. Manufacturing","C. Prof. services"))</f>
        <v>A. Distribution</v>
      </c>
      <c r="N389" s="39" t="n">
        <v>0.140749428159692</v>
      </c>
      <c r="O389" s="39" t="n">
        <v>0.230187651001875</v>
      </c>
      <c r="P389" s="39" t="n">
        <v>0.205451611989081</v>
      </c>
      <c r="Q389" s="39" t="n">
        <v>0.154143032767779</v>
      </c>
      <c r="R389" s="39" t="n">
        <v>0.136553232563897</v>
      </c>
      <c r="S389" s="39" t="n">
        <v>0.132915043517677</v>
      </c>
      <c r="T389" s="38" t="n">
        <f aca="false">N389*Scorecard!$C$18+O389*Scorecard!$C$19+P389*Scorecard!$C$20+Q389*Scorecard!$C$21+R389*Scorecard!$C$22+S389*Scorecard!$C$23</f>
        <v>3.93644824450764</v>
      </c>
      <c r="U389" s="38" t="n">
        <f aca="false">N389*Scorecard!$D$18+O389*Scorecard!$D$19+P389*Scorecard!$D$20+Q389*Scorecard!$D$21+R389*Scorecard!$D$22+S389*Scorecard!$D$23</f>
        <v>2.5674007369765</v>
      </c>
      <c r="V389" s="38" t="n">
        <f aca="false">N389*Scorecard!$E$18+O389*Scorecard!$E$19+P389*Scorecard!$E$20+Q389*Scorecard!$E$21+R389*Scorecard!$E$22+S389*Scorecard!$E$23</f>
        <v>3.44290260116836</v>
      </c>
    </row>
    <row r="390" customFormat="false" ht="15" hidden="false" customHeight="false" outlineLevel="0" collapsed="false">
      <c r="A390" s="0" t="n">
        <v>385</v>
      </c>
      <c r="B390" s="38" t="n">
        <f aca="false">E390*Scorecard!$C$18+F390*Scorecard!$C$19+G390*Scorecard!$C$20+H390*Scorecard!$C$21+I390*Scorecard!$C$22+J390*Scorecard!$C$23</f>
        <v>3.5672489290805</v>
      </c>
      <c r="C390" s="38" t="n">
        <f aca="false">E390*Scorecard!$D$18+F390*Scorecard!$D$19+G390*Scorecard!$D$20+H390*Scorecard!$D$21+I390*Scorecard!$D$22+J390*Scorecard!$D$23</f>
        <v>2.41225894367933</v>
      </c>
      <c r="D390" s="0" t="str">
        <f aca="false">IF(AND(B390&gt;=C390,B390&gt;=K390),"A. Distribution",IF(C390&gt;=K390,"B. Manufacturing","C. Prof. services"))</f>
        <v>A. Distribution</v>
      </c>
      <c r="E390" s="39" t="n">
        <v>0.0348928707946421</v>
      </c>
      <c r="F390" s="39" t="n">
        <v>0.039749276667334</v>
      </c>
      <c r="G390" s="39" t="n">
        <v>0.0493886295305773</v>
      </c>
      <c r="H390" s="39" t="n">
        <v>0.442321218901696</v>
      </c>
      <c r="I390" s="39" t="n">
        <v>0.222628733736811</v>
      </c>
      <c r="J390" s="39" t="n">
        <v>0.211019270368939</v>
      </c>
      <c r="K390" s="38" t="n">
        <f aca="false">E390*Scorecard!$E$18+F390*Scorecard!$E$19+G390*Scorecard!$E$20+H390*Scorecard!$E$21+I390*Scorecard!$E$22+J390*Scorecard!$E$23</f>
        <v>3.52481831394529</v>
      </c>
      <c r="M390" s="0" t="str">
        <f aca="false">IF(AND(T390&gt;=U390,T390&gt;=V390),"A. Distribution",IF(U390&gt;=V390,"B. Manufacturing","C. Prof. services"))</f>
        <v>A. Distribution</v>
      </c>
      <c r="N390" s="39" t="n">
        <v>0.162907356391875</v>
      </c>
      <c r="O390" s="39" t="n">
        <v>0.148200849020342</v>
      </c>
      <c r="P390" s="39" t="n">
        <v>0.418922190591679</v>
      </c>
      <c r="Q390" s="39" t="n">
        <v>0.108455110246293</v>
      </c>
      <c r="R390" s="39" t="n">
        <v>0.076789363552742</v>
      </c>
      <c r="S390" s="39" t="n">
        <v>0.0847251301970689</v>
      </c>
      <c r="T390" s="38" t="n">
        <f aca="false">N390*Scorecard!$C$18+O390*Scorecard!$C$19+P390*Scorecard!$C$20+Q390*Scorecard!$C$21+R390*Scorecard!$C$22+S390*Scorecard!$C$23</f>
        <v>3.95398518110023</v>
      </c>
      <c r="U390" s="38" t="n">
        <f aca="false">N390*Scorecard!$D$18+O390*Scorecard!$D$19+P390*Scorecard!$D$20+Q390*Scorecard!$D$21+R390*Scorecard!$D$22+S390*Scorecard!$D$23</f>
        <v>2.49985378006084</v>
      </c>
      <c r="V390" s="38" t="n">
        <f aca="false">N390*Scorecard!$E$18+O390*Scorecard!$E$19+P390*Scorecard!$E$20+Q390*Scorecard!$E$21+R390*Scorecard!$E$22+S390*Scorecard!$E$23</f>
        <v>3.62028903935172</v>
      </c>
    </row>
    <row r="391" customFormat="false" ht="15" hidden="false" customHeight="false" outlineLevel="0" collapsed="false">
      <c r="A391" s="0" t="n">
        <v>386</v>
      </c>
      <c r="B391" s="38" t="n">
        <f aca="false">E391*Scorecard!$C$18+F391*Scorecard!$C$19+G391*Scorecard!$C$20+H391*Scorecard!$C$21+I391*Scorecard!$C$22+J391*Scorecard!$C$23</f>
        <v>3.42314181301021</v>
      </c>
      <c r="C391" s="38" t="n">
        <f aca="false">E391*Scorecard!$D$18+F391*Scorecard!$D$19+G391*Scorecard!$D$20+H391*Scorecard!$D$21+I391*Scorecard!$D$22+J391*Scorecard!$D$23</f>
        <v>1.9826095985504</v>
      </c>
      <c r="D391" s="0" t="str">
        <f aca="false">IF(AND(B391&gt;=C391,B391&gt;=K391),"A. Distribution",IF(C391&gt;=K391,"B. Manufacturing","C. Prof. services"))</f>
        <v>C. Prof. services</v>
      </c>
      <c r="E391" s="39" t="n">
        <v>0.00358768992562403</v>
      </c>
      <c r="F391" s="39" t="n">
        <v>0.228722031443438</v>
      </c>
      <c r="G391" s="39" t="n">
        <v>0.251559407532109</v>
      </c>
      <c r="H391" s="39" t="n">
        <v>0.10168874709621</v>
      </c>
      <c r="I391" s="39" t="n">
        <v>0.0172745478927349</v>
      </c>
      <c r="J391" s="39" t="n">
        <v>0.397167576109884</v>
      </c>
      <c r="K391" s="38" t="n">
        <f aca="false">E391*Scorecard!$E$18+F391*Scorecard!$E$19+G391*Scorecard!$E$20+H391*Scorecard!$E$21+I391*Scorecard!$E$22+J391*Scorecard!$E$23</f>
        <v>3.86132007651152</v>
      </c>
      <c r="M391" s="0" t="str">
        <f aca="false">IF(AND(T391&gt;=U391,T391&gt;=V391),"A. Distribution",IF(U391&gt;=V391,"B. Manufacturing","C. Prof. services"))</f>
        <v>A. Distribution</v>
      </c>
      <c r="N391" s="39" t="n">
        <v>0.207268782729567</v>
      </c>
      <c r="O391" s="39" t="n">
        <v>0.290475848437349</v>
      </c>
      <c r="P391" s="39" t="n">
        <v>0.169218177195976</v>
      </c>
      <c r="Q391" s="39" t="n">
        <v>0.120535189139287</v>
      </c>
      <c r="R391" s="39" t="n">
        <v>0.14660104474152</v>
      </c>
      <c r="S391" s="39" t="n">
        <v>0.0659009577563009</v>
      </c>
      <c r="T391" s="38" t="n">
        <f aca="false">N391*Scorecard!$C$18+O391*Scorecard!$C$19+P391*Scorecard!$C$20+Q391*Scorecard!$C$21+R391*Scorecard!$C$22+S391*Scorecard!$C$23</f>
        <v>4.12904525409417</v>
      </c>
      <c r="U391" s="38" t="n">
        <f aca="false">N391*Scorecard!$D$18+O391*Scorecard!$D$19+P391*Scorecard!$D$20+Q391*Scorecard!$D$21+R391*Scorecard!$D$22+S391*Scorecard!$D$23</f>
        <v>2.77101423779089</v>
      </c>
      <c r="V391" s="38" t="n">
        <f aca="false">N391*Scorecard!$E$18+O391*Scorecard!$E$19+P391*Scorecard!$E$20+Q391*Scorecard!$E$21+R391*Scorecard!$E$22+S391*Scorecard!$E$23</f>
        <v>3.29831190493163</v>
      </c>
    </row>
    <row r="392" customFormat="false" ht="15" hidden="false" customHeight="false" outlineLevel="0" collapsed="false">
      <c r="A392" s="0" t="n">
        <v>387</v>
      </c>
      <c r="B392" s="38" t="n">
        <f aca="false">E392*Scorecard!$C$18+F392*Scorecard!$C$19+G392*Scorecard!$C$20+H392*Scorecard!$C$21+I392*Scorecard!$C$22+J392*Scorecard!$C$23</f>
        <v>3.82746966648952</v>
      </c>
      <c r="C392" s="38" t="n">
        <f aca="false">E392*Scorecard!$D$18+F392*Scorecard!$D$19+G392*Scorecard!$D$20+H392*Scorecard!$D$21+I392*Scorecard!$D$22+J392*Scorecard!$D$23</f>
        <v>2.61955382146032</v>
      </c>
      <c r="D392" s="0" t="str">
        <f aca="false">IF(AND(B392&gt;=C392,B392&gt;=K392),"A. Distribution",IF(C392&gt;=K392,"B. Manufacturing","C. Prof. services"))</f>
        <v>A. Distribution</v>
      </c>
      <c r="E392" s="39" t="n">
        <v>0.151930656376521</v>
      </c>
      <c r="F392" s="39" t="n">
        <v>0.0535785585212132</v>
      </c>
      <c r="G392" s="39" t="n">
        <v>0.262909748258781</v>
      </c>
      <c r="H392" s="39" t="n">
        <v>0.242942101201632</v>
      </c>
      <c r="I392" s="39" t="n">
        <v>0.194772077580541</v>
      </c>
      <c r="J392" s="39" t="n">
        <v>0.0938668580613127</v>
      </c>
      <c r="K392" s="38" t="n">
        <f aca="false">E392*Scorecard!$E$18+F392*Scorecard!$E$19+G392*Scorecard!$E$20+H392*Scorecard!$E$21+I392*Scorecard!$E$22+J392*Scorecard!$E$23</f>
        <v>3.50283221734641</v>
      </c>
      <c r="M392" s="0" t="str">
        <f aca="false">IF(AND(T392&gt;=U392,T392&gt;=V392),"A. Distribution",IF(U392&gt;=V392,"B. Manufacturing","C. Prof. services"))</f>
        <v>A. Distribution</v>
      </c>
      <c r="N392" s="39" t="n">
        <v>0.0991017789552002</v>
      </c>
      <c r="O392" s="39" t="n">
        <v>0.112606574295896</v>
      </c>
      <c r="P392" s="39" t="n">
        <v>0.318630617073297</v>
      </c>
      <c r="Q392" s="39" t="n">
        <v>0.201382528444095</v>
      </c>
      <c r="R392" s="39" t="n">
        <v>0.142443487529755</v>
      </c>
      <c r="S392" s="39" t="n">
        <v>0.125835013701756</v>
      </c>
      <c r="T392" s="38" t="n">
        <f aca="false">N392*Scorecard!$C$18+O392*Scorecard!$C$19+P392*Scorecard!$C$20+Q392*Scorecard!$C$21+R392*Scorecard!$C$22+S392*Scorecard!$C$23</f>
        <v>3.83128089936378</v>
      </c>
      <c r="U392" s="38" t="n">
        <f aca="false">N392*Scorecard!$D$18+O392*Scorecard!$D$19+P392*Scorecard!$D$20+Q392*Scorecard!$D$21+R392*Scorecard!$D$22+S392*Scorecard!$D$23</f>
        <v>2.44603739550944</v>
      </c>
      <c r="V392" s="38" t="n">
        <f aca="false">N392*Scorecard!$E$18+O392*Scorecard!$E$19+P392*Scorecard!$E$20+Q392*Scorecard!$E$21+R392*Scorecard!$E$22+S392*Scorecard!$E$23</f>
        <v>3.57547676958554</v>
      </c>
    </row>
    <row r="393" customFormat="false" ht="15" hidden="false" customHeight="false" outlineLevel="0" collapsed="false">
      <c r="A393" s="0" t="n">
        <v>388</v>
      </c>
      <c r="B393" s="38" t="n">
        <f aca="false">E393*Scorecard!$C$18+F393*Scorecard!$C$19+G393*Scorecard!$C$20+H393*Scorecard!$C$21+I393*Scorecard!$C$22+J393*Scorecard!$C$23</f>
        <v>3.82863007770063</v>
      </c>
      <c r="C393" s="38" t="n">
        <f aca="false">E393*Scorecard!$D$18+F393*Scorecard!$D$19+G393*Scorecard!$D$20+H393*Scorecard!$D$21+I393*Scorecard!$D$22+J393*Scorecard!$D$23</f>
        <v>3.22487944770847</v>
      </c>
      <c r="D393" s="0" t="str">
        <f aca="false">IF(AND(B393&gt;=C393,B393&gt;=K393),"A. Distribution",IF(C393&gt;=K393,"B. Manufacturing","C. Prof. services"))</f>
        <v>A. Distribution</v>
      </c>
      <c r="E393" s="39" t="n">
        <v>0.490651371451516</v>
      </c>
      <c r="F393" s="39" t="n">
        <v>0.0299620594759078</v>
      </c>
      <c r="G393" s="39" t="n">
        <v>0.0657222650433617</v>
      </c>
      <c r="H393" s="39" t="n">
        <v>0.198290308071276</v>
      </c>
      <c r="I393" s="39" t="n">
        <v>0.145087360954827</v>
      </c>
      <c r="J393" s="39" t="n">
        <v>0.0702866350031113</v>
      </c>
      <c r="K393" s="38" t="n">
        <f aca="false">E393*Scorecard!$E$18+F393*Scorecard!$E$19+G393*Scorecard!$E$20+H393*Scorecard!$E$21+I393*Scorecard!$E$22+J393*Scorecard!$E$23</f>
        <v>3.44732737655778</v>
      </c>
      <c r="M393" s="0" t="str">
        <f aca="false">IF(AND(T393&gt;=U393,T393&gt;=V393),"A. Distribution",IF(U393&gt;=V393,"B. Manufacturing","C. Prof. services"))</f>
        <v>A. Distribution</v>
      </c>
      <c r="N393" s="39" t="n">
        <v>0.280732630452951</v>
      </c>
      <c r="O393" s="39" t="n">
        <v>0.157161974888251</v>
      </c>
      <c r="P393" s="39" t="n">
        <v>0.131152340777512</v>
      </c>
      <c r="Q393" s="39" t="n">
        <v>0.254163355231058</v>
      </c>
      <c r="R393" s="39" t="n">
        <v>0.0422390698539645</v>
      </c>
      <c r="S393" s="39" t="n">
        <v>0.134550628796263</v>
      </c>
      <c r="T393" s="38" t="n">
        <f aca="false">N393*Scorecard!$C$18+O393*Scorecard!$C$19+P393*Scorecard!$C$20+Q393*Scorecard!$C$21+R393*Scorecard!$C$22+S393*Scorecard!$C$23</f>
        <v>3.83813534997399</v>
      </c>
      <c r="U393" s="38" t="n">
        <f aca="false">N393*Scorecard!$D$18+O393*Scorecard!$D$19+P393*Scorecard!$D$20+Q393*Scorecard!$D$21+R393*Scorecard!$D$22+S393*Scorecard!$D$23</f>
        <v>2.7146084868804</v>
      </c>
      <c r="V393" s="38" t="n">
        <f aca="false">N393*Scorecard!$E$18+O393*Scorecard!$E$19+P393*Scorecard!$E$20+Q393*Scorecard!$E$21+R393*Scorecard!$E$22+S393*Scorecard!$E$23</f>
        <v>3.58550419180762</v>
      </c>
    </row>
    <row r="394" customFormat="false" ht="15" hidden="false" customHeight="false" outlineLevel="0" collapsed="false">
      <c r="A394" s="0" t="n">
        <v>389</v>
      </c>
      <c r="B394" s="38" t="n">
        <f aca="false">E394*Scorecard!$C$18+F394*Scorecard!$C$19+G394*Scorecard!$C$20+H394*Scorecard!$C$21+I394*Scorecard!$C$22+J394*Scorecard!$C$23</f>
        <v>3.99673700897174</v>
      </c>
      <c r="C394" s="38" t="n">
        <f aca="false">E394*Scorecard!$D$18+F394*Scorecard!$D$19+G394*Scorecard!$D$20+H394*Scorecard!$D$21+I394*Scorecard!$D$22+J394*Scorecard!$D$23</f>
        <v>2.62214804836014</v>
      </c>
      <c r="D394" s="0" t="str">
        <f aca="false">IF(AND(B394&gt;=C394,B394&gt;=K394),"A. Distribution",IF(C394&gt;=K394,"B. Manufacturing","C. Prof. services"))</f>
        <v>A. Distribution</v>
      </c>
      <c r="E394" s="39" t="n">
        <v>0.211174852392942</v>
      </c>
      <c r="F394" s="39" t="n">
        <v>0.380427958013225</v>
      </c>
      <c r="G394" s="39" t="n">
        <v>0.141350370837133</v>
      </c>
      <c r="H394" s="39" t="n">
        <v>0.028198951014057</v>
      </c>
      <c r="I394" s="39" t="n">
        <v>0.0569988935785151</v>
      </c>
      <c r="J394" s="39" t="n">
        <v>0.181848974164127</v>
      </c>
      <c r="K394" s="38" t="n">
        <f aca="false">E394*Scorecard!$E$18+F394*Scorecard!$E$19+G394*Scorecard!$E$20+H394*Scorecard!$E$21+I394*Scorecard!$E$22+J394*Scorecard!$E$23</f>
        <v>3.42634335704075</v>
      </c>
      <c r="M394" s="0" t="str">
        <f aca="false">IF(AND(T394&gt;=U394,T394&gt;=V394),"A. Distribution",IF(U394&gt;=V394,"B. Manufacturing","C. Prof. services"))</f>
        <v>A. Distribution</v>
      </c>
      <c r="N394" s="39" t="n">
        <v>0.180771286836058</v>
      </c>
      <c r="O394" s="39" t="n">
        <v>0.249824303066317</v>
      </c>
      <c r="P394" s="39" t="n">
        <v>0.21255103277948</v>
      </c>
      <c r="Q394" s="39" t="n">
        <v>0.157812254004821</v>
      </c>
      <c r="R394" s="39" t="n">
        <v>0.0753302056390168</v>
      </c>
      <c r="S394" s="39" t="n">
        <v>0.123710917674308</v>
      </c>
      <c r="T394" s="38" t="n">
        <f aca="false">N394*Scorecard!$C$18+O394*Scorecard!$C$19+P394*Scorecard!$C$20+Q394*Scorecard!$C$21+R394*Scorecard!$C$22+S394*Scorecard!$C$23</f>
        <v>3.97088456168091</v>
      </c>
      <c r="U394" s="38" t="n">
        <f aca="false">N394*Scorecard!$D$18+O394*Scorecard!$D$19+P394*Scorecard!$D$20+Q394*Scorecard!$D$21+R394*Scorecard!$D$22+S394*Scorecard!$D$23</f>
        <v>2.58282777560066</v>
      </c>
      <c r="V394" s="38" t="n">
        <f aca="false">N394*Scorecard!$E$18+O394*Scorecard!$E$19+P394*Scorecard!$E$20+Q394*Scorecard!$E$21+R394*Scorecard!$E$22+S394*Scorecard!$E$23</f>
        <v>3.49565590577079</v>
      </c>
    </row>
    <row r="395" customFormat="false" ht="15" hidden="false" customHeight="false" outlineLevel="0" collapsed="false">
      <c r="A395" s="0" t="n">
        <v>390</v>
      </c>
      <c r="B395" s="38" t="n">
        <f aca="false">E395*Scorecard!$C$18+F395*Scorecard!$C$19+G395*Scorecard!$C$20+H395*Scorecard!$C$21+I395*Scorecard!$C$22+J395*Scorecard!$C$23</f>
        <v>4.22350324304922</v>
      </c>
      <c r="C395" s="38" t="n">
        <f aca="false">E395*Scorecard!$D$18+F395*Scorecard!$D$19+G395*Scorecard!$D$20+H395*Scorecard!$D$21+I395*Scorecard!$D$22+J395*Scorecard!$D$23</f>
        <v>2.72817563989732</v>
      </c>
      <c r="D395" s="0" t="str">
        <f aca="false">IF(AND(B395&gt;=C395,B395&gt;=K395),"A. Distribution",IF(C395&gt;=K395,"B. Manufacturing","C. Prof. services"))</f>
        <v>A. Distribution</v>
      </c>
      <c r="E395" s="39" t="n">
        <v>0.0185781011550388</v>
      </c>
      <c r="F395" s="39" t="n">
        <v>0.375901117673881</v>
      </c>
      <c r="G395" s="39" t="n">
        <v>0.0298134560091859</v>
      </c>
      <c r="H395" s="39" t="n">
        <v>0.146282590773484</v>
      </c>
      <c r="I395" s="39" t="n">
        <v>0.361852602457979</v>
      </c>
      <c r="J395" s="39" t="n">
        <v>0.067572131930431</v>
      </c>
      <c r="K395" s="38" t="n">
        <f aca="false">E395*Scorecard!$E$18+F395*Scorecard!$E$19+G395*Scorecard!$E$20+H395*Scorecard!$E$21+I395*Scorecard!$E$22+J395*Scorecard!$E$23</f>
        <v>2.92419279927791</v>
      </c>
      <c r="M395" s="0" t="str">
        <f aca="false">IF(AND(T395&gt;=U395,T395&gt;=V395),"A. Distribution",IF(U395&gt;=V395,"B. Manufacturing","C. Prof. services"))</f>
        <v>C. Prof. services</v>
      </c>
      <c r="N395" s="39" t="n">
        <v>0.213711326014915</v>
      </c>
      <c r="O395" s="39" t="n">
        <v>0.125580131977473</v>
      </c>
      <c r="P395" s="39" t="n">
        <v>0.195055168391582</v>
      </c>
      <c r="Q395" s="39" t="n">
        <v>0.0721712781396826</v>
      </c>
      <c r="R395" s="39" t="n">
        <v>0.121941099975685</v>
      </c>
      <c r="S395" s="39" t="n">
        <v>0.271540995500663</v>
      </c>
      <c r="T395" s="38" t="n">
        <f aca="false">N395*Scorecard!$C$18+O395*Scorecard!$C$19+P395*Scorecard!$C$20+Q395*Scorecard!$C$21+R395*Scorecard!$C$22+S395*Scorecard!$C$23</f>
        <v>3.55756345093302</v>
      </c>
      <c r="U395" s="38" t="n">
        <f aca="false">N395*Scorecard!$D$18+O395*Scorecard!$D$19+P395*Scorecard!$D$20+Q395*Scorecard!$D$21+R395*Scorecard!$D$22+S395*Scorecard!$D$23</f>
        <v>2.5468501099184</v>
      </c>
      <c r="V395" s="38" t="n">
        <f aca="false">N395*Scorecard!$E$18+O395*Scorecard!$E$19+P395*Scorecard!$E$20+Q395*Scorecard!$E$21+R395*Scorecard!$E$22+S395*Scorecard!$E$23</f>
        <v>3.65194936573121</v>
      </c>
    </row>
    <row r="396" customFormat="false" ht="15" hidden="false" customHeight="false" outlineLevel="0" collapsed="false">
      <c r="A396" s="0" t="n">
        <v>391</v>
      </c>
      <c r="B396" s="38" t="n">
        <f aca="false">E396*Scorecard!$C$18+F396*Scorecard!$C$19+G396*Scorecard!$C$20+H396*Scorecard!$C$21+I396*Scorecard!$C$22+J396*Scorecard!$C$23</f>
        <v>4.33721198908038</v>
      </c>
      <c r="C396" s="38" t="n">
        <f aca="false">E396*Scorecard!$D$18+F396*Scorecard!$D$19+G396*Scorecard!$D$20+H396*Scorecard!$D$21+I396*Scorecard!$D$22+J396*Scorecard!$D$23</f>
        <v>2.58766092839624</v>
      </c>
      <c r="D396" s="0" t="str">
        <f aca="false">IF(AND(B396&gt;=C396,B396&gt;=K396),"A. Distribution",IF(C396&gt;=K396,"B. Manufacturing","C. Prof. services"))</f>
        <v>A. Distribution</v>
      </c>
      <c r="E396" s="39" t="n">
        <v>0.076386343750175</v>
      </c>
      <c r="F396" s="39" t="n">
        <v>0.585143661130423</v>
      </c>
      <c r="G396" s="39" t="n">
        <v>0.00721231500357968</v>
      </c>
      <c r="H396" s="39" t="n">
        <v>0.102875355137173</v>
      </c>
      <c r="I396" s="39" t="n">
        <v>0.11302533537196</v>
      </c>
      <c r="J396" s="39" t="n">
        <v>0.115356989606689</v>
      </c>
      <c r="K396" s="38" t="n">
        <f aca="false">E396*Scorecard!$E$18+F396*Scorecard!$E$19+G396*Scorecard!$E$20+H396*Scorecard!$E$21+I396*Scorecard!$E$22+J396*Scorecard!$E$23</f>
        <v>3.09796665349249</v>
      </c>
      <c r="M396" s="0" t="str">
        <f aca="false">IF(AND(T396&gt;=U396,T396&gt;=V396),"A. Distribution",IF(U396&gt;=V396,"B. Manufacturing","C. Prof. services"))</f>
        <v>A. Distribution</v>
      </c>
      <c r="N396" s="39" t="n">
        <v>0.165866433858216</v>
      </c>
      <c r="O396" s="39" t="n">
        <v>0.129617118796664</v>
      </c>
      <c r="P396" s="39" t="n">
        <v>0.148787715440399</v>
      </c>
      <c r="Q396" s="39" t="n">
        <v>0.173279236122123</v>
      </c>
      <c r="R396" s="39" t="n">
        <v>0.258304505691233</v>
      </c>
      <c r="S396" s="39" t="n">
        <v>0.124144990091365</v>
      </c>
      <c r="T396" s="38" t="n">
        <f aca="false">N396*Scorecard!$C$18+O396*Scorecard!$C$19+P396*Scorecard!$C$20+Q396*Scorecard!$C$21+R396*Scorecard!$C$22+S396*Scorecard!$C$23</f>
        <v>3.84933931870839</v>
      </c>
      <c r="U396" s="38" t="n">
        <f aca="false">N396*Scorecard!$D$18+O396*Scorecard!$D$19+P396*Scorecard!$D$20+Q396*Scorecard!$D$21+R396*Scorecard!$D$22+S396*Scorecard!$D$23</f>
        <v>2.73724541426326</v>
      </c>
      <c r="V396" s="38" t="n">
        <f aca="false">N396*Scorecard!$E$18+O396*Scorecard!$E$19+P396*Scorecard!$E$20+Q396*Scorecard!$E$21+R396*Scorecard!$E$22+S396*Scorecard!$E$23</f>
        <v>3.33700106634598</v>
      </c>
    </row>
    <row r="397" customFormat="false" ht="15" hidden="false" customHeight="false" outlineLevel="0" collapsed="false">
      <c r="A397" s="0" t="n">
        <v>392</v>
      </c>
      <c r="B397" s="38" t="n">
        <f aca="false">E397*Scorecard!$C$18+F397*Scorecard!$C$19+G397*Scorecard!$C$20+H397*Scorecard!$C$21+I397*Scorecard!$C$22+J397*Scorecard!$C$23</f>
        <v>3.49679700790613</v>
      </c>
      <c r="C397" s="38" t="n">
        <f aca="false">E397*Scorecard!$D$18+F397*Scorecard!$D$19+G397*Scorecard!$D$20+H397*Scorecard!$D$21+I397*Scorecard!$D$22+J397*Scorecard!$D$23</f>
        <v>2.47873078202791</v>
      </c>
      <c r="D397" s="0" t="str">
        <f aca="false">IF(AND(B397&gt;=C397,B397&gt;=K397),"A. Distribution",IF(C397&gt;=K397,"B. Manufacturing","C. Prof. services"))</f>
        <v>C. Prof. services</v>
      </c>
      <c r="E397" s="39" t="n">
        <v>0.235955127298093</v>
      </c>
      <c r="F397" s="39" t="n">
        <v>0.0997993692780401</v>
      </c>
      <c r="G397" s="39" t="n">
        <v>0.262248756019592</v>
      </c>
      <c r="H397" s="39" t="n">
        <v>0.0553613566567348</v>
      </c>
      <c r="I397" s="39" t="n">
        <v>0.0575888571305279</v>
      </c>
      <c r="J397" s="39" t="n">
        <v>0.289046533617013</v>
      </c>
      <c r="K397" s="38" t="n">
        <f aca="false">E397*Scorecard!$E$18+F397*Scorecard!$E$19+G397*Scorecard!$E$20+H397*Scorecard!$E$21+I397*Scorecard!$E$22+J397*Scorecard!$E$23</f>
        <v>3.79315302545909</v>
      </c>
      <c r="M397" s="0" t="str">
        <f aca="false">IF(AND(T397&gt;=U397,T397&gt;=V397),"A. Distribution",IF(U397&gt;=V397,"B. Manufacturing","C. Prof. services"))</f>
        <v>A. Distribution</v>
      </c>
      <c r="N397" s="39" t="n">
        <v>0.13334048600159</v>
      </c>
      <c r="O397" s="39" t="n">
        <v>0.32366297202802</v>
      </c>
      <c r="P397" s="39" t="n">
        <v>0.100201813069167</v>
      </c>
      <c r="Q397" s="39" t="n">
        <v>0.0924772584656787</v>
      </c>
      <c r="R397" s="39" t="n">
        <v>0.136087669793611</v>
      </c>
      <c r="S397" s="39" t="n">
        <v>0.214229800641933</v>
      </c>
      <c r="T397" s="38" t="n">
        <f aca="false">N397*Scorecard!$C$18+O397*Scorecard!$C$19+P397*Scorecard!$C$20+Q397*Scorecard!$C$21+R397*Scorecard!$C$22+S397*Scorecard!$C$23</f>
        <v>3.87453341470071</v>
      </c>
      <c r="U397" s="38" t="n">
        <f aca="false">N397*Scorecard!$D$18+O397*Scorecard!$D$19+P397*Scorecard!$D$20+Q397*Scorecard!$D$21+R397*Scorecard!$D$22+S397*Scorecard!$D$23</f>
        <v>2.54263378909362</v>
      </c>
      <c r="V397" s="38" t="n">
        <f aca="false">N397*Scorecard!$E$18+O397*Scorecard!$E$19+P397*Scorecard!$E$20+Q397*Scorecard!$E$21+R397*Scorecard!$E$22+S397*Scorecard!$E$23</f>
        <v>3.3964677001931</v>
      </c>
    </row>
    <row r="398" customFormat="false" ht="15" hidden="false" customHeight="false" outlineLevel="0" collapsed="false">
      <c r="A398" s="0" t="n">
        <v>393</v>
      </c>
      <c r="B398" s="38" t="n">
        <f aca="false">E398*Scorecard!$C$18+F398*Scorecard!$C$19+G398*Scorecard!$C$20+H398*Scorecard!$C$21+I398*Scorecard!$C$22+J398*Scorecard!$C$23</f>
        <v>3.71316938171999</v>
      </c>
      <c r="C398" s="38" t="n">
        <f aca="false">E398*Scorecard!$D$18+F398*Scorecard!$D$19+G398*Scorecard!$D$20+H398*Scorecard!$D$21+I398*Scorecard!$D$22+J398*Scorecard!$D$23</f>
        <v>2.60728011109885</v>
      </c>
      <c r="D398" s="0" t="str">
        <f aca="false">IF(AND(B398&gt;=C398,B398&gt;=K398),"A. Distribution",IF(C398&gt;=K398,"B. Manufacturing","C. Prof. services"))</f>
        <v>A. Distribution</v>
      </c>
      <c r="E398" s="39" t="n">
        <v>0.156496399739006</v>
      </c>
      <c r="F398" s="39" t="n">
        <v>0.0560204417368547</v>
      </c>
      <c r="G398" s="39" t="n">
        <v>0.245106312975211</v>
      </c>
      <c r="H398" s="39" t="n">
        <v>0.169208440194959</v>
      </c>
      <c r="I398" s="39" t="n">
        <v>0.217141325077583</v>
      </c>
      <c r="J398" s="39" t="n">
        <v>0.156027080276386</v>
      </c>
      <c r="K398" s="38" t="n">
        <f aca="false">E398*Scorecard!$E$18+F398*Scorecard!$E$19+G398*Scorecard!$E$20+H398*Scorecard!$E$21+I398*Scorecard!$E$22+J398*Scorecard!$E$23</f>
        <v>3.51554405772863</v>
      </c>
      <c r="M398" s="0" t="str">
        <f aca="false">IF(AND(T398&gt;=U398,T398&gt;=V398),"A. Distribution",IF(U398&gt;=V398,"B. Manufacturing","C. Prof. services"))</f>
        <v>A. Distribution</v>
      </c>
      <c r="N398" s="39" t="n">
        <v>0.21102923450766</v>
      </c>
      <c r="O398" s="39" t="n">
        <v>0.214512927341341</v>
      </c>
      <c r="P398" s="39" t="n">
        <v>0.11018397242467</v>
      </c>
      <c r="Q398" s="39" t="n">
        <v>0.117281546293613</v>
      </c>
      <c r="R398" s="39" t="n">
        <v>0.228750002862908</v>
      </c>
      <c r="S398" s="39" t="n">
        <v>0.118242316569809</v>
      </c>
      <c r="T398" s="38" t="n">
        <f aca="false">N398*Scorecard!$C$18+O398*Scorecard!$C$19+P398*Scorecard!$C$20+Q398*Scorecard!$C$21+R398*Scorecard!$C$22+S398*Scorecard!$C$23</f>
        <v>3.94844828276306</v>
      </c>
      <c r="U398" s="38" t="n">
        <f aca="false">N398*Scorecard!$D$18+O398*Scorecard!$D$19+P398*Scorecard!$D$20+Q398*Scorecard!$D$21+R398*Scorecard!$D$22+S398*Scorecard!$D$23</f>
        <v>2.82078380248197</v>
      </c>
      <c r="V398" s="38" t="n">
        <f aca="false">N398*Scorecard!$E$18+O398*Scorecard!$E$19+P398*Scorecard!$E$20+Q398*Scorecard!$E$21+R398*Scorecard!$E$22+S398*Scorecard!$E$23</f>
        <v>3.27755632590732</v>
      </c>
    </row>
    <row r="399" customFormat="false" ht="15" hidden="false" customHeight="false" outlineLevel="0" collapsed="false">
      <c r="A399" s="0" t="n">
        <v>394</v>
      </c>
      <c r="B399" s="38" t="n">
        <f aca="false">E399*Scorecard!$C$18+F399*Scorecard!$C$19+G399*Scorecard!$C$20+H399*Scorecard!$C$21+I399*Scorecard!$C$22+J399*Scorecard!$C$23</f>
        <v>3.66847197034558</v>
      </c>
      <c r="C399" s="38" t="n">
        <f aca="false">E399*Scorecard!$D$18+F399*Scorecard!$D$19+G399*Scorecard!$D$20+H399*Scorecard!$D$21+I399*Scorecard!$D$22+J399*Scorecard!$D$23</f>
        <v>3.04739611158298</v>
      </c>
      <c r="D399" s="0" t="str">
        <f aca="false">IF(AND(B399&gt;=C399,B399&gt;=K399),"A. Distribution",IF(C399&gt;=K399,"B. Manufacturing","C. Prof. services"))</f>
        <v>A. Distribution</v>
      </c>
      <c r="E399" s="39" t="n">
        <v>0.368421836064663</v>
      </c>
      <c r="F399" s="39" t="n">
        <v>0.0963544611594106</v>
      </c>
      <c r="G399" s="39" t="n">
        <v>0.0380524143776864</v>
      </c>
      <c r="H399" s="39" t="n">
        <v>0.0497384845547986</v>
      </c>
      <c r="I399" s="39" t="n">
        <v>0.250960933833352</v>
      </c>
      <c r="J399" s="39" t="n">
        <v>0.196471870010089</v>
      </c>
      <c r="K399" s="38" t="n">
        <f aca="false">E399*Scorecard!$E$18+F399*Scorecard!$E$19+G399*Scorecard!$E$20+H399*Scorecard!$E$21+I399*Scorecard!$E$22+J399*Scorecard!$E$23</f>
        <v>3.36429630988608</v>
      </c>
      <c r="M399" s="0" t="str">
        <f aca="false">IF(AND(T399&gt;=U399,T399&gt;=V399),"A. Distribution",IF(U399&gt;=V399,"B. Manufacturing","C. Prof. services"))</f>
        <v>A. Distribution</v>
      </c>
      <c r="N399" s="39" t="n">
        <v>0.244348642333521</v>
      </c>
      <c r="O399" s="39" t="n">
        <v>0.182759324942109</v>
      </c>
      <c r="P399" s="39" t="n">
        <v>0.267877436501091</v>
      </c>
      <c r="Q399" s="39" t="n">
        <v>0.0651789788531687</v>
      </c>
      <c r="R399" s="39" t="n">
        <v>0.123021152171915</v>
      </c>
      <c r="S399" s="39" t="n">
        <v>0.116814465198196</v>
      </c>
      <c r="T399" s="38" t="n">
        <f aca="false">N399*Scorecard!$C$18+O399*Scorecard!$C$19+P399*Scorecard!$C$20+Q399*Scorecard!$C$21+R399*Scorecard!$C$22+S399*Scorecard!$C$23</f>
        <v>3.92248935762849</v>
      </c>
      <c r="U399" s="38" t="n">
        <f aca="false">N399*Scorecard!$D$18+O399*Scorecard!$D$19+P399*Scorecard!$D$20+Q399*Scorecard!$D$21+R399*Scorecard!$D$22+S399*Scorecard!$D$23</f>
        <v>2.71589374961673</v>
      </c>
      <c r="V399" s="38" t="n">
        <f aca="false">N399*Scorecard!$E$18+O399*Scorecard!$E$19+P399*Scorecard!$E$20+Q399*Scorecard!$E$21+R399*Scorecard!$E$22+S399*Scorecard!$E$23</f>
        <v>3.49140129123168</v>
      </c>
    </row>
    <row r="400" customFormat="false" ht="15" hidden="false" customHeight="false" outlineLevel="0" collapsed="false">
      <c r="A400" s="0" t="n">
        <v>395</v>
      </c>
      <c r="B400" s="38" t="n">
        <f aca="false">E400*Scorecard!$C$18+F400*Scorecard!$C$19+G400*Scorecard!$C$20+H400*Scorecard!$C$21+I400*Scorecard!$C$22+J400*Scorecard!$C$23</f>
        <v>3.73311973672254</v>
      </c>
      <c r="C400" s="38" t="n">
        <f aca="false">E400*Scorecard!$D$18+F400*Scorecard!$D$19+G400*Scorecard!$D$20+H400*Scorecard!$D$21+I400*Scorecard!$D$22+J400*Scorecard!$D$23</f>
        <v>2.82050094695118</v>
      </c>
      <c r="D400" s="0" t="str">
        <f aca="false">IF(AND(B400&gt;=C400,B400&gt;=K400),"A. Distribution",IF(C400&gt;=K400,"B. Manufacturing","C. Prof. services"))</f>
        <v>A. Distribution</v>
      </c>
      <c r="E400" s="39" t="n">
        <v>0.240979203347782</v>
      </c>
      <c r="F400" s="39" t="n">
        <v>0.0595204374699211</v>
      </c>
      <c r="G400" s="39" t="n">
        <v>0.0252917251469904</v>
      </c>
      <c r="H400" s="39" t="n">
        <v>0.33544517421773</v>
      </c>
      <c r="I400" s="39" t="n">
        <v>0.203309037784792</v>
      </c>
      <c r="J400" s="39" t="n">
        <v>0.135454422032784</v>
      </c>
      <c r="K400" s="38" t="n">
        <f aca="false">E400*Scorecard!$E$18+F400*Scorecard!$E$19+G400*Scorecard!$E$20+H400*Scorecard!$E$21+I400*Scorecard!$E$22+J400*Scorecard!$E$23</f>
        <v>3.42751462709931</v>
      </c>
      <c r="M400" s="0" t="str">
        <f aca="false">IF(AND(T400&gt;=U400,T400&gt;=V400),"A. Distribution",IF(U400&gt;=V400,"B. Manufacturing","C. Prof. services"))</f>
        <v>A. Distribution</v>
      </c>
      <c r="N400" s="39" t="n">
        <v>0.108198537065527</v>
      </c>
      <c r="O400" s="39" t="n">
        <v>0.0630777347134091</v>
      </c>
      <c r="P400" s="39" t="n">
        <v>0.468251407425956</v>
      </c>
      <c r="Q400" s="39" t="n">
        <v>0.180792538044132</v>
      </c>
      <c r="R400" s="39" t="n">
        <v>0.0645120400310631</v>
      </c>
      <c r="S400" s="39" t="n">
        <v>0.115167742719913</v>
      </c>
      <c r="T400" s="38" t="n">
        <f aca="false">N400*Scorecard!$C$18+O400*Scorecard!$C$19+P400*Scorecard!$C$20+Q400*Scorecard!$C$21+R400*Scorecard!$C$22+S400*Scorecard!$C$23</f>
        <v>3.80457483594989</v>
      </c>
      <c r="U400" s="38" t="n">
        <f aca="false">N400*Scorecard!$D$18+O400*Scorecard!$D$19+P400*Scorecard!$D$20+Q400*Scorecard!$D$21+R400*Scorecard!$D$22+S400*Scorecard!$D$23</f>
        <v>2.33361153560754</v>
      </c>
      <c r="V400" s="38" t="n">
        <f aca="false">N400*Scorecard!$E$18+O400*Scorecard!$E$19+P400*Scorecard!$E$20+Q400*Scorecard!$E$21+R400*Scorecard!$E$22+S400*Scorecard!$E$23</f>
        <v>3.76142525595264</v>
      </c>
    </row>
    <row r="401" customFormat="false" ht="15" hidden="false" customHeight="false" outlineLevel="0" collapsed="false">
      <c r="A401" s="0" t="n">
        <v>396</v>
      </c>
      <c r="B401" s="38" t="n">
        <f aca="false">E401*Scorecard!$C$18+F401*Scorecard!$C$19+G401*Scorecard!$C$20+H401*Scorecard!$C$21+I401*Scorecard!$C$22+J401*Scorecard!$C$23</f>
        <v>3.6255027403946</v>
      </c>
      <c r="C401" s="38" t="n">
        <f aca="false">E401*Scorecard!$D$18+F401*Scorecard!$D$19+G401*Scorecard!$D$20+H401*Scorecard!$D$21+I401*Scorecard!$D$22+J401*Scorecard!$D$23</f>
        <v>2.99897126909299</v>
      </c>
      <c r="D401" s="0" t="str">
        <f aca="false">IF(AND(B401&gt;=C401,B401&gt;=K401),"A. Distribution",IF(C401&gt;=K401,"B. Manufacturing","C. Prof. services"))</f>
        <v>A. Distribution</v>
      </c>
      <c r="E401" s="39" t="n">
        <v>0.31619382887431</v>
      </c>
      <c r="F401" s="39" t="n">
        <v>0.0725373327457636</v>
      </c>
      <c r="G401" s="39" t="n">
        <v>0.0412387356671915</v>
      </c>
      <c r="H401" s="39" t="n">
        <v>0.0559733389034759</v>
      </c>
      <c r="I401" s="39" t="n">
        <v>0.306248138589157</v>
      </c>
      <c r="J401" s="39" t="n">
        <v>0.207808625220102</v>
      </c>
      <c r="K401" s="38" t="n">
        <f aca="false">E401*Scorecard!$E$18+F401*Scorecard!$E$19+G401*Scorecard!$E$20+H401*Scorecard!$E$21+I401*Scorecard!$E$22+J401*Scorecard!$E$23</f>
        <v>3.33036366241065</v>
      </c>
      <c r="M401" s="0" t="str">
        <f aca="false">IF(AND(T401&gt;=U401,T401&gt;=V401),"A. Distribution",IF(U401&gt;=V401,"B. Manufacturing","C. Prof. services"))</f>
        <v>A. Distribution</v>
      </c>
      <c r="N401" s="39" t="n">
        <v>0.138890134797438</v>
      </c>
      <c r="O401" s="39" t="n">
        <v>0.161725790816758</v>
      </c>
      <c r="P401" s="39" t="n">
        <v>0.381234646537069</v>
      </c>
      <c r="Q401" s="39" t="n">
        <v>0.135757520893275</v>
      </c>
      <c r="R401" s="39" t="n">
        <v>0.135198023475651</v>
      </c>
      <c r="S401" s="39" t="n">
        <v>0.0471938834798092</v>
      </c>
      <c r="T401" s="38" t="n">
        <f aca="false">N401*Scorecard!$C$18+O401*Scorecard!$C$19+P401*Scorecard!$C$20+Q401*Scorecard!$C$21+R401*Scorecard!$C$22+S401*Scorecard!$C$23</f>
        <v>4.0415590307534</v>
      </c>
      <c r="U401" s="38" t="n">
        <f aca="false">N401*Scorecard!$D$18+O401*Scorecard!$D$19+P401*Scorecard!$D$20+Q401*Scorecard!$D$21+R401*Scorecard!$D$22+S401*Scorecard!$D$23</f>
        <v>2.56304645750878</v>
      </c>
      <c r="V401" s="38" t="n">
        <f aca="false">N401*Scorecard!$E$18+O401*Scorecard!$E$19+P401*Scorecard!$E$20+Q401*Scorecard!$E$21+R401*Scorecard!$E$22+S401*Scorecard!$E$23</f>
        <v>3.49108439541764</v>
      </c>
    </row>
    <row r="402" customFormat="false" ht="15" hidden="false" customHeight="false" outlineLevel="0" collapsed="false">
      <c r="A402" s="0" t="n">
        <v>397</v>
      </c>
      <c r="B402" s="38" t="n">
        <f aca="false">E402*Scorecard!$C$18+F402*Scorecard!$C$19+G402*Scorecard!$C$20+H402*Scorecard!$C$21+I402*Scorecard!$C$22+J402*Scorecard!$C$23</f>
        <v>3.80931339938667</v>
      </c>
      <c r="C402" s="38" t="n">
        <f aca="false">E402*Scorecard!$D$18+F402*Scorecard!$D$19+G402*Scorecard!$D$20+H402*Scorecard!$D$21+I402*Scorecard!$D$22+J402*Scorecard!$D$23</f>
        <v>2.42712176942863</v>
      </c>
      <c r="D402" s="0" t="str">
        <f aca="false">IF(AND(B402&gt;=C402,B402&gt;=K402),"A. Distribution",IF(C402&gt;=K402,"B. Manufacturing","C. Prof. services"))</f>
        <v>A. Distribution</v>
      </c>
      <c r="E402" s="39" t="n">
        <v>0.00827276471127522</v>
      </c>
      <c r="F402" s="39" t="n">
        <v>0.153062784970373</v>
      </c>
      <c r="G402" s="39" t="n">
        <v>0.0455799084979088</v>
      </c>
      <c r="H402" s="39" t="n">
        <v>0.438990925622472</v>
      </c>
      <c r="I402" s="39" t="n">
        <v>0.206201785111218</v>
      </c>
      <c r="J402" s="39" t="n">
        <v>0.147891831086753</v>
      </c>
      <c r="K402" s="38" t="n">
        <f aca="false">E402*Scorecard!$E$18+F402*Scorecard!$E$19+G402*Scorecard!$E$20+H402*Scorecard!$E$21+I402*Scorecard!$E$22+J402*Scorecard!$E$23</f>
        <v>3.3995756862641</v>
      </c>
      <c r="M402" s="0" t="str">
        <f aca="false">IF(AND(T402&gt;=U402,T402&gt;=V402),"A. Distribution",IF(U402&gt;=V402,"B. Manufacturing","C. Prof. services"))</f>
        <v>A. Distribution</v>
      </c>
      <c r="N402" s="39" t="n">
        <v>0.165681056562821</v>
      </c>
      <c r="O402" s="39" t="n">
        <v>0.206298534193958</v>
      </c>
      <c r="P402" s="39" t="n">
        <v>0.151628539275011</v>
      </c>
      <c r="Q402" s="39" t="n">
        <v>0.351873687698581</v>
      </c>
      <c r="R402" s="39" t="n">
        <v>0.080696782572846</v>
      </c>
      <c r="S402" s="39" t="n">
        <v>0.0438213996967834</v>
      </c>
      <c r="T402" s="38" t="n">
        <f aca="false">N402*Scorecard!$C$18+O402*Scorecard!$C$19+P402*Scorecard!$C$20+Q402*Scorecard!$C$21+R402*Scorecard!$C$22+S402*Scorecard!$C$23</f>
        <v>4.06743914128225</v>
      </c>
      <c r="U402" s="38" t="n">
        <f aca="false">N402*Scorecard!$D$18+O402*Scorecard!$D$19+P402*Scorecard!$D$20+Q402*Scorecard!$D$21+R402*Scorecard!$D$22+S402*Scorecard!$D$23</f>
        <v>2.63305319003985</v>
      </c>
      <c r="V402" s="38" t="n">
        <f aca="false">N402*Scorecard!$E$18+O402*Scorecard!$E$19+P402*Scorecard!$E$20+Q402*Scorecard!$E$21+R402*Scorecard!$E$22+S402*Scorecard!$E$23</f>
        <v>3.44287047745171</v>
      </c>
    </row>
    <row r="403" customFormat="false" ht="15" hidden="false" customHeight="false" outlineLevel="0" collapsed="false">
      <c r="A403" s="0" t="n">
        <v>398</v>
      </c>
      <c r="B403" s="38" t="n">
        <f aca="false">E403*Scorecard!$C$18+F403*Scorecard!$C$19+G403*Scorecard!$C$20+H403*Scorecard!$C$21+I403*Scorecard!$C$22+J403*Scorecard!$C$23</f>
        <v>3.85400043867481</v>
      </c>
      <c r="C403" s="38" t="n">
        <f aca="false">E403*Scorecard!$D$18+F403*Scorecard!$D$19+G403*Scorecard!$D$20+H403*Scorecard!$D$21+I403*Scorecard!$D$22+J403*Scorecard!$D$23</f>
        <v>2.79076389524294</v>
      </c>
      <c r="D403" s="0" t="str">
        <f aca="false">IF(AND(B403&gt;=C403,B403&gt;=K403),"A. Distribution",IF(C403&gt;=K403,"B. Manufacturing","C. Prof. services"))</f>
        <v>A. Distribution</v>
      </c>
      <c r="E403" s="39" t="n">
        <v>0.149688958160304</v>
      </c>
      <c r="F403" s="39" t="n">
        <v>0.0403961558456296</v>
      </c>
      <c r="G403" s="39" t="n">
        <v>0.236035156263775</v>
      </c>
      <c r="H403" s="39" t="n">
        <v>0.147325986591859</v>
      </c>
      <c r="I403" s="39" t="n">
        <v>0.347302136922396</v>
      </c>
      <c r="J403" s="39" t="n">
        <v>0.0792516062160357</v>
      </c>
      <c r="K403" s="38" t="n">
        <f aca="false">E403*Scorecard!$E$18+F403*Scorecard!$E$19+G403*Scorecard!$E$20+H403*Scorecard!$E$21+I403*Scorecard!$E$22+J403*Scorecard!$E$23</f>
        <v>3.28945579126635</v>
      </c>
      <c r="M403" s="0" t="str">
        <f aca="false">IF(AND(T403&gt;=U403,T403&gt;=V403),"A. Distribution",IF(U403&gt;=V403,"B. Manufacturing","C. Prof. services"))</f>
        <v>A. Distribution</v>
      </c>
      <c r="N403" s="39" t="n">
        <v>0.150374741646921</v>
      </c>
      <c r="O403" s="39" t="n">
        <v>0.374321517439484</v>
      </c>
      <c r="P403" s="39" t="n">
        <v>0.237060005340695</v>
      </c>
      <c r="Q403" s="39" t="n">
        <v>0.097023418848773</v>
      </c>
      <c r="R403" s="39" t="n">
        <v>0.0839132522354485</v>
      </c>
      <c r="S403" s="39" t="n">
        <v>0.0573070644886789</v>
      </c>
      <c r="T403" s="38" t="n">
        <f aca="false">N403*Scorecard!$C$18+O403*Scorecard!$C$19+P403*Scorecard!$C$20+Q403*Scorecard!$C$21+R403*Scorecard!$C$22+S403*Scorecard!$C$23</f>
        <v>4.23717995557309</v>
      </c>
      <c r="U403" s="38" t="n">
        <f aca="false">N403*Scorecard!$D$18+O403*Scorecard!$D$19+P403*Scorecard!$D$20+Q403*Scorecard!$D$21+R403*Scorecard!$D$22+S403*Scorecard!$D$23</f>
        <v>2.61416549422523</v>
      </c>
      <c r="V403" s="38" t="n">
        <f aca="false">N403*Scorecard!$E$18+O403*Scorecard!$E$19+P403*Scorecard!$E$20+Q403*Scorecard!$E$21+R403*Scorecard!$E$22+S403*Scorecard!$E$23</f>
        <v>3.33440322665053</v>
      </c>
    </row>
    <row r="404" customFormat="false" ht="15" hidden="false" customHeight="false" outlineLevel="0" collapsed="false">
      <c r="A404" s="0" t="n">
        <v>399</v>
      </c>
      <c r="B404" s="38" t="n">
        <f aca="false">E404*Scorecard!$C$18+F404*Scorecard!$C$19+G404*Scorecard!$C$20+H404*Scorecard!$C$21+I404*Scorecard!$C$22+J404*Scorecard!$C$23</f>
        <v>3.01931899657651</v>
      </c>
      <c r="C404" s="38" t="n">
        <f aca="false">E404*Scorecard!$D$18+F404*Scorecard!$D$19+G404*Scorecard!$D$20+H404*Scorecard!$D$21+I404*Scorecard!$D$22+J404*Scorecard!$D$23</f>
        <v>2.46654440674071</v>
      </c>
      <c r="D404" s="0" t="str">
        <f aca="false">IF(AND(B404&gt;=C404,B404&gt;=K404),"A. Distribution",IF(C404&gt;=K404,"B. Manufacturing","C. Prof. services"))</f>
        <v>C. Prof. services</v>
      </c>
      <c r="E404" s="39" t="n">
        <v>0.266940796326921</v>
      </c>
      <c r="F404" s="39" t="n">
        <v>0.026133749292937</v>
      </c>
      <c r="G404" s="39" t="n">
        <v>0.056584456695676</v>
      </c>
      <c r="H404" s="39" t="n">
        <v>0.0544000561932668</v>
      </c>
      <c r="I404" s="39" t="n">
        <v>0.10618029152736</v>
      </c>
      <c r="J404" s="39" t="n">
        <v>0.48976064996384</v>
      </c>
      <c r="K404" s="38" t="n">
        <f aca="false">E404*Scorecard!$E$18+F404*Scorecard!$E$19+G404*Scorecard!$E$20+H404*Scorecard!$E$21+I404*Scorecard!$E$22+J404*Scorecard!$E$23</f>
        <v>3.88540553637439</v>
      </c>
      <c r="M404" s="0" t="str">
        <f aca="false">IF(AND(T404&gt;=U404,T404&gt;=V404),"A. Distribution",IF(U404&gt;=V404,"B. Manufacturing","C. Prof. services"))</f>
        <v>A. Distribution</v>
      </c>
      <c r="N404" s="39" t="n">
        <v>0.132603465807068</v>
      </c>
      <c r="O404" s="39" t="n">
        <v>0.181020814805474</v>
      </c>
      <c r="P404" s="39" t="n">
        <v>0.197120025743436</v>
      </c>
      <c r="Q404" s="39" t="n">
        <v>0.217284594701476</v>
      </c>
      <c r="R404" s="39" t="n">
        <v>0.195656115225258</v>
      </c>
      <c r="S404" s="39" t="n">
        <v>0.076314983717288</v>
      </c>
      <c r="T404" s="38" t="n">
        <f aca="false">N404*Scorecard!$C$18+O404*Scorecard!$C$19+P404*Scorecard!$C$20+Q404*Scorecard!$C$21+R404*Scorecard!$C$22+S404*Scorecard!$C$23</f>
        <v>3.99433200058286</v>
      </c>
      <c r="U404" s="38" t="n">
        <f aca="false">N404*Scorecard!$D$18+O404*Scorecard!$D$19+P404*Scorecard!$D$20+Q404*Scorecard!$D$21+R404*Scorecard!$D$22+S404*Scorecard!$D$23</f>
        <v>2.65042563445488</v>
      </c>
      <c r="V404" s="38" t="n">
        <f aca="false">N404*Scorecard!$E$18+O404*Scorecard!$E$19+P404*Scorecard!$E$20+Q404*Scorecard!$E$21+R404*Scorecard!$E$22+S404*Scorecard!$E$23</f>
        <v>3.35829162440038</v>
      </c>
    </row>
    <row r="405" customFormat="false" ht="15" hidden="false" customHeight="false" outlineLevel="0" collapsed="false">
      <c r="A405" s="0" t="n">
        <v>400</v>
      </c>
      <c r="B405" s="38" t="n">
        <f aca="false">E405*Scorecard!$C$18+F405*Scorecard!$C$19+G405*Scorecard!$C$20+H405*Scorecard!$C$21+I405*Scorecard!$C$22+J405*Scorecard!$C$23</f>
        <v>3.93868349455746</v>
      </c>
      <c r="C405" s="38" t="n">
        <f aca="false">E405*Scorecard!$D$18+F405*Scorecard!$D$19+G405*Scorecard!$D$20+H405*Scorecard!$D$21+I405*Scorecard!$D$22+J405*Scorecard!$D$23</f>
        <v>2.80312728909369</v>
      </c>
      <c r="D405" s="0" t="str">
        <f aca="false">IF(AND(B405&gt;=C405,B405&gt;=K405),"A. Distribution",IF(C405&gt;=K405,"B. Manufacturing","C. Prof. services"))</f>
        <v>A. Distribution</v>
      </c>
      <c r="E405" s="39" t="n">
        <v>0.200481080978164</v>
      </c>
      <c r="F405" s="39" t="n">
        <v>0.238769795592636</v>
      </c>
      <c r="G405" s="39" t="n">
        <v>0.0265906583793554</v>
      </c>
      <c r="H405" s="39" t="n">
        <v>0.191975262468655</v>
      </c>
      <c r="I405" s="39" t="n">
        <v>0.210530765059208</v>
      </c>
      <c r="J405" s="39" t="n">
        <v>0.131652437521982</v>
      </c>
      <c r="K405" s="38" t="n">
        <f aca="false">E405*Scorecard!$E$18+F405*Scorecard!$E$19+G405*Scorecard!$E$20+H405*Scorecard!$E$21+I405*Scorecard!$E$22+J405*Scorecard!$E$23</f>
        <v>3.266473860419</v>
      </c>
      <c r="M405" s="0" t="str">
        <f aca="false">IF(AND(T405&gt;=U405,T405&gt;=V405),"A. Distribution",IF(U405&gt;=V405,"B. Manufacturing","C. Prof. services"))</f>
        <v>A. Distribution</v>
      </c>
      <c r="N405" s="39" t="n">
        <v>0.324928166327797</v>
      </c>
      <c r="O405" s="39" t="n">
        <v>0.133996459573091</v>
      </c>
      <c r="P405" s="39" t="n">
        <v>0.0917188186936858</v>
      </c>
      <c r="Q405" s="39" t="n">
        <v>0.149429420573045</v>
      </c>
      <c r="R405" s="39" t="n">
        <v>0.217066155489267</v>
      </c>
      <c r="S405" s="39" t="n">
        <v>0.0828609793431153</v>
      </c>
      <c r="T405" s="38" t="n">
        <f aca="false">N405*Scorecard!$C$18+O405*Scorecard!$C$19+P405*Scorecard!$C$20+Q405*Scorecard!$C$21+R405*Scorecard!$C$22+S405*Scorecard!$C$23</f>
        <v>3.92608595957727</v>
      </c>
      <c r="U405" s="38" t="n">
        <f aca="false">N405*Scorecard!$D$18+O405*Scorecard!$D$19+P405*Scorecard!$D$20+Q405*Scorecard!$D$21+R405*Scorecard!$D$22+S405*Scorecard!$D$23</f>
        <v>3.02008800833421</v>
      </c>
      <c r="V405" s="38" t="n">
        <f aca="false">N405*Scorecard!$E$18+O405*Scorecard!$E$19+P405*Scorecard!$E$20+Q405*Scorecard!$E$21+R405*Scorecard!$E$22+S405*Scorecard!$E$23</f>
        <v>3.30812570773887</v>
      </c>
    </row>
    <row r="406" customFormat="false" ht="15" hidden="false" customHeight="false" outlineLevel="0" collapsed="false">
      <c r="A406" s="0" t="n">
        <v>401</v>
      </c>
      <c r="B406" s="38" t="n">
        <f aca="false">E406*Scorecard!$C$18+F406*Scorecard!$C$19+G406*Scorecard!$C$20+H406*Scorecard!$C$21+I406*Scorecard!$C$22+J406*Scorecard!$C$23</f>
        <v>3.91752569309948</v>
      </c>
      <c r="C406" s="38" t="n">
        <f aca="false">E406*Scorecard!$D$18+F406*Scorecard!$D$19+G406*Scorecard!$D$20+H406*Scorecard!$D$21+I406*Scorecard!$D$22+J406*Scorecard!$D$23</f>
        <v>2.88832923094235</v>
      </c>
      <c r="D406" s="0" t="str">
        <f aca="false">IF(AND(B406&gt;=C406,B406&gt;=K406),"A. Distribution",IF(C406&gt;=K406,"B. Manufacturing","C. Prof. services"))</f>
        <v>A. Distribution</v>
      </c>
      <c r="E406" s="39" t="n">
        <v>0.269796434957681</v>
      </c>
      <c r="F406" s="39" t="n">
        <v>0.173508215589616</v>
      </c>
      <c r="G406" s="39" t="n">
        <v>0.0451794211871121</v>
      </c>
      <c r="H406" s="39" t="n">
        <v>0.229978182720795</v>
      </c>
      <c r="I406" s="39" t="n">
        <v>0.17676716877932</v>
      </c>
      <c r="J406" s="39" t="n">
        <v>0.104770576765477</v>
      </c>
      <c r="K406" s="38" t="n">
        <f aca="false">E406*Scorecard!$E$18+F406*Scorecard!$E$19+G406*Scorecard!$E$20+H406*Scorecard!$E$21+I406*Scorecard!$E$22+J406*Scorecard!$E$23</f>
        <v>3.34023407458973</v>
      </c>
      <c r="M406" s="0" t="str">
        <f aca="false">IF(AND(T406&gt;=U406,T406&gt;=V406),"A. Distribution",IF(U406&gt;=V406,"B. Manufacturing","C. Prof. services"))</f>
        <v>A. Distribution</v>
      </c>
      <c r="N406" s="39" t="n">
        <v>0.103966099529129</v>
      </c>
      <c r="O406" s="39" t="n">
        <v>0.199612723174667</v>
      </c>
      <c r="P406" s="39" t="n">
        <v>0.210198734601021</v>
      </c>
      <c r="Q406" s="39" t="n">
        <v>0.165173334596872</v>
      </c>
      <c r="R406" s="39" t="n">
        <v>0.149434781403864</v>
      </c>
      <c r="S406" s="39" t="n">
        <v>0.171614326694448</v>
      </c>
      <c r="T406" s="38" t="n">
        <f aca="false">N406*Scorecard!$C$18+O406*Scorecard!$C$19+P406*Scorecard!$C$20+Q406*Scorecard!$C$21+R406*Scorecard!$C$22+S406*Scorecard!$C$23</f>
        <v>3.83023944354578</v>
      </c>
      <c r="U406" s="38" t="n">
        <f aca="false">N406*Scorecard!$D$18+O406*Scorecard!$D$19+P406*Scorecard!$D$20+Q406*Scorecard!$D$21+R406*Scorecard!$D$22+S406*Scorecard!$D$23</f>
        <v>2.47782597916565</v>
      </c>
      <c r="V406" s="38" t="n">
        <f aca="false">N406*Scorecard!$E$18+O406*Scorecard!$E$19+P406*Scorecard!$E$20+Q406*Scorecard!$E$21+R406*Scorecard!$E$22+S406*Scorecard!$E$23</f>
        <v>3.49211630572421</v>
      </c>
    </row>
    <row r="407" customFormat="false" ht="15" hidden="false" customHeight="false" outlineLevel="0" collapsed="false">
      <c r="A407" s="0" t="n">
        <v>402</v>
      </c>
      <c r="B407" s="38" t="n">
        <f aca="false">E407*Scorecard!$C$18+F407*Scorecard!$C$19+G407*Scorecard!$C$20+H407*Scorecard!$C$21+I407*Scorecard!$C$22+J407*Scorecard!$C$23</f>
        <v>3.98554515105518</v>
      </c>
      <c r="C407" s="38" t="n">
        <f aca="false">E407*Scorecard!$D$18+F407*Scorecard!$D$19+G407*Scorecard!$D$20+H407*Scorecard!$D$21+I407*Scorecard!$D$22+J407*Scorecard!$D$23</f>
        <v>2.3257667948404</v>
      </c>
      <c r="D407" s="0" t="str">
        <f aca="false">IF(AND(B407&gt;=C407,B407&gt;=K407),"A. Distribution",IF(C407&gt;=K407,"B. Manufacturing","C. Prof. services"))</f>
        <v>A. Distribution</v>
      </c>
      <c r="E407" s="39" t="n">
        <v>0.00461103699312201</v>
      </c>
      <c r="F407" s="39" t="n">
        <v>0.0909770753247432</v>
      </c>
      <c r="G407" s="39" t="n">
        <v>0.413019964664072</v>
      </c>
      <c r="H407" s="39" t="n">
        <v>0.30844218389657</v>
      </c>
      <c r="I407" s="39" t="n">
        <v>0.147036292779153</v>
      </c>
      <c r="J407" s="39" t="n">
        <v>0.0359134463423394</v>
      </c>
      <c r="K407" s="38" t="n">
        <f aca="false">E407*Scorecard!$E$18+F407*Scorecard!$E$19+G407*Scorecard!$E$20+H407*Scorecard!$E$21+I407*Scorecard!$E$22+J407*Scorecard!$E$23</f>
        <v>3.56094619839698</v>
      </c>
      <c r="M407" s="0" t="str">
        <f aca="false">IF(AND(T407&gt;=U407,T407&gt;=V407),"A. Distribution",IF(U407&gt;=V407,"B. Manufacturing","C. Prof. services"))</f>
        <v>A. Distribution</v>
      </c>
      <c r="N407" s="39" t="n">
        <v>0.198860011650352</v>
      </c>
      <c r="O407" s="39" t="n">
        <v>0.0702560880752858</v>
      </c>
      <c r="P407" s="39" t="n">
        <v>0.132772450043682</v>
      </c>
      <c r="Q407" s="39" t="n">
        <v>0.117694301972382</v>
      </c>
      <c r="R407" s="39" t="n">
        <v>0.356803987409443</v>
      </c>
      <c r="S407" s="39" t="n">
        <v>0.123613160848856</v>
      </c>
      <c r="T407" s="38" t="n">
        <f aca="false">N407*Scorecard!$C$18+O407*Scorecard!$C$19+P407*Scorecard!$C$20+Q407*Scorecard!$C$21+R407*Scorecard!$C$22+S407*Scorecard!$C$23</f>
        <v>3.79438230789144</v>
      </c>
      <c r="U407" s="38" t="n">
        <f aca="false">N407*Scorecard!$D$18+O407*Scorecard!$D$19+P407*Scorecard!$D$20+Q407*Scorecard!$D$21+R407*Scorecard!$D$22+S407*Scorecard!$D$23</f>
        <v>2.88790097197303</v>
      </c>
      <c r="V407" s="38" t="n">
        <f aca="false">N407*Scorecard!$E$18+O407*Scorecard!$E$19+P407*Scorecard!$E$20+Q407*Scorecard!$E$21+R407*Scorecard!$E$22+S407*Scorecard!$E$23</f>
        <v>3.24521101256591</v>
      </c>
    </row>
    <row r="408" customFormat="false" ht="15" hidden="false" customHeight="false" outlineLevel="0" collapsed="false">
      <c r="A408" s="0" t="n">
        <v>403</v>
      </c>
      <c r="B408" s="38" t="n">
        <f aca="false">E408*Scorecard!$C$18+F408*Scorecard!$C$19+G408*Scorecard!$C$20+H408*Scorecard!$C$21+I408*Scorecard!$C$22+J408*Scorecard!$C$23</f>
        <v>4.09147527566769</v>
      </c>
      <c r="C408" s="38" t="n">
        <f aca="false">E408*Scorecard!$D$18+F408*Scorecard!$D$19+G408*Scorecard!$D$20+H408*Scorecard!$D$21+I408*Scorecard!$D$22+J408*Scorecard!$D$23</f>
        <v>2.92936764419737</v>
      </c>
      <c r="D408" s="0" t="str">
        <f aca="false">IF(AND(B408&gt;=C408,B408&gt;=K408),"A. Distribution",IF(C408&gt;=K408,"B. Manufacturing","C. Prof. services"))</f>
        <v>A. Distribution</v>
      </c>
      <c r="E408" s="39" t="n">
        <v>0.168493729130814</v>
      </c>
      <c r="F408" s="39" t="n">
        <v>0.193307613918546</v>
      </c>
      <c r="G408" s="39" t="n">
        <v>0.00542422605366912</v>
      </c>
      <c r="H408" s="39" t="n">
        <v>0.293658648371446</v>
      </c>
      <c r="I408" s="39" t="n">
        <v>0.310784468035398</v>
      </c>
      <c r="J408" s="39" t="n">
        <v>0.0283313144901267</v>
      </c>
      <c r="K408" s="38" t="n">
        <f aca="false">E408*Scorecard!$E$18+F408*Scorecard!$E$19+G408*Scorecard!$E$20+H408*Scorecard!$E$21+I408*Scorecard!$E$22+J408*Scorecard!$E$23</f>
        <v>3.08480226524536</v>
      </c>
      <c r="M408" s="0" t="str">
        <f aca="false">IF(AND(T408&gt;=U408,T408&gt;=V408),"A. Distribution",IF(U408&gt;=V408,"B. Manufacturing","C. Prof. services"))</f>
        <v>A. Distribution</v>
      </c>
      <c r="N408" s="39" t="n">
        <v>0.334551757846143</v>
      </c>
      <c r="O408" s="39" t="n">
        <v>0.106955437258514</v>
      </c>
      <c r="P408" s="39" t="n">
        <v>0.331689715839075</v>
      </c>
      <c r="Q408" s="39" t="n">
        <v>0.0829274532482929</v>
      </c>
      <c r="R408" s="39" t="n">
        <v>0.120047406925966</v>
      </c>
      <c r="S408" s="39" t="n">
        <v>0.0238282288820086</v>
      </c>
      <c r="T408" s="38" t="n">
        <f aca="false">N408*Scorecard!$C$18+O408*Scorecard!$C$19+P408*Scorecard!$C$20+Q408*Scorecard!$C$21+R408*Scorecard!$C$22+S408*Scorecard!$C$23</f>
        <v>4.02350341709114</v>
      </c>
      <c r="U408" s="38" t="n">
        <f aca="false">N408*Scorecard!$D$18+O408*Scorecard!$D$19+P408*Scorecard!$D$20+Q408*Scorecard!$D$21+R408*Scorecard!$D$22+S408*Scorecard!$D$23</f>
        <v>2.90595745509877</v>
      </c>
      <c r="V408" s="38" t="n">
        <f aca="false">N408*Scorecard!$E$18+O408*Scorecard!$E$19+P408*Scorecard!$E$20+Q408*Scorecard!$E$21+R408*Scorecard!$E$22+S408*Scorecard!$E$23</f>
        <v>3.48957519650758</v>
      </c>
    </row>
    <row r="409" customFormat="false" ht="15" hidden="false" customHeight="false" outlineLevel="0" collapsed="false">
      <c r="A409" s="0" t="n">
        <v>404</v>
      </c>
      <c r="B409" s="38" t="n">
        <f aca="false">E409*Scorecard!$C$18+F409*Scorecard!$C$19+G409*Scorecard!$C$20+H409*Scorecard!$C$21+I409*Scorecard!$C$22+J409*Scorecard!$C$23</f>
        <v>3.57893590929194</v>
      </c>
      <c r="C409" s="38" t="n">
        <f aca="false">E409*Scorecard!$D$18+F409*Scorecard!$D$19+G409*Scorecard!$D$20+H409*Scorecard!$D$21+I409*Scorecard!$D$22+J409*Scorecard!$D$23</f>
        <v>2.43728459976668</v>
      </c>
      <c r="D409" s="0" t="str">
        <f aca="false">IF(AND(B409&gt;=C409,B409&gt;=K409),"A. Distribution",IF(C409&gt;=K409,"B. Manufacturing","C. Prof. services"))</f>
        <v>C. Prof. services</v>
      </c>
      <c r="E409" s="39" t="n">
        <v>0.0851054814234942</v>
      </c>
      <c r="F409" s="39" t="n">
        <v>0.0136506969146614</v>
      </c>
      <c r="G409" s="39" t="n">
        <v>0.313437627231862</v>
      </c>
      <c r="H409" s="39" t="n">
        <v>0.141838046932309</v>
      </c>
      <c r="I409" s="39" t="n">
        <v>0.239668742265381</v>
      </c>
      <c r="J409" s="39" t="n">
        <v>0.206299405232292</v>
      </c>
      <c r="K409" s="38" t="n">
        <f aca="false">E409*Scorecard!$E$18+F409*Scorecard!$E$19+G409*Scorecard!$E$20+H409*Scorecard!$E$21+I409*Scorecard!$E$22+J409*Scorecard!$E$23</f>
        <v>3.59843098507914</v>
      </c>
      <c r="M409" s="0" t="str">
        <f aca="false">IF(AND(T409&gt;=U409,T409&gt;=V409),"A. Distribution",IF(U409&gt;=V409,"B. Manufacturing","C. Prof. services"))</f>
        <v>A. Distribution</v>
      </c>
      <c r="N409" s="39" t="n">
        <v>0.241991060477387</v>
      </c>
      <c r="O409" s="39" t="n">
        <v>0.135905332602508</v>
      </c>
      <c r="P409" s="39" t="n">
        <v>0.319612692219665</v>
      </c>
      <c r="Q409" s="39" t="n">
        <v>0.170929420002222</v>
      </c>
      <c r="R409" s="39" t="n">
        <v>0.0916811220736323</v>
      </c>
      <c r="S409" s="39" t="n">
        <v>0.0398803726245853</v>
      </c>
      <c r="T409" s="38" t="n">
        <f aca="false">N409*Scorecard!$C$18+O409*Scorecard!$C$19+P409*Scorecard!$C$20+Q409*Scorecard!$C$21+R409*Scorecard!$C$22+S409*Scorecard!$C$23</f>
        <v>4.01829816098417</v>
      </c>
      <c r="U409" s="38" t="n">
        <f aca="false">N409*Scorecard!$D$18+O409*Scorecard!$D$19+P409*Scorecard!$D$20+Q409*Scorecard!$D$21+R409*Scorecard!$D$22+S409*Scorecard!$D$23</f>
        <v>2.71388868411588</v>
      </c>
      <c r="V409" s="38" t="n">
        <f aca="false">N409*Scorecard!$E$18+O409*Scorecard!$E$19+P409*Scorecard!$E$20+Q409*Scorecard!$E$21+R409*Scorecard!$E$22+S409*Scorecard!$E$23</f>
        <v>3.52776916141995</v>
      </c>
    </row>
    <row r="410" customFormat="false" ht="15" hidden="false" customHeight="false" outlineLevel="0" collapsed="false">
      <c r="A410" s="0" t="n">
        <v>405</v>
      </c>
      <c r="B410" s="38" t="n">
        <f aca="false">E410*Scorecard!$C$18+F410*Scorecard!$C$19+G410*Scorecard!$C$20+H410*Scorecard!$C$21+I410*Scorecard!$C$22+J410*Scorecard!$C$23</f>
        <v>2.9056018398273</v>
      </c>
      <c r="C410" s="38" t="n">
        <f aca="false">E410*Scorecard!$D$18+F410*Scorecard!$D$19+G410*Scorecard!$D$20+H410*Scorecard!$D$21+I410*Scorecard!$D$22+J410*Scorecard!$D$23</f>
        <v>2.19597290555268</v>
      </c>
      <c r="D410" s="0" t="str">
        <f aca="false">IF(AND(B410&gt;=C410,B410&gt;=K410),"A. Distribution",IF(C410&gt;=K410,"B. Manufacturing","C. Prof. services"))</f>
        <v>C. Prof. services</v>
      </c>
      <c r="E410" s="39" t="n">
        <v>0.189621425702897</v>
      </c>
      <c r="F410" s="39" t="n">
        <v>0.0861465148473883</v>
      </c>
      <c r="G410" s="39" t="n">
        <v>0.0406222708090173</v>
      </c>
      <c r="H410" s="39" t="n">
        <v>0.0812954650546769</v>
      </c>
      <c r="I410" s="39" t="n">
        <v>0.024033849179534</v>
      </c>
      <c r="J410" s="39" t="n">
        <v>0.578280474406487</v>
      </c>
      <c r="K410" s="38" t="n">
        <f aca="false">E410*Scorecard!$E$18+F410*Scorecard!$E$19+G410*Scorecard!$E$20+H410*Scorecard!$E$21+I410*Scorecard!$E$22+J410*Scorecard!$E$23</f>
        <v>4.02470142764682</v>
      </c>
      <c r="M410" s="0" t="str">
        <f aca="false">IF(AND(T410&gt;=U410,T410&gt;=V410),"A. Distribution",IF(U410&gt;=V410,"B. Manufacturing","C. Prof. services"))</f>
        <v>A. Distribution</v>
      </c>
      <c r="N410" s="39" t="n">
        <v>0.303414718529324</v>
      </c>
      <c r="O410" s="39" t="n">
        <v>0.213474493773019</v>
      </c>
      <c r="P410" s="39" t="n">
        <v>0.147740429403941</v>
      </c>
      <c r="Q410" s="39" t="n">
        <v>0.162631989731913</v>
      </c>
      <c r="R410" s="39" t="n">
        <v>0.0476470472551708</v>
      </c>
      <c r="S410" s="39" t="n">
        <v>0.125091321306633</v>
      </c>
      <c r="T410" s="38" t="n">
        <f aca="false">N410*Scorecard!$C$18+O410*Scorecard!$C$19+P410*Scorecard!$C$20+Q410*Scorecard!$C$21+R410*Scorecard!$C$22+S410*Scorecard!$C$23</f>
        <v>3.92140797055105</v>
      </c>
      <c r="U410" s="38" t="n">
        <f aca="false">N410*Scorecard!$D$18+O410*Scorecard!$D$19+P410*Scorecard!$D$20+Q410*Scorecard!$D$21+R410*Scorecard!$D$22+S410*Scorecard!$D$23</f>
        <v>2.77552533538417</v>
      </c>
      <c r="V410" s="38" t="n">
        <f aca="false">N410*Scorecard!$E$18+O410*Scorecard!$E$19+P410*Scorecard!$E$20+Q410*Scorecard!$E$21+R410*Scorecard!$E$22+S410*Scorecard!$E$23</f>
        <v>3.5230407114977</v>
      </c>
    </row>
    <row r="411" customFormat="false" ht="15" hidden="false" customHeight="false" outlineLevel="0" collapsed="false">
      <c r="A411" s="0" t="n">
        <v>406</v>
      </c>
      <c r="B411" s="38" t="n">
        <f aca="false">E411*Scorecard!$C$18+F411*Scorecard!$C$19+G411*Scorecard!$C$20+H411*Scorecard!$C$21+I411*Scorecard!$C$22+J411*Scorecard!$C$23</f>
        <v>3.63241980858959</v>
      </c>
      <c r="C411" s="38" t="n">
        <f aca="false">E411*Scorecard!$D$18+F411*Scorecard!$D$19+G411*Scorecard!$D$20+H411*Scorecard!$D$21+I411*Scorecard!$D$22+J411*Scorecard!$D$23</f>
        <v>2.6278443790391</v>
      </c>
      <c r="D411" s="0" t="str">
        <f aca="false">IF(AND(B411&gt;=C411,B411&gt;=K411),"A. Distribution",IF(C411&gt;=K411,"B. Manufacturing","C. Prof. services"))</f>
        <v>A. Distribution</v>
      </c>
      <c r="E411" s="39" t="n">
        <v>0.172475402747686</v>
      </c>
      <c r="F411" s="39" t="n">
        <v>0.101906469339218</v>
      </c>
      <c r="G411" s="39" t="n">
        <v>0.139220576286031</v>
      </c>
      <c r="H411" s="39" t="n">
        <v>0.147840704268484</v>
      </c>
      <c r="I411" s="39" t="n">
        <v>0.218702224957904</v>
      </c>
      <c r="J411" s="39" t="n">
        <v>0.219854622400677</v>
      </c>
      <c r="K411" s="38" t="n">
        <f aca="false">E411*Scorecard!$E$18+F411*Scorecard!$E$19+G411*Scorecard!$E$20+H411*Scorecard!$E$21+I411*Scorecard!$E$22+J411*Scorecard!$E$23</f>
        <v>3.48900265875346</v>
      </c>
      <c r="M411" s="0" t="str">
        <f aca="false">IF(AND(T411&gt;=U411,T411&gt;=V411),"A. Distribution",IF(U411&gt;=V411,"B. Manufacturing","C. Prof. services"))</f>
        <v>A. Distribution</v>
      </c>
      <c r="N411" s="39" t="n">
        <v>0.222428841094604</v>
      </c>
      <c r="O411" s="39" t="n">
        <v>0.101348621178141</v>
      </c>
      <c r="P411" s="39" t="n">
        <v>0.283857925896132</v>
      </c>
      <c r="Q411" s="39" t="n">
        <v>0.201677722778686</v>
      </c>
      <c r="R411" s="39" t="n">
        <v>0.148298472867172</v>
      </c>
      <c r="S411" s="39" t="n">
        <v>0.0423884161852655</v>
      </c>
      <c r="T411" s="38" t="n">
        <f aca="false">N411*Scorecard!$C$18+O411*Scorecard!$C$19+P411*Scorecard!$C$20+Q411*Scorecard!$C$21+R411*Scorecard!$C$22+S411*Scorecard!$C$23</f>
        <v>3.9769828022155</v>
      </c>
      <c r="U411" s="38" t="n">
        <f aca="false">N411*Scorecard!$D$18+O411*Scorecard!$D$19+P411*Scorecard!$D$20+Q411*Scorecard!$D$21+R411*Scorecard!$D$22+S411*Scorecard!$D$23</f>
        <v>2.73921983159299</v>
      </c>
      <c r="V411" s="38" t="n">
        <f aca="false">N411*Scorecard!$E$18+O411*Scorecard!$E$19+P411*Scorecard!$E$20+Q411*Scorecard!$E$21+R411*Scorecard!$E$22+S411*Scorecard!$E$23</f>
        <v>3.47569284529106</v>
      </c>
    </row>
    <row r="412" customFormat="false" ht="15" hidden="false" customHeight="false" outlineLevel="0" collapsed="false">
      <c r="A412" s="0" t="n">
        <v>407</v>
      </c>
      <c r="B412" s="38" t="n">
        <f aca="false">E412*Scorecard!$C$18+F412*Scorecard!$C$19+G412*Scorecard!$C$20+H412*Scorecard!$C$21+I412*Scorecard!$C$22+J412*Scorecard!$C$23</f>
        <v>3.2851958405638</v>
      </c>
      <c r="C412" s="38" t="n">
        <f aca="false">E412*Scorecard!$D$18+F412*Scorecard!$D$19+G412*Scorecard!$D$20+H412*Scorecard!$D$21+I412*Scorecard!$D$22+J412*Scorecard!$D$23</f>
        <v>1.95958957288722</v>
      </c>
      <c r="D412" s="0" t="str">
        <f aca="false">IF(AND(B412&gt;=C412,B412&gt;=K412),"A. Distribution",IF(C412&gt;=K412,"B. Manufacturing","C. Prof. services"))</f>
        <v>C. Prof. services</v>
      </c>
      <c r="E412" s="39" t="n">
        <v>0.0392698008184199</v>
      </c>
      <c r="F412" s="39" t="n">
        <v>0.0793296385421465</v>
      </c>
      <c r="G412" s="39" t="n">
        <v>0.448894965131554</v>
      </c>
      <c r="H412" s="39" t="n">
        <v>0.0143310197661836</v>
      </c>
      <c r="I412" s="39" t="n">
        <v>0.0234561874165938</v>
      </c>
      <c r="J412" s="39" t="n">
        <v>0.394718388325102</v>
      </c>
      <c r="K412" s="38" t="n">
        <f aca="false">E412*Scorecard!$E$18+F412*Scorecard!$E$19+G412*Scorecard!$E$20+H412*Scorecard!$E$21+I412*Scorecard!$E$22+J412*Scorecard!$E$23</f>
        <v>4.03911045332113</v>
      </c>
      <c r="M412" s="0" t="str">
        <f aca="false">IF(AND(T412&gt;=U412,T412&gt;=V412),"A. Distribution",IF(U412&gt;=V412,"B. Manufacturing","C. Prof. services"))</f>
        <v>A. Distribution</v>
      </c>
      <c r="N412" s="39" t="n">
        <v>0.27565527184969</v>
      </c>
      <c r="O412" s="39" t="n">
        <v>0.178781072642084</v>
      </c>
      <c r="P412" s="39" t="n">
        <v>0.228884571458239</v>
      </c>
      <c r="Q412" s="39" t="n">
        <v>0.220762707061728</v>
      </c>
      <c r="R412" s="39" t="n">
        <v>0.0691313982071183</v>
      </c>
      <c r="S412" s="39" t="n">
        <v>0.0267849787811415</v>
      </c>
      <c r="T412" s="38" t="n">
        <f aca="false">N412*Scorecard!$C$18+O412*Scorecard!$C$19+P412*Scorecard!$C$20+Q412*Scorecard!$C$21+R412*Scorecard!$C$22+S412*Scorecard!$C$23</f>
        <v>4.07929233192971</v>
      </c>
      <c r="U412" s="38" t="n">
        <f aca="false">N412*Scorecard!$D$18+O412*Scorecard!$D$19+P412*Scorecard!$D$20+Q412*Scorecard!$D$21+R412*Scorecard!$D$22+S412*Scorecard!$D$23</f>
        <v>2.79576584449233</v>
      </c>
      <c r="V412" s="38" t="n">
        <f aca="false">N412*Scorecard!$E$18+O412*Scorecard!$E$19+P412*Scorecard!$E$20+Q412*Scorecard!$E$21+R412*Scorecard!$E$22+S412*Scorecard!$E$23</f>
        <v>3.47441928658083</v>
      </c>
    </row>
    <row r="413" customFormat="false" ht="15" hidden="false" customHeight="false" outlineLevel="0" collapsed="false">
      <c r="A413" s="0" t="n">
        <v>408</v>
      </c>
      <c r="B413" s="38" t="n">
        <f aca="false">E413*Scorecard!$C$18+F413*Scorecard!$C$19+G413*Scorecard!$C$20+H413*Scorecard!$C$21+I413*Scorecard!$C$22+J413*Scorecard!$C$23</f>
        <v>3.90976699091153</v>
      </c>
      <c r="C413" s="38" t="n">
        <f aca="false">E413*Scorecard!$D$18+F413*Scorecard!$D$19+G413*Scorecard!$D$20+H413*Scorecard!$D$21+I413*Scorecard!$D$22+J413*Scorecard!$D$23</f>
        <v>2.47663983993407</v>
      </c>
      <c r="D413" s="0" t="str">
        <f aca="false">IF(AND(B413&gt;=C413,B413&gt;=K413),"A. Distribution",IF(C413&gt;=K413,"B. Manufacturing","C. Prof. services"))</f>
        <v>A. Distribution</v>
      </c>
      <c r="E413" s="39" t="n">
        <v>0.163609580212741</v>
      </c>
      <c r="F413" s="39" t="n">
        <v>0.322484278244019</v>
      </c>
      <c r="G413" s="39" t="n">
        <v>0.118182651293508</v>
      </c>
      <c r="H413" s="39" t="n">
        <v>0.198030693446753</v>
      </c>
      <c r="I413" s="39" t="n">
        <v>0.0085709573681289</v>
      </c>
      <c r="J413" s="39" t="n">
        <v>0.189121839434851</v>
      </c>
      <c r="K413" s="38" t="n">
        <f aca="false">E413*Scorecard!$E$18+F413*Scorecard!$E$19+G413*Scorecard!$E$20+H413*Scorecard!$E$21+I413*Scorecard!$E$22+J413*Scorecard!$E$23</f>
        <v>3.54819633344023</v>
      </c>
      <c r="M413" s="0" t="str">
        <f aca="false">IF(AND(T413&gt;=U413,T413&gt;=V413),"A. Distribution",IF(U413&gt;=V413,"B. Manufacturing","C. Prof. services"))</f>
        <v>A. Distribution</v>
      </c>
      <c r="N413" s="39" t="n">
        <v>0.104631981306238</v>
      </c>
      <c r="O413" s="39" t="n">
        <v>0.272422823463575</v>
      </c>
      <c r="P413" s="39" t="n">
        <v>0.299384896317627</v>
      </c>
      <c r="Q413" s="39" t="n">
        <v>0.113363956851366</v>
      </c>
      <c r="R413" s="39" t="n">
        <v>0.151008885580492</v>
      </c>
      <c r="S413" s="39" t="n">
        <v>0.0591874564807021</v>
      </c>
      <c r="T413" s="38" t="n">
        <f aca="false">N413*Scorecard!$C$18+O413*Scorecard!$C$19+P413*Scorecard!$C$20+Q413*Scorecard!$C$21+R413*Scorecard!$C$22+S413*Scorecard!$C$23</f>
        <v>4.13343231361787</v>
      </c>
      <c r="U413" s="38" t="n">
        <f aca="false">N413*Scorecard!$D$18+O413*Scorecard!$D$19+P413*Scorecard!$D$20+Q413*Scorecard!$D$21+R413*Scorecard!$D$22+S413*Scorecard!$D$23</f>
        <v>2.56091925872589</v>
      </c>
      <c r="V413" s="38" t="n">
        <f aca="false">N413*Scorecard!$E$18+O413*Scorecard!$E$19+P413*Scorecard!$E$20+Q413*Scorecard!$E$21+R413*Scorecard!$E$22+S413*Scorecard!$E$23</f>
        <v>3.36285345547061</v>
      </c>
    </row>
    <row r="414" customFormat="false" ht="15" hidden="false" customHeight="false" outlineLevel="0" collapsed="false">
      <c r="A414" s="0" t="n">
        <v>409</v>
      </c>
      <c r="B414" s="38" t="n">
        <f aca="false">E414*Scorecard!$C$18+F414*Scorecard!$C$19+G414*Scorecard!$C$20+H414*Scorecard!$C$21+I414*Scorecard!$C$22+J414*Scorecard!$C$23</f>
        <v>4.3585740812693</v>
      </c>
      <c r="C414" s="38" t="n">
        <f aca="false">E414*Scorecard!$D$18+F414*Scorecard!$D$19+G414*Scorecard!$D$20+H414*Scorecard!$D$21+I414*Scorecard!$D$22+J414*Scorecard!$D$23</f>
        <v>2.70681209990115</v>
      </c>
      <c r="D414" s="0" t="str">
        <f aca="false">IF(AND(B414&gt;=C414,B414&gt;=K414),"A. Distribution",IF(C414&gt;=K414,"B. Manufacturing","C. Prof. services"))</f>
        <v>A. Distribution</v>
      </c>
      <c r="E414" s="39" t="n">
        <v>0.181807206254186</v>
      </c>
      <c r="F414" s="39" t="n">
        <v>0.474731119761569</v>
      </c>
      <c r="G414" s="39" t="n">
        <v>0.20678598881884</v>
      </c>
      <c r="H414" s="39" t="n">
        <v>0.00180391158046495</v>
      </c>
      <c r="I414" s="39" t="n">
        <v>0.0841887974489494</v>
      </c>
      <c r="J414" s="39" t="n">
        <v>0.0506829761359916</v>
      </c>
      <c r="K414" s="38" t="n">
        <f aca="false">E414*Scorecard!$E$18+F414*Scorecard!$E$19+G414*Scorecard!$E$20+H414*Scorecard!$E$21+I414*Scorecard!$E$22+J414*Scorecard!$E$23</f>
        <v>3.22602824421937</v>
      </c>
      <c r="M414" s="0" t="str">
        <f aca="false">IF(AND(T414&gt;=U414,T414&gt;=V414),"A. Distribution",IF(U414&gt;=V414,"B. Manufacturing","C. Prof. services"))</f>
        <v>A. Distribution</v>
      </c>
      <c r="N414" s="39" t="n">
        <v>0.16614213173827</v>
      </c>
      <c r="O414" s="39" t="n">
        <v>0.14562951765239</v>
      </c>
      <c r="P414" s="39" t="n">
        <v>0.250569152318848</v>
      </c>
      <c r="Q414" s="39" t="n">
        <v>0.237222221114567</v>
      </c>
      <c r="R414" s="39" t="n">
        <v>0.121363333322937</v>
      </c>
      <c r="S414" s="39" t="n">
        <v>0.0790736438529891</v>
      </c>
      <c r="T414" s="38" t="n">
        <f aca="false">N414*Scorecard!$C$18+O414*Scorecard!$C$19+P414*Scorecard!$C$20+Q414*Scorecard!$C$21+R414*Scorecard!$C$22+S414*Scorecard!$C$23</f>
        <v>3.94858238099317</v>
      </c>
      <c r="U414" s="38" t="n">
        <f aca="false">N414*Scorecard!$D$18+O414*Scorecard!$D$19+P414*Scorecard!$D$20+Q414*Scorecard!$D$21+R414*Scorecard!$D$22+S414*Scorecard!$D$23</f>
        <v>2.60492766346957</v>
      </c>
      <c r="V414" s="38" t="n">
        <f aca="false">N414*Scorecard!$E$18+O414*Scorecard!$E$19+P414*Scorecard!$E$20+Q414*Scorecard!$E$21+R414*Scorecard!$E$22+S414*Scorecard!$E$23</f>
        <v>3.50251168167515</v>
      </c>
    </row>
    <row r="415" customFormat="false" ht="15" hidden="false" customHeight="false" outlineLevel="0" collapsed="false">
      <c r="A415" s="0" t="n">
        <v>410</v>
      </c>
      <c r="B415" s="38" t="n">
        <f aca="false">E415*Scorecard!$C$18+F415*Scorecard!$C$19+G415*Scorecard!$C$20+H415*Scorecard!$C$21+I415*Scorecard!$C$22+J415*Scorecard!$C$23</f>
        <v>4.12475917325839</v>
      </c>
      <c r="C415" s="38" t="n">
        <f aca="false">E415*Scorecard!$D$18+F415*Scorecard!$D$19+G415*Scorecard!$D$20+H415*Scorecard!$D$21+I415*Scorecard!$D$22+J415*Scorecard!$D$23</f>
        <v>2.9714161606973</v>
      </c>
      <c r="D415" s="0" t="str">
        <f aca="false">IF(AND(B415&gt;=C415,B415&gt;=K415),"A. Distribution",IF(C415&gt;=K415,"B. Manufacturing","C. Prof. services"))</f>
        <v>A. Distribution</v>
      </c>
      <c r="E415" s="39" t="n">
        <v>0.357128118617046</v>
      </c>
      <c r="F415" s="39" t="n">
        <v>0.285617037406107</v>
      </c>
      <c r="G415" s="39" t="n">
        <v>0.0945735555044945</v>
      </c>
      <c r="H415" s="39" t="n">
        <v>0.139624123554255</v>
      </c>
      <c r="I415" s="39" t="n">
        <v>0.0644868553567477</v>
      </c>
      <c r="J415" s="39" t="n">
        <v>0.058570309561351</v>
      </c>
      <c r="K415" s="38" t="n">
        <f aca="false">E415*Scorecard!$E$18+F415*Scorecard!$E$19+G415*Scorecard!$E$20+H415*Scorecard!$E$21+I415*Scorecard!$E$22+J415*Scorecard!$E$23</f>
        <v>3.35614141408574</v>
      </c>
      <c r="M415" s="0" t="str">
        <f aca="false">IF(AND(T415&gt;=U415,T415&gt;=V415),"A. Distribution",IF(U415&gt;=V415,"B. Manufacturing","C. Prof. services"))</f>
        <v>A. Distribution</v>
      </c>
      <c r="N415" s="39" t="n">
        <v>0.145477968987911</v>
      </c>
      <c r="O415" s="39" t="n">
        <v>0.291339712440532</v>
      </c>
      <c r="P415" s="39" t="n">
        <v>0.220760990536107</v>
      </c>
      <c r="Q415" s="39" t="n">
        <v>0.0674870075393732</v>
      </c>
      <c r="R415" s="39" t="n">
        <v>0.264567431403122</v>
      </c>
      <c r="S415" s="39" t="n">
        <v>0.0103668890929548</v>
      </c>
      <c r="T415" s="38" t="n">
        <f aca="false">N415*Scorecard!$C$18+O415*Scorecard!$C$19+P415*Scorecard!$C$20+Q415*Scorecard!$C$21+R415*Scorecard!$C$22+S415*Scorecard!$C$23</f>
        <v>4.25165421308551</v>
      </c>
      <c r="U415" s="38" t="n">
        <f aca="false">N415*Scorecard!$D$18+O415*Scorecard!$D$19+P415*Scorecard!$D$20+Q415*Scorecard!$D$21+R415*Scorecard!$D$22+S415*Scorecard!$D$23</f>
        <v>2.81599597880239</v>
      </c>
      <c r="V415" s="38" t="n">
        <f aca="false">N415*Scorecard!$E$18+O415*Scorecard!$E$19+P415*Scorecard!$E$20+Q415*Scorecard!$E$21+R415*Scorecard!$E$22+S415*Scorecard!$E$23</f>
        <v>3.12114379927401</v>
      </c>
    </row>
    <row r="416" customFormat="false" ht="15" hidden="false" customHeight="false" outlineLevel="0" collapsed="false">
      <c r="A416" s="0" t="n">
        <v>411</v>
      </c>
      <c r="B416" s="38" t="n">
        <f aca="false">E416*Scorecard!$C$18+F416*Scorecard!$C$19+G416*Scorecard!$C$20+H416*Scorecard!$C$21+I416*Scorecard!$C$22+J416*Scorecard!$C$23</f>
        <v>3.68567437776068</v>
      </c>
      <c r="C416" s="38" t="n">
        <f aca="false">E416*Scorecard!$D$18+F416*Scorecard!$D$19+G416*Scorecard!$D$20+H416*Scorecard!$D$21+I416*Scorecard!$D$22+J416*Scorecard!$D$23</f>
        <v>2.4216133615485</v>
      </c>
      <c r="D416" s="0" t="str">
        <f aca="false">IF(AND(B416&gt;=C416,B416&gt;=K416),"A. Distribution",IF(C416&gt;=K416,"B. Manufacturing","C. Prof. services"))</f>
        <v>A. Distribution</v>
      </c>
      <c r="E416" s="39" t="n">
        <v>0.0308038505212128</v>
      </c>
      <c r="F416" s="39" t="n">
        <v>0.211591819967828</v>
      </c>
      <c r="G416" s="39" t="n">
        <v>0.0896398558680531</v>
      </c>
      <c r="H416" s="39" t="n">
        <v>0.173625611729411</v>
      </c>
      <c r="I416" s="39" t="n">
        <v>0.241970842443336</v>
      </c>
      <c r="J416" s="39" t="n">
        <v>0.252368019470159</v>
      </c>
      <c r="K416" s="38" t="n">
        <f aca="false">E416*Scorecard!$E$18+F416*Scorecard!$E$19+G416*Scorecard!$E$20+H416*Scorecard!$E$21+I416*Scorecard!$E$22+J416*Scorecard!$E$23</f>
        <v>3.39775985957433</v>
      </c>
      <c r="M416" s="0" t="str">
        <f aca="false">IF(AND(T416&gt;=U416,T416&gt;=V416),"A. Distribution",IF(U416&gt;=V416,"B. Manufacturing","C. Prof. services"))</f>
        <v>A. Distribution</v>
      </c>
      <c r="N416" s="39" t="n">
        <v>0.296627447679027</v>
      </c>
      <c r="O416" s="39" t="n">
        <v>0.251537749701073</v>
      </c>
      <c r="P416" s="39" t="n">
        <v>0.171141691620383</v>
      </c>
      <c r="Q416" s="39" t="n">
        <v>0.12477102193801</v>
      </c>
      <c r="R416" s="39" t="n">
        <v>0.115104563715991</v>
      </c>
      <c r="S416" s="39" t="n">
        <v>0.0408175253455158</v>
      </c>
      <c r="T416" s="38" t="n">
        <f aca="false">N416*Scorecard!$C$18+O416*Scorecard!$C$19+P416*Scorecard!$C$20+Q416*Scorecard!$C$21+R416*Scorecard!$C$22+S416*Scorecard!$C$23</f>
        <v>4.13264328796431</v>
      </c>
      <c r="U416" s="38" t="n">
        <f aca="false">N416*Scorecard!$D$18+O416*Scorecard!$D$19+P416*Scorecard!$D$20+Q416*Scorecard!$D$21+R416*Scorecard!$D$22+S416*Scorecard!$D$23</f>
        <v>2.902971428865</v>
      </c>
      <c r="V416" s="38" t="n">
        <f aca="false">N416*Scorecard!$E$18+O416*Scorecard!$E$19+P416*Scorecard!$E$20+Q416*Scorecard!$E$21+R416*Scorecard!$E$22+S416*Scorecard!$E$23</f>
        <v>3.3387479093357</v>
      </c>
    </row>
    <row r="417" customFormat="false" ht="15" hidden="false" customHeight="false" outlineLevel="0" collapsed="false">
      <c r="A417" s="0" t="n">
        <v>412</v>
      </c>
      <c r="B417" s="38" t="n">
        <f aca="false">E417*Scorecard!$C$18+F417*Scorecard!$C$19+G417*Scorecard!$C$20+H417*Scorecard!$C$21+I417*Scorecard!$C$22+J417*Scorecard!$C$23</f>
        <v>4.08137935737859</v>
      </c>
      <c r="C417" s="38" t="n">
        <f aca="false">E417*Scorecard!$D$18+F417*Scorecard!$D$19+G417*Scorecard!$D$20+H417*Scorecard!$D$21+I417*Scorecard!$D$22+J417*Scorecard!$D$23</f>
        <v>3.03421792556046</v>
      </c>
      <c r="D417" s="0" t="str">
        <f aca="false">IF(AND(B417&gt;=C417,B417&gt;=K417),"A. Distribution",IF(C417&gt;=K417,"B. Manufacturing","C. Prof. services"))</f>
        <v>A. Distribution</v>
      </c>
      <c r="E417" s="39" t="n">
        <v>0.0930895013874251</v>
      </c>
      <c r="F417" s="39" t="n">
        <v>0.140058265546423</v>
      </c>
      <c r="G417" s="39" t="n">
        <v>0.00554141981478074</v>
      </c>
      <c r="H417" s="39" t="n">
        <v>0.20849569863003</v>
      </c>
      <c r="I417" s="39" t="n">
        <v>0.538445355253822</v>
      </c>
      <c r="J417" s="39" t="n">
        <v>0.0143697593675194</v>
      </c>
      <c r="K417" s="38" t="n">
        <f aca="false">E417*Scorecard!$E$18+F417*Scorecard!$E$19+G417*Scorecard!$E$20+H417*Scorecard!$E$21+I417*Scorecard!$E$22+J417*Scorecard!$E$23</f>
        <v>2.82759117473838</v>
      </c>
      <c r="M417" s="0" t="str">
        <f aca="false">IF(AND(T417&gt;=U417,T417&gt;=V417),"A. Distribution",IF(U417&gt;=V417,"B. Manufacturing","C. Prof. services"))</f>
        <v>A. Distribution</v>
      </c>
      <c r="N417" s="39" t="n">
        <v>0.294405319403071</v>
      </c>
      <c r="O417" s="39" t="n">
        <v>0.147927955792886</v>
      </c>
      <c r="P417" s="39" t="n">
        <v>0.0950694087054228</v>
      </c>
      <c r="Q417" s="39" t="n">
        <v>0.232318498745279</v>
      </c>
      <c r="R417" s="39" t="n">
        <v>0.135559717589685</v>
      </c>
      <c r="S417" s="39" t="n">
        <v>0.0947190997636569</v>
      </c>
      <c r="T417" s="38" t="n">
        <f aca="false">N417*Scorecard!$C$18+O417*Scorecard!$C$19+P417*Scorecard!$C$20+Q417*Scorecard!$C$21+R417*Scorecard!$C$22+S417*Scorecard!$C$23</f>
        <v>3.90982044899053</v>
      </c>
      <c r="U417" s="38" t="n">
        <f aca="false">N417*Scorecard!$D$18+O417*Scorecard!$D$19+P417*Scorecard!$D$20+Q417*Scorecard!$D$21+R417*Scorecard!$D$22+S417*Scorecard!$D$23</f>
        <v>2.87533600513854</v>
      </c>
      <c r="V417" s="38" t="n">
        <f aca="false">N417*Scorecard!$E$18+O417*Scorecard!$E$19+P417*Scorecard!$E$20+Q417*Scorecard!$E$21+R417*Scorecard!$E$22+S417*Scorecard!$E$23</f>
        <v>3.42139799664536</v>
      </c>
    </row>
    <row r="418" customFormat="false" ht="15" hidden="false" customHeight="false" outlineLevel="0" collapsed="false">
      <c r="A418" s="0" t="n">
        <v>413</v>
      </c>
      <c r="B418" s="38" t="n">
        <f aca="false">E418*Scorecard!$C$18+F418*Scorecard!$C$19+G418*Scorecard!$C$20+H418*Scorecard!$C$21+I418*Scorecard!$C$22+J418*Scorecard!$C$23</f>
        <v>4.16519787275074</v>
      </c>
      <c r="C418" s="38" t="n">
        <f aca="false">E418*Scorecard!$D$18+F418*Scorecard!$D$19+G418*Scorecard!$D$20+H418*Scorecard!$D$21+I418*Scorecard!$D$22+J418*Scorecard!$D$23</f>
        <v>2.78930626837326</v>
      </c>
      <c r="D418" s="0" t="str">
        <f aca="false">IF(AND(B418&gt;=C418,B418&gt;=K418),"A. Distribution",IF(C418&gt;=K418,"B. Manufacturing","C. Prof. services"))</f>
        <v>A. Distribution</v>
      </c>
      <c r="E418" s="39" t="n">
        <v>0.23622309019567</v>
      </c>
      <c r="F418" s="39" t="n">
        <v>0.295207582360352</v>
      </c>
      <c r="G418" s="39" t="n">
        <v>0.108689659568624</v>
      </c>
      <c r="H418" s="39" t="n">
        <v>0.23676751492679</v>
      </c>
      <c r="I418" s="39" t="n">
        <v>0.0803460121523989</v>
      </c>
      <c r="J418" s="39" t="n">
        <v>0.042766140796165</v>
      </c>
      <c r="K418" s="38" t="n">
        <f aca="false">E418*Scorecard!$E$18+F418*Scorecard!$E$19+G418*Scorecard!$E$20+H418*Scorecard!$E$21+I418*Scorecard!$E$22+J418*Scorecard!$E$23</f>
        <v>3.3390214229591</v>
      </c>
      <c r="M418" s="0" t="str">
        <f aca="false">IF(AND(T418&gt;=U418,T418&gt;=V418),"A. Distribution",IF(U418&gt;=V418,"B. Manufacturing","C. Prof. services"))</f>
        <v>A. Distribution</v>
      </c>
      <c r="N418" s="39" t="n">
        <v>0.353309754985934</v>
      </c>
      <c r="O418" s="39" t="n">
        <v>0.218127606319359</v>
      </c>
      <c r="P418" s="39" t="n">
        <v>0.126065286922815</v>
      </c>
      <c r="Q418" s="39" t="n">
        <v>0.167251795617751</v>
      </c>
      <c r="R418" s="39" t="n">
        <v>0.0768042971048244</v>
      </c>
      <c r="S418" s="39" t="n">
        <v>0.0584412590493161</v>
      </c>
      <c r="T418" s="38" t="n">
        <f aca="false">N418*Scorecard!$C$18+O418*Scorecard!$C$19+P418*Scorecard!$C$20+Q418*Scorecard!$C$21+R418*Scorecard!$C$22+S418*Scorecard!$C$23</f>
        <v>4.05485750940854</v>
      </c>
      <c r="U418" s="38" t="n">
        <f aca="false">N418*Scorecard!$D$18+O418*Scorecard!$D$19+P418*Scorecard!$D$20+Q418*Scorecard!$D$21+R418*Scorecard!$D$22+S418*Scorecard!$D$23</f>
        <v>2.95249529870861</v>
      </c>
      <c r="V418" s="38" t="n">
        <f aca="false">N418*Scorecard!$E$18+O418*Scorecard!$E$19+P418*Scorecard!$E$20+Q418*Scorecard!$E$21+R418*Scorecard!$E$22+S418*Scorecard!$E$23</f>
        <v>3.40909833226133</v>
      </c>
    </row>
    <row r="419" customFormat="false" ht="15" hidden="false" customHeight="false" outlineLevel="0" collapsed="false">
      <c r="A419" s="0" t="n">
        <v>414</v>
      </c>
      <c r="B419" s="38" t="n">
        <f aca="false">E419*Scorecard!$C$18+F419*Scorecard!$C$19+G419*Scorecard!$C$20+H419*Scorecard!$C$21+I419*Scorecard!$C$22+J419*Scorecard!$C$23</f>
        <v>3.39054867528971</v>
      </c>
      <c r="C419" s="38" t="n">
        <f aca="false">E419*Scorecard!$D$18+F419*Scorecard!$D$19+G419*Scorecard!$D$20+H419*Scorecard!$D$21+I419*Scorecard!$D$22+J419*Scorecard!$D$23</f>
        <v>2.11670228597407</v>
      </c>
      <c r="D419" s="0" t="str">
        <f aca="false">IF(AND(B419&gt;=C419,B419&gt;=K419),"A. Distribution",IF(C419&gt;=K419,"B. Manufacturing","C. Prof. services"))</f>
        <v>C. Prof. services</v>
      </c>
      <c r="E419" s="39" t="n">
        <v>0.00819111560718384</v>
      </c>
      <c r="F419" s="39" t="n">
        <v>0.00657862704257514</v>
      </c>
      <c r="G419" s="39" t="n">
        <v>0.237088962895306</v>
      </c>
      <c r="H419" s="39" t="n">
        <v>0.357409594373926</v>
      </c>
      <c r="I419" s="39" t="n">
        <v>0.102301090081056</v>
      </c>
      <c r="J419" s="39" t="n">
        <v>0.288430609999953</v>
      </c>
      <c r="K419" s="38" t="n">
        <f aca="false">E419*Scorecard!$E$18+F419*Scorecard!$E$19+G419*Scorecard!$E$20+H419*Scorecard!$E$21+I419*Scorecard!$E$22+J419*Scorecard!$E$23</f>
        <v>3.84485027735991</v>
      </c>
      <c r="M419" s="0" t="str">
        <f aca="false">IF(AND(T419&gt;=U419,T419&gt;=V419),"A. Distribution",IF(U419&gt;=V419,"B. Manufacturing","C. Prof. services"))</f>
        <v>A. Distribution</v>
      </c>
      <c r="N419" s="39" t="n">
        <v>0.201996399712758</v>
      </c>
      <c r="O419" s="39" t="n">
        <v>0.261111589785027</v>
      </c>
      <c r="P419" s="39" t="n">
        <v>0.137880235892254</v>
      </c>
      <c r="Q419" s="39" t="n">
        <v>0.120322222072823</v>
      </c>
      <c r="R419" s="39" t="n">
        <v>0.119680818424987</v>
      </c>
      <c r="S419" s="39" t="n">
        <v>0.159008734112151</v>
      </c>
      <c r="T419" s="38" t="n">
        <f aca="false">N419*Scorecard!$C$18+O419*Scorecard!$C$19+P419*Scorecard!$C$20+Q419*Scorecard!$C$21+R419*Scorecard!$C$22+S419*Scorecard!$C$23</f>
        <v>3.9139116926689</v>
      </c>
      <c r="U419" s="38" t="n">
        <f aca="false">N419*Scorecard!$D$18+O419*Scorecard!$D$19+P419*Scorecard!$D$20+Q419*Scorecard!$D$21+R419*Scorecard!$D$22+S419*Scorecard!$D$23</f>
        <v>2.66227984927878</v>
      </c>
      <c r="V419" s="38" t="n">
        <f aca="false">N419*Scorecard!$E$18+O419*Scorecard!$E$19+P419*Scorecard!$E$20+Q419*Scorecard!$E$21+R419*Scorecard!$E$22+S419*Scorecard!$E$23</f>
        <v>3.42754214742877</v>
      </c>
    </row>
    <row r="420" customFormat="false" ht="15" hidden="false" customHeight="false" outlineLevel="0" collapsed="false">
      <c r="A420" s="0" t="n">
        <v>415</v>
      </c>
      <c r="B420" s="38" t="n">
        <f aca="false">E420*Scorecard!$C$18+F420*Scorecard!$C$19+G420*Scorecard!$C$20+H420*Scorecard!$C$21+I420*Scorecard!$C$22+J420*Scorecard!$C$23</f>
        <v>3.93515866108913</v>
      </c>
      <c r="C420" s="38" t="n">
        <f aca="false">E420*Scorecard!$D$18+F420*Scorecard!$D$19+G420*Scorecard!$D$20+H420*Scorecard!$D$21+I420*Scorecard!$D$22+J420*Scorecard!$D$23</f>
        <v>2.56189689829868</v>
      </c>
      <c r="D420" s="0" t="str">
        <f aca="false">IF(AND(B420&gt;=C420,B420&gt;=K420),"A. Distribution",IF(C420&gt;=K420,"B. Manufacturing","C. Prof. services"))</f>
        <v>A. Distribution</v>
      </c>
      <c r="E420" s="39" t="n">
        <v>0.173262649583859</v>
      </c>
      <c r="F420" s="39" t="n">
        <v>0.283544941873089</v>
      </c>
      <c r="G420" s="39" t="n">
        <v>0.159640630359323</v>
      </c>
      <c r="H420" s="39" t="n">
        <v>0.152495779173807</v>
      </c>
      <c r="I420" s="39" t="n">
        <v>0.0720339628719721</v>
      </c>
      <c r="J420" s="39" t="n">
        <v>0.159022036137951</v>
      </c>
      <c r="K420" s="38" t="n">
        <f aca="false">E420*Scorecard!$E$18+F420*Scorecard!$E$19+G420*Scorecard!$E$20+H420*Scorecard!$E$21+I420*Scorecard!$E$22+J420*Scorecard!$E$23</f>
        <v>3.4839882610087</v>
      </c>
      <c r="M420" s="0" t="str">
        <f aca="false">IF(AND(T420&gt;=U420,T420&gt;=V420),"A. Distribution",IF(U420&gt;=V420,"B. Manufacturing","C. Prof. services"))</f>
        <v>A. Distribution</v>
      </c>
      <c r="N420" s="39" t="n">
        <v>0.155519115174439</v>
      </c>
      <c r="O420" s="39" t="n">
        <v>0.314723983042876</v>
      </c>
      <c r="P420" s="39" t="n">
        <v>0.126139122826492</v>
      </c>
      <c r="Q420" s="39" t="n">
        <v>0.0859322273592585</v>
      </c>
      <c r="R420" s="39" t="n">
        <v>0.216344116884297</v>
      </c>
      <c r="S420" s="39" t="n">
        <v>0.101341434712637</v>
      </c>
      <c r="T420" s="38" t="n">
        <f aca="false">N420*Scorecard!$C$18+O420*Scorecard!$C$19+P420*Scorecard!$C$20+Q420*Scorecard!$C$21+R420*Scorecard!$C$22+S420*Scorecard!$C$23</f>
        <v>4.09029573797621</v>
      </c>
      <c r="U420" s="38" t="n">
        <f aca="false">N420*Scorecard!$D$18+O420*Scorecard!$D$19+P420*Scorecard!$D$20+Q420*Scorecard!$D$21+R420*Scorecard!$D$22+S420*Scorecard!$D$23</f>
        <v>2.74430955407351</v>
      </c>
      <c r="V420" s="38" t="n">
        <f aca="false">N420*Scorecard!$E$18+O420*Scorecard!$E$19+P420*Scorecard!$E$20+Q420*Scorecard!$E$21+R420*Scorecard!$E$22+S420*Scorecard!$E$23</f>
        <v>3.20799733254938</v>
      </c>
    </row>
    <row r="421" customFormat="false" ht="15" hidden="false" customHeight="false" outlineLevel="0" collapsed="false">
      <c r="A421" s="0" t="n">
        <v>416</v>
      </c>
      <c r="B421" s="38" t="n">
        <f aca="false">E421*Scorecard!$C$18+F421*Scorecard!$C$19+G421*Scorecard!$C$20+H421*Scorecard!$C$21+I421*Scorecard!$C$22+J421*Scorecard!$C$23</f>
        <v>3.98816450435582</v>
      </c>
      <c r="C421" s="38" t="n">
        <f aca="false">E421*Scorecard!$D$18+F421*Scorecard!$D$19+G421*Scorecard!$D$20+H421*Scorecard!$D$21+I421*Scorecard!$D$22+J421*Scorecard!$D$23</f>
        <v>2.77939427483632</v>
      </c>
      <c r="D421" s="0" t="str">
        <f aca="false">IF(AND(B421&gt;=C421,B421&gt;=K421),"A. Distribution",IF(C421&gt;=K421,"B. Manufacturing","C. Prof. services"))</f>
        <v>A. Distribution</v>
      </c>
      <c r="E421" s="39" t="n">
        <v>0.165649414541806</v>
      </c>
      <c r="F421" s="39" t="n">
        <v>0.031638892807786</v>
      </c>
      <c r="G421" s="39" t="n">
        <v>0.422965631630519</v>
      </c>
      <c r="H421" s="39" t="n">
        <v>0.0543240370832573</v>
      </c>
      <c r="I421" s="39" t="n">
        <v>0.31326128152336</v>
      </c>
      <c r="J421" s="39" t="n">
        <v>0.0121607424132713</v>
      </c>
      <c r="K421" s="38" t="n">
        <f aca="false">E421*Scorecard!$E$18+F421*Scorecard!$E$19+G421*Scorecard!$E$20+H421*Scorecard!$E$21+I421*Scorecard!$E$22+J421*Scorecard!$E$23</f>
        <v>3.3455533034742</v>
      </c>
      <c r="M421" s="0" t="str">
        <f aca="false">IF(AND(T421&gt;=U421,T421&gt;=V421),"A. Distribution",IF(U421&gt;=V421,"B. Manufacturing","C. Prof. services"))</f>
        <v>A. Distribution</v>
      </c>
      <c r="N421" s="39" t="n">
        <v>0.365474508636443</v>
      </c>
      <c r="O421" s="39" t="n">
        <v>0.248052018555817</v>
      </c>
      <c r="P421" s="39" t="n">
        <v>0.0808289336761531</v>
      </c>
      <c r="Q421" s="39" t="n">
        <v>0.105520606888583</v>
      </c>
      <c r="R421" s="39" t="n">
        <v>0.122347059066334</v>
      </c>
      <c r="S421" s="39" t="n">
        <v>0.0777768731766696</v>
      </c>
      <c r="T421" s="38" t="n">
        <f aca="false">N421*Scorecard!$C$18+O421*Scorecard!$C$19+P421*Scorecard!$C$20+Q421*Scorecard!$C$21+R421*Scorecard!$C$22+S421*Scorecard!$C$23</f>
        <v>4.051785596399</v>
      </c>
      <c r="U421" s="38" t="n">
        <f aca="false">N421*Scorecard!$D$18+O421*Scorecard!$D$19+P421*Scorecard!$D$20+Q421*Scorecard!$D$21+R421*Scorecard!$D$22+S421*Scorecard!$D$23</f>
        <v>3.02597519468369</v>
      </c>
      <c r="V421" s="38" t="n">
        <f aca="false">N421*Scorecard!$E$18+O421*Scorecard!$E$19+P421*Scorecard!$E$20+Q421*Scorecard!$E$21+R421*Scorecard!$E$22+S421*Scorecard!$E$23</f>
        <v>3.32119623688881</v>
      </c>
    </row>
    <row r="422" customFormat="false" ht="15" hidden="false" customHeight="false" outlineLevel="0" collapsed="false">
      <c r="A422" s="0" t="n">
        <v>417</v>
      </c>
      <c r="B422" s="38" t="n">
        <f aca="false">E422*Scorecard!$C$18+F422*Scorecard!$C$19+G422*Scorecard!$C$20+H422*Scorecard!$C$21+I422*Scorecard!$C$22+J422*Scorecard!$C$23</f>
        <v>3.31997732012738</v>
      </c>
      <c r="C422" s="38" t="n">
        <f aca="false">E422*Scorecard!$D$18+F422*Scorecard!$D$19+G422*Scorecard!$D$20+H422*Scorecard!$D$21+I422*Scorecard!$D$22+J422*Scorecard!$D$23</f>
        <v>2.55831820631428</v>
      </c>
      <c r="D422" s="0" t="str">
        <f aca="false">IF(AND(B422&gt;=C422,B422&gt;=K422),"A. Distribution",IF(C422&gt;=K422,"B. Manufacturing","C. Prof. services"))</f>
        <v>C. Prof. services</v>
      </c>
      <c r="E422" s="39" t="n">
        <v>0.239816887246769</v>
      </c>
      <c r="F422" s="39" t="n">
        <v>0.0951225585346393</v>
      </c>
      <c r="G422" s="39" t="n">
        <v>0.0333379594227081</v>
      </c>
      <c r="H422" s="39" t="n">
        <v>0.134459839245328</v>
      </c>
      <c r="I422" s="39" t="n">
        <v>0.126561261492934</v>
      </c>
      <c r="J422" s="39" t="n">
        <v>0.370701494057623</v>
      </c>
      <c r="K422" s="38" t="n">
        <f aca="false">E422*Scorecard!$E$18+F422*Scorecard!$E$19+G422*Scorecard!$E$20+H422*Scorecard!$E$21+I422*Scorecard!$E$22+J422*Scorecard!$E$23</f>
        <v>3.69681286295708</v>
      </c>
      <c r="M422" s="0" t="str">
        <f aca="false">IF(AND(T422&gt;=U422,T422&gt;=V422),"A. Distribution",IF(U422&gt;=V422,"B. Manufacturing","C. Prof. services"))</f>
        <v>A. Distribution</v>
      </c>
      <c r="N422" s="39" t="n">
        <v>0.153639301208923</v>
      </c>
      <c r="O422" s="39" t="n">
        <v>0.179032561579907</v>
      </c>
      <c r="P422" s="39" t="n">
        <v>0.183048670254049</v>
      </c>
      <c r="Q422" s="39" t="n">
        <v>0.0901244216080015</v>
      </c>
      <c r="R422" s="39" t="n">
        <v>0.199487967385581</v>
      </c>
      <c r="S422" s="39" t="n">
        <v>0.194667077963539</v>
      </c>
      <c r="T422" s="38" t="n">
        <f aca="false">N422*Scorecard!$C$18+O422*Scorecard!$C$19+P422*Scorecard!$C$20+Q422*Scorecard!$C$21+R422*Scorecard!$C$22+S422*Scorecard!$C$23</f>
        <v>3.7676522428161</v>
      </c>
      <c r="U422" s="38" t="n">
        <f aca="false">N422*Scorecard!$D$18+O422*Scorecard!$D$19+P422*Scorecard!$D$20+Q422*Scorecard!$D$21+R422*Scorecard!$D$22+S422*Scorecard!$D$23</f>
        <v>2.60070224015926</v>
      </c>
      <c r="V422" s="38" t="n">
        <f aca="false">N422*Scorecard!$E$18+O422*Scorecard!$E$19+P422*Scorecard!$E$20+Q422*Scorecard!$E$21+R422*Scorecard!$E$22+S422*Scorecard!$E$23</f>
        <v>3.44453101655237</v>
      </c>
    </row>
    <row r="423" customFormat="false" ht="15" hidden="false" customHeight="false" outlineLevel="0" collapsed="false">
      <c r="A423" s="0" t="n">
        <v>418</v>
      </c>
      <c r="B423" s="38" t="n">
        <f aca="false">E423*Scorecard!$C$18+F423*Scorecard!$C$19+G423*Scorecard!$C$20+H423*Scorecard!$C$21+I423*Scorecard!$C$22+J423*Scorecard!$C$23</f>
        <v>4.01192237415273</v>
      </c>
      <c r="C423" s="38" t="n">
        <f aca="false">E423*Scorecard!$D$18+F423*Scorecard!$D$19+G423*Scorecard!$D$20+H423*Scorecard!$D$21+I423*Scorecard!$D$22+J423*Scorecard!$D$23</f>
        <v>3.2620239342918</v>
      </c>
      <c r="D423" s="0" t="str">
        <f aca="false">IF(AND(B423&gt;=C423,B423&gt;=K423),"A. Distribution",IF(C423&gt;=K423,"B. Manufacturing","C. Prof. services"))</f>
        <v>A. Distribution</v>
      </c>
      <c r="E423" s="39" t="n">
        <v>0.22542941842613</v>
      </c>
      <c r="F423" s="39" t="n">
        <v>0.125912817149594</v>
      </c>
      <c r="G423" s="39" t="n">
        <v>0.0113951897784483</v>
      </c>
      <c r="H423" s="39" t="n">
        <v>0.0239510482227473</v>
      </c>
      <c r="I423" s="39" t="n">
        <v>0.566656174817496</v>
      </c>
      <c r="J423" s="39" t="n">
        <v>0.0466553516055842</v>
      </c>
      <c r="K423" s="38" t="n">
        <f aca="false">E423*Scorecard!$E$18+F423*Scorecard!$E$19+G423*Scorecard!$E$20+H423*Scorecard!$E$21+I423*Scorecard!$E$22+J423*Scorecard!$E$23</f>
        <v>2.80781485534293</v>
      </c>
      <c r="M423" s="0" t="str">
        <f aca="false">IF(AND(T423&gt;=U423,T423&gt;=V423),"A. Distribution",IF(U423&gt;=V423,"B. Manufacturing","C. Prof. services"))</f>
        <v>A. Distribution</v>
      </c>
      <c r="N423" s="39" t="n">
        <v>0.24618790745149</v>
      </c>
      <c r="O423" s="39" t="n">
        <v>0.216330337371243</v>
      </c>
      <c r="P423" s="39" t="n">
        <v>0.176807096605697</v>
      </c>
      <c r="Q423" s="39" t="n">
        <v>0.154331711171958</v>
      </c>
      <c r="R423" s="39" t="n">
        <v>0.161962792334868</v>
      </c>
      <c r="S423" s="39" t="n">
        <v>0.0443801550647446</v>
      </c>
      <c r="T423" s="38" t="n">
        <f aca="false">N423*Scorecard!$C$18+O423*Scorecard!$C$19+P423*Scorecard!$C$20+Q423*Scorecard!$C$21+R423*Scorecard!$C$22+S423*Scorecard!$C$23</f>
        <v>4.09117506244314</v>
      </c>
      <c r="U423" s="38" t="n">
        <f aca="false">N423*Scorecard!$D$18+O423*Scorecard!$D$19+P423*Scorecard!$D$20+Q423*Scorecard!$D$21+R423*Scorecard!$D$22+S423*Scorecard!$D$23</f>
        <v>2.85159663929344</v>
      </c>
      <c r="V423" s="38" t="n">
        <f aca="false">N423*Scorecard!$E$18+O423*Scorecard!$E$19+P423*Scorecard!$E$20+Q423*Scorecard!$E$21+R423*Scorecard!$E$22+S423*Scorecard!$E$23</f>
        <v>3.32006937491779</v>
      </c>
    </row>
    <row r="424" customFormat="false" ht="15" hidden="false" customHeight="false" outlineLevel="0" collapsed="false">
      <c r="A424" s="0" t="n">
        <v>419</v>
      </c>
      <c r="B424" s="38" t="n">
        <f aca="false">E424*Scorecard!$C$18+F424*Scorecard!$C$19+G424*Scorecard!$C$20+H424*Scorecard!$C$21+I424*Scorecard!$C$22+J424*Scorecard!$C$23</f>
        <v>4.27659307590815</v>
      </c>
      <c r="C424" s="38" t="n">
        <f aca="false">E424*Scorecard!$D$18+F424*Scorecard!$D$19+G424*Scorecard!$D$20+H424*Scorecard!$D$21+I424*Scorecard!$D$22+J424*Scorecard!$D$23</f>
        <v>2.62278949649113</v>
      </c>
      <c r="D424" s="0" t="str">
        <f aca="false">IF(AND(B424&gt;=C424,B424&gt;=K424),"A. Distribution",IF(C424&gt;=K424,"B. Manufacturing","C. Prof. services"))</f>
        <v>A. Distribution</v>
      </c>
      <c r="E424" s="39" t="n">
        <v>0.102184858988696</v>
      </c>
      <c r="F424" s="39" t="n">
        <v>0.337788322100538</v>
      </c>
      <c r="G424" s="39" t="n">
        <v>0.325918272522815</v>
      </c>
      <c r="H424" s="39" t="n">
        <v>0.0281169374617782</v>
      </c>
      <c r="I424" s="39" t="n">
        <v>0.181010840315294</v>
      </c>
      <c r="J424" s="39" t="n">
        <v>0.024980768610879</v>
      </c>
      <c r="K424" s="38" t="n">
        <f aca="false">E424*Scorecard!$E$18+F424*Scorecard!$E$19+G424*Scorecard!$E$20+H424*Scorecard!$E$21+I424*Scorecard!$E$22+J424*Scorecard!$E$23</f>
        <v>3.24671255500727</v>
      </c>
      <c r="M424" s="0" t="str">
        <f aca="false">IF(AND(T424&gt;=U424,T424&gt;=V424),"A. Distribution",IF(U424&gt;=V424,"B. Manufacturing","C. Prof. services"))</f>
        <v>A. Distribution</v>
      </c>
      <c r="N424" s="39" t="n">
        <v>0.256824996713804</v>
      </c>
      <c r="O424" s="39" t="n">
        <v>0.142798018278577</v>
      </c>
      <c r="P424" s="39" t="n">
        <v>0.304111655879554</v>
      </c>
      <c r="Q424" s="39" t="n">
        <v>0.0152289928425136</v>
      </c>
      <c r="R424" s="39" t="n">
        <v>0.13585667040408</v>
      </c>
      <c r="S424" s="39" t="n">
        <v>0.145179665881472</v>
      </c>
      <c r="T424" s="38" t="n">
        <f aca="false">N424*Scorecard!$C$18+O424*Scorecard!$C$19+P424*Scorecard!$C$20+Q424*Scorecard!$C$21+R424*Scorecard!$C$22+S424*Scorecard!$C$23</f>
        <v>3.83017810368426</v>
      </c>
      <c r="U424" s="38" t="n">
        <f aca="false">N424*Scorecard!$D$18+O424*Scorecard!$D$19+P424*Scorecard!$D$20+Q424*Scorecard!$D$21+R424*Scorecard!$D$22+S424*Scorecard!$D$23</f>
        <v>2.70829724783506</v>
      </c>
      <c r="V424" s="38" t="n">
        <f aca="false">N424*Scorecard!$E$18+O424*Scorecard!$E$19+P424*Scorecard!$E$20+Q424*Scorecard!$E$21+R424*Scorecard!$E$22+S424*Scorecard!$E$23</f>
        <v>3.54206065624501</v>
      </c>
    </row>
    <row r="425" customFormat="false" ht="15" hidden="false" customHeight="false" outlineLevel="0" collapsed="false">
      <c r="A425" s="0" t="n">
        <v>420</v>
      </c>
      <c r="B425" s="38" t="n">
        <f aca="false">E425*Scorecard!$C$18+F425*Scorecard!$C$19+G425*Scorecard!$C$20+H425*Scorecard!$C$21+I425*Scorecard!$C$22+J425*Scorecard!$C$23</f>
        <v>3.57721557298535</v>
      </c>
      <c r="C425" s="38" t="n">
        <f aca="false">E425*Scorecard!$D$18+F425*Scorecard!$D$19+G425*Scorecard!$D$20+H425*Scorecard!$D$21+I425*Scorecard!$D$22+J425*Scorecard!$D$23</f>
        <v>2.68241645799617</v>
      </c>
      <c r="D425" s="0" t="str">
        <f aca="false">IF(AND(B425&gt;=C425,B425&gt;=K425),"A. Distribution",IF(C425&gt;=K425,"B. Manufacturing","C. Prof. services"))</f>
        <v>C. Prof. services</v>
      </c>
      <c r="E425" s="39" t="n">
        <v>0.276705821789523</v>
      </c>
      <c r="F425" s="39" t="n">
        <v>0.0119559393615486</v>
      </c>
      <c r="G425" s="39" t="n">
        <v>0.116817813495952</v>
      </c>
      <c r="H425" s="39" t="n">
        <v>0.316598974803278</v>
      </c>
      <c r="I425" s="39" t="n">
        <v>0.0887160386114222</v>
      </c>
      <c r="J425" s="39" t="n">
        <v>0.189205411938276</v>
      </c>
      <c r="K425" s="38" t="n">
        <f aca="false">E425*Scorecard!$E$18+F425*Scorecard!$E$19+G425*Scorecard!$E$20+H425*Scorecard!$E$21+I425*Scorecard!$E$22+J425*Scorecard!$E$23</f>
        <v>3.69054256078526</v>
      </c>
      <c r="M425" s="0" t="str">
        <f aca="false">IF(AND(T425&gt;=U425,T425&gt;=V425),"A. Distribution",IF(U425&gt;=V425,"B. Manufacturing","C. Prof. services"))</f>
        <v>A. Distribution</v>
      </c>
      <c r="N425" s="39" t="n">
        <v>0.264177587367001</v>
      </c>
      <c r="O425" s="39" t="n">
        <v>0.111189047929703</v>
      </c>
      <c r="P425" s="39" t="n">
        <v>0.339113135542047</v>
      </c>
      <c r="Q425" s="39" t="n">
        <v>0.0985944618024693</v>
      </c>
      <c r="R425" s="39" t="n">
        <v>0.114195485180641</v>
      </c>
      <c r="S425" s="39" t="n">
        <v>0.0727302821781388</v>
      </c>
      <c r="T425" s="38" t="n">
        <f aca="false">N425*Scorecard!$C$18+O425*Scorecard!$C$19+P425*Scorecard!$C$20+Q425*Scorecard!$C$21+R425*Scorecard!$C$22+S425*Scorecard!$C$23</f>
        <v>3.93389490677419</v>
      </c>
      <c r="U425" s="38" t="n">
        <f aca="false">N425*Scorecard!$D$18+O425*Scorecard!$D$19+P425*Scorecard!$D$20+Q425*Scorecard!$D$21+R425*Scorecard!$D$22+S425*Scorecard!$D$23</f>
        <v>2.73813610961527</v>
      </c>
      <c r="V425" s="38" t="n">
        <f aca="false">N425*Scorecard!$E$18+O425*Scorecard!$E$19+P425*Scorecard!$E$20+Q425*Scorecard!$E$21+R425*Scorecard!$E$22+S425*Scorecard!$E$23</f>
        <v>3.54878147214655</v>
      </c>
    </row>
    <row r="426" customFormat="false" ht="15" hidden="false" customHeight="false" outlineLevel="0" collapsed="false">
      <c r="A426" s="0" t="n">
        <v>421</v>
      </c>
      <c r="B426" s="38" t="n">
        <f aca="false">E426*Scorecard!$C$18+F426*Scorecard!$C$19+G426*Scorecard!$C$20+H426*Scorecard!$C$21+I426*Scorecard!$C$22+J426*Scorecard!$C$23</f>
        <v>4.09058479933254</v>
      </c>
      <c r="C426" s="38" t="n">
        <f aca="false">E426*Scorecard!$D$18+F426*Scorecard!$D$19+G426*Scorecard!$D$20+H426*Scorecard!$D$21+I426*Scorecard!$D$22+J426*Scorecard!$D$23</f>
        <v>2.63137706026593</v>
      </c>
      <c r="D426" s="0" t="str">
        <f aca="false">IF(AND(B426&gt;=C426,B426&gt;=K426),"A. Distribution",IF(C426&gt;=K426,"B. Manufacturing","C. Prof. services"))</f>
        <v>A. Distribution</v>
      </c>
      <c r="E426" s="39" t="n">
        <v>0.0866640705371699</v>
      </c>
      <c r="F426" s="39" t="n">
        <v>0.195433778530628</v>
      </c>
      <c r="G426" s="39" t="n">
        <v>0.298950814360085</v>
      </c>
      <c r="H426" s="39" t="n">
        <v>0.123504781673269</v>
      </c>
      <c r="I426" s="39" t="n">
        <v>0.253154910878316</v>
      </c>
      <c r="J426" s="39" t="n">
        <v>0.0422916440205322</v>
      </c>
      <c r="K426" s="38" t="n">
        <f aca="false">E426*Scorecard!$E$18+F426*Scorecard!$E$19+G426*Scorecard!$E$20+H426*Scorecard!$E$21+I426*Scorecard!$E$22+J426*Scorecard!$E$23</f>
        <v>3.28186000079843</v>
      </c>
      <c r="M426" s="0" t="str">
        <f aca="false">IF(AND(T426&gt;=U426,T426&gt;=V426),"A. Distribution",IF(U426&gt;=V426,"B. Manufacturing","C. Prof. services"))</f>
        <v>A. Distribution</v>
      </c>
      <c r="N426" s="39" t="n">
        <v>0.0827357267035257</v>
      </c>
      <c r="O426" s="39" t="n">
        <v>0.192027961917669</v>
      </c>
      <c r="P426" s="39" t="n">
        <v>0.274023576054798</v>
      </c>
      <c r="Q426" s="39" t="n">
        <v>0.24891274668853</v>
      </c>
      <c r="R426" s="39" t="n">
        <v>0.119240947838839</v>
      </c>
      <c r="S426" s="39" t="n">
        <v>0.083059040796638</v>
      </c>
      <c r="T426" s="38" t="n">
        <f aca="false">N426*Scorecard!$C$18+O426*Scorecard!$C$19+P426*Scorecard!$C$20+Q426*Scorecard!$C$21+R426*Scorecard!$C$22+S426*Scorecard!$C$23</f>
        <v>3.99244680139225</v>
      </c>
      <c r="U426" s="38" t="n">
        <f aca="false">N426*Scorecard!$D$18+O426*Scorecard!$D$19+P426*Scorecard!$D$20+Q426*Scorecard!$D$21+R426*Scorecard!$D$22+S426*Scorecard!$D$23</f>
        <v>2.45934629179947</v>
      </c>
      <c r="V426" s="38" t="n">
        <f aca="false">N426*Scorecard!$E$18+O426*Scorecard!$E$19+P426*Scorecard!$E$20+Q426*Scorecard!$E$21+R426*Scorecard!$E$22+S426*Scorecard!$E$23</f>
        <v>3.49045573598041</v>
      </c>
    </row>
    <row r="427" customFormat="false" ht="15" hidden="false" customHeight="false" outlineLevel="0" collapsed="false">
      <c r="A427" s="0" t="n">
        <v>422</v>
      </c>
      <c r="B427" s="38" t="n">
        <f aca="false">E427*Scorecard!$C$18+F427*Scorecard!$C$19+G427*Scorecard!$C$20+H427*Scorecard!$C$21+I427*Scorecard!$C$22+J427*Scorecard!$C$23</f>
        <v>3.91107988204769</v>
      </c>
      <c r="C427" s="38" t="n">
        <f aca="false">E427*Scorecard!$D$18+F427*Scorecard!$D$19+G427*Scorecard!$D$20+H427*Scorecard!$D$21+I427*Scorecard!$D$22+J427*Scorecard!$D$23</f>
        <v>2.4050319842611</v>
      </c>
      <c r="D427" s="0" t="str">
        <f aca="false">IF(AND(B427&gt;=C427,B427&gt;=K427),"A. Distribution",IF(C427&gt;=K427,"B. Manufacturing","C. Prof. services"))</f>
        <v>A. Distribution</v>
      </c>
      <c r="E427" s="39" t="n">
        <v>0.119458341869235</v>
      </c>
      <c r="F427" s="39" t="n">
        <v>0.0904136580120411</v>
      </c>
      <c r="G427" s="39" t="n">
        <v>0.404893608915452</v>
      </c>
      <c r="H427" s="39" t="n">
        <v>0.257479812059199</v>
      </c>
      <c r="I427" s="39" t="n">
        <v>0.0567549539011529</v>
      </c>
      <c r="J427" s="39" t="n">
        <v>0.0709996252429207</v>
      </c>
      <c r="K427" s="38" t="n">
        <f aca="false">E427*Scorecard!$E$18+F427*Scorecard!$E$19+G427*Scorecard!$E$20+H427*Scorecard!$E$21+I427*Scorecard!$E$22+J427*Scorecard!$E$23</f>
        <v>3.68887962131456</v>
      </c>
      <c r="M427" s="0" t="str">
        <f aca="false">IF(AND(T427&gt;=U427,T427&gt;=V427),"A. Distribution",IF(U427&gt;=V427,"B. Manufacturing","C. Prof. services"))</f>
        <v>A. Distribution</v>
      </c>
      <c r="N427" s="39" t="n">
        <v>0.243029360074347</v>
      </c>
      <c r="O427" s="39" t="n">
        <v>0.166504877466951</v>
      </c>
      <c r="P427" s="39" t="n">
        <v>0.285471904614098</v>
      </c>
      <c r="Q427" s="39" t="n">
        <v>0.126869161626071</v>
      </c>
      <c r="R427" s="39" t="n">
        <v>0.081963316037586</v>
      </c>
      <c r="S427" s="39" t="n">
        <v>0.0961613801809473</v>
      </c>
      <c r="T427" s="38" t="n">
        <f aca="false">N427*Scorecard!$C$18+O427*Scorecard!$C$19+P427*Scorecard!$C$20+Q427*Scorecard!$C$21+R427*Scorecard!$C$22+S427*Scorecard!$C$23</f>
        <v>3.94099984770778</v>
      </c>
      <c r="U427" s="38" t="n">
        <f aca="false">N427*Scorecard!$D$18+O427*Scorecard!$D$19+P427*Scorecard!$D$20+Q427*Scorecard!$D$21+R427*Scorecard!$D$22+S427*Scorecard!$D$23</f>
        <v>2.67822691584183</v>
      </c>
      <c r="V427" s="38" t="n">
        <f aca="false">N427*Scorecard!$E$18+O427*Scorecard!$E$19+P427*Scorecard!$E$20+Q427*Scorecard!$E$21+R427*Scorecard!$E$22+S427*Scorecard!$E$23</f>
        <v>3.5494189788322</v>
      </c>
    </row>
    <row r="428" customFormat="false" ht="15" hidden="false" customHeight="false" outlineLevel="0" collapsed="false">
      <c r="A428" s="0" t="n">
        <v>423</v>
      </c>
      <c r="B428" s="38" t="n">
        <f aca="false">E428*Scorecard!$C$18+F428*Scorecard!$C$19+G428*Scorecard!$C$20+H428*Scorecard!$C$21+I428*Scorecard!$C$22+J428*Scorecard!$C$23</f>
        <v>3.65915060159984</v>
      </c>
      <c r="C428" s="38" t="n">
        <f aca="false">E428*Scorecard!$D$18+F428*Scorecard!$D$19+G428*Scorecard!$D$20+H428*Scorecard!$D$21+I428*Scorecard!$D$22+J428*Scorecard!$D$23</f>
        <v>3.17600453202026</v>
      </c>
      <c r="D428" s="0" t="str">
        <f aca="false">IF(AND(B428&gt;=C428,B428&gt;=K428),"A. Distribution",IF(C428&gt;=K428,"B. Manufacturing","C. Prof. services"))</f>
        <v>C. Prof. services</v>
      </c>
      <c r="E428" s="39" t="n">
        <v>0.593383818611323</v>
      </c>
      <c r="F428" s="39" t="n">
        <v>0.051881340666156</v>
      </c>
      <c r="G428" s="39" t="n">
        <v>0.0958664484687039</v>
      </c>
      <c r="H428" s="39" t="n">
        <v>0.0858743895231955</v>
      </c>
      <c r="I428" s="39" t="n">
        <v>0.00507557676046494</v>
      </c>
      <c r="J428" s="39" t="n">
        <v>0.167918425970157</v>
      </c>
      <c r="K428" s="38" t="n">
        <f aca="false">E428*Scorecard!$E$18+F428*Scorecard!$E$19+G428*Scorecard!$E$20+H428*Scorecard!$E$21+I428*Scorecard!$E$22+J428*Scorecard!$E$23</f>
        <v>3.68870051236225</v>
      </c>
      <c r="M428" s="0" t="str">
        <f aca="false">IF(AND(T428&gt;=U428,T428&gt;=V428),"A. Distribution",IF(U428&gt;=V428,"B. Manufacturing","C. Prof. services"))</f>
        <v>A. Distribution</v>
      </c>
      <c r="N428" s="39" t="n">
        <v>0.111886228530026</v>
      </c>
      <c r="O428" s="39" t="n">
        <v>0.239894197056469</v>
      </c>
      <c r="P428" s="39" t="n">
        <v>0.258954721562875</v>
      </c>
      <c r="Q428" s="39" t="n">
        <v>0.109406423229612</v>
      </c>
      <c r="R428" s="39" t="n">
        <v>0.192190686728239</v>
      </c>
      <c r="S428" s="39" t="n">
        <v>0.0876677428927788</v>
      </c>
      <c r="T428" s="38" t="n">
        <f aca="false">N428*Scorecard!$C$18+O428*Scorecard!$C$19+P428*Scorecard!$C$20+Q428*Scorecard!$C$21+R428*Scorecard!$C$22+S428*Scorecard!$C$23</f>
        <v>4.04378712086486</v>
      </c>
      <c r="U428" s="38" t="n">
        <f aca="false">N428*Scorecard!$D$18+O428*Scorecard!$D$19+P428*Scorecard!$D$20+Q428*Scorecard!$D$21+R428*Scorecard!$D$22+S428*Scorecard!$D$23</f>
        <v>2.59787355436098</v>
      </c>
      <c r="V428" s="38" t="n">
        <f aca="false">N428*Scorecard!$E$18+O428*Scorecard!$E$19+P428*Scorecard!$E$20+Q428*Scorecard!$E$21+R428*Scorecard!$E$22+S428*Scorecard!$E$23</f>
        <v>3.34500848822416</v>
      </c>
    </row>
    <row r="429" customFormat="false" ht="15" hidden="false" customHeight="false" outlineLevel="0" collapsed="false">
      <c r="A429" s="0" t="n">
        <v>424</v>
      </c>
      <c r="B429" s="38" t="n">
        <f aca="false">E429*Scorecard!$C$18+F429*Scorecard!$C$19+G429*Scorecard!$C$20+H429*Scorecard!$C$21+I429*Scorecard!$C$22+J429*Scorecard!$C$23</f>
        <v>3.32068390435479</v>
      </c>
      <c r="C429" s="38" t="n">
        <f aca="false">E429*Scorecard!$D$18+F429*Scorecard!$D$19+G429*Scorecard!$D$20+H429*Scorecard!$D$21+I429*Scorecard!$D$22+J429*Scorecard!$D$23</f>
        <v>2.63090395302071</v>
      </c>
      <c r="D429" s="0" t="str">
        <f aca="false">IF(AND(B429&gt;=C429,B429&gt;=K429),"A. Distribution",IF(C429&gt;=K429,"B. Manufacturing","C. Prof. services"))</f>
        <v>C. Prof. services</v>
      </c>
      <c r="E429" s="39" t="n">
        <v>0.119635113801896</v>
      </c>
      <c r="F429" s="39" t="n">
        <v>0.029318685519386</v>
      </c>
      <c r="G429" s="39" t="n">
        <v>0.00389494115933104</v>
      </c>
      <c r="H429" s="39" t="n">
        <v>0.122505605809609</v>
      </c>
      <c r="I429" s="39" t="n">
        <v>0.381730847127282</v>
      </c>
      <c r="J429" s="39" t="n">
        <v>0.342914806582496</v>
      </c>
      <c r="K429" s="38" t="n">
        <f aca="false">E429*Scorecard!$E$18+F429*Scorecard!$E$19+G429*Scorecard!$E$20+H429*Scorecard!$E$21+I429*Scorecard!$E$22+J429*Scorecard!$E$23</f>
        <v>3.40029233666848</v>
      </c>
      <c r="M429" s="0" t="str">
        <f aca="false">IF(AND(T429&gt;=U429,T429&gt;=V429),"A. Distribution",IF(U429&gt;=V429,"B. Manufacturing","C. Prof. services"))</f>
        <v>A. Distribution</v>
      </c>
      <c r="N429" s="39" t="n">
        <v>0.158838422817599</v>
      </c>
      <c r="O429" s="39" t="n">
        <v>0.107726295225548</v>
      </c>
      <c r="P429" s="39" t="n">
        <v>0.120801219402036</v>
      </c>
      <c r="Q429" s="39" t="n">
        <v>0.337122372024443</v>
      </c>
      <c r="R429" s="39" t="n">
        <v>0.142195681053965</v>
      </c>
      <c r="S429" s="39" t="n">
        <v>0.133316009476409</v>
      </c>
      <c r="T429" s="38" t="n">
        <f aca="false">N429*Scorecard!$C$18+O429*Scorecard!$C$19+P429*Scorecard!$C$20+Q429*Scorecard!$C$21+R429*Scorecard!$C$22+S429*Scorecard!$C$23</f>
        <v>3.79201651864894</v>
      </c>
      <c r="U429" s="38" t="n">
        <f aca="false">N429*Scorecard!$D$18+O429*Scorecard!$D$19+P429*Scorecard!$D$20+Q429*Scorecard!$D$21+R429*Scorecard!$D$22+S429*Scorecard!$D$23</f>
        <v>2.59992058107812</v>
      </c>
      <c r="V429" s="38" t="n">
        <f aca="false">N429*Scorecard!$E$18+O429*Scorecard!$E$19+P429*Scorecard!$E$20+Q429*Scorecard!$E$21+R429*Scorecard!$E$22+S429*Scorecard!$E$23</f>
        <v>3.51119871875652</v>
      </c>
    </row>
    <row r="430" customFormat="false" ht="15" hidden="false" customHeight="false" outlineLevel="0" collapsed="false">
      <c r="A430" s="0" t="n">
        <v>425</v>
      </c>
      <c r="B430" s="38" t="n">
        <f aca="false">E430*Scorecard!$C$18+F430*Scorecard!$C$19+G430*Scorecard!$C$20+H430*Scorecard!$C$21+I430*Scorecard!$C$22+J430*Scorecard!$C$23</f>
        <v>3.90173463970627</v>
      </c>
      <c r="C430" s="38" t="n">
        <f aca="false">E430*Scorecard!$D$18+F430*Scorecard!$D$19+G430*Scorecard!$D$20+H430*Scorecard!$D$21+I430*Scorecard!$D$22+J430*Scorecard!$D$23</f>
        <v>2.73076091820052</v>
      </c>
      <c r="D430" s="0" t="str">
        <f aca="false">IF(AND(B430&gt;=C430,B430&gt;=K430),"A. Distribution",IF(C430&gt;=K430,"B. Manufacturing","C. Prof. services"))</f>
        <v>A. Distribution</v>
      </c>
      <c r="E430" s="39" t="n">
        <v>0.100267105451166</v>
      </c>
      <c r="F430" s="39" t="n">
        <v>0.13316388160178</v>
      </c>
      <c r="G430" s="39" t="n">
        <v>0.245065606440761</v>
      </c>
      <c r="H430" s="39" t="n">
        <v>0.0352611994826435</v>
      </c>
      <c r="I430" s="39" t="n">
        <v>0.376452354653356</v>
      </c>
      <c r="J430" s="39" t="n">
        <v>0.109789852370294</v>
      </c>
      <c r="K430" s="38" t="n">
        <f aca="false">E430*Scorecard!$E$18+F430*Scorecard!$E$19+G430*Scorecard!$E$20+H430*Scorecard!$E$21+I430*Scorecard!$E$22+J430*Scorecard!$E$23</f>
        <v>3.20660863893975</v>
      </c>
      <c r="M430" s="0" t="str">
        <f aca="false">IF(AND(T430&gt;=U430,T430&gt;=V430),"A. Distribution",IF(U430&gt;=V430,"B. Manufacturing","C. Prof. services"))</f>
        <v>A. Distribution</v>
      </c>
      <c r="N430" s="39" t="n">
        <v>0.162663848948008</v>
      </c>
      <c r="O430" s="39" t="n">
        <v>0.32947361539122</v>
      </c>
      <c r="P430" s="39" t="n">
        <v>0.124198988121242</v>
      </c>
      <c r="Q430" s="39" t="n">
        <v>0.134414155438165</v>
      </c>
      <c r="R430" s="39" t="n">
        <v>0.100944316524849</v>
      </c>
      <c r="S430" s="39" t="n">
        <v>0.148305075576516</v>
      </c>
      <c r="T430" s="38" t="n">
        <f aca="false">N430*Scorecard!$C$18+O430*Scorecard!$C$19+P430*Scorecard!$C$20+Q430*Scorecard!$C$21+R430*Scorecard!$C$22+S430*Scorecard!$C$23</f>
        <v>4.00532050478652</v>
      </c>
      <c r="U430" s="38" t="n">
        <f aca="false">N430*Scorecard!$D$18+O430*Scorecard!$D$19+P430*Scorecard!$D$20+Q430*Scorecard!$D$21+R430*Scorecard!$D$22+S430*Scorecard!$D$23</f>
        <v>2.60340586387613</v>
      </c>
      <c r="V430" s="38" t="n">
        <f aca="false">N430*Scorecard!$E$18+O430*Scorecard!$E$19+P430*Scorecard!$E$20+Q430*Scorecard!$E$21+R430*Scorecard!$E$22+S430*Scorecard!$E$23</f>
        <v>3.3867543903981</v>
      </c>
    </row>
    <row r="431" customFormat="false" ht="15" hidden="false" customHeight="false" outlineLevel="0" collapsed="false">
      <c r="A431" s="0" t="n">
        <v>426</v>
      </c>
      <c r="B431" s="38" t="n">
        <f aca="false">E431*Scorecard!$C$18+F431*Scorecard!$C$19+G431*Scorecard!$C$20+H431*Scorecard!$C$21+I431*Scorecard!$C$22+J431*Scorecard!$C$23</f>
        <v>3.89438194485045</v>
      </c>
      <c r="C431" s="38" t="n">
        <f aca="false">E431*Scorecard!$D$18+F431*Scorecard!$D$19+G431*Scorecard!$D$20+H431*Scorecard!$D$21+I431*Scorecard!$D$22+J431*Scorecard!$D$23</f>
        <v>2.96701074851302</v>
      </c>
      <c r="D431" s="0" t="str">
        <f aca="false">IF(AND(B431&gt;=C431,B431&gt;=K431),"A. Distribution",IF(C431&gt;=K431,"B. Manufacturing","C. Prof. services"))</f>
        <v>A. Distribution</v>
      </c>
      <c r="E431" s="39" t="n">
        <v>0.257303971395099</v>
      </c>
      <c r="F431" s="39" t="n">
        <v>0.126175476532051</v>
      </c>
      <c r="G431" s="39" t="n">
        <v>0.0451753454949753</v>
      </c>
      <c r="H431" s="39" t="n">
        <v>0.200249778519221</v>
      </c>
      <c r="I431" s="39" t="n">
        <v>0.27631623041278</v>
      </c>
      <c r="J431" s="39" t="n">
        <v>0.0947791976458731</v>
      </c>
      <c r="K431" s="38" t="n">
        <f aca="false">E431*Scorecard!$E$18+F431*Scorecard!$E$19+G431*Scorecard!$E$20+H431*Scorecard!$E$21+I431*Scorecard!$E$22+J431*Scorecard!$E$23</f>
        <v>3.24187204903277</v>
      </c>
      <c r="M431" s="0" t="str">
        <f aca="false">IF(AND(T431&gt;=U431,T431&gt;=V431),"A. Distribution",IF(U431&gt;=V431,"B. Manufacturing","C. Prof. services"))</f>
        <v>A. Distribution</v>
      </c>
      <c r="N431" s="39" t="n">
        <v>0.210934218980785</v>
      </c>
      <c r="O431" s="39" t="n">
        <v>0.184331129512579</v>
      </c>
      <c r="P431" s="39" t="n">
        <v>0.103108873393799</v>
      </c>
      <c r="Q431" s="39" t="n">
        <v>0.332499868632748</v>
      </c>
      <c r="R431" s="39" t="n">
        <v>0.123743217822922</v>
      </c>
      <c r="S431" s="39" t="n">
        <v>0.0453826916571673</v>
      </c>
      <c r="T431" s="38" t="n">
        <f aca="false">N431*Scorecard!$C$18+O431*Scorecard!$C$19+P431*Scorecard!$C$20+Q431*Scorecard!$C$21+R431*Scorecard!$C$22+S431*Scorecard!$C$23</f>
        <v>4.04080346272659</v>
      </c>
      <c r="U431" s="38" t="n">
        <f aca="false">N431*Scorecard!$D$18+O431*Scorecard!$D$19+P431*Scorecard!$D$20+Q431*Scorecard!$D$21+R431*Scorecard!$D$22+S431*Scorecard!$D$23</f>
        <v>2.76392716292716</v>
      </c>
      <c r="V431" s="38" t="n">
        <f aca="false">N431*Scorecard!$E$18+O431*Scorecard!$E$19+P431*Scorecard!$E$20+Q431*Scorecard!$E$21+R431*Scorecard!$E$22+S431*Scorecard!$E$23</f>
        <v>3.38187598857762</v>
      </c>
    </row>
    <row r="432" customFormat="false" ht="15" hidden="false" customHeight="false" outlineLevel="0" collapsed="false">
      <c r="A432" s="0" t="n">
        <v>427</v>
      </c>
      <c r="B432" s="38" t="n">
        <f aca="false">E432*Scorecard!$C$18+F432*Scorecard!$C$19+G432*Scorecard!$C$20+H432*Scorecard!$C$21+I432*Scorecard!$C$22+J432*Scorecard!$C$23</f>
        <v>4.09181529751497</v>
      </c>
      <c r="C432" s="38" t="n">
        <f aca="false">E432*Scorecard!$D$18+F432*Scorecard!$D$19+G432*Scorecard!$D$20+H432*Scorecard!$D$21+I432*Scorecard!$D$22+J432*Scorecard!$D$23</f>
        <v>2.39840077164784</v>
      </c>
      <c r="D432" s="0" t="str">
        <f aca="false">IF(AND(B432&gt;=C432,B432&gt;=K432),"A. Distribution",IF(C432&gt;=K432,"B. Manufacturing","C. Prof. services"))</f>
        <v>A. Distribution</v>
      </c>
      <c r="E432" s="39" t="n">
        <v>0.0312954832279972</v>
      </c>
      <c r="F432" s="39" t="n">
        <v>0.323443360408162</v>
      </c>
      <c r="G432" s="39" t="n">
        <v>0.19700124253671</v>
      </c>
      <c r="H432" s="39" t="n">
        <v>0.237655706967001</v>
      </c>
      <c r="I432" s="39" t="n">
        <v>0.108850253015896</v>
      </c>
      <c r="J432" s="39" t="n">
        <v>0.101753953844234</v>
      </c>
      <c r="K432" s="38" t="n">
        <f aca="false">E432*Scorecard!$E$18+F432*Scorecard!$E$19+G432*Scorecard!$E$20+H432*Scorecard!$E$21+I432*Scorecard!$E$22+J432*Scorecard!$E$23</f>
        <v>3.38942704945364</v>
      </c>
      <c r="M432" s="0" t="str">
        <f aca="false">IF(AND(T432&gt;=U432,T432&gt;=V432),"A. Distribution",IF(U432&gt;=V432,"B. Manufacturing","C. Prof. services"))</f>
        <v>A. Distribution</v>
      </c>
      <c r="N432" s="39" t="n">
        <v>0.113612038193842</v>
      </c>
      <c r="O432" s="39" t="n">
        <v>0.125221644054702</v>
      </c>
      <c r="P432" s="39" t="n">
        <v>0.240077721658293</v>
      </c>
      <c r="Q432" s="39" t="n">
        <v>0.28212705506466</v>
      </c>
      <c r="R432" s="39" t="n">
        <v>0.201553407808646</v>
      </c>
      <c r="S432" s="39" t="n">
        <v>0.0374081332198575</v>
      </c>
      <c r="T432" s="38" t="n">
        <f aca="false">N432*Scorecard!$C$18+O432*Scorecard!$C$19+P432*Scorecard!$C$20+Q432*Scorecard!$C$21+R432*Scorecard!$C$22+S432*Scorecard!$C$23</f>
        <v>4.01088447808889</v>
      </c>
      <c r="U432" s="38" t="n">
        <f aca="false">N432*Scorecard!$D$18+O432*Scorecard!$D$19+P432*Scorecard!$D$20+Q432*Scorecard!$D$21+R432*Scorecard!$D$22+S432*Scorecard!$D$23</f>
        <v>2.62870416515172</v>
      </c>
      <c r="V432" s="38" t="n">
        <f aca="false">N432*Scorecard!$E$18+O432*Scorecard!$E$19+P432*Scorecard!$E$20+Q432*Scorecard!$E$21+R432*Scorecard!$E$22+S432*Scorecard!$E$23</f>
        <v>3.38399983169537</v>
      </c>
    </row>
    <row r="433" customFormat="false" ht="15" hidden="false" customHeight="false" outlineLevel="0" collapsed="false">
      <c r="A433" s="0" t="n">
        <v>428</v>
      </c>
      <c r="B433" s="38" t="n">
        <f aca="false">E433*Scorecard!$C$18+F433*Scorecard!$C$19+G433*Scorecard!$C$20+H433*Scorecard!$C$21+I433*Scorecard!$C$22+J433*Scorecard!$C$23</f>
        <v>3.77235819629979</v>
      </c>
      <c r="C433" s="38" t="n">
        <f aca="false">E433*Scorecard!$D$18+F433*Scorecard!$D$19+G433*Scorecard!$D$20+H433*Scorecard!$D$21+I433*Scorecard!$D$22+J433*Scorecard!$D$23</f>
        <v>2.86450164565494</v>
      </c>
      <c r="D433" s="0" t="str">
        <f aca="false">IF(AND(B433&gt;=C433,B433&gt;=K433),"A. Distribution",IF(C433&gt;=K433,"B. Manufacturing","C. Prof. services"))</f>
        <v>A. Distribution</v>
      </c>
      <c r="E433" s="39" t="n">
        <v>0.373038812696906</v>
      </c>
      <c r="F433" s="39" t="n">
        <v>0.0564604412917093</v>
      </c>
      <c r="G433" s="39" t="n">
        <v>0.293714369291993</v>
      </c>
      <c r="H433" s="39" t="n">
        <v>0.0597105211930417</v>
      </c>
      <c r="I433" s="39" t="n">
        <v>0.0932166959016663</v>
      </c>
      <c r="J433" s="39" t="n">
        <v>0.123859159624684</v>
      </c>
      <c r="K433" s="38" t="n">
        <f aca="false">E433*Scorecard!$E$18+F433*Scorecard!$E$19+G433*Scorecard!$E$20+H433*Scorecard!$E$21+I433*Scorecard!$E$22+J433*Scorecard!$E$23</f>
        <v>3.63302220775515</v>
      </c>
      <c r="M433" s="0" t="str">
        <f aca="false">IF(AND(T433&gt;=U433,T433&gt;=V433),"A. Distribution",IF(U433&gt;=V433,"B. Manufacturing","C. Prof. services"))</f>
        <v>A. Distribution</v>
      </c>
      <c r="N433" s="39" t="n">
        <v>0.177287720585058</v>
      </c>
      <c r="O433" s="39" t="n">
        <v>0.298786451073703</v>
      </c>
      <c r="P433" s="39" t="n">
        <v>0.151298175292504</v>
      </c>
      <c r="Q433" s="39" t="n">
        <v>0.149187122771135</v>
      </c>
      <c r="R433" s="39" t="n">
        <v>0.111097000474564</v>
      </c>
      <c r="S433" s="39" t="n">
        <v>0.112343529803037</v>
      </c>
      <c r="T433" s="38" t="n">
        <f aca="false">N433*Scorecard!$C$18+O433*Scorecard!$C$19+P433*Scorecard!$C$20+Q433*Scorecard!$C$21+R433*Scorecard!$C$22+S433*Scorecard!$C$23</f>
        <v>4.04379053267134</v>
      </c>
      <c r="U433" s="38" t="n">
        <f aca="false">N433*Scorecard!$D$18+O433*Scorecard!$D$19+P433*Scorecard!$D$20+Q433*Scorecard!$D$21+R433*Scorecard!$D$22+S433*Scorecard!$D$23</f>
        <v>2.65257116075811</v>
      </c>
      <c r="V433" s="38" t="n">
        <f aca="false">N433*Scorecard!$E$18+O433*Scorecard!$E$19+P433*Scorecard!$E$20+Q433*Scorecard!$E$21+R433*Scorecard!$E$22+S433*Scorecard!$E$23</f>
        <v>3.37639231362581</v>
      </c>
    </row>
    <row r="434" customFormat="false" ht="15" hidden="false" customHeight="false" outlineLevel="0" collapsed="false">
      <c r="A434" s="0" t="n">
        <v>429</v>
      </c>
      <c r="B434" s="38" t="n">
        <f aca="false">E434*Scorecard!$C$18+F434*Scorecard!$C$19+G434*Scorecard!$C$20+H434*Scorecard!$C$21+I434*Scorecard!$C$22+J434*Scorecard!$C$23</f>
        <v>3.65739560535415</v>
      </c>
      <c r="C434" s="38" t="n">
        <f aca="false">E434*Scorecard!$D$18+F434*Scorecard!$D$19+G434*Scorecard!$D$20+H434*Scorecard!$D$21+I434*Scorecard!$D$22+J434*Scorecard!$D$23</f>
        <v>2.66463565611143</v>
      </c>
      <c r="D434" s="0" t="str">
        <f aca="false">IF(AND(B434&gt;=C434,B434&gt;=K434),"A. Distribution",IF(C434&gt;=K434,"B. Manufacturing","C. Prof. services"))</f>
        <v>A. Distribution</v>
      </c>
      <c r="E434" s="39" t="n">
        <v>0.243791263849925</v>
      </c>
      <c r="F434" s="39" t="n">
        <v>0.121197575481214</v>
      </c>
      <c r="G434" s="39" t="n">
        <v>0.1210271438715</v>
      </c>
      <c r="H434" s="39" t="n">
        <v>0.18141459791772</v>
      </c>
      <c r="I434" s="39" t="n">
        <v>0.120228805295991</v>
      </c>
      <c r="J434" s="39" t="n">
        <v>0.21234061358365</v>
      </c>
      <c r="K434" s="38" t="n">
        <f aca="false">E434*Scorecard!$E$18+F434*Scorecard!$E$19+G434*Scorecard!$E$20+H434*Scorecard!$E$21+I434*Scorecard!$E$22+J434*Scorecard!$E$23</f>
        <v>3.5796712270486</v>
      </c>
      <c r="M434" s="0" t="str">
        <f aca="false">IF(AND(T434&gt;=U434,T434&gt;=V434),"A. Distribution",IF(U434&gt;=V434,"B. Manufacturing","C. Prof. services"))</f>
        <v>A. Distribution</v>
      </c>
      <c r="N434" s="39" t="n">
        <v>0.224479826417207</v>
      </c>
      <c r="O434" s="39" t="n">
        <v>0.0605676214520779</v>
      </c>
      <c r="P434" s="39" t="n">
        <v>0.186730218385297</v>
      </c>
      <c r="Q434" s="39" t="n">
        <v>0.185935755341596</v>
      </c>
      <c r="R434" s="39" t="n">
        <v>0.227163430655422</v>
      </c>
      <c r="S434" s="39" t="n">
        <v>0.115123147748399</v>
      </c>
      <c r="T434" s="38" t="n">
        <f aca="false">N434*Scorecard!$C$18+O434*Scorecard!$C$19+P434*Scorecard!$C$20+Q434*Scorecard!$C$21+R434*Scorecard!$C$22+S434*Scorecard!$C$23</f>
        <v>3.79226387860129</v>
      </c>
      <c r="U434" s="38" t="n">
        <f aca="false">N434*Scorecard!$D$18+O434*Scorecard!$D$19+P434*Scorecard!$D$20+Q434*Scorecard!$D$21+R434*Scorecard!$D$22+S434*Scorecard!$D$23</f>
        <v>2.78594542560955</v>
      </c>
      <c r="V434" s="38" t="n">
        <f aca="false">N434*Scorecard!$E$18+O434*Scorecard!$E$19+P434*Scorecard!$E$20+Q434*Scorecard!$E$21+R434*Scorecard!$E$22+S434*Scorecard!$E$23</f>
        <v>3.43348965379777</v>
      </c>
    </row>
    <row r="435" customFormat="false" ht="15" hidden="false" customHeight="false" outlineLevel="0" collapsed="false">
      <c r="A435" s="0" t="n">
        <v>430</v>
      </c>
      <c r="B435" s="38" t="n">
        <f aca="false">E435*Scorecard!$C$18+F435*Scorecard!$C$19+G435*Scorecard!$C$20+H435*Scorecard!$C$21+I435*Scorecard!$C$22+J435*Scorecard!$C$23</f>
        <v>3.71631809395825</v>
      </c>
      <c r="C435" s="38" t="n">
        <f aca="false">E435*Scorecard!$D$18+F435*Scorecard!$D$19+G435*Scorecard!$D$20+H435*Scorecard!$D$21+I435*Scorecard!$D$22+J435*Scorecard!$D$23</f>
        <v>2.35903427272043</v>
      </c>
      <c r="D435" s="0" t="str">
        <f aca="false">IF(AND(B435&gt;=C435,B435&gt;=K435),"A. Distribution",IF(C435&gt;=K435,"B. Manufacturing","C. Prof. services"))</f>
        <v>A. Distribution</v>
      </c>
      <c r="E435" s="39" t="n">
        <v>0.0286611184285784</v>
      </c>
      <c r="F435" s="39" t="n">
        <v>0.189246615070139</v>
      </c>
      <c r="G435" s="39" t="n">
        <v>0.277291489242514</v>
      </c>
      <c r="H435" s="39" t="n">
        <v>0.0433780963825944</v>
      </c>
      <c r="I435" s="39" t="n">
        <v>0.228445982328155</v>
      </c>
      <c r="J435" s="39" t="n">
        <v>0.23297669854802</v>
      </c>
      <c r="K435" s="38" t="n">
        <f aca="false">E435*Scorecard!$E$18+F435*Scorecard!$E$19+G435*Scorecard!$E$20+H435*Scorecard!$E$21+I435*Scorecard!$E$22+J435*Scorecard!$E$23</f>
        <v>3.48099012297372</v>
      </c>
      <c r="M435" s="0" t="str">
        <f aca="false">IF(AND(T435&gt;=U435,T435&gt;=V435),"A. Distribution",IF(U435&gt;=V435,"B. Manufacturing","C. Prof. services"))</f>
        <v>A. Distribution</v>
      </c>
      <c r="N435" s="39" t="n">
        <v>0.172835620107634</v>
      </c>
      <c r="O435" s="39" t="n">
        <v>0.319104793132012</v>
      </c>
      <c r="P435" s="39" t="n">
        <v>0.13130932824205</v>
      </c>
      <c r="Q435" s="39" t="n">
        <v>0.157144107616322</v>
      </c>
      <c r="R435" s="39" t="n">
        <v>0.0687824866301341</v>
      </c>
      <c r="S435" s="39" t="n">
        <v>0.150823664271848</v>
      </c>
      <c r="T435" s="38" t="n">
        <f aca="false">N435*Scorecard!$C$18+O435*Scorecard!$C$19+P435*Scorecard!$C$20+Q435*Scorecard!$C$21+R435*Scorecard!$C$22+S435*Scorecard!$C$23</f>
        <v>3.98664868078105</v>
      </c>
      <c r="U435" s="38" t="n">
        <f aca="false">N435*Scorecard!$D$18+O435*Scorecard!$D$19+P435*Scorecard!$D$20+Q435*Scorecard!$D$21+R435*Scorecard!$D$22+S435*Scorecard!$D$23</f>
        <v>2.58099575013929</v>
      </c>
      <c r="V435" s="38" t="n">
        <f aca="false">N435*Scorecard!$E$18+O435*Scorecard!$E$19+P435*Scorecard!$E$20+Q435*Scorecard!$E$21+R435*Scorecard!$E$22+S435*Scorecard!$E$23</f>
        <v>3.44149258091226</v>
      </c>
    </row>
    <row r="436" customFormat="false" ht="15" hidden="false" customHeight="false" outlineLevel="0" collapsed="false">
      <c r="A436" s="0" t="n">
        <v>431</v>
      </c>
      <c r="B436" s="38" t="n">
        <f aca="false">E436*Scorecard!$C$18+F436*Scorecard!$C$19+G436*Scorecard!$C$20+H436*Scorecard!$C$21+I436*Scorecard!$C$22+J436*Scorecard!$C$23</f>
        <v>3.91181526676645</v>
      </c>
      <c r="C436" s="38" t="n">
        <f aca="false">E436*Scorecard!$D$18+F436*Scorecard!$D$19+G436*Scorecard!$D$20+H436*Scorecard!$D$21+I436*Scorecard!$D$22+J436*Scorecard!$D$23</f>
        <v>2.80681778559302</v>
      </c>
      <c r="D436" s="0" t="str">
        <f aca="false">IF(AND(B436&gt;=C436,B436&gt;=K436),"A. Distribution",IF(C436&gt;=K436,"B. Manufacturing","C. Prof. services"))</f>
        <v>A. Distribution</v>
      </c>
      <c r="E436" s="39" t="n">
        <v>0.219998391909394</v>
      </c>
      <c r="F436" s="39" t="n">
        <v>0.0704836187337779</v>
      </c>
      <c r="G436" s="39" t="n">
        <v>0.196391063140995</v>
      </c>
      <c r="H436" s="39" t="n">
        <v>0.244682558312324</v>
      </c>
      <c r="I436" s="39" t="n">
        <v>0.211124016888361</v>
      </c>
      <c r="J436" s="39" t="n">
        <v>0.0573203510151487</v>
      </c>
      <c r="K436" s="38" t="n">
        <f aca="false">E436*Scorecard!$E$18+F436*Scorecard!$E$19+G436*Scorecard!$E$20+H436*Scorecard!$E$21+I436*Scorecard!$E$22+J436*Scorecard!$E$23</f>
        <v>3.40249344303602</v>
      </c>
      <c r="M436" s="0" t="str">
        <f aca="false">IF(AND(T436&gt;=U436,T436&gt;=V436),"A. Distribution",IF(U436&gt;=V436,"B. Manufacturing","C. Prof. services"))</f>
        <v>A. Distribution</v>
      </c>
      <c r="N436" s="39" t="n">
        <v>0.177319614715426</v>
      </c>
      <c r="O436" s="39" t="n">
        <v>0.349105722096772</v>
      </c>
      <c r="P436" s="39" t="n">
        <v>0.097473356093006</v>
      </c>
      <c r="Q436" s="39" t="n">
        <v>0.245502481825312</v>
      </c>
      <c r="R436" s="39" t="n">
        <v>0.0705289480743179</v>
      </c>
      <c r="S436" s="39" t="n">
        <v>0.0600698771951674</v>
      </c>
      <c r="T436" s="38" t="n">
        <f aca="false">N436*Scorecard!$C$18+O436*Scorecard!$C$19+P436*Scorecard!$C$20+Q436*Scorecard!$C$21+R436*Scorecard!$C$22+S436*Scorecard!$C$23</f>
        <v>4.1882765117771</v>
      </c>
      <c r="U436" s="38" t="n">
        <f aca="false">N436*Scorecard!$D$18+O436*Scorecard!$D$19+P436*Scorecard!$D$20+Q436*Scorecard!$D$21+R436*Scorecard!$D$22+S436*Scorecard!$D$23</f>
        <v>2.67949353309746</v>
      </c>
      <c r="V436" s="38" t="n">
        <f aca="false">N436*Scorecard!$E$18+O436*Scorecard!$E$19+P436*Scorecard!$E$20+Q436*Scorecard!$E$21+R436*Scorecard!$E$22+S436*Scorecard!$E$23</f>
        <v>3.32619932334018</v>
      </c>
    </row>
    <row r="437" customFormat="false" ht="15" hidden="false" customHeight="false" outlineLevel="0" collapsed="false">
      <c r="A437" s="0" t="n">
        <v>432</v>
      </c>
      <c r="B437" s="38" t="n">
        <f aca="false">E437*Scorecard!$C$18+F437*Scorecard!$C$19+G437*Scorecard!$C$20+H437*Scorecard!$C$21+I437*Scorecard!$C$22+J437*Scorecard!$C$23</f>
        <v>4.19440631991465</v>
      </c>
      <c r="C437" s="38" t="n">
        <f aca="false">E437*Scorecard!$D$18+F437*Scorecard!$D$19+G437*Scorecard!$D$20+H437*Scorecard!$D$21+I437*Scorecard!$D$22+J437*Scorecard!$D$23</f>
        <v>3.01564582796549</v>
      </c>
      <c r="D437" s="0" t="str">
        <f aca="false">IF(AND(B437&gt;=C437,B437&gt;=K437),"A. Distribution",IF(C437&gt;=K437,"B. Manufacturing","C. Prof. services"))</f>
        <v>A. Distribution</v>
      </c>
      <c r="E437" s="39" t="n">
        <v>0.351916670462013</v>
      </c>
      <c r="F437" s="39" t="n">
        <v>0.323747875292487</v>
      </c>
      <c r="G437" s="39" t="n">
        <v>0.105099577577685</v>
      </c>
      <c r="H437" s="39" t="n">
        <v>0.0717111848787379</v>
      </c>
      <c r="I437" s="39" t="n">
        <v>0.100844501941237</v>
      </c>
      <c r="J437" s="39" t="n">
        <v>0.0466801898478404</v>
      </c>
      <c r="K437" s="38" t="n">
        <f aca="false">E437*Scorecard!$E$18+F437*Scorecard!$E$19+G437*Scorecard!$E$20+H437*Scorecard!$E$21+I437*Scorecard!$E$22+J437*Scorecard!$E$23</f>
        <v>3.26883517591555</v>
      </c>
      <c r="M437" s="0" t="str">
        <f aca="false">IF(AND(T437&gt;=U437,T437&gt;=V437),"A. Distribution",IF(U437&gt;=V437,"B. Manufacturing","C. Prof. services"))</f>
        <v>A. Distribution</v>
      </c>
      <c r="N437" s="39" t="n">
        <v>0.101447213715356</v>
      </c>
      <c r="O437" s="39" t="n">
        <v>0.407901192767146</v>
      </c>
      <c r="P437" s="39" t="n">
        <v>0.221606042057077</v>
      </c>
      <c r="Q437" s="39" t="n">
        <v>0.168726210065933</v>
      </c>
      <c r="R437" s="39" t="n">
        <v>0.0869394266533022</v>
      </c>
      <c r="S437" s="39" t="n">
        <v>0.0133799147411854</v>
      </c>
      <c r="T437" s="38" t="n">
        <f aca="false">N437*Scorecard!$C$18+O437*Scorecard!$C$19+P437*Scorecard!$C$20+Q437*Scorecard!$C$21+R437*Scorecard!$C$22+S437*Scorecard!$C$23</f>
        <v>4.35481614583879</v>
      </c>
      <c r="U437" s="38" t="n">
        <f aca="false">N437*Scorecard!$D$18+O437*Scorecard!$D$19+P437*Scorecard!$D$20+Q437*Scorecard!$D$21+R437*Scorecard!$D$22+S437*Scorecard!$D$23</f>
        <v>2.57991530571295</v>
      </c>
      <c r="V437" s="38" t="n">
        <f aca="false">N437*Scorecard!$E$18+O437*Scorecard!$E$19+P437*Scorecard!$E$20+Q437*Scorecard!$E$21+R437*Scorecard!$E$22+S437*Scorecard!$E$23</f>
        <v>3.26826569168631</v>
      </c>
    </row>
    <row r="438" customFormat="false" ht="15" hidden="false" customHeight="false" outlineLevel="0" collapsed="false">
      <c r="A438" s="0" t="n">
        <v>433</v>
      </c>
      <c r="B438" s="38" t="n">
        <f aca="false">E438*Scorecard!$C$18+F438*Scorecard!$C$19+G438*Scorecard!$C$20+H438*Scorecard!$C$21+I438*Scorecard!$C$22+J438*Scorecard!$C$23</f>
        <v>3.19693404525352</v>
      </c>
      <c r="C438" s="38" t="n">
        <f aca="false">E438*Scorecard!$D$18+F438*Scorecard!$D$19+G438*Scorecard!$D$20+H438*Scorecard!$D$21+I438*Scorecard!$D$22+J438*Scorecard!$D$23</f>
        <v>2.2358408787613</v>
      </c>
      <c r="D438" s="0" t="str">
        <f aca="false">IF(AND(B438&gt;=C438,B438&gt;=K438),"A. Distribution",IF(C438&gt;=K438,"B. Manufacturing","C. Prof. services"))</f>
        <v>C. Prof. services</v>
      </c>
      <c r="E438" s="39" t="n">
        <v>0.167333154654433</v>
      </c>
      <c r="F438" s="39" t="n">
        <v>0.151229571951621</v>
      </c>
      <c r="G438" s="39" t="n">
        <v>0.121229665610597</v>
      </c>
      <c r="H438" s="39" t="n">
        <v>0.0714644834039586</v>
      </c>
      <c r="I438" s="39" t="n">
        <v>0.0221628504467526</v>
      </c>
      <c r="J438" s="39" t="n">
        <v>0.466580273932637</v>
      </c>
      <c r="K438" s="38" t="n">
        <f aca="false">E438*Scorecard!$E$18+F438*Scorecard!$E$19+G438*Scorecard!$E$20+H438*Scorecard!$E$21+I438*Scorecard!$E$22+J438*Scorecard!$E$23</f>
        <v>3.90852787069968</v>
      </c>
      <c r="M438" s="0" t="str">
        <f aca="false">IF(AND(T438&gt;=U438,T438&gt;=V438),"A. Distribution",IF(U438&gt;=V438,"B. Manufacturing","C. Prof. services"))</f>
        <v>A. Distribution</v>
      </c>
      <c r="N438" s="39" t="n">
        <v>0.209312649079402</v>
      </c>
      <c r="O438" s="39" t="n">
        <v>0.192467331015411</v>
      </c>
      <c r="P438" s="39" t="n">
        <v>0.101209053095392</v>
      </c>
      <c r="Q438" s="39" t="n">
        <v>0.154873246395724</v>
      </c>
      <c r="R438" s="39" t="n">
        <v>0.185646063147699</v>
      </c>
      <c r="S438" s="39" t="n">
        <v>0.156491657266373</v>
      </c>
      <c r="T438" s="38" t="n">
        <f aca="false">N438*Scorecard!$C$18+O438*Scorecard!$C$19+P438*Scorecard!$C$20+Q438*Scorecard!$C$21+R438*Scorecard!$C$22+S438*Scorecard!$C$23</f>
        <v>3.8459912964017</v>
      </c>
      <c r="U438" s="38" t="n">
        <f aca="false">N438*Scorecard!$D$18+O438*Scorecard!$D$19+P438*Scorecard!$D$20+Q438*Scorecard!$D$21+R438*Scorecard!$D$22+S438*Scorecard!$D$23</f>
        <v>2.74002224028905</v>
      </c>
      <c r="V438" s="38" t="n">
        <f aca="false">N438*Scorecard!$E$18+O438*Scorecard!$E$19+P438*Scorecard!$E$20+Q438*Scorecard!$E$21+R438*Scorecard!$E$22+S438*Scorecard!$E$23</f>
        <v>3.38343899352994</v>
      </c>
    </row>
    <row r="439" customFormat="false" ht="15" hidden="false" customHeight="false" outlineLevel="0" collapsed="false">
      <c r="A439" s="0" t="n">
        <v>434</v>
      </c>
      <c r="B439" s="38" t="n">
        <f aca="false">E439*Scorecard!$C$18+F439*Scorecard!$C$19+G439*Scorecard!$C$20+H439*Scorecard!$C$21+I439*Scorecard!$C$22+J439*Scorecard!$C$23</f>
        <v>3.90163535820018</v>
      </c>
      <c r="C439" s="38" t="n">
        <f aca="false">E439*Scorecard!$D$18+F439*Scorecard!$D$19+G439*Scorecard!$D$20+H439*Scorecard!$D$21+I439*Scorecard!$D$22+J439*Scorecard!$D$23</f>
        <v>2.44461223313608</v>
      </c>
      <c r="D439" s="0" t="str">
        <f aca="false">IF(AND(B439&gt;=C439,B439&gt;=K439),"A. Distribution",IF(C439&gt;=K439,"B. Manufacturing","C. Prof. services"))</f>
        <v>A. Distribution</v>
      </c>
      <c r="E439" s="39" t="n">
        <v>0.117876873936016</v>
      </c>
      <c r="F439" s="39" t="n">
        <v>0.209609521630412</v>
      </c>
      <c r="G439" s="39" t="n">
        <v>0.246911378960065</v>
      </c>
      <c r="H439" s="39" t="n">
        <v>0.210953366979954</v>
      </c>
      <c r="I439" s="39" t="n">
        <v>0.0767589281605396</v>
      </c>
      <c r="J439" s="39" t="n">
        <v>0.137889930333013</v>
      </c>
      <c r="K439" s="38" t="n">
        <f aca="false">E439*Scorecard!$E$18+F439*Scorecard!$E$19+G439*Scorecard!$E$20+H439*Scorecard!$E$21+I439*Scorecard!$E$22+J439*Scorecard!$E$23</f>
        <v>3.56250367020558</v>
      </c>
      <c r="M439" s="0" t="str">
        <f aca="false">IF(AND(T439&gt;=U439,T439&gt;=V439),"A. Distribution",IF(U439&gt;=V439,"B. Manufacturing","C. Prof. services"))</f>
        <v>A. Distribution</v>
      </c>
      <c r="N439" s="39" t="n">
        <v>0.073070391602711</v>
      </c>
      <c r="O439" s="39" t="n">
        <v>0.121694947796357</v>
      </c>
      <c r="P439" s="39" t="n">
        <v>0.149875016453417</v>
      </c>
      <c r="Q439" s="39" t="n">
        <v>0.265044263436295</v>
      </c>
      <c r="R439" s="39" t="n">
        <v>0.262619905352906</v>
      </c>
      <c r="S439" s="39" t="n">
        <v>0.127695475358314</v>
      </c>
      <c r="T439" s="38" t="n">
        <f aca="false">N439*Scorecard!$C$18+O439*Scorecard!$C$19+P439*Scorecard!$C$20+Q439*Scorecard!$C$21+R439*Scorecard!$C$22+S439*Scorecard!$C$23</f>
        <v>3.83187873630606</v>
      </c>
      <c r="U439" s="38" t="n">
        <f aca="false">N439*Scorecard!$D$18+O439*Scorecard!$D$19+P439*Scorecard!$D$20+Q439*Scorecard!$D$21+R439*Scorecard!$D$22+S439*Scorecard!$D$23</f>
        <v>2.57609007741793</v>
      </c>
      <c r="V439" s="38" t="n">
        <f aca="false">N439*Scorecard!$E$18+O439*Scorecard!$E$19+P439*Scorecard!$E$20+Q439*Scorecard!$E$21+R439*Scorecard!$E$22+S439*Scorecard!$E$23</f>
        <v>3.35743803896483</v>
      </c>
    </row>
    <row r="440" customFormat="false" ht="15" hidden="false" customHeight="false" outlineLevel="0" collapsed="false">
      <c r="A440" s="0" t="n">
        <v>435</v>
      </c>
      <c r="B440" s="38" t="n">
        <f aca="false">E440*Scorecard!$C$18+F440*Scorecard!$C$19+G440*Scorecard!$C$20+H440*Scorecard!$C$21+I440*Scorecard!$C$22+J440*Scorecard!$C$23</f>
        <v>4.12278132116502</v>
      </c>
      <c r="C440" s="38" t="n">
        <f aca="false">E440*Scorecard!$D$18+F440*Scorecard!$D$19+G440*Scorecard!$D$20+H440*Scorecard!$D$21+I440*Scorecard!$D$22+J440*Scorecard!$D$23</f>
        <v>2.27612518102598</v>
      </c>
      <c r="D440" s="0" t="str">
        <f aca="false">IF(AND(B440&gt;=C440,B440&gt;=K440),"A. Distribution",IF(C440&gt;=K440,"B. Manufacturing","C. Prof. services"))</f>
        <v>A. Distribution</v>
      </c>
      <c r="E440" s="39" t="n">
        <v>0.00617154181848576</v>
      </c>
      <c r="F440" s="39" t="n">
        <v>0.230544995888855</v>
      </c>
      <c r="G440" s="39" t="n">
        <v>0.321780388662266</v>
      </c>
      <c r="H440" s="39" t="n">
        <v>0.370214485483738</v>
      </c>
      <c r="I440" s="39" t="n">
        <v>0.037599911396732</v>
      </c>
      <c r="J440" s="39" t="n">
        <v>0.0336886767499248</v>
      </c>
      <c r="K440" s="38" t="n">
        <f aca="false">E440*Scorecard!$E$18+F440*Scorecard!$E$19+G440*Scorecard!$E$20+H440*Scorecard!$E$21+I440*Scorecard!$E$22+J440*Scorecard!$E$23</f>
        <v>3.55440493890501</v>
      </c>
      <c r="M440" s="0" t="str">
        <f aca="false">IF(AND(T440&gt;=U440,T440&gt;=V440),"A. Distribution",IF(U440&gt;=V440,"B. Manufacturing","C. Prof. services"))</f>
        <v>A. Distribution</v>
      </c>
      <c r="N440" s="39" t="n">
        <v>0.148657033619212</v>
      </c>
      <c r="O440" s="39" t="n">
        <v>0.273841461938824</v>
      </c>
      <c r="P440" s="39" t="n">
        <v>0.190059079642411</v>
      </c>
      <c r="Q440" s="39" t="n">
        <v>0.210620617217315</v>
      </c>
      <c r="R440" s="39" t="n">
        <v>0.154598039695142</v>
      </c>
      <c r="S440" s="39" t="n">
        <v>0.022223767887096</v>
      </c>
      <c r="T440" s="38" t="n">
        <f aca="false">N440*Scorecard!$C$18+O440*Scorecard!$C$19+P440*Scorecard!$C$20+Q440*Scorecard!$C$21+R440*Scorecard!$C$22+S440*Scorecard!$C$23</f>
        <v>4.19476423772467</v>
      </c>
      <c r="U440" s="38" t="n">
        <f aca="false">N440*Scorecard!$D$18+O440*Scorecard!$D$19+P440*Scorecard!$D$20+Q440*Scorecard!$D$21+R440*Scorecard!$D$22+S440*Scorecard!$D$23</f>
        <v>2.70244064373234</v>
      </c>
      <c r="V440" s="38" t="n">
        <f aca="false">N440*Scorecard!$E$18+O440*Scorecard!$E$19+P440*Scorecard!$E$20+Q440*Scorecard!$E$21+R440*Scorecard!$E$22+S440*Scorecard!$E$23</f>
        <v>3.28287087460637</v>
      </c>
    </row>
    <row r="441" customFormat="false" ht="15" hidden="false" customHeight="false" outlineLevel="0" collapsed="false">
      <c r="A441" s="0" t="n">
        <v>436</v>
      </c>
      <c r="B441" s="38" t="n">
        <f aca="false">E441*Scorecard!$C$18+F441*Scorecard!$C$19+G441*Scorecard!$C$20+H441*Scorecard!$C$21+I441*Scorecard!$C$22+J441*Scorecard!$C$23</f>
        <v>3.88525545074613</v>
      </c>
      <c r="C441" s="38" t="n">
        <f aca="false">E441*Scorecard!$D$18+F441*Scorecard!$D$19+G441*Scorecard!$D$20+H441*Scorecard!$D$21+I441*Scorecard!$D$22+J441*Scorecard!$D$23</f>
        <v>2.51648078306374</v>
      </c>
      <c r="D441" s="0" t="str">
        <f aca="false">IF(AND(B441&gt;=C441,B441&gt;=K441),"A. Distribution",IF(C441&gt;=K441,"B. Manufacturing","C. Prof. services"))</f>
        <v>A. Distribution</v>
      </c>
      <c r="E441" s="39" t="n">
        <v>0.112025596873774</v>
      </c>
      <c r="F441" s="39" t="n">
        <v>0.167540473666854</v>
      </c>
      <c r="G441" s="39" t="n">
        <v>0.150560650859643</v>
      </c>
      <c r="H441" s="39" t="n">
        <v>0.327139426316565</v>
      </c>
      <c r="I441" s="39" t="n">
        <v>0.1237131601676</v>
      </c>
      <c r="J441" s="39" t="n">
        <v>0.119020692115566</v>
      </c>
      <c r="K441" s="38" t="n">
        <f aca="false">E441*Scorecard!$E$18+F441*Scorecard!$E$19+G441*Scorecard!$E$20+H441*Scorecard!$E$21+I441*Scorecard!$E$22+J441*Scorecard!$E$23</f>
        <v>3.49002452128574</v>
      </c>
      <c r="M441" s="0" t="str">
        <f aca="false">IF(AND(T441&gt;=U441,T441&gt;=V441),"A. Distribution",IF(U441&gt;=V441,"B. Manufacturing","C. Prof. services"))</f>
        <v>A. Distribution</v>
      </c>
      <c r="N441" s="39" t="n">
        <v>0.0599429439012367</v>
      </c>
      <c r="O441" s="39" t="n">
        <v>0.158897900443189</v>
      </c>
      <c r="P441" s="39" t="n">
        <v>0.271536669299826</v>
      </c>
      <c r="Q441" s="39" t="n">
        <v>0.10480408740337</v>
      </c>
      <c r="R441" s="39" t="n">
        <v>0.264214462232101</v>
      </c>
      <c r="S441" s="39" t="n">
        <v>0.140603936720278</v>
      </c>
      <c r="T441" s="38" t="n">
        <f aca="false">N441*Scorecard!$C$18+O441*Scorecard!$C$19+P441*Scorecard!$C$20+Q441*Scorecard!$C$21+R441*Scorecard!$C$22+S441*Scorecard!$C$23</f>
        <v>3.86158469962458</v>
      </c>
      <c r="U441" s="38" t="n">
        <f aca="false">N441*Scorecard!$D$18+O441*Scorecard!$D$19+P441*Scorecard!$D$20+Q441*Scorecard!$D$21+R441*Scorecard!$D$22+S441*Scorecard!$D$23</f>
        <v>2.51807790294845</v>
      </c>
      <c r="V441" s="38" t="n">
        <f aca="false">N441*Scorecard!$E$18+O441*Scorecard!$E$19+P441*Scorecard!$E$20+Q441*Scorecard!$E$21+R441*Scorecard!$E$22+S441*Scorecard!$E$23</f>
        <v>3.37573594964794</v>
      </c>
    </row>
    <row r="442" customFormat="false" ht="15" hidden="false" customHeight="false" outlineLevel="0" collapsed="false">
      <c r="A442" s="0" t="n">
        <v>437</v>
      </c>
      <c r="B442" s="38" t="n">
        <f aca="false">E442*Scorecard!$C$18+F442*Scorecard!$C$19+G442*Scorecard!$C$20+H442*Scorecard!$C$21+I442*Scorecard!$C$22+J442*Scorecard!$C$23</f>
        <v>3.94507283710212</v>
      </c>
      <c r="C442" s="38" t="n">
        <f aca="false">E442*Scorecard!$D$18+F442*Scorecard!$D$19+G442*Scorecard!$D$20+H442*Scorecard!$D$21+I442*Scorecard!$D$22+J442*Scorecard!$D$23</f>
        <v>2.74259713917536</v>
      </c>
      <c r="D442" s="0" t="str">
        <f aca="false">IF(AND(B442&gt;=C442,B442&gt;=K442),"A. Distribution",IF(C442&gt;=K442,"B. Manufacturing","C. Prof. services"))</f>
        <v>A. Distribution</v>
      </c>
      <c r="E442" s="39" t="n">
        <v>0.283524387778762</v>
      </c>
      <c r="F442" s="39" t="n">
        <v>0.207080934827871</v>
      </c>
      <c r="G442" s="39" t="n">
        <v>0.200733708775911</v>
      </c>
      <c r="H442" s="39" t="n">
        <v>0.141166228605321</v>
      </c>
      <c r="I442" s="39" t="n">
        <v>0.0554776920513415</v>
      </c>
      <c r="J442" s="39" t="n">
        <v>0.112017047960793</v>
      </c>
      <c r="K442" s="38" t="n">
        <f aca="false">E442*Scorecard!$E$18+F442*Scorecard!$E$19+G442*Scorecard!$E$20+H442*Scorecard!$E$21+I442*Scorecard!$E$22+J442*Scorecard!$E$23</f>
        <v>3.52806131163196</v>
      </c>
      <c r="M442" s="0" t="str">
        <f aca="false">IF(AND(T442&gt;=U442,T442&gt;=V442),"A. Distribution",IF(U442&gt;=V442,"B. Manufacturing","C. Prof. services"))</f>
        <v>A. Distribution</v>
      </c>
      <c r="N442" s="39" t="n">
        <v>0.359630543102592</v>
      </c>
      <c r="O442" s="39" t="n">
        <v>0.181620281711029</v>
      </c>
      <c r="P442" s="39" t="n">
        <v>0.138189517874892</v>
      </c>
      <c r="Q442" s="39" t="n">
        <v>0.086393956091704</v>
      </c>
      <c r="R442" s="39" t="n">
        <v>0.204079946109439</v>
      </c>
      <c r="S442" s="39" t="n">
        <v>0.0300857551103435</v>
      </c>
      <c r="T442" s="38" t="n">
        <f aca="false">N442*Scorecard!$C$18+O442*Scorecard!$C$19+P442*Scorecard!$C$20+Q442*Scorecard!$C$21+R442*Scorecard!$C$22+S442*Scorecard!$C$23</f>
        <v>4.08326619666133</v>
      </c>
      <c r="U442" s="38" t="n">
        <f aca="false">N442*Scorecard!$D$18+O442*Scorecard!$D$19+P442*Scorecard!$D$20+Q442*Scorecard!$D$21+R442*Scorecard!$D$22+S442*Scorecard!$D$23</f>
        <v>3.10618393924291</v>
      </c>
      <c r="V442" s="38" t="n">
        <f aca="false">N442*Scorecard!$E$18+O442*Scorecard!$E$19+P442*Scorecard!$E$20+Q442*Scorecard!$E$21+R442*Scorecard!$E$22+S442*Scorecard!$E$23</f>
        <v>3.24971802088913</v>
      </c>
    </row>
    <row r="443" customFormat="false" ht="15" hidden="false" customHeight="false" outlineLevel="0" collapsed="false">
      <c r="A443" s="0" t="n">
        <v>438</v>
      </c>
      <c r="B443" s="38" t="n">
        <f aca="false">E443*Scorecard!$C$18+F443*Scorecard!$C$19+G443*Scorecard!$C$20+H443*Scorecard!$C$21+I443*Scorecard!$C$22+J443*Scorecard!$C$23</f>
        <v>3.84550936151323</v>
      </c>
      <c r="C443" s="38" t="n">
        <f aca="false">E443*Scorecard!$D$18+F443*Scorecard!$D$19+G443*Scorecard!$D$20+H443*Scorecard!$D$21+I443*Scorecard!$D$22+J443*Scorecard!$D$23</f>
        <v>2.2235151303048</v>
      </c>
      <c r="D443" s="0" t="str">
        <f aca="false">IF(AND(B443&gt;=C443,B443&gt;=K443),"A. Distribution",IF(C443&gt;=K443,"B. Manufacturing","C. Prof. services"))</f>
        <v>A. Distribution</v>
      </c>
      <c r="E443" s="39" t="n">
        <v>0.0216278345890503</v>
      </c>
      <c r="F443" s="39" t="n">
        <v>0.0960208805557488</v>
      </c>
      <c r="G443" s="39" t="n">
        <v>0.525192275149354</v>
      </c>
      <c r="H443" s="39" t="n">
        <v>0.126588636610808</v>
      </c>
      <c r="I443" s="39" t="n">
        <v>0.113002828023133</v>
      </c>
      <c r="J443" s="39" t="n">
        <v>0.117567545071906</v>
      </c>
      <c r="K443" s="38" t="n">
        <f aca="false">E443*Scorecard!$E$18+F443*Scorecard!$E$19+G443*Scorecard!$E$20+H443*Scorecard!$E$21+I443*Scorecard!$E$22+J443*Scorecard!$E$23</f>
        <v>3.70343886548102</v>
      </c>
      <c r="M443" s="0" t="str">
        <f aca="false">IF(AND(T443&gt;=U443,T443&gt;=V443),"A. Distribution",IF(U443&gt;=V443,"B. Manufacturing","C. Prof. services"))</f>
        <v>A. Distribution</v>
      </c>
      <c r="N443" s="39" t="n">
        <v>0.0944710386375581</v>
      </c>
      <c r="O443" s="39" t="n">
        <v>0.151649884120439</v>
      </c>
      <c r="P443" s="39" t="n">
        <v>0.218700803677271</v>
      </c>
      <c r="Q443" s="39" t="n">
        <v>0.0966489673061599</v>
      </c>
      <c r="R443" s="39" t="n">
        <v>0.24372633125889</v>
      </c>
      <c r="S443" s="39" t="n">
        <v>0.194802974999682</v>
      </c>
      <c r="T443" s="38" t="n">
        <f aca="false">N443*Scorecard!$C$18+O443*Scorecard!$C$19+P443*Scorecard!$C$20+Q443*Scorecard!$C$21+R443*Scorecard!$C$22+S443*Scorecard!$C$23</f>
        <v>3.74404517645449</v>
      </c>
      <c r="U443" s="38" t="n">
        <f aca="false">N443*Scorecard!$D$18+O443*Scorecard!$D$19+P443*Scorecard!$D$20+Q443*Scorecard!$D$21+R443*Scorecard!$D$22+S443*Scorecard!$D$23</f>
        <v>2.52729956551504</v>
      </c>
      <c r="V443" s="38" t="n">
        <f aca="false">N443*Scorecard!$E$18+O443*Scorecard!$E$19+P443*Scorecard!$E$20+Q443*Scorecard!$E$21+R443*Scorecard!$E$22+S443*Scorecard!$E$23</f>
        <v>3.43105074148384</v>
      </c>
    </row>
    <row r="444" customFormat="false" ht="15" hidden="false" customHeight="false" outlineLevel="0" collapsed="false">
      <c r="A444" s="0" t="n">
        <v>439</v>
      </c>
      <c r="B444" s="38" t="n">
        <f aca="false">E444*Scorecard!$C$18+F444*Scorecard!$C$19+G444*Scorecard!$C$20+H444*Scorecard!$C$21+I444*Scorecard!$C$22+J444*Scorecard!$C$23</f>
        <v>4.00735421298118</v>
      </c>
      <c r="C444" s="38" t="n">
        <f aca="false">E444*Scorecard!$D$18+F444*Scorecard!$D$19+G444*Scorecard!$D$20+H444*Scorecard!$D$21+I444*Scorecard!$D$22+J444*Scorecard!$D$23</f>
        <v>2.81168364236936</v>
      </c>
      <c r="D444" s="0" t="str">
        <f aca="false">IF(AND(B444&gt;=C444,B444&gt;=K444),"A. Distribution",IF(C444&gt;=K444,"B. Manufacturing","C. Prof. services"))</f>
        <v>A. Distribution</v>
      </c>
      <c r="E444" s="39" t="n">
        <v>0.0573138886548476</v>
      </c>
      <c r="F444" s="39" t="n">
        <v>0.153408933218322</v>
      </c>
      <c r="G444" s="39" t="n">
        <v>0.0527854000220861</v>
      </c>
      <c r="H444" s="39" t="n">
        <v>0.25243774474056</v>
      </c>
      <c r="I444" s="39" t="n">
        <v>0.426927604360286</v>
      </c>
      <c r="J444" s="39" t="n">
        <v>0.0571264290038982</v>
      </c>
      <c r="K444" s="38" t="n">
        <f aca="false">E444*Scorecard!$E$18+F444*Scorecard!$E$19+G444*Scorecard!$E$20+H444*Scorecard!$E$21+I444*Scorecard!$E$22+J444*Scorecard!$E$23</f>
        <v>3.02239194160932</v>
      </c>
      <c r="M444" s="0" t="str">
        <f aca="false">IF(AND(T444&gt;=U444,T444&gt;=V444),"A. Distribution",IF(U444&gt;=V444,"B. Manufacturing","C. Prof. services"))</f>
        <v>A. Distribution</v>
      </c>
      <c r="N444" s="39" t="n">
        <v>0.0517996960152159</v>
      </c>
      <c r="O444" s="39" t="n">
        <v>0.250267895604809</v>
      </c>
      <c r="P444" s="39" t="n">
        <v>0.162208852781481</v>
      </c>
      <c r="Q444" s="39" t="n">
        <v>0.234506369690845</v>
      </c>
      <c r="R444" s="39" t="n">
        <v>0.192839206505561</v>
      </c>
      <c r="S444" s="39" t="n">
        <v>0.108377979402089</v>
      </c>
      <c r="T444" s="38" t="n">
        <f aca="false">N444*Scorecard!$C$18+O444*Scorecard!$C$19+P444*Scorecard!$C$20+Q444*Scorecard!$C$21+R444*Scorecard!$C$22+S444*Scorecard!$C$23</f>
        <v>4.00408490748147</v>
      </c>
      <c r="U444" s="38" t="n">
        <f aca="false">N444*Scorecard!$D$18+O444*Scorecard!$D$19+P444*Scorecard!$D$20+Q444*Scorecard!$D$21+R444*Scorecard!$D$22+S444*Scorecard!$D$23</f>
        <v>2.50886772288811</v>
      </c>
      <c r="V444" s="38" t="n">
        <f aca="false">N444*Scorecard!$E$18+O444*Scorecard!$E$19+P444*Scorecard!$E$20+Q444*Scorecard!$E$21+R444*Scorecard!$E$22+S444*Scorecard!$E$23</f>
        <v>3.33100791158254</v>
      </c>
    </row>
    <row r="445" customFormat="false" ht="15" hidden="false" customHeight="false" outlineLevel="0" collapsed="false">
      <c r="A445" s="0" t="n">
        <v>440</v>
      </c>
      <c r="B445" s="38" t="n">
        <f aca="false">E445*Scorecard!$C$18+F445*Scorecard!$C$19+G445*Scorecard!$C$20+H445*Scorecard!$C$21+I445*Scorecard!$C$22+J445*Scorecard!$C$23</f>
        <v>4.27870412374924</v>
      </c>
      <c r="C445" s="38" t="n">
        <f aca="false">E445*Scorecard!$D$18+F445*Scorecard!$D$19+G445*Scorecard!$D$20+H445*Scorecard!$D$21+I445*Scorecard!$D$22+J445*Scorecard!$D$23</f>
        <v>3.21566962754238</v>
      </c>
      <c r="D445" s="0" t="str">
        <f aca="false">IF(AND(B445&gt;=C445,B445&gt;=K445),"A. Distribution",IF(C445&gt;=K445,"B. Manufacturing","C. Prof. services"))</f>
        <v>A. Distribution</v>
      </c>
      <c r="E445" s="39" t="n">
        <v>0.471974941562492</v>
      </c>
      <c r="F445" s="39" t="n">
        <v>0.383748709073381</v>
      </c>
      <c r="G445" s="39" t="n">
        <v>0.000305898832497981</v>
      </c>
      <c r="H445" s="39" t="n">
        <v>0.0774836647161911</v>
      </c>
      <c r="I445" s="39" t="n">
        <v>0.0370856205495333</v>
      </c>
      <c r="J445" s="39" t="n">
        <v>0.0294011652659049</v>
      </c>
      <c r="K445" s="38" t="n">
        <f aca="false">E445*Scorecard!$E$18+F445*Scorecard!$E$19+G445*Scorecard!$E$20+H445*Scorecard!$E$21+I445*Scorecard!$E$22+J445*Scorecard!$E$23</f>
        <v>3.23281933659364</v>
      </c>
      <c r="M445" s="0" t="str">
        <f aca="false">IF(AND(T445&gt;=U445,T445&gt;=V445),"A. Distribution",IF(U445&gt;=V445,"B. Manufacturing","C. Prof. services"))</f>
        <v>A. Distribution</v>
      </c>
      <c r="N445" s="39" t="n">
        <v>0.147005436631838</v>
      </c>
      <c r="O445" s="39" t="n">
        <v>0.0738281611933428</v>
      </c>
      <c r="P445" s="39" t="n">
        <v>0.367553064736916</v>
      </c>
      <c r="Q445" s="39" t="n">
        <v>0.057802845540217</v>
      </c>
      <c r="R445" s="39" t="n">
        <v>0.244569326112716</v>
      </c>
      <c r="S445" s="39" t="n">
        <v>0.10924116578497</v>
      </c>
      <c r="T445" s="38" t="n">
        <f aca="false">N445*Scorecard!$C$18+O445*Scorecard!$C$19+P445*Scorecard!$C$20+Q445*Scorecard!$C$21+R445*Scorecard!$C$22+S445*Scorecard!$C$23</f>
        <v>3.83731494714617</v>
      </c>
      <c r="U445" s="38" t="n">
        <f aca="false">N445*Scorecard!$D$18+O445*Scorecard!$D$19+P445*Scorecard!$D$20+Q445*Scorecard!$D$21+R445*Scorecard!$D$22+S445*Scorecard!$D$23</f>
        <v>2.62491365430751</v>
      </c>
      <c r="V445" s="38" t="n">
        <f aca="false">N445*Scorecard!$E$18+O445*Scorecard!$E$19+P445*Scorecard!$E$20+Q445*Scorecard!$E$21+R445*Scorecard!$E$22+S445*Scorecard!$E$23</f>
        <v>3.4663327385556</v>
      </c>
    </row>
    <row r="446" customFormat="false" ht="15" hidden="false" customHeight="false" outlineLevel="0" collapsed="false">
      <c r="A446" s="0" t="n">
        <v>441</v>
      </c>
      <c r="B446" s="38" t="n">
        <f aca="false">E446*Scorecard!$C$18+F446*Scorecard!$C$19+G446*Scorecard!$C$20+H446*Scorecard!$C$21+I446*Scorecard!$C$22+J446*Scorecard!$C$23</f>
        <v>4.10936975936378</v>
      </c>
      <c r="C446" s="38" t="n">
        <f aca="false">E446*Scorecard!$D$18+F446*Scorecard!$D$19+G446*Scorecard!$D$20+H446*Scorecard!$D$21+I446*Scorecard!$D$22+J446*Scorecard!$D$23</f>
        <v>2.96161857005243</v>
      </c>
      <c r="D446" s="0" t="str">
        <f aca="false">IF(AND(B446&gt;=C446,B446&gt;=K446),"A. Distribution",IF(C446&gt;=K446,"B. Manufacturing","C. Prof. services"))</f>
        <v>A. Distribution</v>
      </c>
      <c r="E446" s="39" t="n">
        <v>0.257027829239486</v>
      </c>
      <c r="F446" s="39" t="n">
        <v>0.183334447066429</v>
      </c>
      <c r="G446" s="39" t="n">
        <v>0.0966054954082244</v>
      </c>
      <c r="H446" s="39" t="n">
        <v>0.237773644274083</v>
      </c>
      <c r="I446" s="39" t="n">
        <v>0.211404332351369</v>
      </c>
      <c r="J446" s="39" t="n">
        <v>0.0138542516604087</v>
      </c>
      <c r="K446" s="38" t="n">
        <f aca="false">E446*Scorecard!$E$18+F446*Scorecard!$E$19+G446*Scorecard!$E$20+H446*Scorecard!$E$21+I446*Scorecard!$E$22+J446*Scorecard!$E$23</f>
        <v>3.22913429284145</v>
      </c>
      <c r="M446" s="0" t="str">
        <f aca="false">IF(AND(T446&gt;=U446,T446&gt;=V446),"A. Distribution",IF(U446&gt;=V446,"B. Manufacturing","C. Prof. services"))</f>
        <v>A. Distribution</v>
      </c>
      <c r="N446" s="39" t="n">
        <v>0.202175418861195</v>
      </c>
      <c r="O446" s="39" t="n">
        <v>0.188966677896345</v>
      </c>
      <c r="P446" s="39" t="n">
        <v>0.117603146581682</v>
      </c>
      <c r="Q446" s="39" t="n">
        <v>0.189314151192568</v>
      </c>
      <c r="R446" s="39" t="n">
        <v>0.0727524878312997</v>
      </c>
      <c r="S446" s="39" t="n">
        <v>0.229188117636911</v>
      </c>
      <c r="T446" s="38" t="n">
        <f aca="false">N446*Scorecard!$C$18+O446*Scorecard!$C$19+P446*Scorecard!$C$20+Q446*Scorecard!$C$21+R446*Scorecard!$C$22+S446*Scorecard!$C$23</f>
        <v>3.69395972001381</v>
      </c>
      <c r="U446" s="38" t="n">
        <f aca="false">N446*Scorecard!$D$18+O446*Scorecard!$D$19+P446*Scorecard!$D$20+Q446*Scorecard!$D$21+R446*Scorecard!$D$22+S446*Scorecard!$D$23</f>
        <v>2.5469234398569</v>
      </c>
      <c r="V446" s="38" t="n">
        <f aca="false">N446*Scorecard!$E$18+O446*Scorecard!$E$19+P446*Scorecard!$E$20+Q446*Scorecard!$E$21+R446*Scorecard!$E$22+S446*Scorecard!$E$23</f>
        <v>3.60443551786705</v>
      </c>
    </row>
    <row r="447" customFormat="false" ht="15" hidden="false" customHeight="false" outlineLevel="0" collapsed="false">
      <c r="A447" s="0" t="n">
        <v>442</v>
      </c>
      <c r="B447" s="38" t="n">
        <f aca="false">E447*Scorecard!$C$18+F447*Scorecard!$C$19+G447*Scorecard!$C$20+H447*Scorecard!$C$21+I447*Scorecard!$C$22+J447*Scorecard!$C$23</f>
        <v>3.76830110643914</v>
      </c>
      <c r="C447" s="38" t="n">
        <f aca="false">E447*Scorecard!$D$18+F447*Scorecard!$D$19+G447*Scorecard!$D$20+H447*Scorecard!$D$21+I447*Scorecard!$D$22+J447*Scorecard!$D$23</f>
        <v>2.38133240096532</v>
      </c>
      <c r="D447" s="0" t="str">
        <f aca="false">IF(AND(B447&gt;=C447,B447&gt;=K447),"A. Distribution",IF(C447&gt;=K447,"B. Manufacturing","C. Prof. services"))</f>
        <v>A. Distribution</v>
      </c>
      <c r="E447" s="39" t="n">
        <v>0.0143706791038081</v>
      </c>
      <c r="F447" s="39" t="n">
        <v>0.244685225865075</v>
      </c>
      <c r="G447" s="39" t="n">
        <v>0.0175748820852806</v>
      </c>
      <c r="H447" s="39" t="n">
        <v>0.324997282936673</v>
      </c>
      <c r="I447" s="39" t="n">
        <v>0.178266081986451</v>
      </c>
      <c r="J447" s="39" t="n">
        <v>0.220105848022712</v>
      </c>
      <c r="K447" s="38" t="n">
        <f aca="false">E447*Scorecard!$E$18+F447*Scorecard!$E$19+G447*Scorecard!$E$20+H447*Scorecard!$E$21+I447*Scorecard!$E$22+J447*Scorecard!$E$23</f>
        <v>3.40695161628418</v>
      </c>
      <c r="M447" s="0" t="str">
        <f aca="false">IF(AND(T447&gt;=U447,T447&gt;=V447),"A. Distribution",IF(U447&gt;=V447,"B. Manufacturing","C. Prof. services"))</f>
        <v>A. Distribution</v>
      </c>
      <c r="N447" s="39" t="n">
        <v>0.222534276770424</v>
      </c>
      <c r="O447" s="39" t="n">
        <v>0.196001463319317</v>
      </c>
      <c r="P447" s="39" t="n">
        <v>0.206855530923064</v>
      </c>
      <c r="Q447" s="39" t="n">
        <v>0.170027903661836</v>
      </c>
      <c r="R447" s="39" t="n">
        <v>0.122785111382949</v>
      </c>
      <c r="S447" s="39" t="n">
        <v>0.0817957139424104</v>
      </c>
      <c r="T447" s="38" t="n">
        <f aca="false">N447*Scorecard!$C$18+O447*Scorecard!$C$19+P447*Scorecard!$C$20+Q447*Scorecard!$C$21+R447*Scorecard!$C$22+S447*Scorecard!$C$23</f>
        <v>3.9962228703344</v>
      </c>
      <c r="U447" s="38" t="n">
        <f aca="false">N447*Scorecard!$D$18+O447*Scorecard!$D$19+P447*Scorecard!$D$20+Q447*Scorecard!$D$21+R447*Scorecard!$D$22+S447*Scorecard!$D$23</f>
        <v>2.72661112535262</v>
      </c>
      <c r="V447" s="38" t="n">
        <f aca="false">N447*Scorecard!$E$18+O447*Scorecard!$E$19+P447*Scorecard!$E$20+Q447*Scorecard!$E$21+R447*Scorecard!$E$22+S447*Scorecard!$E$23</f>
        <v>3.43506906889659</v>
      </c>
    </row>
    <row r="448" customFormat="false" ht="15" hidden="false" customHeight="false" outlineLevel="0" collapsed="false">
      <c r="A448" s="0" t="n">
        <v>443</v>
      </c>
      <c r="B448" s="38" t="n">
        <f aca="false">E448*Scorecard!$C$18+F448*Scorecard!$C$19+G448*Scorecard!$C$20+H448*Scorecard!$C$21+I448*Scorecard!$C$22+J448*Scorecard!$C$23</f>
        <v>3.29791249500257</v>
      </c>
      <c r="C448" s="38" t="n">
        <f aca="false">E448*Scorecard!$D$18+F448*Scorecard!$D$19+G448*Scorecard!$D$20+H448*Scorecard!$D$21+I448*Scorecard!$D$22+J448*Scorecard!$D$23</f>
        <v>2.42391574143623</v>
      </c>
      <c r="D448" s="0" t="str">
        <f aca="false">IF(AND(B448&gt;=C448,B448&gt;=K448),"A. Distribution",IF(C448&gt;=K448,"B. Manufacturing","C. Prof. services"))</f>
        <v>C. Prof. services</v>
      </c>
      <c r="E448" s="39" t="n">
        <v>0.178976571644317</v>
      </c>
      <c r="F448" s="39" t="n">
        <v>0.104663863634217</v>
      </c>
      <c r="G448" s="39" t="n">
        <v>0.13695147385299</v>
      </c>
      <c r="H448" s="39" t="n">
        <v>0.0422956526675501</v>
      </c>
      <c r="I448" s="39" t="n">
        <v>0.143200170169108</v>
      </c>
      <c r="J448" s="39" t="n">
        <v>0.393912268031818</v>
      </c>
      <c r="K448" s="38" t="n">
        <f aca="false">E448*Scorecard!$E$18+F448*Scorecard!$E$19+G448*Scorecard!$E$20+H448*Scorecard!$E$21+I448*Scorecard!$E$22+J448*Scorecard!$E$23</f>
        <v>3.72984516637094</v>
      </c>
      <c r="M448" s="0" t="str">
        <f aca="false">IF(AND(T448&gt;=U448,T448&gt;=V448),"A. Distribution",IF(U448&gt;=V448,"B. Manufacturing","C. Prof. services"))</f>
        <v>A. Distribution</v>
      </c>
      <c r="N448" s="39" t="n">
        <v>0.322818082705863</v>
      </c>
      <c r="O448" s="39" t="n">
        <v>0.242468469684455</v>
      </c>
      <c r="P448" s="39" t="n">
        <v>0.206727199289776</v>
      </c>
      <c r="Q448" s="39" t="n">
        <v>0.0899880977327664</v>
      </c>
      <c r="R448" s="39" t="n">
        <v>0.0364496783943628</v>
      </c>
      <c r="S448" s="39" t="n">
        <v>0.101548472192777</v>
      </c>
      <c r="T448" s="38" t="n">
        <f aca="false">N448*Scorecard!$C$18+O448*Scorecard!$C$19+P448*Scorecard!$C$20+Q448*Scorecard!$C$21+R448*Scorecard!$C$22+S448*Scorecard!$C$23</f>
        <v>4.00375723320806</v>
      </c>
      <c r="U448" s="38" t="n">
        <f aca="false">N448*Scorecard!$D$18+O448*Scorecard!$D$19+P448*Scorecard!$D$20+Q448*Scorecard!$D$21+R448*Scorecard!$D$22+S448*Scorecard!$D$23</f>
        <v>2.80575649066868</v>
      </c>
      <c r="V448" s="38" t="n">
        <f aca="false">N448*Scorecard!$E$18+O448*Scorecard!$E$19+P448*Scorecard!$E$20+Q448*Scorecard!$E$21+R448*Scorecard!$E$22+S448*Scorecard!$E$23</f>
        <v>3.50933039695971</v>
      </c>
    </row>
    <row r="449" customFormat="false" ht="15" hidden="false" customHeight="false" outlineLevel="0" collapsed="false">
      <c r="A449" s="0" t="n">
        <v>444</v>
      </c>
      <c r="B449" s="38" t="n">
        <f aca="false">E449*Scorecard!$C$18+F449*Scorecard!$C$19+G449*Scorecard!$C$20+H449*Scorecard!$C$21+I449*Scorecard!$C$22+J449*Scorecard!$C$23</f>
        <v>3.80976619847716</v>
      </c>
      <c r="C449" s="38" t="n">
        <f aca="false">E449*Scorecard!$D$18+F449*Scorecard!$D$19+G449*Scorecard!$D$20+H449*Scorecard!$D$21+I449*Scorecard!$D$22+J449*Scorecard!$D$23</f>
        <v>2.7769778171538</v>
      </c>
      <c r="D449" s="0" t="str">
        <f aca="false">IF(AND(B449&gt;=C449,B449&gt;=K449),"A. Distribution",IF(C449&gt;=K449,"B. Manufacturing","C. Prof. services"))</f>
        <v>A. Distribution</v>
      </c>
      <c r="E449" s="39" t="n">
        <v>0.195389143535604</v>
      </c>
      <c r="F449" s="39" t="n">
        <v>0.00601971650711047</v>
      </c>
      <c r="G449" s="39" t="n">
        <v>0.186749609498388</v>
      </c>
      <c r="H449" s="39" t="n">
        <v>0.288455867254382</v>
      </c>
      <c r="I449" s="39" t="n">
        <v>0.248643130465702</v>
      </c>
      <c r="J449" s="39" t="n">
        <v>0.0747425327388132</v>
      </c>
      <c r="K449" s="38" t="n">
        <f aca="false">E449*Scorecard!$E$18+F449*Scorecard!$E$19+G449*Scorecard!$E$20+H449*Scorecard!$E$21+I449*Scorecard!$E$22+J449*Scorecard!$E$23</f>
        <v>3.42372017411334</v>
      </c>
      <c r="M449" s="0" t="str">
        <f aca="false">IF(AND(T449&gt;=U449,T449&gt;=V449),"A. Distribution",IF(U449&gt;=V449,"B. Manufacturing","C. Prof. services"))</f>
        <v>A. Distribution</v>
      </c>
      <c r="N449" s="39" t="n">
        <v>0.226246245120765</v>
      </c>
      <c r="O449" s="39" t="n">
        <v>0.196620162986841</v>
      </c>
      <c r="P449" s="39" t="n">
        <v>0.210236455086195</v>
      </c>
      <c r="Q449" s="39" t="n">
        <v>0.083532444455423</v>
      </c>
      <c r="R449" s="39" t="n">
        <v>0.0972345771605061</v>
      </c>
      <c r="S449" s="39" t="n">
        <v>0.18613011519027</v>
      </c>
      <c r="T449" s="38" t="n">
        <f aca="false">N449*Scorecard!$C$18+O449*Scorecard!$C$19+P449*Scorecard!$C$20+Q449*Scorecard!$C$21+R449*Scorecard!$C$22+S449*Scorecard!$C$23</f>
        <v>3.79719468203549</v>
      </c>
      <c r="U449" s="38" t="n">
        <f aca="false">N449*Scorecard!$D$18+O449*Scorecard!$D$19+P449*Scorecard!$D$20+Q449*Scorecard!$D$21+R449*Scorecard!$D$22+S449*Scorecard!$D$23</f>
        <v>2.62293554150688</v>
      </c>
      <c r="V449" s="38" t="n">
        <f aca="false">N449*Scorecard!$E$18+O449*Scorecard!$E$19+P449*Scorecard!$E$20+Q449*Scorecard!$E$21+R449*Scorecard!$E$22+S449*Scorecard!$E$23</f>
        <v>3.55551632855305</v>
      </c>
    </row>
    <row r="450" customFormat="false" ht="15" hidden="false" customHeight="false" outlineLevel="0" collapsed="false">
      <c r="A450" s="0" t="n">
        <v>445</v>
      </c>
      <c r="B450" s="38" t="n">
        <f aca="false">E450*Scorecard!$C$18+F450*Scorecard!$C$19+G450*Scorecard!$C$20+H450*Scorecard!$C$21+I450*Scorecard!$C$22+J450*Scorecard!$C$23</f>
        <v>3.67046841466466</v>
      </c>
      <c r="C450" s="38" t="n">
        <f aca="false">E450*Scorecard!$D$18+F450*Scorecard!$D$19+G450*Scorecard!$D$20+H450*Scorecard!$D$21+I450*Scorecard!$D$22+J450*Scorecard!$D$23</f>
        <v>2.63104269452921</v>
      </c>
      <c r="D450" s="0" t="str">
        <f aca="false">IF(AND(B450&gt;=C450,B450&gt;=K450),"A. Distribution",IF(C450&gt;=K450,"B. Manufacturing","C. Prof. services"))</f>
        <v>A. Distribution</v>
      </c>
      <c r="E450" s="39" t="n">
        <v>0.285110811567691</v>
      </c>
      <c r="F450" s="39" t="n">
        <v>0.207782298431409</v>
      </c>
      <c r="G450" s="39" t="n">
        <v>0.110055986080534</v>
      </c>
      <c r="H450" s="39" t="n">
        <v>0.120730120409319</v>
      </c>
      <c r="I450" s="39" t="n">
        <v>0.0256135256271044</v>
      </c>
      <c r="J450" s="39" t="n">
        <v>0.250707257883944</v>
      </c>
      <c r="K450" s="38" t="n">
        <f aca="false">E450*Scorecard!$E$18+F450*Scorecard!$E$19+G450*Scorecard!$E$20+H450*Scorecard!$E$21+I450*Scorecard!$E$22+J450*Scorecard!$E$23</f>
        <v>3.65223354484509</v>
      </c>
      <c r="M450" s="0" t="str">
        <f aca="false">IF(AND(T450&gt;=U450,T450&gt;=V450),"A. Distribution",IF(U450&gt;=V450,"B. Manufacturing","C. Prof. services"))</f>
        <v>A. Distribution</v>
      </c>
      <c r="N450" s="39" t="n">
        <v>0.0588022002534316</v>
      </c>
      <c r="O450" s="39" t="n">
        <v>0.255154946347654</v>
      </c>
      <c r="P450" s="39" t="n">
        <v>0.314658423510243</v>
      </c>
      <c r="Q450" s="39" t="n">
        <v>0.165641575545084</v>
      </c>
      <c r="R450" s="39" t="n">
        <v>0.161683358433989</v>
      </c>
      <c r="S450" s="39" t="n">
        <v>0.0440594959095989</v>
      </c>
      <c r="T450" s="38" t="n">
        <f aca="false">N450*Scorecard!$C$18+O450*Scorecard!$C$19+P450*Scorecard!$C$20+Q450*Scorecard!$C$21+R450*Scorecard!$C$22+S450*Scorecard!$C$23</f>
        <v>4.14446693872847</v>
      </c>
      <c r="U450" s="38" t="n">
        <f aca="false">N450*Scorecard!$D$18+O450*Scorecard!$D$19+P450*Scorecard!$D$20+Q450*Scorecard!$D$21+R450*Scorecard!$D$22+S450*Scorecard!$D$23</f>
        <v>2.49611725194828</v>
      </c>
      <c r="V450" s="38" t="n">
        <f aca="false">N450*Scorecard!$E$18+O450*Scorecard!$E$19+P450*Scorecard!$E$20+Q450*Scorecard!$E$21+R450*Scorecard!$E$22+S450*Scorecard!$E$23</f>
        <v>3.36395680944209</v>
      </c>
    </row>
    <row r="451" customFormat="false" ht="15" hidden="false" customHeight="false" outlineLevel="0" collapsed="false">
      <c r="A451" s="0" t="n">
        <v>446</v>
      </c>
      <c r="B451" s="38" t="n">
        <f aca="false">E451*Scorecard!$C$18+F451*Scorecard!$C$19+G451*Scorecard!$C$20+H451*Scorecard!$C$21+I451*Scorecard!$C$22+J451*Scorecard!$C$23</f>
        <v>4.005037484088</v>
      </c>
      <c r="C451" s="38" t="n">
        <f aca="false">E451*Scorecard!$D$18+F451*Scorecard!$D$19+G451*Scorecard!$D$20+H451*Scorecard!$D$21+I451*Scorecard!$D$22+J451*Scorecard!$D$23</f>
        <v>2.25946227518879</v>
      </c>
      <c r="D451" s="0" t="str">
        <f aca="false">IF(AND(B451&gt;=C451,B451&gt;=K451),"A. Distribution",IF(C451&gt;=K451,"B. Manufacturing","C. Prof. services"))</f>
        <v>A. Distribution</v>
      </c>
      <c r="E451" s="39" t="n">
        <v>0.0101966266377558</v>
      </c>
      <c r="F451" s="39" t="n">
        <v>0.147346601601676</v>
      </c>
      <c r="G451" s="39" t="n">
        <v>0.49561060574776</v>
      </c>
      <c r="H451" s="39" t="n">
        <v>0.18252814293782</v>
      </c>
      <c r="I451" s="39" t="n">
        <v>0.103406548691251</v>
      </c>
      <c r="J451" s="39" t="n">
        <v>0.0609114743837374</v>
      </c>
      <c r="K451" s="38" t="n">
        <f aca="false">E451*Scorecard!$E$18+F451*Scorecard!$E$19+G451*Scorecard!$E$20+H451*Scorecard!$E$21+I451*Scorecard!$E$22+J451*Scorecard!$E$23</f>
        <v>3.61716839931207</v>
      </c>
      <c r="M451" s="0" t="str">
        <f aca="false">IF(AND(T451&gt;=U451,T451&gt;=V451),"A. Distribution",IF(U451&gt;=V451,"B. Manufacturing","C. Prof. services"))</f>
        <v>A. Distribution</v>
      </c>
      <c r="N451" s="39" t="n">
        <v>0.192613864024907</v>
      </c>
      <c r="O451" s="39" t="n">
        <v>0.228804029634918</v>
      </c>
      <c r="P451" s="39" t="n">
        <v>0.144305452555833</v>
      </c>
      <c r="Q451" s="39" t="n">
        <v>0.127622941587717</v>
      </c>
      <c r="R451" s="39" t="n">
        <v>0.212114203192672</v>
      </c>
      <c r="S451" s="39" t="n">
        <v>0.0945395090039537</v>
      </c>
      <c r="T451" s="38" t="n">
        <f aca="false">N451*Scorecard!$C$18+O451*Scorecard!$C$19+P451*Scorecard!$C$20+Q451*Scorecard!$C$21+R451*Scorecard!$C$22+S451*Scorecard!$C$23</f>
        <v>4.0105092194255</v>
      </c>
      <c r="U451" s="38" t="n">
        <f aca="false">N451*Scorecard!$D$18+O451*Scorecard!$D$19+P451*Scorecard!$D$20+Q451*Scorecard!$D$21+R451*Scorecard!$D$22+S451*Scorecard!$D$23</f>
        <v>2.78378856446669</v>
      </c>
      <c r="V451" s="38" t="n">
        <f aca="false">N451*Scorecard!$E$18+O451*Scorecard!$E$19+P451*Scorecard!$E$20+Q451*Scorecard!$E$21+R451*Scorecard!$E$22+S451*Scorecard!$E$23</f>
        <v>3.2821732325722</v>
      </c>
    </row>
    <row r="452" customFormat="false" ht="15" hidden="false" customHeight="false" outlineLevel="0" collapsed="false">
      <c r="A452" s="0" t="n">
        <v>447</v>
      </c>
      <c r="B452" s="38" t="n">
        <f aca="false">E452*Scorecard!$C$18+F452*Scorecard!$C$19+G452*Scorecard!$C$20+H452*Scorecard!$C$21+I452*Scorecard!$C$22+J452*Scorecard!$C$23</f>
        <v>3.76144387240374</v>
      </c>
      <c r="C452" s="38" t="n">
        <f aca="false">E452*Scorecard!$D$18+F452*Scorecard!$D$19+G452*Scorecard!$D$20+H452*Scorecard!$D$21+I452*Scorecard!$D$22+J452*Scorecard!$D$23</f>
        <v>2.91129011513283</v>
      </c>
      <c r="D452" s="0" t="str">
        <f aca="false">IF(AND(B452&gt;=C452,B452&gt;=K452),"A. Distribution",IF(C452&gt;=K452,"B. Manufacturing","C. Prof. services"))</f>
        <v>A. Distribution</v>
      </c>
      <c r="E452" s="39" t="n">
        <v>0.373661150593852</v>
      </c>
      <c r="F452" s="39" t="n">
        <v>0.0187221274318526</v>
      </c>
      <c r="G452" s="39" t="n">
        <v>0.13379254588157</v>
      </c>
      <c r="H452" s="39" t="n">
        <v>0.295124380433492</v>
      </c>
      <c r="I452" s="39" t="n">
        <v>0.0809606045042497</v>
      </c>
      <c r="J452" s="39" t="n">
        <v>0.0977391911549836</v>
      </c>
      <c r="K452" s="38" t="n">
        <f aca="false">E452*Scorecard!$E$18+F452*Scorecard!$E$19+G452*Scorecard!$E$20+H452*Scorecard!$E$21+I452*Scorecard!$E$22+J452*Scorecard!$E$23</f>
        <v>3.60819316497009</v>
      </c>
      <c r="M452" s="0" t="str">
        <f aca="false">IF(AND(T452&gt;=U452,T452&gt;=V452),"A. Distribution",IF(U452&gt;=V452,"B. Manufacturing","C. Prof. services"))</f>
        <v>A. Distribution</v>
      </c>
      <c r="N452" s="39" t="n">
        <v>0.188441272506074</v>
      </c>
      <c r="O452" s="39" t="n">
        <v>0.266375838418778</v>
      </c>
      <c r="P452" s="39" t="n">
        <v>0.187818996852436</v>
      </c>
      <c r="Q452" s="39" t="n">
        <v>0.159778318985523</v>
      </c>
      <c r="R452" s="39" t="n">
        <v>0.0498118998295393</v>
      </c>
      <c r="S452" s="39" t="n">
        <v>0.14777367340765</v>
      </c>
      <c r="T452" s="38" t="n">
        <f aca="false">N452*Scorecard!$C$18+O452*Scorecard!$C$19+P452*Scorecard!$C$20+Q452*Scorecard!$C$21+R452*Scorecard!$C$22+S452*Scorecard!$C$23</f>
        <v>3.93848294252175</v>
      </c>
      <c r="U452" s="38" t="n">
        <f aca="false">N452*Scorecard!$D$18+O452*Scorecard!$D$19+P452*Scorecard!$D$20+Q452*Scorecard!$D$21+R452*Scorecard!$D$22+S452*Scorecard!$D$23</f>
        <v>2.56163568942441</v>
      </c>
      <c r="V452" s="38" t="n">
        <f aca="false">N452*Scorecard!$E$18+O452*Scorecard!$E$19+P452*Scorecard!$E$20+Q452*Scorecard!$E$21+R452*Scorecard!$E$22+S452*Scorecard!$E$23</f>
        <v>3.52595459444513</v>
      </c>
    </row>
    <row r="453" customFormat="false" ht="15" hidden="false" customHeight="false" outlineLevel="0" collapsed="false">
      <c r="A453" s="0" t="n">
        <v>448</v>
      </c>
      <c r="B453" s="38" t="n">
        <f aca="false">E453*Scorecard!$C$18+F453*Scorecard!$C$19+G453*Scorecard!$C$20+H453*Scorecard!$C$21+I453*Scorecard!$C$22+J453*Scorecard!$C$23</f>
        <v>3.62761692591665</v>
      </c>
      <c r="C453" s="38" t="n">
        <f aca="false">E453*Scorecard!$D$18+F453*Scorecard!$D$19+G453*Scorecard!$D$20+H453*Scorecard!$D$21+I453*Scorecard!$D$22+J453*Scorecard!$D$23</f>
        <v>2.63946168357863</v>
      </c>
      <c r="D453" s="0" t="str">
        <f aca="false">IF(AND(B453&gt;=C453,B453&gt;=K453),"A. Distribution",IF(C453&gt;=K453,"B. Manufacturing","C. Prof. services"))</f>
        <v>A. Distribution</v>
      </c>
      <c r="E453" s="39" t="n">
        <v>0.0501616463940339</v>
      </c>
      <c r="F453" s="39" t="n">
        <v>0.0876908080577541</v>
      </c>
      <c r="G453" s="39" t="n">
        <v>0.0160742572533213</v>
      </c>
      <c r="H453" s="39" t="n">
        <v>0.231917766640925</v>
      </c>
      <c r="I453" s="39" t="n">
        <v>0.398626876636074</v>
      </c>
      <c r="J453" s="39" t="n">
        <v>0.215528645017892</v>
      </c>
      <c r="K453" s="38" t="n">
        <f aca="false">E453*Scorecard!$E$18+F453*Scorecard!$E$19+G453*Scorecard!$E$20+H453*Scorecard!$E$21+I453*Scorecard!$E$22+J453*Scorecard!$E$23</f>
        <v>3.2376102161072</v>
      </c>
      <c r="M453" s="0" t="str">
        <f aca="false">IF(AND(T453&gt;=U453,T453&gt;=V453),"A. Distribution",IF(U453&gt;=V453,"B. Manufacturing","C. Prof. services"))</f>
        <v>A. Distribution</v>
      </c>
      <c r="N453" s="39" t="n">
        <v>0.128396412638221</v>
      </c>
      <c r="O453" s="39" t="n">
        <v>0.224965243939547</v>
      </c>
      <c r="P453" s="39" t="n">
        <v>0.170103729974729</v>
      </c>
      <c r="Q453" s="39" t="n">
        <v>0.0661457489497205</v>
      </c>
      <c r="R453" s="39" t="n">
        <v>0.223941865673768</v>
      </c>
      <c r="S453" s="39" t="n">
        <v>0.186446998824014</v>
      </c>
      <c r="T453" s="38" t="n">
        <f aca="false">N453*Scorecard!$C$18+O453*Scorecard!$C$19+P453*Scorecard!$C$20+Q453*Scorecard!$C$21+R453*Scorecard!$C$22+S453*Scorecard!$C$23</f>
        <v>3.83463546953997</v>
      </c>
      <c r="U453" s="38" t="n">
        <f aca="false">N453*Scorecard!$D$18+O453*Scorecard!$D$19+P453*Scorecard!$D$20+Q453*Scorecard!$D$21+R453*Scorecard!$D$22+S453*Scorecard!$D$23</f>
        <v>2.60366976343496</v>
      </c>
      <c r="V453" s="38" t="n">
        <f aca="false">N453*Scorecard!$E$18+O453*Scorecard!$E$19+P453*Scorecard!$E$20+Q453*Scorecard!$E$21+R453*Scorecard!$E$22+S453*Scorecard!$E$23</f>
        <v>3.36521919460132</v>
      </c>
    </row>
    <row r="454" customFormat="false" ht="15" hidden="false" customHeight="false" outlineLevel="0" collapsed="false">
      <c r="A454" s="0" t="n">
        <v>449</v>
      </c>
      <c r="B454" s="38" t="n">
        <f aca="false">E454*Scorecard!$C$18+F454*Scorecard!$C$19+G454*Scorecard!$C$20+H454*Scorecard!$C$21+I454*Scorecard!$C$22+J454*Scorecard!$C$23</f>
        <v>4.06192330914973</v>
      </c>
      <c r="C454" s="38" t="n">
        <f aca="false">E454*Scorecard!$D$18+F454*Scorecard!$D$19+G454*Scorecard!$D$20+H454*Scorecard!$D$21+I454*Scorecard!$D$22+J454*Scorecard!$D$23</f>
        <v>2.39402750152415</v>
      </c>
      <c r="D454" s="0" t="str">
        <f aca="false">IF(AND(B454&gt;=C454,B454&gt;=K454),"A. Distribution",IF(C454&gt;=K454,"B. Manufacturing","C. Prof. services"))</f>
        <v>A. Distribution</v>
      </c>
      <c r="E454" s="39" t="n">
        <v>0.0567089703130596</v>
      </c>
      <c r="F454" s="39" t="n">
        <v>0.188079586860131</v>
      </c>
      <c r="G454" s="39" t="n">
        <v>0.45027081011404</v>
      </c>
      <c r="H454" s="39" t="n">
        <v>0.122547320840817</v>
      </c>
      <c r="I454" s="39" t="n">
        <v>0.1281939359633</v>
      </c>
      <c r="J454" s="39" t="n">
        <v>0.0541993759086523</v>
      </c>
      <c r="K454" s="38" t="n">
        <f aca="false">E454*Scorecard!$E$18+F454*Scorecard!$E$19+G454*Scorecard!$E$20+H454*Scorecard!$E$21+I454*Scorecard!$E$22+J454*Scorecard!$E$23</f>
        <v>3.52016836959489</v>
      </c>
      <c r="M454" s="0" t="str">
        <f aca="false">IF(AND(T454&gt;=U454,T454&gt;=V454),"A. Distribution",IF(U454&gt;=V454,"B. Manufacturing","C. Prof. services"))</f>
        <v>A. Distribution</v>
      </c>
      <c r="N454" s="39" t="n">
        <v>0.376198866808725</v>
      </c>
      <c r="O454" s="39" t="n">
        <v>0.234492158410398</v>
      </c>
      <c r="P454" s="39" t="n">
        <v>0.141589421892831</v>
      </c>
      <c r="Q454" s="39" t="n">
        <v>0.118812527998142</v>
      </c>
      <c r="R454" s="39" t="n">
        <v>0.0529175501270473</v>
      </c>
      <c r="S454" s="39" t="n">
        <v>0.0759894747628569</v>
      </c>
      <c r="T454" s="38" t="n">
        <f aca="false">N454*Scorecard!$C$18+O454*Scorecard!$C$19+P454*Scorecard!$C$20+Q454*Scorecard!$C$21+R454*Scorecard!$C$22+S454*Scorecard!$C$23</f>
        <v>4.03950729668411</v>
      </c>
      <c r="U454" s="38" t="n">
        <f aca="false">N454*Scorecard!$D$18+O454*Scorecard!$D$19+P454*Scorecard!$D$20+Q454*Scorecard!$D$21+R454*Scorecard!$D$22+S454*Scorecard!$D$23</f>
        <v>2.95269799808843</v>
      </c>
      <c r="V454" s="38" t="n">
        <f aca="false">N454*Scorecard!$E$18+O454*Scorecard!$E$19+P454*Scorecard!$E$20+Q454*Scorecard!$E$21+R454*Scorecard!$E$22+S454*Scorecard!$E$23</f>
        <v>3.44252075701619</v>
      </c>
    </row>
    <row r="455" customFormat="false" ht="15" hidden="false" customHeight="false" outlineLevel="0" collapsed="false">
      <c r="A455" s="0" t="n">
        <v>450</v>
      </c>
      <c r="B455" s="38" t="n">
        <f aca="false">E455*Scorecard!$C$18+F455*Scorecard!$C$19+G455*Scorecard!$C$20+H455*Scorecard!$C$21+I455*Scorecard!$C$22+J455*Scorecard!$C$23</f>
        <v>3.97283815323405</v>
      </c>
      <c r="C455" s="38" t="n">
        <f aca="false">E455*Scorecard!$D$18+F455*Scorecard!$D$19+G455*Scorecard!$D$20+H455*Scorecard!$D$21+I455*Scorecard!$D$22+J455*Scorecard!$D$23</f>
        <v>2.4997857775962</v>
      </c>
      <c r="D455" s="0" t="str">
        <f aca="false">IF(AND(B455&gt;=C455,B455&gt;=K455),"A. Distribution",IF(C455&gt;=K455,"B. Manufacturing","C. Prof. services"))</f>
        <v>A. Distribution</v>
      </c>
      <c r="E455" s="39" t="n">
        <v>0.0673808520758269</v>
      </c>
      <c r="F455" s="39" t="n">
        <v>0.0594003243623626</v>
      </c>
      <c r="G455" s="39" t="n">
        <v>0.44186528083593</v>
      </c>
      <c r="H455" s="39" t="n">
        <v>0.179095827755731</v>
      </c>
      <c r="I455" s="39" t="n">
        <v>0.221330365222156</v>
      </c>
      <c r="J455" s="39" t="n">
        <v>0.0309273497479939</v>
      </c>
      <c r="K455" s="38" t="n">
        <f aca="false">E455*Scorecard!$E$18+F455*Scorecard!$E$19+G455*Scorecard!$E$20+H455*Scorecard!$E$21+I455*Scorecard!$E$22+J455*Scorecard!$E$23</f>
        <v>3.48329579502418</v>
      </c>
      <c r="M455" s="0" t="str">
        <f aca="false">IF(AND(T455&gt;=U455,T455&gt;=V455),"A. Distribution",IF(U455&gt;=V455,"B. Manufacturing","C. Prof. services"))</f>
        <v>A. Distribution</v>
      </c>
      <c r="N455" s="39" t="n">
        <v>0.191484400047026</v>
      </c>
      <c r="O455" s="39" t="n">
        <v>0.239688829827736</v>
      </c>
      <c r="P455" s="39" t="n">
        <v>0.266991914437875</v>
      </c>
      <c r="Q455" s="39" t="n">
        <v>0.179211537442048</v>
      </c>
      <c r="R455" s="39" t="n">
        <v>0.0848751567747022</v>
      </c>
      <c r="S455" s="39" t="n">
        <v>0.0377481614706133</v>
      </c>
      <c r="T455" s="38" t="n">
        <f aca="false">N455*Scorecard!$C$18+O455*Scorecard!$C$19+P455*Scorecard!$C$20+Q455*Scorecard!$C$21+R455*Scorecard!$C$22+S455*Scorecard!$C$23</f>
        <v>4.12950869422603</v>
      </c>
      <c r="U455" s="38" t="n">
        <f aca="false">N455*Scorecard!$D$18+O455*Scorecard!$D$19+P455*Scorecard!$D$20+Q455*Scorecard!$D$21+R455*Scorecard!$D$22+S455*Scorecard!$D$23</f>
        <v>2.66109601387721</v>
      </c>
      <c r="V455" s="38" t="n">
        <f aca="false">N455*Scorecard!$E$18+O455*Scorecard!$E$19+P455*Scorecard!$E$20+Q455*Scorecard!$E$21+R455*Scorecard!$E$22+S455*Scorecard!$E$23</f>
        <v>3.4365263407912</v>
      </c>
    </row>
    <row r="456" customFormat="false" ht="15" hidden="false" customHeight="false" outlineLevel="0" collapsed="false">
      <c r="A456" s="0" t="n">
        <v>451</v>
      </c>
      <c r="B456" s="38" t="n">
        <f aca="false">E456*Scorecard!$C$18+F456*Scorecard!$C$19+G456*Scorecard!$C$20+H456*Scorecard!$C$21+I456*Scorecard!$C$22+J456*Scorecard!$C$23</f>
        <v>3.79390811627883</v>
      </c>
      <c r="C456" s="38" t="n">
        <f aca="false">E456*Scorecard!$D$18+F456*Scorecard!$D$19+G456*Scorecard!$D$20+H456*Scorecard!$D$21+I456*Scorecard!$D$22+J456*Scorecard!$D$23</f>
        <v>2.94548317617645</v>
      </c>
      <c r="D456" s="0" t="str">
        <f aca="false">IF(AND(B456&gt;=C456,B456&gt;=K456),"A. Distribution",IF(C456&gt;=K456,"B. Manufacturing","C. Prof. services"))</f>
        <v>A. Distribution</v>
      </c>
      <c r="E456" s="39" t="n">
        <v>0.406970824527135</v>
      </c>
      <c r="F456" s="39" t="n">
        <v>0.136916554327884</v>
      </c>
      <c r="G456" s="39" t="n">
        <v>0.0350699515457737</v>
      </c>
      <c r="H456" s="39" t="n">
        <v>0.241336936825632</v>
      </c>
      <c r="I456" s="39" t="n">
        <v>0.0375407988981323</v>
      </c>
      <c r="J456" s="39" t="n">
        <v>0.142164933875443</v>
      </c>
      <c r="K456" s="38" t="n">
        <f aca="false">E456*Scorecard!$E$18+F456*Scorecard!$E$19+G456*Scorecard!$E$20+H456*Scorecard!$E$21+I456*Scorecard!$E$22+J456*Scorecard!$E$23</f>
        <v>3.56241980818452</v>
      </c>
      <c r="M456" s="0" t="str">
        <f aca="false">IF(AND(T456&gt;=U456,T456&gt;=V456),"A. Distribution",IF(U456&gt;=V456,"B. Manufacturing","C. Prof. services"))</f>
        <v>A. Distribution</v>
      </c>
      <c r="N456" s="39" t="n">
        <v>0.224350204911813</v>
      </c>
      <c r="O456" s="39" t="n">
        <v>0.0632598853882659</v>
      </c>
      <c r="P456" s="39" t="n">
        <v>0.363733537761872</v>
      </c>
      <c r="Q456" s="39" t="n">
        <v>0.0819388790897585</v>
      </c>
      <c r="R456" s="39" t="n">
        <v>0.21392529884358</v>
      </c>
      <c r="S456" s="39" t="n">
        <v>0.0527921940047101</v>
      </c>
      <c r="T456" s="38" t="n">
        <f aca="false">N456*Scorecard!$C$18+O456*Scorecard!$C$19+P456*Scorecard!$C$20+Q456*Scorecard!$C$21+R456*Scorecard!$C$22+S456*Scorecard!$C$23</f>
        <v>3.93083418135896</v>
      </c>
      <c r="U456" s="38" t="n">
        <f aca="false">N456*Scorecard!$D$18+O456*Scorecard!$D$19+P456*Scorecard!$D$20+Q456*Scorecard!$D$21+R456*Scorecard!$D$22+S456*Scorecard!$D$23</f>
        <v>2.77022929330868</v>
      </c>
      <c r="V456" s="38" t="n">
        <f aca="false">N456*Scorecard!$E$18+O456*Scorecard!$E$19+P456*Scorecard!$E$20+Q456*Scorecard!$E$21+R456*Scorecard!$E$22+S456*Scorecard!$E$23</f>
        <v>3.45524946380075</v>
      </c>
    </row>
    <row r="457" customFormat="false" ht="15" hidden="false" customHeight="false" outlineLevel="0" collapsed="false">
      <c r="A457" s="0" t="n">
        <v>452</v>
      </c>
      <c r="B457" s="38" t="n">
        <f aca="false">E457*Scorecard!$C$18+F457*Scorecard!$C$19+G457*Scorecard!$C$20+H457*Scorecard!$C$21+I457*Scorecard!$C$22+J457*Scorecard!$C$23</f>
        <v>4.41920635301979</v>
      </c>
      <c r="C457" s="38" t="n">
        <f aca="false">E457*Scorecard!$D$18+F457*Scorecard!$D$19+G457*Scorecard!$D$20+H457*Scorecard!$D$21+I457*Scorecard!$D$22+J457*Scorecard!$D$23</f>
        <v>2.59699752139188</v>
      </c>
      <c r="D457" s="0" t="str">
        <f aca="false">IF(AND(B457&gt;=C457,B457&gt;=K457),"A. Distribution",IF(C457&gt;=K457,"B. Manufacturing","C. Prof. services"))</f>
        <v>A. Distribution</v>
      </c>
      <c r="E457" s="39" t="n">
        <v>0.0828822549394289</v>
      </c>
      <c r="F457" s="39" t="n">
        <v>0.495224723723973</v>
      </c>
      <c r="G457" s="39" t="n">
        <v>0.141994678401895</v>
      </c>
      <c r="H457" s="39" t="n">
        <v>0.151429905818952</v>
      </c>
      <c r="I457" s="39" t="n">
        <v>0.101944756715769</v>
      </c>
      <c r="J457" s="39" t="n">
        <v>0.0265236803999823</v>
      </c>
      <c r="K457" s="38" t="n">
        <f aca="false">E457*Scorecard!$E$18+F457*Scorecard!$E$19+G457*Scorecard!$E$20+H457*Scorecard!$E$21+I457*Scorecard!$E$22+J457*Scorecard!$E$23</f>
        <v>3.16037974672002</v>
      </c>
      <c r="M457" s="0" t="str">
        <f aca="false">IF(AND(T457&gt;=U457,T457&gt;=V457),"A. Distribution",IF(U457&gt;=V457,"B. Manufacturing","C. Prof. services"))</f>
        <v>A. Distribution</v>
      </c>
      <c r="N457" s="39" t="n">
        <v>0.304146460281666</v>
      </c>
      <c r="O457" s="39" t="n">
        <v>0.13695119801972</v>
      </c>
      <c r="P457" s="39" t="n">
        <v>0.242376042090705</v>
      </c>
      <c r="Q457" s="39" t="n">
        <v>0.0630226323459225</v>
      </c>
      <c r="R457" s="39" t="n">
        <v>0.20629539686755</v>
      </c>
      <c r="S457" s="39" t="n">
        <v>0.0472082703944363</v>
      </c>
      <c r="T457" s="38" t="n">
        <f aca="false">N457*Scorecard!$C$18+O457*Scorecard!$C$19+P457*Scorecard!$C$20+Q457*Scorecard!$C$21+R457*Scorecard!$C$22+S457*Scorecard!$C$23</f>
        <v>4.01132499414849</v>
      </c>
      <c r="U457" s="38" t="n">
        <f aca="false">N457*Scorecard!$D$18+O457*Scorecard!$D$19+P457*Scorecard!$D$20+Q457*Scorecard!$D$21+R457*Scorecard!$D$22+S457*Scorecard!$D$23</f>
        <v>2.95781671338774</v>
      </c>
      <c r="V457" s="38" t="n">
        <f aca="false">N457*Scorecard!$E$18+O457*Scorecard!$E$19+P457*Scorecard!$E$20+Q457*Scorecard!$E$21+R457*Scorecard!$E$22+S457*Scorecard!$E$23</f>
        <v>3.34337125241393</v>
      </c>
    </row>
    <row r="458" customFormat="false" ht="15" hidden="false" customHeight="false" outlineLevel="0" collapsed="false">
      <c r="A458" s="0" t="n">
        <v>453</v>
      </c>
      <c r="B458" s="38" t="n">
        <f aca="false">E458*Scorecard!$C$18+F458*Scorecard!$C$19+G458*Scorecard!$C$20+H458*Scorecard!$C$21+I458*Scorecard!$C$22+J458*Scorecard!$C$23</f>
        <v>3.52355476207608</v>
      </c>
      <c r="C458" s="38" t="n">
        <f aca="false">E458*Scorecard!$D$18+F458*Scorecard!$D$19+G458*Scorecard!$D$20+H458*Scorecard!$D$21+I458*Scorecard!$D$22+J458*Scorecard!$D$23</f>
        <v>2.39117307971541</v>
      </c>
      <c r="D458" s="0" t="str">
        <f aca="false">IF(AND(B458&gt;=C458,B458&gt;=K458),"A. Distribution",IF(C458&gt;=K458,"B. Manufacturing","C. Prof. services"))</f>
        <v>A. Distribution</v>
      </c>
      <c r="E458" s="39" t="n">
        <v>0.0141773702835235</v>
      </c>
      <c r="F458" s="39" t="n">
        <v>0.157710364094157</v>
      </c>
      <c r="G458" s="39" t="n">
        <v>0.0499417636685355</v>
      </c>
      <c r="H458" s="39" t="n">
        <v>0.189279037725387</v>
      </c>
      <c r="I458" s="39" t="n">
        <v>0.282580254558304</v>
      </c>
      <c r="J458" s="39" t="n">
        <v>0.306311209670094</v>
      </c>
      <c r="K458" s="38" t="n">
        <f aca="false">E458*Scorecard!$E$18+F458*Scorecard!$E$19+G458*Scorecard!$E$20+H458*Scorecard!$E$21+I458*Scorecard!$E$22+J458*Scorecard!$E$23</f>
        <v>3.42465199627165</v>
      </c>
      <c r="M458" s="0" t="str">
        <f aca="false">IF(AND(T458&gt;=U458,T458&gt;=V458),"A. Distribution",IF(U458&gt;=V458,"B. Manufacturing","C. Prof. services"))</f>
        <v>A. Distribution</v>
      </c>
      <c r="N458" s="39" t="n">
        <v>0.130347934429289</v>
      </c>
      <c r="O458" s="39" t="n">
        <v>0.176061312271387</v>
      </c>
      <c r="P458" s="39" t="n">
        <v>0.19200759985766</v>
      </c>
      <c r="Q458" s="39" t="n">
        <v>0.201128860728449</v>
      </c>
      <c r="R458" s="39" t="n">
        <v>0.191366424308973</v>
      </c>
      <c r="S458" s="39" t="n">
        <v>0.109087868404244</v>
      </c>
      <c r="T458" s="38" t="n">
        <f aca="false">N458*Scorecard!$C$18+O458*Scorecard!$C$19+P458*Scorecard!$C$20+Q458*Scorecard!$C$21+R458*Scorecard!$C$22+S458*Scorecard!$C$23</f>
        <v>3.92574860782382</v>
      </c>
      <c r="U458" s="38" t="n">
        <f aca="false">N458*Scorecard!$D$18+O458*Scorecard!$D$19+P458*Scorecard!$D$20+Q458*Scorecard!$D$21+R458*Scorecard!$D$22+S458*Scorecard!$D$23</f>
        <v>2.61640656050008</v>
      </c>
      <c r="V458" s="38" t="n">
        <f aca="false">N458*Scorecard!$E$18+O458*Scorecard!$E$19+P458*Scorecard!$E$20+Q458*Scorecard!$E$21+R458*Scorecard!$E$22+S458*Scorecard!$E$23</f>
        <v>3.39416828901338</v>
      </c>
    </row>
    <row r="459" customFormat="false" ht="15" hidden="false" customHeight="false" outlineLevel="0" collapsed="false">
      <c r="A459" s="0" t="n">
        <v>454</v>
      </c>
      <c r="B459" s="38" t="n">
        <f aca="false">E459*Scorecard!$C$18+F459*Scorecard!$C$19+G459*Scorecard!$C$20+H459*Scorecard!$C$21+I459*Scorecard!$C$22+J459*Scorecard!$C$23</f>
        <v>3.93097754522746</v>
      </c>
      <c r="C459" s="38" t="n">
        <f aca="false">E459*Scorecard!$D$18+F459*Scorecard!$D$19+G459*Scorecard!$D$20+H459*Scorecard!$D$21+I459*Scorecard!$D$22+J459*Scorecard!$D$23</f>
        <v>2.59025080681387</v>
      </c>
      <c r="D459" s="0" t="str">
        <f aca="false">IF(AND(B459&gt;=C459,B459&gt;=K459),"A. Distribution",IF(C459&gt;=K459,"B. Manufacturing","C. Prof. services"))</f>
        <v>A. Distribution</v>
      </c>
      <c r="E459" s="39" t="n">
        <v>0.0144420099921458</v>
      </c>
      <c r="F459" s="39" t="n">
        <v>0.154965089622405</v>
      </c>
      <c r="G459" s="39" t="n">
        <v>0.0211506976170907</v>
      </c>
      <c r="H459" s="39" t="n">
        <v>0.420317318791316</v>
      </c>
      <c r="I459" s="39" t="n">
        <v>0.30035558183194</v>
      </c>
      <c r="J459" s="39" t="n">
        <v>0.0887693021451027</v>
      </c>
      <c r="K459" s="38" t="n">
        <f aca="false">E459*Scorecard!$E$18+F459*Scorecard!$E$19+G459*Scorecard!$E$20+H459*Scorecard!$E$21+I459*Scorecard!$E$22+J459*Scorecard!$E$23</f>
        <v>3.21383730193629</v>
      </c>
      <c r="M459" s="0" t="str">
        <f aca="false">IF(AND(T459&gt;=U459,T459&gt;=V459),"A. Distribution",IF(U459&gt;=V459,"B. Manufacturing","C. Prof. services"))</f>
        <v>A. Distribution</v>
      </c>
      <c r="N459" s="39" t="n">
        <v>0.234279988390739</v>
      </c>
      <c r="O459" s="39" t="n">
        <v>0.190169275109201</v>
      </c>
      <c r="P459" s="39" t="n">
        <v>0.196002266768745</v>
      </c>
      <c r="Q459" s="39" t="n">
        <v>0.0660331385978893</v>
      </c>
      <c r="R459" s="39" t="n">
        <v>0.188972501677786</v>
      </c>
      <c r="S459" s="39" t="n">
        <v>0.12454282945564</v>
      </c>
      <c r="T459" s="38" t="n">
        <f aca="false">N459*Scorecard!$C$18+O459*Scorecard!$C$19+P459*Scorecard!$C$20+Q459*Scorecard!$C$21+R459*Scorecard!$C$22+S459*Scorecard!$C$23</f>
        <v>3.91515892278891</v>
      </c>
      <c r="U459" s="38" t="n">
        <f aca="false">N459*Scorecard!$D$18+O459*Scorecard!$D$19+P459*Scorecard!$D$20+Q459*Scorecard!$D$21+R459*Scorecard!$D$22+S459*Scorecard!$D$23</f>
        <v>2.78376589611955</v>
      </c>
      <c r="V459" s="38" t="n">
        <f aca="false">N459*Scorecard!$E$18+O459*Scorecard!$E$19+P459*Scorecard!$E$20+Q459*Scorecard!$E$21+R459*Scorecard!$E$22+S459*Scorecard!$E$23</f>
        <v>3.381241322834</v>
      </c>
    </row>
    <row r="460" customFormat="false" ht="15" hidden="false" customHeight="false" outlineLevel="0" collapsed="false">
      <c r="A460" s="0" t="n">
        <v>455</v>
      </c>
      <c r="B460" s="38" t="n">
        <f aca="false">E460*Scorecard!$C$18+F460*Scorecard!$C$19+G460*Scorecard!$C$20+H460*Scorecard!$C$21+I460*Scorecard!$C$22+J460*Scorecard!$C$23</f>
        <v>3.79616156972606</v>
      </c>
      <c r="C460" s="38" t="n">
        <f aca="false">E460*Scorecard!$D$18+F460*Scorecard!$D$19+G460*Scorecard!$D$20+H460*Scorecard!$D$21+I460*Scorecard!$D$22+J460*Scorecard!$D$23</f>
        <v>2.3243794539572</v>
      </c>
      <c r="D460" s="0" t="str">
        <f aca="false">IF(AND(B460&gt;=C460,B460&gt;=K460),"A. Distribution",IF(C460&gt;=K460,"B. Manufacturing","C. Prof. services"))</f>
        <v>A. Distribution</v>
      </c>
      <c r="E460" s="39" t="n">
        <v>0.0932023304064798</v>
      </c>
      <c r="F460" s="39" t="n">
        <v>0.153949010395901</v>
      </c>
      <c r="G460" s="39" t="n">
        <v>0.222195859059384</v>
      </c>
      <c r="H460" s="39" t="n">
        <v>0.352533106522132</v>
      </c>
      <c r="I460" s="39" t="n">
        <v>0.0219602549474552</v>
      </c>
      <c r="J460" s="39" t="n">
        <v>0.156159438668648</v>
      </c>
      <c r="K460" s="38" t="n">
        <f aca="false">E460*Scorecard!$E$18+F460*Scorecard!$E$19+G460*Scorecard!$E$20+H460*Scorecard!$E$21+I460*Scorecard!$E$22+J460*Scorecard!$E$23</f>
        <v>3.69553891705854</v>
      </c>
      <c r="M460" s="0" t="str">
        <f aca="false">IF(AND(T460&gt;=U460,T460&gt;=V460),"A. Distribution",IF(U460&gt;=V460,"B. Manufacturing","C. Prof. services"))</f>
        <v>A. Distribution</v>
      </c>
      <c r="N460" s="39" t="n">
        <v>0.175926360469451</v>
      </c>
      <c r="O460" s="39" t="n">
        <v>0.226311553837167</v>
      </c>
      <c r="P460" s="39" t="n">
        <v>0.159466233048396</v>
      </c>
      <c r="Q460" s="39" t="n">
        <v>0.240812331360269</v>
      </c>
      <c r="R460" s="39" t="n">
        <v>0.124939589603333</v>
      </c>
      <c r="S460" s="39" t="n">
        <v>0.0725439316813847</v>
      </c>
      <c r="T460" s="38" t="n">
        <f aca="false">N460*Scorecard!$C$18+O460*Scorecard!$C$19+P460*Scorecard!$C$20+Q460*Scorecard!$C$21+R460*Scorecard!$C$22+S460*Scorecard!$C$23</f>
        <v>4.04115146089564</v>
      </c>
      <c r="U460" s="38" t="n">
        <f aca="false">N460*Scorecard!$D$18+O460*Scorecard!$D$19+P460*Scorecard!$D$20+Q460*Scorecard!$D$21+R460*Scorecard!$D$22+S460*Scorecard!$D$23</f>
        <v>2.67655365387768</v>
      </c>
      <c r="V460" s="38" t="n">
        <f aca="false">N460*Scorecard!$E$18+O460*Scorecard!$E$19+P460*Scorecard!$E$20+Q460*Scorecard!$E$21+R460*Scorecard!$E$22+S460*Scorecard!$E$23</f>
        <v>3.39077116315034</v>
      </c>
    </row>
    <row r="461" customFormat="false" ht="15" hidden="false" customHeight="false" outlineLevel="0" collapsed="false">
      <c r="A461" s="0" t="n">
        <v>456</v>
      </c>
      <c r="B461" s="38" t="n">
        <f aca="false">E461*Scorecard!$C$18+F461*Scorecard!$C$19+G461*Scorecard!$C$20+H461*Scorecard!$C$21+I461*Scorecard!$C$22+J461*Scorecard!$C$23</f>
        <v>3.42558627177958</v>
      </c>
      <c r="C461" s="38" t="n">
        <f aca="false">E461*Scorecard!$D$18+F461*Scorecard!$D$19+G461*Scorecard!$D$20+H461*Scorecard!$D$21+I461*Scorecard!$D$22+J461*Scorecard!$D$23</f>
        <v>2.40239539540707</v>
      </c>
      <c r="D461" s="0" t="str">
        <f aca="false">IF(AND(B461&gt;=C461,B461&gt;=K461),"A. Distribution",IF(C461&gt;=K461,"B. Manufacturing","C. Prof. services"))</f>
        <v>C. Prof. services</v>
      </c>
      <c r="E461" s="39" t="n">
        <v>0.0839469595378943</v>
      </c>
      <c r="F461" s="39" t="n">
        <v>0.0559749222316425</v>
      </c>
      <c r="G461" s="39" t="n">
        <v>0.215518297158435</v>
      </c>
      <c r="H461" s="39" t="n">
        <v>0.0900361745847426</v>
      </c>
      <c r="I461" s="39" t="n">
        <v>0.24754996177768</v>
      </c>
      <c r="J461" s="39" t="n">
        <v>0.306973684709605</v>
      </c>
      <c r="K461" s="38" t="n">
        <f aca="false">E461*Scorecard!$E$18+F461*Scorecard!$E$19+G461*Scorecard!$E$20+H461*Scorecard!$E$21+I461*Scorecard!$E$22+J461*Scorecard!$E$23</f>
        <v>3.6025597531806</v>
      </c>
      <c r="M461" s="0" t="str">
        <f aca="false">IF(AND(T461&gt;=U461,T461&gt;=V461),"A. Distribution",IF(U461&gt;=V461,"B. Manufacturing","C. Prof. services"))</f>
        <v>A. Distribution</v>
      </c>
      <c r="N461" s="39" t="n">
        <v>0.201795128605938</v>
      </c>
      <c r="O461" s="39" t="n">
        <v>0.34413172484753</v>
      </c>
      <c r="P461" s="39" t="n">
        <v>0.133131074143217</v>
      </c>
      <c r="Q461" s="39" t="n">
        <v>0.147260645442887</v>
      </c>
      <c r="R461" s="39" t="n">
        <v>0.097168583176106</v>
      </c>
      <c r="S461" s="39" t="n">
        <v>0.0765128437843214</v>
      </c>
      <c r="T461" s="38" t="n">
        <f aca="false">N461*Scorecard!$C$18+O461*Scorecard!$C$19+P461*Scorecard!$C$20+Q461*Scorecard!$C$21+R461*Scorecard!$C$22+S461*Scorecard!$C$23</f>
        <v>4.15903713686881</v>
      </c>
      <c r="U461" s="38" t="n">
        <f aca="false">N461*Scorecard!$D$18+O461*Scorecard!$D$19+P461*Scorecard!$D$20+Q461*Scorecard!$D$21+R461*Scorecard!$D$22+S461*Scorecard!$D$23</f>
        <v>2.72496402631684</v>
      </c>
      <c r="V461" s="38" t="n">
        <f aca="false">N461*Scorecard!$E$18+O461*Scorecard!$E$19+P461*Scorecard!$E$20+Q461*Scorecard!$E$21+R461*Scorecard!$E$22+S461*Scorecard!$E$23</f>
        <v>3.31586130446214</v>
      </c>
    </row>
    <row r="462" customFormat="false" ht="15" hidden="false" customHeight="false" outlineLevel="0" collapsed="false">
      <c r="A462" s="0" t="n">
        <v>457</v>
      </c>
      <c r="B462" s="38" t="n">
        <f aca="false">E462*Scorecard!$C$18+F462*Scorecard!$C$19+G462*Scorecard!$C$20+H462*Scorecard!$C$21+I462*Scorecard!$C$22+J462*Scorecard!$C$23</f>
        <v>3.95496026447273</v>
      </c>
      <c r="C462" s="38" t="n">
        <f aca="false">E462*Scorecard!$D$18+F462*Scorecard!$D$19+G462*Scorecard!$D$20+H462*Scorecard!$D$21+I462*Scorecard!$D$22+J462*Scorecard!$D$23</f>
        <v>2.56602847824302</v>
      </c>
      <c r="D462" s="0" t="str">
        <f aca="false">IF(AND(B462&gt;=C462,B462&gt;=K462),"A. Distribution",IF(C462&gt;=K462,"B. Manufacturing","C. Prof. services"))</f>
        <v>A. Distribution</v>
      </c>
      <c r="E462" s="39" t="n">
        <v>0.062248156984986</v>
      </c>
      <c r="F462" s="39" t="n">
        <v>0.00223195424024723</v>
      </c>
      <c r="G462" s="39" t="n">
        <v>0.463644429709979</v>
      </c>
      <c r="H462" s="39" t="n">
        <v>0.16078769520199</v>
      </c>
      <c r="I462" s="39" t="n">
        <v>0.298613255022367</v>
      </c>
      <c r="J462" s="39" t="n">
        <v>0.0124745088404317</v>
      </c>
      <c r="K462" s="38" t="n">
        <f aca="false">E462*Scorecard!$E$18+F462*Scorecard!$E$19+G462*Scorecard!$E$20+H462*Scorecard!$E$21+I462*Scorecard!$E$22+J462*Scorecard!$E$23</f>
        <v>3.42215657935293</v>
      </c>
      <c r="M462" s="0" t="str">
        <f aca="false">IF(AND(T462&gt;=U462,T462&gt;=V462),"A. Distribution",IF(U462&gt;=V462,"B. Manufacturing","C. Prof. services"))</f>
        <v>A. Distribution</v>
      </c>
      <c r="N462" s="39" t="n">
        <v>0.111214980029984</v>
      </c>
      <c r="O462" s="39" t="n">
        <v>0.196194125161364</v>
      </c>
      <c r="P462" s="39" t="n">
        <v>0.164721442942292</v>
      </c>
      <c r="Q462" s="39" t="n">
        <v>0.174983836017049</v>
      </c>
      <c r="R462" s="39" t="n">
        <v>0.198411661955097</v>
      </c>
      <c r="S462" s="39" t="n">
        <v>0.154473953894214</v>
      </c>
      <c r="T462" s="38" t="n">
        <f aca="false">N462*Scorecard!$C$18+O462*Scorecard!$C$19+P462*Scorecard!$C$20+Q462*Scorecard!$C$21+R462*Scorecard!$C$22+S462*Scorecard!$C$23</f>
        <v>3.85946251463315</v>
      </c>
      <c r="U462" s="38" t="n">
        <f aca="false">N462*Scorecard!$D$18+O462*Scorecard!$D$19+P462*Scorecard!$D$20+Q462*Scorecard!$D$21+R462*Scorecard!$D$22+S462*Scorecard!$D$23</f>
        <v>2.56741999588332</v>
      </c>
      <c r="V462" s="38" t="n">
        <f aca="false">N462*Scorecard!$E$18+O462*Scorecard!$E$19+P462*Scorecard!$E$20+Q462*Scorecard!$E$21+R462*Scorecard!$E$22+S462*Scorecard!$E$23</f>
        <v>3.3991697883572</v>
      </c>
    </row>
    <row r="463" customFormat="false" ht="15" hidden="false" customHeight="false" outlineLevel="0" collapsed="false">
      <c r="A463" s="0" t="n">
        <v>458</v>
      </c>
      <c r="B463" s="38" t="n">
        <f aca="false">E463*Scorecard!$C$18+F463*Scorecard!$C$19+G463*Scorecard!$C$20+H463*Scorecard!$C$21+I463*Scorecard!$C$22+J463*Scorecard!$C$23</f>
        <v>3.75910541967354</v>
      </c>
      <c r="C463" s="38" t="n">
        <f aca="false">E463*Scorecard!$D$18+F463*Scorecard!$D$19+G463*Scorecard!$D$20+H463*Scorecard!$D$21+I463*Scorecard!$D$22+J463*Scorecard!$D$23</f>
        <v>2.99797307572248</v>
      </c>
      <c r="D463" s="0" t="str">
        <f aca="false">IF(AND(B463&gt;=C463,B463&gt;=K463),"A. Distribution",IF(C463&gt;=K463,"B. Manufacturing","C. Prof. services"))</f>
        <v>A. Distribution</v>
      </c>
      <c r="E463" s="39" t="n">
        <v>0.0475437234668564</v>
      </c>
      <c r="F463" s="39" t="n">
        <v>0.0210289734733342</v>
      </c>
      <c r="G463" s="39" t="n">
        <v>0.0838589441375218</v>
      </c>
      <c r="H463" s="39" t="n">
        <v>0.00300837972899177</v>
      </c>
      <c r="I463" s="39" t="n">
        <v>0.715668845673371</v>
      </c>
      <c r="J463" s="39" t="n">
        <v>0.128891133519925</v>
      </c>
      <c r="K463" s="38" t="n">
        <f aca="false">E463*Scorecard!$E$18+F463*Scorecard!$E$19+G463*Scorecard!$E$20+H463*Scorecard!$E$21+I463*Scorecard!$E$22+J463*Scorecard!$E$23</f>
        <v>2.82174605693909</v>
      </c>
      <c r="M463" s="0" t="str">
        <f aca="false">IF(AND(T463&gt;=U463,T463&gt;=V463),"A. Distribution",IF(U463&gt;=V463,"B. Manufacturing","C. Prof. services"))</f>
        <v>A. Distribution</v>
      </c>
      <c r="N463" s="39" t="n">
        <v>0.157206994130245</v>
      </c>
      <c r="O463" s="39" t="n">
        <v>0.226962394202539</v>
      </c>
      <c r="P463" s="39" t="n">
        <v>0.32463109391931</v>
      </c>
      <c r="Q463" s="39" t="n">
        <v>0.0890613923517611</v>
      </c>
      <c r="R463" s="39" t="n">
        <v>0.149766556546643</v>
      </c>
      <c r="S463" s="39" t="n">
        <v>0.0523715688495008</v>
      </c>
      <c r="T463" s="38" t="n">
        <f aca="false">N463*Scorecard!$C$18+O463*Scorecard!$C$19+P463*Scorecard!$C$20+Q463*Scorecard!$C$21+R463*Scorecard!$C$22+S463*Scorecard!$C$23</f>
        <v>4.10000119714536</v>
      </c>
      <c r="U463" s="38" t="n">
        <f aca="false">N463*Scorecard!$D$18+O463*Scorecard!$D$19+P463*Scorecard!$D$20+Q463*Scorecard!$D$21+R463*Scorecard!$D$22+S463*Scorecard!$D$23</f>
        <v>2.63785851945239</v>
      </c>
      <c r="V463" s="38" t="n">
        <f aca="false">N463*Scorecard!$E$18+O463*Scorecard!$E$19+P463*Scorecard!$E$20+Q463*Scorecard!$E$21+R463*Scorecard!$E$22+S463*Scorecard!$E$23</f>
        <v>3.39752159440956</v>
      </c>
    </row>
    <row r="464" customFormat="false" ht="15" hidden="false" customHeight="false" outlineLevel="0" collapsed="false">
      <c r="A464" s="0" t="n">
        <v>459</v>
      </c>
      <c r="B464" s="38" t="n">
        <f aca="false">E464*Scorecard!$C$18+F464*Scorecard!$C$19+G464*Scorecard!$C$20+H464*Scorecard!$C$21+I464*Scorecard!$C$22+J464*Scorecard!$C$23</f>
        <v>3.75381090981886</v>
      </c>
      <c r="C464" s="38" t="n">
        <f aca="false">E464*Scorecard!$D$18+F464*Scorecard!$D$19+G464*Scorecard!$D$20+H464*Scorecard!$D$21+I464*Scorecard!$D$22+J464*Scorecard!$D$23</f>
        <v>2.68879259287478</v>
      </c>
      <c r="D464" s="0" t="str">
        <f aca="false">IF(AND(B464&gt;=C464,B464&gt;=K464),"A. Distribution",IF(C464&gt;=K464,"B. Manufacturing","C. Prof. services"))</f>
        <v>A. Distribution</v>
      </c>
      <c r="E464" s="39" t="n">
        <v>0.138294751831673</v>
      </c>
      <c r="F464" s="39" t="n">
        <v>0.154598343695033</v>
      </c>
      <c r="G464" s="39" t="n">
        <v>0.153352852522614</v>
      </c>
      <c r="H464" s="39" t="n">
        <v>0.0573606110069254</v>
      </c>
      <c r="I464" s="39" t="n">
        <v>0.304641663347452</v>
      </c>
      <c r="J464" s="39" t="n">
        <v>0.191751777596303</v>
      </c>
      <c r="K464" s="38" t="n">
        <f aca="false">E464*Scorecard!$E$18+F464*Scorecard!$E$19+G464*Scorecard!$E$20+H464*Scorecard!$E$21+I464*Scorecard!$E$22+J464*Scorecard!$E$23</f>
        <v>3.31541133140576</v>
      </c>
      <c r="M464" s="0" t="str">
        <f aca="false">IF(AND(T464&gt;=U464,T464&gt;=V464),"A. Distribution",IF(U464&gt;=V464,"B. Manufacturing","C. Prof. services"))</f>
        <v>A. Distribution</v>
      </c>
      <c r="N464" s="39" t="n">
        <v>0.268557214328212</v>
      </c>
      <c r="O464" s="39" t="n">
        <v>0.225634317865148</v>
      </c>
      <c r="P464" s="39" t="n">
        <v>0.169970125767822</v>
      </c>
      <c r="Q464" s="39" t="n">
        <v>0.128550667278893</v>
      </c>
      <c r="R464" s="39" t="n">
        <v>0.0677347727014806</v>
      </c>
      <c r="S464" s="39" t="n">
        <v>0.139552902058445</v>
      </c>
      <c r="T464" s="38" t="n">
        <f aca="false">N464*Scorecard!$C$18+O464*Scorecard!$C$19+P464*Scorecard!$C$20+Q464*Scorecard!$C$21+R464*Scorecard!$C$22+S464*Scorecard!$C$23</f>
        <v>3.91111551211991</v>
      </c>
      <c r="U464" s="38" t="n">
        <f aca="false">N464*Scorecard!$D$18+O464*Scorecard!$D$19+P464*Scorecard!$D$20+Q464*Scorecard!$D$21+R464*Scorecard!$D$22+S464*Scorecard!$D$23</f>
        <v>2.72103084950578</v>
      </c>
      <c r="V464" s="38" t="n">
        <f aca="false">N464*Scorecard!$E$18+O464*Scorecard!$E$19+P464*Scorecard!$E$20+Q464*Scorecard!$E$21+R464*Scorecard!$E$22+S464*Scorecard!$E$23</f>
        <v>3.51083114482112</v>
      </c>
    </row>
    <row r="465" customFormat="false" ht="15" hidden="false" customHeight="false" outlineLevel="0" collapsed="false">
      <c r="A465" s="0" t="n">
        <v>460</v>
      </c>
      <c r="B465" s="38" t="n">
        <f aca="false">E465*Scorecard!$C$18+F465*Scorecard!$C$19+G465*Scorecard!$C$20+H465*Scorecard!$C$21+I465*Scorecard!$C$22+J465*Scorecard!$C$23</f>
        <v>3.80110489255991</v>
      </c>
      <c r="C465" s="38" t="n">
        <f aca="false">E465*Scorecard!$D$18+F465*Scorecard!$D$19+G465*Scorecard!$D$20+H465*Scorecard!$D$21+I465*Scorecard!$D$22+J465*Scorecard!$D$23</f>
        <v>2.89329618900376</v>
      </c>
      <c r="D465" s="0" t="str">
        <f aca="false">IF(AND(B465&gt;=C465,B465&gt;=K465),"A. Distribution",IF(C465&gt;=K465,"B. Manufacturing","C. Prof. services"))</f>
        <v>A. Distribution</v>
      </c>
      <c r="E465" s="39" t="n">
        <v>0.344818529864558</v>
      </c>
      <c r="F465" s="39" t="n">
        <v>0.0955951584318096</v>
      </c>
      <c r="G465" s="39" t="n">
        <v>0.220608340767883</v>
      </c>
      <c r="H465" s="39" t="n">
        <v>0.0662500348844528</v>
      </c>
      <c r="I465" s="39" t="n">
        <v>0.14289422650082</v>
      </c>
      <c r="J465" s="39" t="n">
        <v>0.129833709550476</v>
      </c>
      <c r="K465" s="38" t="n">
        <f aca="false">E465*Scorecard!$E$18+F465*Scorecard!$E$19+G465*Scorecard!$E$20+H465*Scorecard!$E$21+I465*Scorecard!$E$22+J465*Scorecard!$E$23</f>
        <v>3.51840081932819</v>
      </c>
      <c r="M465" s="0" t="str">
        <f aca="false">IF(AND(T465&gt;=U465,T465&gt;=V465),"A. Distribution",IF(U465&gt;=V465,"B. Manufacturing","C. Prof. services"))</f>
        <v>A. Distribution</v>
      </c>
      <c r="N465" s="39" t="n">
        <v>0.17188236981511</v>
      </c>
      <c r="O465" s="39" t="n">
        <v>0.147708632229942</v>
      </c>
      <c r="P465" s="39" t="n">
        <v>0.30750056971054</v>
      </c>
      <c r="Q465" s="39" t="n">
        <v>0.117582998304879</v>
      </c>
      <c r="R465" s="39" t="n">
        <v>0.105533753874427</v>
      </c>
      <c r="S465" s="39" t="n">
        <v>0.149791676065102</v>
      </c>
      <c r="T465" s="38" t="n">
        <f aca="false">N465*Scorecard!$C$18+O465*Scorecard!$C$19+P465*Scorecard!$C$20+Q465*Scorecard!$C$21+R465*Scorecard!$C$22+S465*Scorecard!$C$23</f>
        <v>3.82165576242413</v>
      </c>
      <c r="U465" s="38" t="n">
        <f aca="false">N465*Scorecard!$D$18+O465*Scorecard!$D$19+P465*Scorecard!$D$20+Q465*Scorecard!$D$21+R465*Scorecard!$D$22+S465*Scorecard!$D$23</f>
        <v>2.52621183655981</v>
      </c>
      <c r="V465" s="38" t="n">
        <f aca="false">N465*Scorecard!$E$18+O465*Scorecard!$E$19+P465*Scorecard!$E$20+Q465*Scorecard!$E$21+R465*Scorecard!$E$22+S465*Scorecard!$E$23</f>
        <v>3.59802942366657</v>
      </c>
    </row>
    <row r="466" customFormat="false" ht="15" hidden="false" customHeight="false" outlineLevel="0" collapsed="false">
      <c r="A466" s="0" t="n">
        <v>461</v>
      </c>
      <c r="B466" s="38" t="n">
        <f aca="false">E466*Scorecard!$C$18+F466*Scorecard!$C$19+G466*Scorecard!$C$20+H466*Scorecard!$C$21+I466*Scorecard!$C$22+J466*Scorecard!$C$23</f>
        <v>3.63326835057058</v>
      </c>
      <c r="C466" s="38" t="n">
        <f aca="false">E466*Scorecard!$D$18+F466*Scorecard!$D$19+G466*Scorecard!$D$20+H466*Scorecard!$D$21+I466*Scorecard!$D$22+J466*Scorecard!$D$23</f>
        <v>2.42375137658649</v>
      </c>
      <c r="D466" s="0" t="str">
        <f aca="false">IF(AND(B466&gt;=C466,B466&gt;=K466),"A. Distribution",IF(C466&gt;=K466,"B. Manufacturing","C. Prof. services"))</f>
        <v>A. Distribution</v>
      </c>
      <c r="E466" s="39" t="n">
        <v>0.0175936015346732</v>
      </c>
      <c r="F466" s="39" t="n">
        <v>0.0533001571067473</v>
      </c>
      <c r="G466" s="39" t="n">
        <v>0.366951946653195</v>
      </c>
      <c r="H466" s="39" t="n">
        <v>0.00623892311602138</v>
      </c>
      <c r="I466" s="39" t="n">
        <v>0.346941858870869</v>
      </c>
      <c r="J466" s="39" t="n">
        <v>0.208973512718495</v>
      </c>
      <c r="K466" s="38" t="n">
        <f aca="false">E466*Scorecard!$E$18+F466*Scorecard!$E$19+G466*Scorecard!$E$20+H466*Scorecard!$E$21+I466*Scorecard!$E$22+J466*Scorecard!$E$23</f>
        <v>3.45168538793954</v>
      </c>
      <c r="M466" s="0" t="str">
        <f aca="false">IF(AND(T466&gt;=U466,T466&gt;=V466),"A. Distribution",IF(U466&gt;=V466,"B. Manufacturing","C. Prof. services"))</f>
        <v>A. Distribution</v>
      </c>
      <c r="N466" s="39" t="n">
        <v>0.0895269983980998</v>
      </c>
      <c r="O466" s="39" t="n">
        <v>0.193780863041968</v>
      </c>
      <c r="P466" s="39" t="n">
        <v>0.161060564860916</v>
      </c>
      <c r="Q466" s="39" t="n">
        <v>0.160654391682962</v>
      </c>
      <c r="R466" s="39" t="n">
        <v>0.139986830082086</v>
      </c>
      <c r="S466" s="39" t="n">
        <v>0.254990351933969</v>
      </c>
      <c r="T466" s="38" t="n">
        <f aca="false">N466*Scorecard!$C$18+O466*Scorecard!$C$19+P466*Scorecard!$C$20+Q466*Scorecard!$C$21+R466*Scorecard!$C$22+S466*Scorecard!$C$23</f>
        <v>3.65930172050295</v>
      </c>
      <c r="U466" s="38" t="n">
        <f aca="false">N466*Scorecard!$D$18+O466*Scorecard!$D$19+P466*Scorecard!$D$20+Q466*Scorecard!$D$21+R466*Scorecard!$D$22+S466*Scorecard!$D$23</f>
        <v>2.38991538297398</v>
      </c>
      <c r="V466" s="38" t="n">
        <f aca="false">N466*Scorecard!$E$18+O466*Scorecard!$E$19+P466*Scorecard!$E$20+Q466*Scorecard!$E$21+R466*Scorecard!$E$22+S466*Scorecard!$E$23</f>
        <v>3.56522031725179</v>
      </c>
    </row>
    <row r="467" customFormat="false" ht="15" hidden="false" customHeight="false" outlineLevel="0" collapsed="false">
      <c r="A467" s="0" t="n">
        <v>462</v>
      </c>
      <c r="B467" s="38" t="n">
        <f aca="false">E467*Scorecard!$C$18+F467*Scorecard!$C$19+G467*Scorecard!$C$20+H467*Scorecard!$C$21+I467*Scorecard!$C$22+J467*Scorecard!$C$23</f>
        <v>3.7101368974182</v>
      </c>
      <c r="C467" s="38" t="n">
        <f aca="false">E467*Scorecard!$D$18+F467*Scorecard!$D$19+G467*Scorecard!$D$20+H467*Scorecard!$D$21+I467*Scorecard!$D$22+J467*Scorecard!$D$23</f>
        <v>3.02379548762967</v>
      </c>
      <c r="D467" s="0" t="str">
        <f aca="false">IF(AND(B467&gt;=C467,B467&gt;=K467),"A. Distribution",IF(C467&gt;=K467,"B. Manufacturing","C. Prof. services"))</f>
        <v>A. Distribution</v>
      </c>
      <c r="E467" s="39" t="n">
        <v>0.484319500441521</v>
      </c>
      <c r="F467" s="39" t="n">
        <v>0.00354256819697417</v>
      </c>
      <c r="G467" s="39" t="n">
        <v>0.0744932694113084</v>
      </c>
      <c r="H467" s="39" t="n">
        <v>0.327111222574946</v>
      </c>
      <c r="I467" s="39" t="n">
        <v>0.000896041693982793</v>
      </c>
      <c r="J467" s="39" t="n">
        <v>0.109637397681268</v>
      </c>
      <c r="K467" s="38" t="n">
        <f aca="false">E467*Scorecard!$E$18+F467*Scorecard!$E$19+G467*Scorecard!$E$20+H467*Scorecard!$E$21+I467*Scorecard!$E$22+J467*Scorecard!$E$23</f>
        <v>3.69994049708467</v>
      </c>
      <c r="M467" s="0" t="str">
        <f aca="false">IF(AND(T467&gt;=U467,T467&gt;=V467),"A. Distribution",IF(U467&gt;=V467,"B. Manufacturing","C. Prof. services"))</f>
        <v>A. Distribution</v>
      </c>
      <c r="N467" s="39" t="n">
        <v>0.179161961503147</v>
      </c>
      <c r="O467" s="39" t="n">
        <v>0.137859052367505</v>
      </c>
      <c r="P467" s="39" t="n">
        <v>0.164373812071895</v>
      </c>
      <c r="Q467" s="39" t="n">
        <v>0.149007125901851</v>
      </c>
      <c r="R467" s="39" t="n">
        <v>0.257646813700156</v>
      </c>
      <c r="S467" s="39" t="n">
        <v>0.111951234455446</v>
      </c>
      <c r="T467" s="38" t="n">
        <f aca="false">N467*Scorecard!$C$18+O467*Scorecard!$C$19+P467*Scorecard!$C$20+Q467*Scorecard!$C$21+R467*Scorecard!$C$22+S467*Scorecard!$C$23</f>
        <v>3.88351664267563</v>
      </c>
      <c r="U467" s="38" t="n">
        <f aca="false">N467*Scorecard!$D$18+O467*Scorecard!$D$19+P467*Scorecard!$D$20+Q467*Scorecard!$D$21+R467*Scorecard!$D$22+S467*Scorecard!$D$23</f>
        <v>2.76663928803546</v>
      </c>
      <c r="V467" s="38" t="n">
        <f aca="false">N467*Scorecard!$E$18+O467*Scorecard!$E$19+P467*Scorecard!$E$20+Q467*Scorecard!$E$21+R467*Scorecard!$E$22+S467*Scorecard!$E$23</f>
        <v>3.32343886383904</v>
      </c>
    </row>
    <row r="468" customFormat="false" ht="15" hidden="false" customHeight="false" outlineLevel="0" collapsed="false">
      <c r="A468" s="0" t="n">
        <v>463</v>
      </c>
      <c r="B468" s="38" t="n">
        <f aca="false">E468*Scorecard!$C$18+F468*Scorecard!$C$19+G468*Scorecard!$C$20+H468*Scorecard!$C$21+I468*Scorecard!$C$22+J468*Scorecard!$C$23</f>
        <v>4.05286208826521</v>
      </c>
      <c r="C468" s="38" t="n">
        <f aca="false">E468*Scorecard!$D$18+F468*Scorecard!$D$19+G468*Scorecard!$D$20+H468*Scorecard!$D$21+I468*Scorecard!$D$22+J468*Scorecard!$D$23</f>
        <v>2.65976849186196</v>
      </c>
      <c r="D468" s="0" t="str">
        <f aca="false">IF(AND(B468&gt;=C468,B468&gt;=K468),"A. Distribution",IF(C468&gt;=K468,"B. Manufacturing","C. Prof. services"))</f>
        <v>A. Distribution</v>
      </c>
      <c r="E468" s="39" t="n">
        <v>0.12158429517703</v>
      </c>
      <c r="F468" s="39" t="n">
        <v>0.0816990864625086</v>
      </c>
      <c r="G468" s="39" t="n">
        <v>0.381319438167718</v>
      </c>
      <c r="H468" s="39" t="n">
        <v>0.176051232975441</v>
      </c>
      <c r="I468" s="39" t="n">
        <v>0.239293065232573</v>
      </c>
      <c r="J468" s="39" t="n">
        <v>5.28819847293803E-005</v>
      </c>
      <c r="K468" s="38" t="n">
        <f aca="false">E468*Scorecard!$E$18+F468*Scorecard!$E$19+G468*Scorecard!$E$20+H468*Scorecard!$E$21+I468*Scorecard!$E$22+J468*Scorecard!$E$23</f>
        <v>3.38515787777312</v>
      </c>
      <c r="M468" s="0" t="str">
        <f aca="false">IF(AND(T468&gt;=U468,T468&gt;=V468),"A. Distribution",IF(U468&gt;=V468,"B. Manufacturing","C. Prof. services"))</f>
        <v>A. Distribution</v>
      </c>
      <c r="N468" s="39" t="n">
        <v>0.0972493446364127</v>
      </c>
      <c r="O468" s="39" t="n">
        <v>0.547244196877677</v>
      </c>
      <c r="P468" s="39" t="n">
        <v>0.20787000695888</v>
      </c>
      <c r="Q468" s="39" t="n">
        <v>0.0650925347405367</v>
      </c>
      <c r="R468" s="39" t="n">
        <v>0.0561467960867013</v>
      </c>
      <c r="S468" s="39" t="n">
        <v>0.0263971206997918</v>
      </c>
      <c r="T468" s="38" t="n">
        <f aca="false">N468*Scorecard!$C$18+O468*Scorecard!$C$19+P468*Scorecard!$C$20+Q468*Scorecard!$C$21+R468*Scorecard!$C$22+S468*Scorecard!$C$23</f>
        <v>4.47962836071802</v>
      </c>
      <c r="U468" s="38" t="n">
        <f aca="false">N468*Scorecard!$D$18+O468*Scorecard!$D$19+P468*Scorecard!$D$20+Q468*Scorecard!$D$21+R468*Scorecard!$D$22+S468*Scorecard!$D$23</f>
        <v>2.56739466876557</v>
      </c>
      <c r="V468" s="38" t="n">
        <f aca="false">N468*Scorecard!$E$18+O468*Scorecard!$E$19+P468*Scorecard!$E$20+Q468*Scorecard!$E$21+R468*Scorecard!$E$22+S468*Scorecard!$E$23</f>
        <v>3.19551823088251</v>
      </c>
    </row>
    <row r="469" customFormat="false" ht="15" hidden="false" customHeight="false" outlineLevel="0" collapsed="false">
      <c r="A469" s="0" t="n">
        <v>464</v>
      </c>
      <c r="B469" s="38" t="n">
        <f aca="false">E469*Scorecard!$C$18+F469*Scorecard!$C$19+G469*Scorecard!$C$20+H469*Scorecard!$C$21+I469*Scorecard!$C$22+J469*Scorecard!$C$23</f>
        <v>3.87197999554797</v>
      </c>
      <c r="C469" s="38" t="n">
        <f aca="false">E469*Scorecard!$D$18+F469*Scorecard!$D$19+G469*Scorecard!$D$20+H469*Scorecard!$D$21+I469*Scorecard!$D$22+J469*Scorecard!$D$23</f>
        <v>3.0429747008827</v>
      </c>
      <c r="D469" s="0" t="str">
        <f aca="false">IF(AND(B469&gt;=C469,B469&gt;=K469),"A. Distribution",IF(C469&gt;=K469,"B. Manufacturing","C. Prof. services"))</f>
        <v>A. Distribution</v>
      </c>
      <c r="E469" s="39" t="n">
        <v>0.26980179431792</v>
      </c>
      <c r="F469" s="39" t="n">
        <v>0.0275358862123163</v>
      </c>
      <c r="G469" s="39" t="n">
        <v>0.226877021030034</v>
      </c>
      <c r="H469" s="39" t="n">
        <v>0.0309279433635204</v>
      </c>
      <c r="I469" s="39" t="n">
        <v>0.37957641931943</v>
      </c>
      <c r="J469" s="39" t="n">
        <v>0.0652809357567795</v>
      </c>
      <c r="K469" s="38" t="n">
        <f aca="false">E469*Scorecard!$E$18+F469*Scorecard!$E$19+G469*Scorecard!$E$20+H469*Scorecard!$E$21+I469*Scorecard!$E$22+J469*Scorecard!$E$23</f>
        <v>3.22206687465209</v>
      </c>
      <c r="M469" s="0" t="str">
        <f aca="false">IF(AND(T469&gt;=U469,T469&gt;=V469),"A. Distribution",IF(U469&gt;=V469,"B. Manufacturing","C. Prof. services"))</f>
        <v>A. Distribution</v>
      </c>
      <c r="N469" s="39" t="n">
        <v>0.235295598716798</v>
      </c>
      <c r="O469" s="39" t="n">
        <v>0.239506571774539</v>
      </c>
      <c r="P469" s="39" t="n">
        <v>0.179320028470432</v>
      </c>
      <c r="Q469" s="39" t="n">
        <v>0.0810856181913461</v>
      </c>
      <c r="R469" s="39" t="n">
        <v>0.098960405062595</v>
      </c>
      <c r="S469" s="39" t="n">
        <v>0.16583177778429</v>
      </c>
      <c r="T469" s="38" t="n">
        <f aca="false">N469*Scorecard!$C$18+O469*Scorecard!$C$19+P469*Scorecard!$C$20+Q469*Scorecard!$C$21+R469*Scorecard!$C$22+S469*Scorecard!$C$23</f>
        <v>3.88021486921337</v>
      </c>
      <c r="U469" s="38" t="n">
        <f aca="false">N469*Scorecard!$D$18+O469*Scorecard!$D$19+P469*Scorecard!$D$20+Q469*Scorecard!$D$21+R469*Scorecard!$D$22+S469*Scorecard!$D$23</f>
        <v>2.67570248620967</v>
      </c>
      <c r="V469" s="38" t="n">
        <f aca="false">N469*Scorecard!$E$18+O469*Scorecard!$E$19+P469*Scorecard!$E$20+Q469*Scorecard!$E$21+R469*Scorecard!$E$22+S469*Scorecard!$E$23</f>
        <v>3.48749915560494</v>
      </c>
    </row>
    <row r="470" customFormat="false" ht="15" hidden="false" customHeight="false" outlineLevel="0" collapsed="false">
      <c r="A470" s="0" t="n">
        <v>465</v>
      </c>
      <c r="B470" s="38" t="n">
        <f aca="false">E470*Scorecard!$C$18+F470*Scorecard!$C$19+G470*Scorecard!$C$20+H470*Scorecard!$C$21+I470*Scorecard!$C$22+J470*Scorecard!$C$23</f>
        <v>4.05373011443858</v>
      </c>
      <c r="C470" s="38" t="n">
        <f aca="false">E470*Scorecard!$D$18+F470*Scorecard!$D$19+G470*Scorecard!$D$20+H470*Scorecard!$D$21+I470*Scorecard!$D$22+J470*Scorecard!$D$23</f>
        <v>2.5557391816196</v>
      </c>
      <c r="D470" s="0" t="str">
        <f aca="false">IF(AND(B470&gt;=C470,B470&gt;=K470),"A. Distribution",IF(C470&gt;=K470,"B. Manufacturing","C. Prof. services"))</f>
        <v>A. Distribution</v>
      </c>
      <c r="E470" s="39" t="n">
        <v>0.00691683005425188</v>
      </c>
      <c r="F470" s="39" t="n">
        <v>0.434386525909571</v>
      </c>
      <c r="G470" s="39" t="n">
        <v>0.0622136002283826</v>
      </c>
      <c r="H470" s="39" t="n">
        <v>0.00206259165961384</v>
      </c>
      <c r="I470" s="39" t="n">
        <v>0.304481034121753</v>
      </c>
      <c r="J470" s="39" t="n">
        <v>0.189939418026428</v>
      </c>
      <c r="K470" s="38" t="n">
        <f aca="false">E470*Scorecard!$E$18+F470*Scorecard!$E$19+G470*Scorecard!$E$20+H470*Scorecard!$E$21+I470*Scorecard!$E$22+J470*Scorecard!$E$23</f>
        <v>3.06408463068567</v>
      </c>
      <c r="M470" s="0" t="str">
        <f aca="false">IF(AND(T470&gt;=U470,T470&gt;=V470),"A. Distribution",IF(U470&gt;=V470,"B. Manufacturing","C. Prof. services"))</f>
        <v>A. Distribution</v>
      </c>
      <c r="N470" s="39" t="n">
        <v>0.183562185166103</v>
      </c>
      <c r="O470" s="39" t="n">
        <v>0.133839547184535</v>
      </c>
      <c r="P470" s="39" t="n">
        <v>0.217854946497102</v>
      </c>
      <c r="Q470" s="39" t="n">
        <v>0.176567982214417</v>
      </c>
      <c r="R470" s="39" t="n">
        <v>0.186002865072528</v>
      </c>
      <c r="S470" s="39" t="n">
        <v>0.102172473865315</v>
      </c>
      <c r="T470" s="38" t="n">
        <f aca="false">N470*Scorecard!$C$18+O470*Scorecard!$C$19+P470*Scorecard!$C$20+Q470*Scorecard!$C$21+R470*Scorecard!$C$22+S470*Scorecard!$C$23</f>
        <v>3.89573168047913</v>
      </c>
      <c r="U470" s="38" t="n">
        <f aca="false">N470*Scorecard!$D$18+O470*Scorecard!$D$19+P470*Scorecard!$D$20+Q470*Scorecard!$D$21+R470*Scorecard!$D$22+S470*Scorecard!$D$23</f>
        <v>2.6908345360878</v>
      </c>
      <c r="V470" s="38" t="n">
        <f aca="false">N470*Scorecard!$E$18+O470*Scorecard!$E$19+P470*Scorecard!$E$20+Q470*Scorecard!$E$21+R470*Scorecard!$E$22+S470*Scorecard!$E$23</f>
        <v>3.43154884052935</v>
      </c>
    </row>
    <row r="471" customFormat="false" ht="15" hidden="false" customHeight="false" outlineLevel="0" collapsed="false">
      <c r="A471" s="0" t="n">
        <v>466</v>
      </c>
      <c r="B471" s="38" t="n">
        <f aca="false">E471*Scorecard!$C$18+F471*Scorecard!$C$19+G471*Scorecard!$C$20+H471*Scorecard!$C$21+I471*Scorecard!$C$22+J471*Scorecard!$C$23</f>
        <v>4.19605335482606</v>
      </c>
      <c r="C471" s="38" t="n">
        <f aca="false">E471*Scorecard!$D$18+F471*Scorecard!$D$19+G471*Scorecard!$D$20+H471*Scorecard!$D$21+I471*Scorecard!$D$22+J471*Scorecard!$D$23</f>
        <v>2.88276578418498</v>
      </c>
      <c r="D471" s="0" t="str">
        <f aca="false">IF(AND(B471&gt;=C471,B471&gt;=K471),"A. Distribution",IF(C471&gt;=K471,"B. Manufacturing","C. Prof. services"))</f>
        <v>A. Distribution</v>
      </c>
      <c r="E471" s="39" t="n">
        <v>0.177868301898699</v>
      </c>
      <c r="F471" s="39" t="n">
        <v>0.386612867561296</v>
      </c>
      <c r="G471" s="39" t="n">
        <v>0.0381183970327954</v>
      </c>
      <c r="H471" s="39" t="n">
        <v>0.0533006477517687</v>
      </c>
      <c r="I471" s="39" t="n">
        <v>0.258831853310768</v>
      </c>
      <c r="J471" s="39" t="n">
        <v>0.0852679324446729</v>
      </c>
      <c r="K471" s="38" t="n">
        <f aca="false">E471*Scorecard!$E$18+F471*Scorecard!$E$19+G471*Scorecard!$E$20+H471*Scorecard!$E$21+I471*Scorecard!$E$22+J471*Scorecard!$E$23</f>
        <v>3.04270740699367</v>
      </c>
      <c r="M471" s="0" t="str">
        <f aca="false">IF(AND(T471&gt;=U471,T471&gt;=V471),"A. Distribution",IF(U471&gt;=V471,"B. Manufacturing","C. Prof. services"))</f>
        <v>A. Distribution</v>
      </c>
      <c r="N471" s="39" t="n">
        <v>0.214628116551778</v>
      </c>
      <c r="O471" s="39" t="n">
        <v>0.361079403747852</v>
      </c>
      <c r="P471" s="39" t="n">
        <v>0.138857168330981</v>
      </c>
      <c r="Q471" s="39" t="n">
        <v>0.146620062773334</v>
      </c>
      <c r="R471" s="39" t="n">
        <v>0.0551095618178949</v>
      </c>
      <c r="S471" s="39" t="n">
        <v>0.0837056867781612</v>
      </c>
      <c r="T471" s="38" t="n">
        <f aca="false">N471*Scorecard!$C$18+O471*Scorecard!$C$19+P471*Scorecard!$C$20+Q471*Scorecard!$C$21+R471*Scorecard!$C$22+S471*Scorecard!$C$23</f>
        <v>4.16063783376465</v>
      </c>
      <c r="U471" s="38" t="n">
        <f aca="false">N471*Scorecard!$D$18+O471*Scorecard!$D$19+P471*Scorecard!$D$20+Q471*Scorecard!$D$21+R471*Scorecard!$D$22+S471*Scorecard!$D$23</f>
        <v>2.70004764226043</v>
      </c>
      <c r="V471" s="38" t="n">
        <f aca="false">N471*Scorecard!$E$18+O471*Scorecard!$E$19+P471*Scorecard!$E$20+Q471*Scorecard!$E$21+R471*Scorecard!$E$22+S471*Scorecard!$E$23</f>
        <v>3.36309096047832</v>
      </c>
    </row>
    <row r="472" customFormat="false" ht="15" hidden="false" customHeight="false" outlineLevel="0" collapsed="false">
      <c r="A472" s="0" t="n">
        <v>467</v>
      </c>
      <c r="B472" s="38" t="n">
        <f aca="false">E472*Scorecard!$C$18+F472*Scorecard!$C$19+G472*Scorecard!$C$20+H472*Scorecard!$C$21+I472*Scorecard!$C$22+J472*Scorecard!$C$23</f>
        <v>4.27304769927042</v>
      </c>
      <c r="C472" s="38" t="n">
        <f aca="false">E472*Scorecard!$D$18+F472*Scorecard!$D$19+G472*Scorecard!$D$20+H472*Scorecard!$D$21+I472*Scorecard!$D$22+J472*Scorecard!$D$23</f>
        <v>2.95431462836522</v>
      </c>
      <c r="D472" s="0" t="str">
        <f aca="false">IF(AND(B472&gt;=C472,B472&gt;=K472),"A. Distribution",IF(C472&gt;=K472,"B. Manufacturing","C. Prof. services"))</f>
        <v>A. Distribution</v>
      </c>
      <c r="E472" s="39" t="n">
        <v>0.051055709336743</v>
      </c>
      <c r="F472" s="39" t="n">
        <v>0.29074792867691</v>
      </c>
      <c r="G472" s="39" t="n">
        <v>0.0749985113244488</v>
      </c>
      <c r="H472" s="39" t="n">
        <v>0.0723176940976485</v>
      </c>
      <c r="I472" s="39" t="n">
        <v>0.507975727892198</v>
      </c>
      <c r="J472" s="39" t="n">
        <v>0.00290442867205253</v>
      </c>
      <c r="K472" s="38" t="n">
        <f aca="false">E472*Scorecard!$E$18+F472*Scorecard!$E$19+G472*Scorecard!$E$20+H472*Scorecard!$E$21+I472*Scorecard!$E$22+J472*Scorecard!$E$23</f>
        <v>2.758062519402</v>
      </c>
      <c r="M472" s="0" t="str">
        <f aca="false">IF(AND(T472&gt;=U472,T472&gt;=V472),"A. Distribution",IF(U472&gt;=V472,"B. Manufacturing","C. Prof. services"))</f>
        <v>A. Distribution</v>
      </c>
      <c r="N472" s="39" t="n">
        <v>0.18017563923023</v>
      </c>
      <c r="O472" s="39" t="n">
        <v>0.233901929074184</v>
      </c>
      <c r="P472" s="39" t="n">
        <v>0.0684737425093066</v>
      </c>
      <c r="Q472" s="39" t="n">
        <v>0.13214259477213</v>
      </c>
      <c r="R472" s="39" t="n">
        <v>0.280668180928736</v>
      </c>
      <c r="S472" s="39" t="n">
        <v>0.104637913485413</v>
      </c>
      <c r="T472" s="38" t="n">
        <f aca="false">N472*Scorecard!$C$18+O472*Scorecard!$C$19+P472*Scorecard!$C$20+Q472*Scorecard!$C$21+R472*Scorecard!$C$22+S472*Scorecard!$C$23</f>
        <v>3.99592193953537</v>
      </c>
      <c r="U472" s="38" t="n">
        <f aca="false">N472*Scorecard!$D$18+O472*Scorecard!$D$19+P472*Scorecard!$D$20+Q472*Scorecard!$D$21+R472*Scorecard!$D$22+S472*Scorecard!$D$23</f>
        <v>2.84899770685853</v>
      </c>
      <c r="V472" s="38" t="n">
        <f aca="false">N472*Scorecard!$E$18+O472*Scorecard!$E$19+P472*Scorecard!$E$20+Q472*Scorecard!$E$21+R472*Scorecard!$E$22+S472*Scorecard!$E$23</f>
        <v>3.17161024220226</v>
      </c>
    </row>
    <row r="473" customFormat="false" ht="15" hidden="false" customHeight="false" outlineLevel="0" collapsed="false">
      <c r="A473" s="0" t="n">
        <v>468</v>
      </c>
      <c r="B473" s="38" t="n">
        <f aca="false">E473*Scorecard!$C$18+F473*Scorecard!$C$19+G473*Scorecard!$C$20+H473*Scorecard!$C$21+I473*Scorecard!$C$22+J473*Scorecard!$C$23</f>
        <v>3.71871832572228</v>
      </c>
      <c r="C473" s="38" t="n">
        <f aca="false">E473*Scorecard!$D$18+F473*Scorecard!$D$19+G473*Scorecard!$D$20+H473*Scorecard!$D$21+I473*Scorecard!$D$22+J473*Scorecard!$D$23</f>
        <v>2.75467705548361</v>
      </c>
      <c r="D473" s="0" t="str">
        <f aca="false">IF(AND(B473&gt;=C473,B473&gt;=K473),"A. Distribution",IF(C473&gt;=K473,"B. Manufacturing","C. Prof. services"))</f>
        <v>A. Distribution</v>
      </c>
      <c r="E473" s="39" t="n">
        <v>0.333129253056793</v>
      </c>
      <c r="F473" s="39" t="n">
        <v>0.0447459408147378</v>
      </c>
      <c r="G473" s="39" t="n">
        <v>0.362804965075747</v>
      </c>
      <c r="H473" s="39" t="n">
        <v>0.0153614757082552</v>
      </c>
      <c r="I473" s="39" t="n">
        <v>0.0951450979772327</v>
      </c>
      <c r="J473" s="39" t="n">
        <v>0.148813267367234</v>
      </c>
      <c r="K473" s="38" t="n">
        <f aca="false">E473*Scorecard!$E$18+F473*Scorecard!$E$19+G473*Scorecard!$E$20+H473*Scorecard!$E$21+I473*Scorecard!$E$22+J473*Scorecard!$E$23</f>
        <v>3.6907491992651</v>
      </c>
      <c r="M473" s="0" t="str">
        <f aca="false">IF(AND(T473&gt;=U473,T473&gt;=V473),"A. Distribution",IF(U473&gt;=V473,"B. Manufacturing","C. Prof. services"))</f>
        <v>A. Distribution</v>
      </c>
      <c r="N473" s="39" t="n">
        <v>0.125240213524265</v>
      </c>
      <c r="O473" s="39" t="n">
        <v>0.188149645283872</v>
      </c>
      <c r="P473" s="39" t="n">
        <v>0.270733179265917</v>
      </c>
      <c r="Q473" s="39" t="n">
        <v>0.116562247485503</v>
      </c>
      <c r="R473" s="39" t="n">
        <v>0.182866238858183</v>
      </c>
      <c r="S473" s="39" t="n">
        <v>0.116448475582261</v>
      </c>
      <c r="T473" s="38" t="n">
        <f aca="false">N473*Scorecard!$C$18+O473*Scorecard!$C$19+P473*Scorecard!$C$20+Q473*Scorecard!$C$21+R473*Scorecard!$C$22+S473*Scorecard!$C$23</f>
        <v>3.93263791110416</v>
      </c>
      <c r="U473" s="38" t="n">
        <f aca="false">N473*Scorecard!$D$18+O473*Scorecard!$D$19+P473*Scorecard!$D$20+Q473*Scorecard!$D$21+R473*Scorecard!$D$22+S473*Scorecard!$D$23</f>
        <v>2.57274656321711</v>
      </c>
      <c r="V473" s="38" t="n">
        <f aca="false">N473*Scorecard!$E$18+O473*Scorecard!$E$19+P473*Scorecard!$E$20+Q473*Scorecard!$E$21+R473*Scorecard!$E$22+S473*Scorecard!$E$23</f>
        <v>3.42777879421512</v>
      </c>
    </row>
    <row r="474" customFormat="false" ht="15" hidden="false" customHeight="false" outlineLevel="0" collapsed="false">
      <c r="A474" s="0" t="n">
        <v>469</v>
      </c>
      <c r="B474" s="38" t="n">
        <f aca="false">E474*Scorecard!$C$18+F474*Scorecard!$C$19+G474*Scorecard!$C$20+H474*Scorecard!$C$21+I474*Scorecard!$C$22+J474*Scorecard!$C$23</f>
        <v>3.21410901848972</v>
      </c>
      <c r="C474" s="38" t="n">
        <f aca="false">E474*Scorecard!$D$18+F474*Scorecard!$D$19+G474*Scorecard!$D$20+H474*Scorecard!$D$21+I474*Scorecard!$D$22+J474*Scorecard!$D$23</f>
        <v>2.58133586083766</v>
      </c>
      <c r="D474" s="0" t="str">
        <f aca="false">IF(AND(B474&gt;=C474,B474&gt;=K474),"A. Distribution",IF(C474&gt;=K474,"B. Manufacturing","C. Prof. services"))</f>
        <v>C. Prof. services</v>
      </c>
      <c r="E474" s="39" t="n">
        <v>0.327338117623023</v>
      </c>
      <c r="F474" s="39" t="n">
        <v>0.0225582778620801</v>
      </c>
      <c r="G474" s="39" t="n">
        <v>0.0213380541980895</v>
      </c>
      <c r="H474" s="39" t="n">
        <v>0.227418265457611</v>
      </c>
      <c r="I474" s="39" t="n">
        <v>0.0225153413329408</v>
      </c>
      <c r="J474" s="39" t="n">
        <v>0.378831943526255</v>
      </c>
      <c r="K474" s="38" t="n">
        <f aca="false">E474*Scorecard!$E$18+F474*Scorecard!$E$19+G474*Scorecard!$E$20+H474*Scorecard!$E$21+I474*Scorecard!$E$22+J474*Scorecard!$E$23</f>
        <v>3.88687100679942</v>
      </c>
      <c r="M474" s="0" t="str">
        <f aca="false">IF(AND(T474&gt;=U474,T474&gt;=V474),"A. Distribution",IF(U474&gt;=V474,"B. Manufacturing","C. Prof. services"))</f>
        <v>A. Distribution</v>
      </c>
      <c r="N474" s="39" t="n">
        <v>0.194826599293148</v>
      </c>
      <c r="O474" s="39" t="n">
        <v>0.109258592247158</v>
      </c>
      <c r="P474" s="39" t="n">
        <v>0.145317704288122</v>
      </c>
      <c r="Q474" s="39" t="n">
        <v>0.353167439266501</v>
      </c>
      <c r="R474" s="39" t="n">
        <v>0.119401613781494</v>
      </c>
      <c r="S474" s="39" t="n">
        <v>0.0780280511235773</v>
      </c>
      <c r="T474" s="38" t="n">
        <f aca="false">N474*Scorecard!$C$18+O474*Scorecard!$C$19+P474*Scorecard!$C$20+Q474*Scorecard!$C$21+R474*Scorecard!$C$22+S474*Scorecard!$C$23</f>
        <v>3.89950649245165</v>
      </c>
      <c r="U474" s="38" t="n">
        <f aca="false">N474*Scorecard!$D$18+O474*Scorecard!$D$19+P474*Scorecard!$D$20+Q474*Scorecard!$D$21+R474*Scorecard!$D$22+S474*Scorecard!$D$23</f>
        <v>2.67549047554009</v>
      </c>
      <c r="V474" s="38" t="n">
        <f aca="false">N474*Scorecard!$E$18+O474*Scorecard!$E$19+P474*Scorecard!$E$20+Q474*Scorecard!$E$21+R474*Scorecard!$E$22+S474*Scorecard!$E$23</f>
        <v>3.49647183432492</v>
      </c>
    </row>
    <row r="475" customFormat="false" ht="15" hidden="false" customHeight="false" outlineLevel="0" collapsed="false">
      <c r="A475" s="0" t="n">
        <v>470</v>
      </c>
      <c r="B475" s="38" t="n">
        <f aca="false">E475*Scorecard!$C$18+F475*Scorecard!$C$19+G475*Scorecard!$C$20+H475*Scorecard!$C$21+I475*Scorecard!$C$22+J475*Scorecard!$C$23</f>
        <v>3.80090244869707</v>
      </c>
      <c r="C475" s="38" t="n">
        <f aca="false">E475*Scorecard!$D$18+F475*Scorecard!$D$19+G475*Scorecard!$D$20+H475*Scorecard!$D$21+I475*Scorecard!$D$22+J475*Scorecard!$D$23</f>
        <v>3.03898419742183</v>
      </c>
      <c r="D475" s="0" t="str">
        <f aca="false">IF(AND(B475&gt;=C475,B475&gt;=K475),"A. Distribution",IF(C475&gt;=K475,"B. Manufacturing","C. Prof. services"))</f>
        <v>A. Distribution</v>
      </c>
      <c r="E475" s="39" t="n">
        <v>0.253027078917533</v>
      </c>
      <c r="F475" s="39" t="n">
        <v>0.0206053148369466</v>
      </c>
      <c r="G475" s="39" t="n">
        <v>0.197445589118657</v>
      </c>
      <c r="H475" s="39" t="n">
        <v>0.00672028953013795</v>
      </c>
      <c r="I475" s="39" t="n">
        <v>0.422869715775249</v>
      </c>
      <c r="J475" s="39" t="n">
        <v>0.099332011821477</v>
      </c>
      <c r="K475" s="38" t="n">
        <f aca="false">E475*Scorecard!$E$18+F475*Scorecard!$E$19+G475*Scorecard!$E$20+H475*Scorecard!$E$21+I475*Scorecard!$E$22+J475*Scorecard!$E$23</f>
        <v>3.19152550143939</v>
      </c>
      <c r="M475" s="0" t="str">
        <f aca="false">IF(AND(T475&gt;=U475,T475&gt;=V475),"A. Distribution",IF(U475&gt;=V475,"B. Manufacturing","C. Prof. services"))</f>
        <v>A. Distribution</v>
      </c>
      <c r="N475" s="39" t="n">
        <v>0.149650579000779</v>
      </c>
      <c r="O475" s="39" t="n">
        <v>0.236238697728849</v>
      </c>
      <c r="P475" s="39" t="n">
        <v>0.293084052157204</v>
      </c>
      <c r="Q475" s="39" t="n">
        <v>0.110568681543238</v>
      </c>
      <c r="R475" s="39" t="n">
        <v>0.122601641328278</v>
      </c>
      <c r="S475" s="39" t="n">
        <v>0.0878563482416529</v>
      </c>
      <c r="T475" s="38" t="n">
        <f aca="false">N475*Scorecard!$C$18+O475*Scorecard!$C$19+P475*Scorecard!$C$20+Q475*Scorecard!$C$21+R475*Scorecard!$C$22+S475*Scorecard!$C$23</f>
        <v>4.03659719903392</v>
      </c>
      <c r="U475" s="38" t="n">
        <f aca="false">N475*Scorecard!$D$18+O475*Scorecard!$D$19+P475*Scorecard!$D$20+Q475*Scorecard!$D$21+R475*Scorecard!$D$22+S475*Scorecard!$D$23</f>
        <v>2.57980878367801</v>
      </c>
      <c r="V475" s="38" t="n">
        <f aca="false">N475*Scorecard!$E$18+O475*Scorecard!$E$19+P475*Scorecard!$E$20+Q475*Scorecard!$E$21+R475*Scorecard!$E$22+S475*Scorecard!$E$23</f>
        <v>3.44619438097898</v>
      </c>
    </row>
    <row r="476" customFormat="false" ht="15" hidden="false" customHeight="false" outlineLevel="0" collapsed="false">
      <c r="A476" s="0" t="n">
        <v>471</v>
      </c>
      <c r="B476" s="38" t="n">
        <f aca="false">E476*Scorecard!$C$18+F476*Scorecard!$C$19+G476*Scorecard!$C$20+H476*Scorecard!$C$21+I476*Scorecard!$C$22+J476*Scorecard!$C$23</f>
        <v>3.55931380537053</v>
      </c>
      <c r="C476" s="38" t="n">
        <f aca="false">E476*Scorecard!$D$18+F476*Scorecard!$D$19+G476*Scorecard!$D$20+H476*Scorecard!$D$21+I476*Scorecard!$D$22+J476*Scorecard!$D$23</f>
        <v>2.400067787559</v>
      </c>
      <c r="D476" s="0" t="str">
        <f aca="false">IF(AND(B476&gt;=C476,B476&gt;=K476),"A. Distribution",IF(C476&gt;=K476,"B. Manufacturing","C. Prof. services"))</f>
        <v>C. Prof. services</v>
      </c>
      <c r="E476" s="39" t="n">
        <v>0.198898518125857</v>
      </c>
      <c r="F476" s="39" t="n">
        <v>0.196824392861826</v>
      </c>
      <c r="G476" s="39" t="n">
        <v>0.161767429269637</v>
      </c>
      <c r="H476" s="39" t="n">
        <v>0.13468968437443</v>
      </c>
      <c r="I476" s="39" t="n">
        <v>0.00430558785936425</v>
      </c>
      <c r="J476" s="39" t="n">
        <v>0.303514387508886</v>
      </c>
      <c r="K476" s="38" t="n">
        <f aca="false">E476*Scorecard!$E$18+F476*Scorecard!$E$19+G476*Scorecard!$E$20+H476*Scorecard!$E$21+I476*Scorecard!$E$22+J476*Scorecard!$E$23</f>
        <v>3.76579063879601</v>
      </c>
      <c r="M476" s="0" t="str">
        <f aca="false">IF(AND(T476&gt;=U476,T476&gt;=V476),"A. Distribution",IF(U476&gt;=V476,"B. Manufacturing","C. Prof. services"))</f>
        <v>A. Distribution</v>
      </c>
      <c r="N476" s="39" t="n">
        <v>0.263194117418988</v>
      </c>
      <c r="O476" s="39" t="n">
        <v>0.178446046632148</v>
      </c>
      <c r="P476" s="39" t="n">
        <v>0.186651097836993</v>
      </c>
      <c r="Q476" s="39" t="n">
        <v>0.0991168976348202</v>
      </c>
      <c r="R476" s="39" t="n">
        <v>0.153408998784235</v>
      </c>
      <c r="S476" s="39" t="n">
        <v>0.119182841692815</v>
      </c>
      <c r="T476" s="38" t="n">
        <f aca="false">N476*Scorecard!$C$18+O476*Scorecard!$C$19+P476*Scorecard!$C$20+Q476*Scorecard!$C$21+R476*Scorecard!$C$22+S476*Scorecard!$C$23</f>
        <v>3.90826945330711</v>
      </c>
      <c r="U476" s="38" t="n">
        <f aca="false">N476*Scorecard!$D$18+O476*Scorecard!$D$19+P476*Scorecard!$D$20+Q476*Scorecard!$D$21+R476*Scorecard!$D$22+S476*Scorecard!$D$23</f>
        <v>2.80099009154392</v>
      </c>
      <c r="V476" s="38" t="n">
        <f aca="false">N476*Scorecard!$E$18+O476*Scorecard!$E$19+P476*Scorecard!$E$20+Q476*Scorecard!$E$21+R476*Scorecard!$E$22+S476*Scorecard!$E$23</f>
        <v>3.42657121644245</v>
      </c>
    </row>
    <row r="477" customFormat="false" ht="15" hidden="false" customHeight="false" outlineLevel="0" collapsed="false">
      <c r="A477" s="0" t="n">
        <v>472</v>
      </c>
      <c r="B477" s="38" t="n">
        <f aca="false">E477*Scorecard!$C$18+F477*Scorecard!$C$19+G477*Scorecard!$C$20+H477*Scorecard!$C$21+I477*Scorecard!$C$22+J477*Scorecard!$C$23</f>
        <v>3.89241789520484</v>
      </c>
      <c r="C477" s="38" t="n">
        <f aca="false">E477*Scorecard!$D$18+F477*Scorecard!$D$19+G477*Scorecard!$D$20+H477*Scorecard!$D$21+I477*Scorecard!$D$22+J477*Scorecard!$D$23</f>
        <v>2.90568304920983</v>
      </c>
      <c r="D477" s="0" t="str">
        <f aca="false">IF(AND(B477&gt;=C477,B477&gt;=K477),"A. Distribution",IF(C477&gt;=K477,"B. Manufacturing","C. Prof. services"))</f>
        <v>A. Distribution</v>
      </c>
      <c r="E477" s="39" t="n">
        <v>0.391485356399674</v>
      </c>
      <c r="F477" s="39" t="n">
        <v>0.121551261272614</v>
      </c>
      <c r="G477" s="39" t="n">
        <v>0.179461809583157</v>
      </c>
      <c r="H477" s="39" t="n">
        <v>0.190593652313545</v>
      </c>
      <c r="I477" s="39" t="n">
        <v>0.0283250740816898</v>
      </c>
      <c r="J477" s="39" t="n">
        <v>0.0885828463493216</v>
      </c>
      <c r="K477" s="38" t="n">
        <f aca="false">E477*Scorecard!$E$18+F477*Scorecard!$E$19+G477*Scorecard!$E$20+H477*Scorecard!$E$21+I477*Scorecard!$E$22+J477*Scorecard!$E$23</f>
        <v>3.59369619691494</v>
      </c>
      <c r="M477" s="0" t="str">
        <f aca="false">IF(AND(T477&gt;=U477,T477&gt;=V477),"A. Distribution",IF(U477&gt;=V477,"B. Manufacturing","C. Prof. services"))</f>
        <v>A. Distribution</v>
      </c>
      <c r="N477" s="39" t="n">
        <v>0.199717617397927</v>
      </c>
      <c r="O477" s="39" t="n">
        <v>0.308236756424251</v>
      </c>
      <c r="P477" s="39" t="n">
        <v>0.108024445879153</v>
      </c>
      <c r="Q477" s="39" t="n">
        <v>0.113083561863574</v>
      </c>
      <c r="R477" s="39" t="n">
        <v>0.100039565600197</v>
      </c>
      <c r="S477" s="39" t="n">
        <v>0.170898052834898</v>
      </c>
      <c r="T477" s="38" t="n">
        <f aca="false">N477*Scorecard!$C$18+O477*Scorecard!$C$19+P477*Scorecard!$C$20+Q477*Scorecard!$C$21+R477*Scorecard!$C$22+S477*Scorecard!$C$23</f>
        <v>3.93822114782365</v>
      </c>
      <c r="U477" s="38" t="n">
        <f aca="false">N477*Scorecard!$D$18+O477*Scorecard!$D$19+P477*Scorecard!$D$20+Q477*Scorecard!$D$21+R477*Scorecard!$D$22+S477*Scorecard!$D$23</f>
        <v>2.64838896195744</v>
      </c>
      <c r="V477" s="38" t="n">
        <f aca="false">N477*Scorecard!$E$18+O477*Scorecard!$E$19+P477*Scorecard!$E$20+Q477*Scorecard!$E$21+R477*Scorecard!$E$22+S477*Scorecard!$E$23</f>
        <v>3.41339558922266</v>
      </c>
    </row>
    <row r="478" customFormat="false" ht="15" hidden="false" customHeight="false" outlineLevel="0" collapsed="false">
      <c r="A478" s="0" t="n">
        <v>473</v>
      </c>
      <c r="B478" s="38" t="n">
        <f aca="false">E478*Scorecard!$C$18+F478*Scorecard!$C$19+G478*Scorecard!$C$20+H478*Scorecard!$C$21+I478*Scorecard!$C$22+J478*Scorecard!$C$23</f>
        <v>3.79813794059481</v>
      </c>
      <c r="C478" s="38" t="n">
        <f aca="false">E478*Scorecard!$D$18+F478*Scorecard!$D$19+G478*Scorecard!$D$20+H478*Scorecard!$D$21+I478*Scorecard!$D$22+J478*Scorecard!$D$23</f>
        <v>2.23927137529182</v>
      </c>
      <c r="D478" s="0" t="str">
        <f aca="false">IF(AND(B478&gt;=C478,B478&gt;=K478),"A. Distribution",IF(C478&gt;=K478,"B. Manufacturing","C. Prof. services"))</f>
        <v>A. Distribution</v>
      </c>
      <c r="E478" s="39" t="n">
        <v>0.00350877746196051</v>
      </c>
      <c r="F478" s="39" t="n">
        <v>0.154902467918533</v>
      </c>
      <c r="G478" s="39" t="n">
        <v>0.0928957160068209</v>
      </c>
      <c r="H478" s="39" t="n">
        <v>0.55330971030664</v>
      </c>
      <c r="I478" s="39" t="n">
        <v>0.0469516418367902</v>
      </c>
      <c r="J478" s="39" t="n">
        <v>0.148431686469256</v>
      </c>
      <c r="K478" s="38" t="n">
        <f aca="false">E478*Scorecard!$E$18+F478*Scorecard!$E$19+G478*Scorecard!$E$20+H478*Scorecard!$E$21+I478*Scorecard!$E$22+J478*Scorecard!$E$23</f>
        <v>3.62805972178821</v>
      </c>
      <c r="M478" s="0" t="str">
        <f aca="false">IF(AND(T478&gt;=U478,T478&gt;=V478),"A. Distribution",IF(U478&gt;=V478,"B. Manufacturing","C. Prof. services"))</f>
        <v>A. Distribution</v>
      </c>
      <c r="N478" s="39" t="n">
        <v>0.332253768368868</v>
      </c>
      <c r="O478" s="39" t="n">
        <v>0.119216811564565</v>
      </c>
      <c r="P478" s="39" t="n">
        <v>0.188372948213426</v>
      </c>
      <c r="Q478" s="39" t="n">
        <v>0.154111526915235</v>
      </c>
      <c r="R478" s="39" t="n">
        <v>0.0820677387491079</v>
      </c>
      <c r="S478" s="39" t="n">
        <v>0.123977206188799</v>
      </c>
      <c r="T478" s="38" t="n">
        <f aca="false">N478*Scorecard!$C$18+O478*Scorecard!$C$19+P478*Scorecard!$C$20+Q478*Scorecard!$C$21+R478*Scorecard!$C$22+S478*Scorecard!$C$23</f>
        <v>3.8279812092318</v>
      </c>
      <c r="U478" s="38" t="n">
        <f aca="false">N478*Scorecard!$D$18+O478*Scorecard!$D$19+P478*Scorecard!$D$20+Q478*Scorecard!$D$21+R478*Scorecard!$D$22+S478*Scorecard!$D$23</f>
        <v>2.82789650244726</v>
      </c>
      <c r="V478" s="38" t="n">
        <f aca="false">N478*Scorecard!$E$18+O478*Scorecard!$E$19+P478*Scorecard!$E$20+Q478*Scorecard!$E$21+R478*Scorecard!$E$22+S478*Scorecard!$E$23</f>
        <v>3.56615933579785</v>
      </c>
    </row>
    <row r="479" customFormat="false" ht="15" hidden="false" customHeight="false" outlineLevel="0" collapsed="false">
      <c r="A479" s="0" t="n">
        <v>474</v>
      </c>
      <c r="B479" s="38" t="n">
        <f aca="false">E479*Scorecard!$C$18+F479*Scorecard!$C$19+G479*Scorecard!$C$20+H479*Scorecard!$C$21+I479*Scorecard!$C$22+J479*Scorecard!$C$23</f>
        <v>3.99074099535727</v>
      </c>
      <c r="C479" s="38" t="n">
        <f aca="false">E479*Scorecard!$D$18+F479*Scorecard!$D$19+G479*Scorecard!$D$20+H479*Scorecard!$D$21+I479*Scorecard!$D$22+J479*Scorecard!$D$23</f>
        <v>2.71840638587227</v>
      </c>
      <c r="D479" s="0" t="str">
        <f aca="false">IF(AND(B479&gt;=C479,B479&gt;=K479),"A. Distribution",IF(C479&gt;=K479,"B. Manufacturing","C. Prof. services"))</f>
        <v>A. Distribution</v>
      </c>
      <c r="E479" s="39" t="n">
        <v>0.00894109824158966</v>
      </c>
      <c r="F479" s="39" t="n">
        <v>0.046629238125709</v>
      </c>
      <c r="G479" s="39" t="n">
        <v>0.122562516617076</v>
      </c>
      <c r="H479" s="39" t="n">
        <v>0.392262795940447</v>
      </c>
      <c r="I479" s="39" t="n">
        <v>0.423152428870155</v>
      </c>
      <c r="J479" s="39" t="n">
        <v>0.00645192220502426</v>
      </c>
      <c r="K479" s="38" t="n">
        <f aca="false">E479*Scorecard!$E$18+F479*Scorecard!$E$19+G479*Scorecard!$E$20+H479*Scorecard!$E$21+I479*Scorecard!$E$22+J479*Scorecard!$E$23</f>
        <v>3.10944615260447</v>
      </c>
      <c r="M479" s="0" t="str">
        <f aca="false">IF(AND(T479&gt;=U479,T479&gt;=V479),"A. Distribution",IF(U479&gt;=V479,"B. Manufacturing","C. Prof. services"))</f>
        <v>A. Distribution</v>
      </c>
      <c r="N479" s="39" t="n">
        <v>0.145494455770522</v>
      </c>
      <c r="O479" s="39" t="n">
        <v>0.375486117602651</v>
      </c>
      <c r="P479" s="39" t="n">
        <v>0.206671748661411</v>
      </c>
      <c r="Q479" s="39" t="n">
        <v>0.110337420065721</v>
      </c>
      <c r="R479" s="39" t="n">
        <v>0.0800098868310362</v>
      </c>
      <c r="S479" s="39" t="n">
        <v>0.0820003710686595</v>
      </c>
      <c r="T479" s="38" t="n">
        <f aca="false">N479*Scorecard!$C$18+O479*Scorecard!$C$19+P479*Scorecard!$C$20+Q479*Scorecard!$C$21+R479*Scorecard!$C$22+S479*Scorecard!$C$23</f>
        <v>4.18791517353118</v>
      </c>
      <c r="U479" s="38" t="n">
        <f aca="false">N479*Scorecard!$D$18+O479*Scorecard!$D$19+P479*Scorecard!$D$20+Q479*Scorecard!$D$21+R479*Scorecard!$D$22+S479*Scorecard!$D$23</f>
        <v>2.59124840018904</v>
      </c>
      <c r="V479" s="38" t="n">
        <f aca="false">N479*Scorecard!$E$18+O479*Scorecard!$E$19+P479*Scorecard!$E$20+Q479*Scorecard!$E$21+R479*Scorecard!$E$22+S479*Scorecard!$E$23</f>
        <v>3.34994889016306</v>
      </c>
    </row>
    <row r="480" customFormat="false" ht="15" hidden="false" customHeight="false" outlineLevel="0" collapsed="false">
      <c r="A480" s="0" t="n">
        <v>475</v>
      </c>
      <c r="B480" s="38" t="n">
        <f aca="false">E480*Scorecard!$C$18+F480*Scorecard!$C$19+G480*Scorecard!$C$20+H480*Scorecard!$C$21+I480*Scorecard!$C$22+J480*Scorecard!$C$23</f>
        <v>3.82272552785556</v>
      </c>
      <c r="C480" s="38" t="n">
        <f aca="false">E480*Scorecard!$D$18+F480*Scorecard!$D$19+G480*Scorecard!$D$20+H480*Scorecard!$D$21+I480*Scorecard!$D$22+J480*Scorecard!$D$23</f>
        <v>2.47552781549456</v>
      </c>
      <c r="D480" s="0" t="str">
        <f aca="false">IF(AND(B480&gt;=C480,B480&gt;=K480),"A. Distribution",IF(C480&gt;=K480,"B. Manufacturing","C. Prof. services"))</f>
        <v>A. Distribution</v>
      </c>
      <c r="E480" s="39" t="n">
        <v>0.180597268647259</v>
      </c>
      <c r="F480" s="39" t="n">
        <v>0.0469575461178489</v>
      </c>
      <c r="G480" s="39" t="n">
        <v>0.388547177565807</v>
      </c>
      <c r="H480" s="39" t="n">
        <v>0.248720123372835</v>
      </c>
      <c r="I480" s="39" t="n">
        <v>0.0437115306389218</v>
      </c>
      <c r="J480" s="39" t="n">
        <v>0.0914663536573284</v>
      </c>
      <c r="K480" s="38" t="n">
        <f aca="false">E480*Scorecard!$E$18+F480*Scorecard!$E$19+G480*Scorecard!$E$20+H480*Scorecard!$E$21+I480*Scorecard!$E$22+J480*Scorecard!$E$23</f>
        <v>3.74509629913147</v>
      </c>
      <c r="M480" s="0" t="str">
        <f aca="false">IF(AND(T480&gt;=U480,T480&gt;=V480),"A. Distribution",IF(U480&gt;=V480,"B. Manufacturing","C. Prof. services"))</f>
        <v>A. Distribution</v>
      </c>
      <c r="N480" s="39" t="n">
        <v>0.239528180061703</v>
      </c>
      <c r="O480" s="39" t="n">
        <v>0.121590692176603</v>
      </c>
      <c r="P480" s="39" t="n">
        <v>0.130016122014682</v>
      </c>
      <c r="Q480" s="39" t="n">
        <v>0.27376591173945</v>
      </c>
      <c r="R480" s="39" t="n">
        <v>0.161619664393042</v>
      </c>
      <c r="S480" s="39" t="n">
        <v>0.0734794296145206</v>
      </c>
      <c r="T480" s="38" t="n">
        <f aca="false">N480*Scorecard!$C$18+O480*Scorecard!$C$19+P480*Scorecard!$C$20+Q480*Scorecard!$C$21+R480*Scorecard!$C$22+S480*Scorecard!$C$23</f>
        <v>3.92590245096691</v>
      </c>
      <c r="U480" s="38" t="n">
        <f aca="false">N480*Scorecard!$D$18+O480*Scorecard!$D$19+P480*Scorecard!$D$20+Q480*Scorecard!$D$21+R480*Scorecard!$D$22+S480*Scorecard!$D$23</f>
        <v>2.80782703052488</v>
      </c>
      <c r="V480" s="38" t="n">
        <f aca="false">N480*Scorecard!$E$18+O480*Scorecard!$E$19+P480*Scorecard!$E$20+Q480*Scorecard!$E$21+R480*Scorecard!$E$22+S480*Scorecard!$E$23</f>
        <v>3.41271021231926</v>
      </c>
    </row>
    <row r="481" customFormat="false" ht="15" hidden="false" customHeight="false" outlineLevel="0" collapsed="false">
      <c r="A481" s="0" t="n">
        <v>476</v>
      </c>
      <c r="B481" s="38" t="n">
        <f aca="false">E481*Scorecard!$C$18+F481*Scorecard!$C$19+G481*Scorecard!$C$20+H481*Scorecard!$C$21+I481*Scorecard!$C$22+J481*Scorecard!$C$23</f>
        <v>4.04522717773703</v>
      </c>
      <c r="C481" s="38" t="n">
        <f aca="false">E481*Scorecard!$D$18+F481*Scorecard!$D$19+G481*Scorecard!$D$20+H481*Scorecard!$D$21+I481*Scorecard!$D$22+J481*Scorecard!$D$23</f>
        <v>2.62718075012348</v>
      </c>
      <c r="D481" s="0" t="str">
        <f aca="false">IF(AND(B481&gt;=C481,B481&gt;=K481),"A. Distribution",IF(C481&gt;=K481,"B. Manufacturing","C. Prof. services"))</f>
        <v>A. Distribution</v>
      </c>
      <c r="E481" s="39" t="n">
        <v>0.00230354409987104</v>
      </c>
      <c r="F481" s="39" t="n">
        <v>0.152413477153994</v>
      </c>
      <c r="G481" s="39" t="n">
        <v>0.231576100754926</v>
      </c>
      <c r="H481" s="39" t="n">
        <v>0.189336877068639</v>
      </c>
      <c r="I481" s="39" t="n">
        <v>0.381069903077733</v>
      </c>
      <c r="J481" s="39" t="n">
        <v>0.0433000978448376</v>
      </c>
      <c r="K481" s="38" t="n">
        <f aca="false">E481*Scorecard!$E$18+F481*Scorecard!$E$19+G481*Scorecard!$E$20+H481*Scorecard!$E$21+I481*Scorecard!$E$22+J481*Scorecard!$E$23</f>
        <v>3.14124373274527</v>
      </c>
      <c r="M481" s="0" t="str">
        <f aca="false">IF(AND(T481&gt;=U481,T481&gt;=V481),"A. Distribution",IF(U481&gt;=V481,"B. Manufacturing","C. Prof. services"))</f>
        <v>A. Distribution</v>
      </c>
      <c r="N481" s="39" t="n">
        <v>0.282184377864479</v>
      </c>
      <c r="O481" s="39" t="n">
        <v>0.237595155817576</v>
      </c>
      <c r="P481" s="39" t="n">
        <v>0.232098729573806</v>
      </c>
      <c r="Q481" s="39" t="n">
        <v>0.0599851877278927</v>
      </c>
      <c r="R481" s="39" t="n">
        <v>0.0828466351434614</v>
      </c>
      <c r="S481" s="39" t="n">
        <v>0.105289913872785</v>
      </c>
      <c r="T481" s="38" t="n">
        <f aca="false">N481*Scorecard!$C$18+O481*Scorecard!$C$19+P481*Scorecard!$C$20+Q481*Scorecard!$C$21+R481*Scorecard!$C$22+S481*Scorecard!$C$23</f>
        <v>3.99789621612997</v>
      </c>
      <c r="U481" s="38" t="n">
        <f aca="false">N481*Scorecard!$D$18+O481*Scorecard!$D$19+P481*Scorecard!$D$20+Q481*Scorecard!$D$21+R481*Scorecard!$D$22+S481*Scorecard!$D$23</f>
        <v>2.77218053966482</v>
      </c>
      <c r="V481" s="38" t="n">
        <f aca="false">N481*Scorecard!$E$18+O481*Scorecard!$E$19+P481*Scorecard!$E$20+Q481*Scorecard!$E$21+R481*Scorecard!$E$22+S481*Scorecard!$E$23</f>
        <v>3.46982703599576</v>
      </c>
    </row>
    <row r="482" customFormat="false" ht="15" hidden="false" customHeight="false" outlineLevel="0" collapsed="false">
      <c r="A482" s="0" t="n">
        <v>477</v>
      </c>
      <c r="B482" s="38" t="n">
        <f aca="false">E482*Scorecard!$C$18+F482*Scorecard!$C$19+G482*Scorecard!$C$20+H482*Scorecard!$C$21+I482*Scorecard!$C$22+J482*Scorecard!$C$23</f>
        <v>3.855877744149</v>
      </c>
      <c r="C482" s="38" t="n">
        <f aca="false">E482*Scorecard!$D$18+F482*Scorecard!$D$19+G482*Scorecard!$D$20+H482*Scorecard!$D$21+I482*Scorecard!$D$22+J482*Scorecard!$D$23</f>
        <v>3.11130606146896</v>
      </c>
      <c r="D482" s="0" t="str">
        <f aca="false">IF(AND(B482&gt;=C482,B482&gt;=K482),"A. Distribution",IF(C482&gt;=K482,"B. Manufacturing","C. Prof. services"))</f>
        <v>A. Distribution</v>
      </c>
      <c r="E482" s="39" t="n">
        <v>0.344969983461101</v>
      </c>
      <c r="F482" s="39" t="n">
        <v>0.0927109273028196</v>
      </c>
      <c r="G482" s="39" t="n">
        <v>0.0965573604983965</v>
      </c>
      <c r="H482" s="39" t="n">
        <v>0.069085499693645</v>
      </c>
      <c r="I482" s="39" t="n">
        <v>0.295829902211305</v>
      </c>
      <c r="J482" s="39" t="n">
        <v>0.100846326832732</v>
      </c>
      <c r="K482" s="38" t="n">
        <f aca="false">E482*Scorecard!$E$18+F482*Scorecard!$E$19+G482*Scorecard!$E$20+H482*Scorecard!$E$21+I482*Scorecard!$E$22+J482*Scorecard!$E$23</f>
        <v>3.25145396050147</v>
      </c>
      <c r="M482" s="0" t="str">
        <f aca="false">IF(AND(T482&gt;=U482,T482&gt;=V482),"A. Distribution",IF(U482&gt;=V482,"B. Manufacturing","C. Prof. services"))</f>
        <v>A. Distribution</v>
      </c>
      <c r="N482" s="39" t="n">
        <v>0.161127571675852</v>
      </c>
      <c r="O482" s="39" t="n">
        <v>0.232890138539268</v>
      </c>
      <c r="P482" s="39" t="n">
        <v>0.139518443134954</v>
      </c>
      <c r="Q482" s="39" t="n">
        <v>0.291570367596558</v>
      </c>
      <c r="R482" s="39" t="n">
        <v>0.117019174802159</v>
      </c>
      <c r="S482" s="39" t="n">
        <v>0.057874304251208</v>
      </c>
      <c r="T482" s="38" t="n">
        <f aca="false">N482*Scorecard!$C$18+O482*Scorecard!$C$19+P482*Scorecard!$C$20+Q482*Scorecard!$C$21+R482*Scorecard!$C$22+S482*Scorecard!$C$23</f>
        <v>4.07278823924814</v>
      </c>
      <c r="U482" s="38" t="n">
        <f aca="false">N482*Scorecard!$D$18+O482*Scorecard!$D$19+P482*Scorecard!$D$20+Q482*Scorecard!$D$21+R482*Scorecard!$D$22+S482*Scorecard!$D$23</f>
        <v>2.66170598145708</v>
      </c>
      <c r="V482" s="38" t="n">
        <f aca="false">N482*Scorecard!$E$18+O482*Scorecard!$E$19+P482*Scorecard!$E$20+Q482*Scorecard!$E$21+R482*Scorecard!$E$22+S482*Scorecard!$E$23</f>
        <v>3.37957081426042</v>
      </c>
    </row>
    <row r="483" customFormat="false" ht="15" hidden="false" customHeight="false" outlineLevel="0" collapsed="false">
      <c r="A483" s="0" t="n">
        <v>478</v>
      </c>
      <c r="B483" s="38" t="n">
        <f aca="false">E483*Scorecard!$C$18+F483*Scorecard!$C$19+G483*Scorecard!$C$20+H483*Scorecard!$C$21+I483*Scorecard!$C$22+J483*Scorecard!$C$23</f>
        <v>3.99457794355401</v>
      </c>
      <c r="C483" s="38" t="n">
        <f aca="false">E483*Scorecard!$D$18+F483*Scorecard!$D$19+G483*Scorecard!$D$20+H483*Scorecard!$D$21+I483*Scorecard!$D$22+J483*Scorecard!$D$23</f>
        <v>2.71684718362391</v>
      </c>
      <c r="D483" s="0" t="str">
        <f aca="false">IF(AND(B483&gt;=C483,B483&gt;=K483),"A. Distribution",IF(C483&gt;=K483,"B. Manufacturing","C. Prof. services"))</f>
        <v>A. Distribution</v>
      </c>
      <c r="E483" s="39" t="n">
        <v>0.0713700193093872</v>
      </c>
      <c r="F483" s="39" t="n">
        <v>0.193602858025387</v>
      </c>
      <c r="G483" s="39" t="n">
        <v>0.195533409908078</v>
      </c>
      <c r="H483" s="39" t="n">
        <v>0.0766834036303185</v>
      </c>
      <c r="I483" s="39" t="n">
        <v>0.370294226989332</v>
      </c>
      <c r="J483" s="39" t="n">
        <v>0.092516082137497</v>
      </c>
      <c r="K483" s="38" t="n">
        <f aca="false">E483*Scorecard!$E$18+F483*Scorecard!$E$19+G483*Scorecard!$E$20+H483*Scorecard!$E$21+I483*Scorecard!$E$22+J483*Scorecard!$E$23</f>
        <v>3.13688600300973</v>
      </c>
      <c r="M483" s="0" t="str">
        <f aca="false">IF(AND(T483&gt;=U483,T483&gt;=V483),"A. Distribution",IF(U483&gt;=V483,"B. Manufacturing","C. Prof. services"))</f>
        <v>A. Distribution</v>
      </c>
      <c r="N483" s="39" t="n">
        <v>0.110214371317983</v>
      </c>
      <c r="O483" s="39" t="n">
        <v>0.273523963890191</v>
      </c>
      <c r="P483" s="39" t="n">
        <v>0.204026255302531</v>
      </c>
      <c r="Q483" s="39" t="n">
        <v>0.251130589207686</v>
      </c>
      <c r="R483" s="39" t="n">
        <v>0.115948448364553</v>
      </c>
      <c r="S483" s="39" t="n">
        <v>0.0451563719170557</v>
      </c>
      <c r="T483" s="38" t="n">
        <f aca="false">N483*Scorecard!$C$18+O483*Scorecard!$C$19+P483*Scorecard!$C$20+Q483*Scorecard!$C$21+R483*Scorecard!$C$22+S483*Scorecard!$C$23</f>
        <v>4.14730299562019</v>
      </c>
      <c r="U483" s="38" t="n">
        <f aca="false">N483*Scorecard!$D$18+O483*Scorecard!$D$19+P483*Scorecard!$D$20+Q483*Scorecard!$D$21+R483*Scorecard!$D$22+S483*Scorecard!$D$23</f>
        <v>2.57333243458354</v>
      </c>
      <c r="V483" s="38" t="n">
        <f aca="false">N483*Scorecard!$E$18+O483*Scorecard!$E$19+P483*Scorecard!$E$20+Q483*Scorecard!$E$21+R483*Scorecard!$E$22+S483*Scorecard!$E$23</f>
        <v>3.36510549255135</v>
      </c>
    </row>
    <row r="484" customFormat="false" ht="15" hidden="false" customHeight="false" outlineLevel="0" collapsed="false">
      <c r="A484" s="0" t="n">
        <v>479</v>
      </c>
      <c r="B484" s="38" t="n">
        <f aca="false">E484*Scorecard!$C$18+F484*Scorecard!$C$19+G484*Scorecard!$C$20+H484*Scorecard!$C$21+I484*Scorecard!$C$22+J484*Scorecard!$C$23</f>
        <v>3.58570755677129</v>
      </c>
      <c r="C484" s="38" t="n">
        <f aca="false">E484*Scorecard!$D$18+F484*Scorecard!$D$19+G484*Scorecard!$D$20+H484*Scorecard!$D$21+I484*Scorecard!$D$22+J484*Scorecard!$D$23</f>
        <v>2.5497279044517</v>
      </c>
      <c r="D484" s="0" t="str">
        <f aca="false">IF(AND(B484&gt;=C484,B484&gt;=K484),"A. Distribution",IF(C484&gt;=K484,"B. Manufacturing","C. Prof. services"))</f>
        <v>C. Prof. services</v>
      </c>
      <c r="E484" s="39" t="n">
        <v>0.172883125469566</v>
      </c>
      <c r="F484" s="39" t="n">
        <v>0.04653472999935</v>
      </c>
      <c r="G484" s="39" t="n">
        <v>0.202599016585383</v>
      </c>
      <c r="H484" s="39" t="n">
        <v>0.197034391582622</v>
      </c>
      <c r="I484" s="39" t="n">
        <v>0.168090549431324</v>
      </c>
      <c r="J484" s="39" t="n">
        <v>0.212858186931756</v>
      </c>
      <c r="K484" s="38" t="n">
        <f aca="false">E484*Scorecard!$E$18+F484*Scorecard!$E$19+G484*Scorecard!$E$20+H484*Scorecard!$E$21+I484*Scorecard!$E$22+J484*Scorecard!$E$23</f>
        <v>3.61975737147037</v>
      </c>
      <c r="M484" s="0" t="str">
        <f aca="false">IF(AND(T484&gt;=U484,T484&gt;=V484),"A. Distribution",IF(U484&gt;=V484,"B. Manufacturing","C. Prof. services"))</f>
        <v>A. Distribution</v>
      </c>
      <c r="N484" s="39" t="n">
        <v>0.164329002912315</v>
      </c>
      <c r="O484" s="39" t="n">
        <v>0.284821458671315</v>
      </c>
      <c r="P484" s="39" t="n">
        <v>0.0792855183075728</v>
      </c>
      <c r="Q484" s="39" t="n">
        <v>0.142628520701439</v>
      </c>
      <c r="R484" s="39" t="n">
        <v>0.149615897384266</v>
      </c>
      <c r="S484" s="39" t="n">
        <v>0.179319602023092</v>
      </c>
      <c r="T484" s="38" t="n">
        <f aca="false">N484*Scorecard!$C$18+O484*Scorecard!$C$19+P484*Scorecard!$C$20+Q484*Scorecard!$C$21+R484*Scorecard!$C$22+S484*Scorecard!$C$23</f>
        <v>3.8976205026597</v>
      </c>
      <c r="U484" s="38" t="n">
        <f aca="false">N484*Scorecard!$D$18+O484*Scorecard!$D$19+P484*Scorecard!$D$20+Q484*Scorecard!$D$21+R484*Scorecard!$D$22+S484*Scorecard!$D$23</f>
        <v>2.63490481367926</v>
      </c>
      <c r="V484" s="38" t="n">
        <f aca="false">N484*Scorecard!$E$18+O484*Scorecard!$E$19+P484*Scorecard!$E$20+Q484*Scorecard!$E$21+R484*Scorecard!$E$22+S484*Scorecard!$E$23</f>
        <v>3.3709994273754</v>
      </c>
    </row>
    <row r="485" customFormat="false" ht="15" hidden="false" customHeight="false" outlineLevel="0" collapsed="false">
      <c r="A485" s="0" t="n">
        <v>480</v>
      </c>
      <c r="B485" s="38" t="n">
        <f aca="false">E485*Scorecard!$C$18+F485*Scorecard!$C$19+G485*Scorecard!$C$20+H485*Scorecard!$C$21+I485*Scorecard!$C$22+J485*Scorecard!$C$23</f>
        <v>3.95891039640076</v>
      </c>
      <c r="C485" s="38" t="n">
        <f aca="false">E485*Scorecard!$D$18+F485*Scorecard!$D$19+G485*Scorecard!$D$20+H485*Scorecard!$D$21+I485*Scorecard!$D$22+J485*Scorecard!$D$23</f>
        <v>3.01380479838652</v>
      </c>
      <c r="D485" s="0" t="str">
        <f aca="false">IF(AND(B485&gt;=C485,B485&gt;=K485),"A. Distribution",IF(C485&gt;=K485,"B. Manufacturing","C. Prof. services"))</f>
        <v>A. Distribution</v>
      </c>
      <c r="E485" s="39" t="n">
        <v>0.277426151750702</v>
      </c>
      <c r="F485" s="39" t="n">
        <v>0.0661172716482698</v>
      </c>
      <c r="G485" s="39" t="n">
        <v>0.230760312041016</v>
      </c>
      <c r="H485" s="39" t="n">
        <v>0.0767053758275174</v>
      </c>
      <c r="I485" s="39" t="n">
        <v>0.310656800812159</v>
      </c>
      <c r="J485" s="39" t="n">
        <v>0.0383340879203363</v>
      </c>
      <c r="K485" s="38" t="n">
        <f aca="false">E485*Scorecard!$E$18+F485*Scorecard!$E$19+G485*Scorecard!$E$20+H485*Scorecard!$E$21+I485*Scorecard!$E$22+J485*Scorecard!$E$23</f>
        <v>3.25855602418723</v>
      </c>
      <c r="M485" s="0" t="str">
        <f aca="false">IF(AND(T485&gt;=U485,T485&gt;=V485),"A. Distribution",IF(U485&gt;=V485,"B. Manufacturing","C. Prof. services"))</f>
        <v>A. Distribution</v>
      </c>
      <c r="N485" s="39" t="n">
        <v>0.157276692804775</v>
      </c>
      <c r="O485" s="39" t="n">
        <v>0.102318186905012</v>
      </c>
      <c r="P485" s="39" t="n">
        <v>0.187817184863385</v>
      </c>
      <c r="Q485" s="39" t="n">
        <v>0.243761407759926</v>
      </c>
      <c r="R485" s="39" t="n">
        <v>0.168093054978797</v>
      </c>
      <c r="S485" s="39" t="n">
        <v>0.140733472688104</v>
      </c>
      <c r="T485" s="38" t="n">
        <f aca="false">N485*Scorecard!$C$18+O485*Scorecard!$C$19+P485*Scorecard!$C$20+Q485*Scorecard!$C$21+R485*Scorecard!$C$22+S485*Scorecard!$C$23</f>
        <v>3.7819585688503</v>
      </c>
      <c r="U485" s="38" t="n">
        <f aca="false">N485*Scorecard!$D$18+O485*Scorecard!$D$19+P485*Scorecard!$D$20+Q485*Scorecard!$D$21+R485*Scorecard!$D$22+S485*Scorecard!$D$23</f>
        <v>2.59742882656976</v>
      </c>
      <c r="V485" s="38" t="n">
        <f aca="false">N485*Scorecard!$E$18+O485*Scorecard!$E$19+P485*Scorecard!$E$20+Q485*Scorecard!$E$21+R485*Scorecard!$E$22+S485*Scorecard!$E$23</f>
        <v>3.50952622584894</v>
      </c>
    </row>
    <row r="486" customFormat="false" ht="15" hidden="false" customHeight="false" outlineLevel="0" collapsed="false">
      <c r="A486" s="0" t="n">
        <v>481</v>
      </c>
      <c r="B486" s="38" t="n">
        <f aca="false">E486*Scorecard!$C$18+F486*Scorecard!$C$19+G486*Scorecard!$C$20+H486*Scorecard!$C$21+I486*Scorecard!$C$22+J486*Scorecard!$C$23</f>
        <v>3.85522084539085</v>
      </c>
      <c r="C486" s="38" t="n">
        <f aca="false">E486*Scorecard!$D$18+F486*Scorecard!$D$19+G486*Scorecard!$D$20+H486*Scorecard!$D$21+I486*Scorecard!$D$22+J486*Scorecard!$D$23</f>
        <v>2.57779627436432</v>
      </c>
      <c r="D486" s="0" t="str">
        <f aca="false">IF(AND(B486&gt;=C486,B486&gt;=K486),"A. Distribution",IF(C486&gt;=K486,"B. Manufacturing","C. Prof. services"))</f>
        <v>A. Distribution</v>
      </c>
      <c r="E486" s="39" t="n">
        <v>0.112410302698119</v>
      </c>
      <c r="F486" s="39" t="n">
        <v>0.0209901255498923</v>
      </c>
      <c r="G486" s="39" t="n">
        <v>0.118323763670986</v>
      </c>
      <c r="H486" s="39" t="n">
        <v>0.546308784134024</v>
      </c>
      <c r="I486" s="39" t="n">
        <v>0.153027460063725</v>
      </c>
      <c r="J486" s="39" t="n">
        <v>0.0489395638832536</v>
      </c>
      <c r="K486" s="38" t="n">
        <f aca="false">E486*Scorecard!$E$18+F486*Scorecard!$E$19+G486*Scorecard!$E$20+H486*Scorecard!$E$21+I486*Scorecard!$E$22+J486*Scorecard!$E$23</f>
        <v>3.50943739833039</v>
      </c>
      <c r="M486" s="0" t="str">
        <f aca="false">IF(AND(T486&gt;=U486,T486&gt;=V486),"A. Distribution",IF(U486&gt;=V486,"B. Manufacturing","C. Prof. services"))</f>
        <v>A. Distribution</v>
      </c>
      <c r="N486" s="39" t="n">
        <v>0.156185531003199</v>
      </c>
      <c r="O486" s="39" t="n">
        <v>0.225166236123667</v>
      </c>
      <c r="P486" s="39" t="n">
        <v>0.256709474270755</v>
      </c>
      <c r="Q486" s="39" t="n">
        <v>0.0796369610160845</v>
      </c>
      <c r="R486" s="39" t="n">
        <v>0.188333366596882</v>
      </c>
      <c r="S486" s="39" t="n">
        <v>0.0939684309894134</v>
      </c>
      <c r="T486" s="38" t="n">
        <f aca="false">N486*Scorecard!$C$18+O486*Scorecard!$C$19+P486*Scorecard!$C$20+Q486*Scorecard!$C$21+R486*Scorecard!$C$22+S486*Scorecard!$C$23</f>
        <v>4.0161088127704</v>
      </c>
      <c r="U486" s="38" t="n">
        <f aca="false">N486*Scorecard!$D$18+O486*Scorecard!$D$19+P486*Scorecard!$D$20+Q486*Scorecard!$D$21+R486*Scorecard!$D$22+S486*Scorecard!$D$23</f>
        <v>2.66270832604802</v>
      </c>
      <c r="V486" s="38" t="n">
        <f aca="false">N486*Scorecard!$E$18+O486*Scorecard!$E$19+P486*Scorecard!$E$20+Q486*Scorecard!$E$21+R486*Scorecard!$E$22+S486*Scorecard!$E$23</f>
        <v>3.35978111808016</v>
      </c>
    </row>
    <row r="487" customFormat="false" ht="15" hidden="false" customHeight="false" outlineLevel="0" collapsed="false">
      <c r="A487" s="0" t="n">
        <v>482</v>
      </c>
      <c r="B487" s="38" t="n">
        <f aca="false">E487*Scorecard!$C$18+F487*Scorecard!$C$19+G487*Scorecard!$C$20+H487*Scorecard!$C$21+I487*Scorecard!$C$22+J487*Scorecard!$C$23</f>
        <v>3.57683909974467</v>
      </c>
      <c r="C487" s="38" t="n">
        <f aca="false">E487*Scorecard!$D$18+F487*Scorecard!$D$19+G487*Scorecard!$D$20+H487*Scorecard!$D$21+I487*Scorecard!$D$22+J487*Scorecard!$D$23</f>
        <v>2.26539123888596</v>
      </c>
      <c r="D487" s="0" t="str">
        <f aca="false">IF(AND(B487&gt;=C487,B487&gt;=K487),"A. Distribution",IF(C487&gt;=K487,"B. Manufacturing","C. Prof. services"))</f>
        <v>C. Prof. services</v>
      </c>
      <c r="E487" s="39" t="n">
        <v>0.0726088898122616</v>
      </c>
      <c r="F487" s="39" t="n">
        <v>0.144109499717172</v>
      </c>
      <c r="G487" s="39" t="n">
        <v>0.190579962333525</v>
      </c>
      <c r="H487" s="39" t="n">
        <v>0.247784123875685</v>
      </c>
      <c r="I487" s="39" t="n">
        <v>0.07754653333448</v>
      </c>
      <c r="J487" s="39" t="n">
        <v>0.267370990926876</v>
      </c>
      <c r="K487" s="38" t="n">
        <f aca="false">E487*Scorecard!$E$18+F487*Scorecard!$E$19+G487*Scorecard!$E$20+H487*Scorecard!$E$21+I487*Scorecard!$E$22+J487*Scorecard!$E$23</f>
        <v>3.71481895068867</v>
      </c>
      <c r="M487" s="0" t="str">
        <f aca="false">IF(AND(T487&gt;=U487,T487&gt;=V487),"A. Distribution",IF(U487&gt;=V487,"B. Manufacturing","C. Prof. services"))</f>
        <v>A. Distribution</v>
      </c>
      <c r="N487" s="39" t="n">
        <v>0.339117712834836</v>
      </c>
      <c r="O487" s="39" t="n">
        <v>0.121098375211297</v>
      </c>
      <c r="P487" s="39" t="n">
        <v>0.222941953354452</v>
      </c>
      <c r="Q487" s="39" t="n">
        <v>0.112160995319449</v>
      </c>
      <c r="R487" s="39" t="n">
        <v>0.0833830281886788</v>
      </c>
      <c r="S487" s="39" t="n">
        <v>0.121297935091288</v>
      </c>
      <c r="T487" s="38" t="n">
        <f aca="false">N487*Scorecard!$C$18+O487*Scorecard!$C$19+P487*Scorecard!$C$20+Q487*Scorecard!$C$21+R487*Scorecard!$C$22+S487*Scorecard!$C$23</f>
        <v>3.8391904255264</v>
      </c>
      <c r="U487" s="38" t="n">
        <f aca="false">N487*Scorecard!$D$18+O487*Scorecard!$D$19+P487*Scorecard!$D$20+Q487*Scorecard!$D$21+R487*Scorecard!$D$22+S487*Scorecard!$D$23</f>
        <v>2.83361375550273</v>
      </c>
      <c r="V487" s="38" t="n">
        <f aca="false">N487*Scorecard!$E$18+O487*Scorecard!$E$19+P487*Scorecard!$E$20+Q487*Scorecard!$E$21+R487*Scorecard!$E$22+S487*Scorecard!$E$23</f>
        <v>3.5706672841321</v>
      </c>
    </row>
    <row r="488" customFormat="false" ht="15" hidden="false" customHeight="false" outlineLevel="0" collapsed="false">
      <c r="A488" s="0" t="n">
        <v>483</v>
      </c>
      <c r="B488" s="38" t="n">
        <f aca="false">E488*Scorecard!$C$18+F488*Scorecard!$C$19+G488*Scorecard!$C$20+H488*Scorecard!$C$21+I488*Scorecard!$C$22+J488*Scorecard!$C$23</f>
        <v>4.35927259419885</v>
      </c>
      <c r="C488" s="38" t="n">
        <f aca="false">E488*Scorecard!$D$18+F488*Scorecard!$D$19+G488*Scorecard!$D$20+H488*Scorecard!$D$21+I488*Scorecard!$D$22+J488*Scorecard!$D$23</f>
        <v>2.55799334568816</v>
      </c>
      <c r="D488" s="0" t="str">
        <f aca="false">IF(AND(B488&gt;=C488,B488&gt;=K488),"A. Distribution",IF(C488&gt;=K488,"B. Manufacturing","C. Prof. services"))</f>
        <v>A. Distribution</v>
      </c>
      <c r="E488" s="39" t="n">
        <v>0.0302184456670258</v>
      </c>
      <c r="F488" s="39" t="n">
        <v>0.429215786807297</v>
      </c>
      <c r="G488" s="39" t="n">
        <v>0.216446406546428</v>
      </c>
      <c r="H488" s="39" t="n">
        <v>0.106992107891562</v>
      </c>
      <c r="I488" s="39" t="n">
        <v>0.189132958714238</v>
      </c>
      <c r="J488" s="39" t="n">
        <v>0.0279942943734496</v>
      </c>
      <c r="K488" s="38" t="n">
        <f aca="false">E488*Scorecard!$E$18+F488*Scorecard!$E$19+G488*Scorecard!$E$20+H488*Scorecard!$E$21+I488*Scorecard!$E$22+J488*Scorecard!$E$23</f>
        <v>3.13557318650915</v>
      </c>
      <c r="M488" s="0" t="str">
        <f aca="false">IF(AND(T488&gt;=U488,T488&gt;=V488),"A. Distribution",IF(U488&gt;=V488,"B. Manufacturing","C. Prof. services"))</f>
        <v>A. Distribution</v>
      </c>
      <c r="N488" s="39" t="n">
        <v>0.139234734922345</v>
      </c>
      <c r="O488" s="39" t="n">
        <v>0.195596405346961</v>
      </c>
      <c r="P488" s="39" t="n">
        <v>0.3402994373852</v>
      </c>
      <c r="Q488" s="39" t="n">
        <v>0.0472465164638785</v>
      </c>
      <c r="R488" s="39" t="n">
        <v>0.170459079375122</v>
      </c>
      <c r="S488" s="39" t="n">
        <v>0.107163826506493</v>
      </c>
      <c r="T488" s="38" t="n">
        <f aca="false">N488*Scorecard!$C$18+O488*Scorecard!$C$19+P488*Scorecard!$C$20+Q488*Scorecard!$C$21+R488*Scorecard!$C$22+S488*Scorecard!$C$23</f>
        <v>3.96499920506446</v>
      </c>
      <c r="U488" s="38" t="n">
        <f aca="false">N488*Scorecard!$D$18+O488*Scorecard!$D$19+P488*Scorecard!$D$20+Q488*Scorecard!$D$21+R488*Scorecard!$D$22+S488*Scorecard!$D$23</f>
        <v>2.57284833323515</v>
      </c>
      <c r="V488" s="38" t="n">
        <f aca="false">N488*Scorecard!$E$18+O488*Scorecard!$E$19+P488*Scorecard!$E$20+Q488*Scorecard!$E$21+R488*Scorecard!$E$22+S488*Scorecard!$E$23</f>
        <v>3.45058772921723</v>
      </c>
    </row>
    <row r="489" customFormat="false" ht="15" hidden="false" customHeight="false" outlineLevel="0" collapsed="false">
      <c r="A489" s="0" t="n">
        <v>484</v>
      </c>
      <c r="B489" s="38" t="n">
        <f aca="false">E489*Scorecard!$C$18+F489*Scorecard!$C$19+G489*Scorecard!$C$20+H489*Scorecard!$C$21+I489*Scorecard!$C$22+J489*Scorecard!$C$23</f>
        <v>3.98998734120038</v>
      </c>
      <c r="C489" s="38" t="n">
        <f aca="false">E489*Scorecard!$D$18+F489*Scorecard!$D$19+G489*Scorecard!$D$20+H489*Scorecard!$D$21+I489*Scorecard!$D$22+J489*Scorecard!$D$23</f>
        <v>2.86082444390821</v>
      </c>
      <c r="D489" s="0" t="str">
        <f aca="false">IF(AND(B489&gt;=C489,B489&gt;=K489),"A. Distribution",IF(C489&gt;=K489,"B. Manufacturing","C. Prof. services"))</f>
        <v>A. Distribution</v>
      </c>
      <c r="E489" s="39" t="n">
        <v>0.322203178027001</v>
      </c>
      <c r="F489" s="39" t="n">
        <v>0.381335380189347</v>
      </c>
      <c r="G489" s="39" t="n">
        <v>0.0355704637603863</v>
      </c>
      <c r="H489" s="39" t="n">
        <v>0.00633207782557517</v>
      </c>
      <c r="I489" s="39" t="n">
        <v>0.0721603497754677</v>
      </c>
      <c r="J489" s="39" t="n">
        <v>0.182398550422222</v>
      </c>
      <c r="K489" s="38" t="n">
        <f aca="false">E489*Scorecard!$E$18+F489*Scorecard!$E$19+G489*Scorecard!$E$20+H489*Scorecard!$E$21+I489*Scorecard!$E$22+J489*Scorecard!$E$23</f>
        <v>3.3519017597582</v>
      </c>
      <c r="M489" s="0" t="str">
        <f aca="false">IF(AND(T489&gt;=U489,T489&gt;=V489),"A. Distribution",IF(U489&gt;=V489,"B. Manufacturing","C. Prof. services"))</f>
        <v>A. Distribution</v>
      </c>
      <c r="N489" s="39" t="n">
        <v>0.209531927129264</v>
      </c>
      <c r="O489" s="39" t="n">
        <v>0.171172082907705</v>
      </c>
      <c r="P489" s="39" t="n">
        <v>0.265684677995828</v>
      </c>
      <c r="Q489" s="39" t="n">
        <v>0.0924498016534459</v>
      </c>
      <c r="R489" s="39" t="n">
        <v>0.218994296522708</v>
      </c>
      <c r="S489" s="39" t="n">
        <v>0.0421672137910486</v>
      </c>
      <c r="T489" s="38" t="n">
        <f aca="false">N489*Scorecard!$C$18+O489*Scorecard!$C$19+P489*Scorecard!$C$20+Q489*Scorecard!$C$21+R489*Scorecard!$C$22+S489*Scorecard!$C$23</f>
        <v>4.06005349291916</v>
      </c>
      <c r="U489" s="38" t="n">
        <f aca="false">N489*Scorecard!$D$18+O489*Scorecard!$D$19+P489*Scorecard!$D$20+Q489*Scorecard!$D$21+R489*Scorecard!$D$22+S489*Scorecard!$D$23</f>
        <v>2.81256408096659</v>
      </c>
      <c r="V489" s="38" t="n">
        <f aca="false">N489*Scorecard!$E$18+O489*Scorecard!$E$19+P489*Scorecard!$E$20+Q489*Scorecard!$E$21+R489*Scorecard!$E$22+S489*Scorecard!$E$23</f>
        <v>3.31645955536336</v>
      </c>
    </row>
    <row r="490" customFormat="false" ht="15" hidden="false" customHeight="false" outlineLevel="0" collapsed="false">
      <c r="A490" s="0" t="n">
        <v>485</v>
      </c>
      <c r="B490" s="38" t="n">
        <f aca="false">E490*Scorecard!$C$18+F490*Scorecard!$C$19+G490*Scorecard!$C$20+H490*Scorecard!$C$21+I490*Scorecard!$C$22+J490*Scorecard!$C$23</f>
        <v>3.36515822827149</v>
      </c>
      <c r="C490" s="38" t="n">
        <f aca="false">E490*Scorecard!$D$18+F490*Scorecard!$D$19+G490*Scorecard!$D$20+H490*Scorecard!$D$21+I490*Scorecard!$D$22+J490*Scorecard!$D$23</f>
        <v>2.89470426649367</v>
      </c>
      <c r="D490" s="0" t="str">
        <f aca="false">IF(AND(B490&gt;=C490,B490&gt;=K490),"A. Distribution",IF(C490&gt;=K490,"B. Manufacturing","C. Prof. services"))</f>
        <v>C. Prof. services</v>
      </c>
      <c r="E490" s="39" t="n">
        <v>0.371199256419005</v>
      </c>
      <c r="F490" s="39" t="n">
        <v>0.0422010758676481</v>
      </c>
      <c r="G490" s="39" t="n">
        <v>0.0413294008469876</v>
      </c>
      <c r="H490" s="39" t="n">
        <v>0.0131900108273644</v>
      </c>
      <c r="I490" s="39" t="n">
        <v>0.209170642949445</v>
      </c>
      <c r="J490" s="39" t="n">
        <v>0.32290961308955</v>
      </c>
      <c r="K490" s="38" t="n">
        <f aca="false">E490*Scorecard!$E$18+F490*Scorecard!$E$19+G490*Scorecard!$E$20+H490*Scorecard!$E$21+I490*Scorecard!$E$22+J490*Scorecard!$E$23</f>
        <v>3.57246840580823</v>
      </c>
      <c r="M490" s="0" t="str">
        <f aca="false">IF(AND(T490&gt;=U490,T490&gt;=V490),"A. Distribution",IF(U490&gt;=V490,"B. Manufacturing","C. Prof. services"))</f>
        <v>A. Distribution</v>
      </c>
      <c r="N490" s="39" t="n">
        <v>0.201507535665334</v>
      </c>
      <c r="O490" s="39" t="n">
        <v>0.287010688923884</v>
      </c>
      <c r="P490" s="39" t="n">
        <v>0.120223444356982</v>
      </c>
      <c r="Q490" s="39" t="n">
        <v>0.0927442618864795</v>
      </c>
      <c r="R490" s="39" t="n">
        <v>0.207301786302787</v>
      </c>
      <c r="S490" s="39" t="n">
        <v>0.0912122828645352</v>
      </c>
      <c r="T490" s="38" t="n">
        <f aca="false">N490*Scorecard!$C$18+O490*Scorecard!$C$19+P490*Scorecard!$C$20+Q490*Scorecard!$C$21+R490*Scorecard!$C$22+S490*Scorecard!$C$23</f>
        <v>4.07841448501215</v>
      </c>
      <c r="U490" s="38" t="n">
        <f aca="false">N490*Scorecard!$D$18+O490*Scorecard!$D$19+P490*Scorecard!$D$20+Q490*Scorecard!$D$21+R490*Scorecard!$D$22+S490*Scorecard!$D$23</f>
        <v>2.81767556785496</v>
      </c>
      <c r="V490" s="38" t="n">
        <f aca="false">N490*Scorecard!$E$18+O490*Scorecard!$E$19+P490*Scorecard!$E$20+Q490*Scorecard!$E$21+R490*Scorecard!$E$22+S490*Scorecard!$E$23</f>
        <v>3.22591031944026</v>
      </c>
    </row>
    <row r="491" customFormat="false" ht="15" hidden="false" customHeight="false" outlineLevel="0" collapsed="false">
      <c r="A491" s="0" t="n">
        <v>486</v>
      </c>
      <c r="B491" s="38" t="n">
        <f aca="false">E491*Scorecard!$C$18+F491*Scorecard!$C$19+G491*Scorecard!$C$20+H491*Scorecard!$C$21+I491*Scorecard!$C$22+J491*Scorecard!$C$23</f>
        <v>3.87138518396552</v>
      </c>
      <c r="C491" s="38" t="n">
        <f aca="false">E491*Scorecard!$D$18+F491*Scorecard!$D$19+G491*Scorecard!$D$20+H491*Scorecard!$D$21+I491*Scorecard!$D$22+J491*Scorecard!$D$23</f>
        <v>2.88647439696838</v>
      </c>
      <c r="D491" s="0" t="str">
        <f aca="false">IF(AND(B491&gt;=C491,B491&gt;=K491),"A. Distribution",IF(C491&gt;=K491,"B. Manufacturing","C. Prof. services"))</f>
        <v>A. Distribution</v>
      </c>
      <c r="E491" s="39" t="n">
        <v>0.00908407374581933</v>
      </c>
      <c r="F491" s="39" t="n">
        <v>0.0119289498939759</v>
      </c>
      <c r="G491" s="39" t="n">
        <v>0.0382735199510951</v>
      </c>
      <c r="H491" s="39" t="n">
        <v>0.280515561074472</v>
      </c>
      <c r="I491" s="39" t="n">
        <v>0.605403536005203</v>
      </c>
      <c r="J491" s="39" t="n">
        <v>0.0547943593294343</v>
      </c>
      <c r="K491" s="38" t="n">
        <f aca="false">E491*Scorecard!$E$18+F491*Scorecard!$E$19+G491*Scorecard!$E$20+H491*Scorecard!$E$21+I491*Scorecard!$E$22+J491*Scorecard!$E$23</f>
        <v>2.90781913214853</v>
      </c>
      <c r="M491" s="0" t="str">
        <f aca="false">IF(AND(T491&gt;=U491,T491&gt;=V491),"A. Distribution",IF(U491&gt;=V491,"B. Manufacturing","C. Prof. services"))</f>
        <v>A. Distribution</v>
      </c>
      <c r="N491" s="39" t="n">
        <v>0.0821194491970424</v>
      </c>
      <c r="O491" s="39" t="n">
        <v>0.197636537328034</v>
      </c>
      <c r="P491" s="39" t="n">
        <v>0.236100468746639</v>
      </c>
      <c r="Q491" s="39" t="n">
        <v>0.216999006539244</v>
      </c>
      <c r="R491" s="39" t="n">
        <v>0.153117199159696</v>
      </c>
      <c r="S491" s="39" t="n">
        <v>0.114027339029345</v>
      </c>
      <c r="T491" s="38" t="n">
        <f aca="false">N491*Scorecard!$C$18+O491*Scorecard!$C$19+P491*Scorecard!$C$20+Q491*Scorecard!$C$21+R491*Scorecard!$C$22+S491*Scorecard!$C$23</f>
        <v>3.93960698349694</v>
      </c>
      <c r="U491" s="38" t="n">
        <f aca="false">N491*Scorecard!$D$18+O491*Scorecard!$D$19+P491*Scorecard!$D$20+Q491*Scorecard!$D$21+R491*Scorecard!$D$22+S491*Scorecard!$D$23</f>
        <v>2.48142646337246</v>
      </c>
      <c r="V491" s="38" t="n">
        <f aca="false">N491*Scorecard!$E$18+O491*Scorecard!$E$19+P491*Scorecard!$E$20+Q491*Scorecard!$E$21+R491*Scorecard!$E$22+S491*Scorecard!$E$23</f>
        <v>3.45352009589598</v>
      </c>
    </row>
    <row r="492" customFormat="false" ht="15" hidden="false" customHeight="false" outlineLevel="0" collapsed="false">
      <c r="A492" s="0" t="n">
        <v>487</v>
      </c>
      <c r="B492" s="38" t="n">
        <f aca="false">E492*Scorecard!$C$18+F492*Scorecard!$C$19+G492*Scorecard!$C$20+H492*Scorecard!$C$21+I492*Scorecard!$C$22+J492*Scorecard!$C$23</f>
        <v>3.7176019309445</v>
      </c>
      <c r="C492" s="38" t="n">
        <f aca="false">E492*Scorecard!$D$18+F492*Scorecard!$D$19+G492*Scorecard!$D$20+H492*Scorecard!$D$21+I492*Scorecard!$D$22+J492*Scorecard!$D$23</f>
        <v>2.87332129637783</v>
      </c>
      <c r="D492" s="0" t="str">
        <f aca="false">IF(AND(B492&gt;=C492,B492&gt;=K492),"A. Distribution",IF(C492&gt;=K492,"B. Manufacturing","C. Prof. services"))</f>
        <v>A. Distribution</v>
      </c>
      <c r="E492" s="39" t="n">
        <v>0.18222024608667</v>
      </c>
      <c r="F492" s="39" t="n">
        <v>0.11660784061789</v>
      </c>
      <c r="G492" s="39" t="n">
        <v>0.031696901571568</v>
      </c>
      <c r="H492" s="39" t="n">
        <v>0.103393988327462</v>
      </c>
      <c r="I492" s="39" t="n">
        <v>0.379463387678713</v>
      </c>
      <c r="J492" s="39" t="n">
        <v>0.186617635717697</v>
      </c>
      <c r="K492" s="38" t="n">
        <f aca="false">E492*Scorecard!$E$18+F492*Scorecard!$E$19+G492*Scorecard!$E$20+H492*Scorecard!$E$21+I492*Scorecard!$E$22+J492*Scorecard!$E$23</f>
        <v>3.19653427476103</v>
      </c>
      <c r="M492" s="0" t="str">
        <f aca="false">IF(AND(T492&gt;=U492,T492&gt;=V492),"A. Distribution",IF(U492&gt;=V492,"B. Manufacturing","C. Prof. services"))</f>
        <v>A. Distribution</v>
      </c>
      <c r="N492" s="39" t="n">
        <v>0.313873614234733</v>
      </c>
      <c r="O492" s="39" t="n">
        <v>0.238072679083119</v>
      </c>
      <c r="P492" s="39" t="n">
        <v>0.0812865039633716</v>
      </c>
      <c r="Q492" s="39" t="n">
        <v>0.105312223321948</v>
      </c>
      <c r="R492" s="39" t="n">
        <v>0.112172799874754</v>
      </c>
      <c r="S492" s="39" t="n">
        <v>0.149282179522075</v>
      </c>
      <c r="T492" s="38" t="n">
        <f aca="false">N492*Scorecard!$C$18+O492*Scorecard!$C$19+P492*Scorecard!$C$20+Q492*Scorecard!$C$21+R492*Scorecard!$C$22+S492*Scorecard!$C$23</f>
        <v>3.90296096692309</v>
      </c>
      <c r="U492" s="38" t="n">
        <f aca="false">N492*Scorecard!$D$18+O492*Scorecard!$D$19+P492*Scorecard!$D$20+Q492*Scorecard!$D$21+R492*Scorecard!$D$22+S492*Scorecard!$D$23</f>
        <v>2.86690351591654</v>
      </c>
      <c r="V492" s="38" t="n">
        <f aca="false">N492*Scorecard!$E$18+O492*Scorecard!$E$19+P492*Scorecard!$E$20+Q492*Scorecard!$E$21+R492*Scorecard!$E$22+S492*Scorecard!$E$23</f>
        <v>3.41170441495505</v>
      </c>
    </row>
    <row r="493" customFormat="false" ht="15" hidden="false" customHeight="false" outlineLevel="0" collapsed="false">
      <c r="A493" s="0" t="n">
        <v>488</v>
      </c>
      <c r="B493" s="38" t="n">
        <f aca="false">E493*Scorecard!$C$18+F493*Scorecard!$C$19+G493*Scorecard!$C$20+H493*Scorecard!$C$21+I493*Scorecard!$C$22+J493*Scorecard!$C$23</f>
        <v>3.94099401291498</v>
      </c>
      <c r="C493" s="38" t="n">
        <f aca="false">E493*Scorecard!$D$18+F493*Scorecard!$D$19+G493*Scorecard!$D$20+H493*Scorecard!$D$21+I493*Scorecard!$D$22+J493*Scorecard!$D$23</f>
        <v>2.91110730615687</v>
      </c>
      <c r="D493" s="0" t="str">
        <f aca="false">IF(AND(B493&gt;=C493,B493&gt;=K493),"A. Distribution",IF(C493&gt;=K493,"B. Manufacturing","C. Prof. services"))</f>
        <v>A. Distribution</v>
      </c>
      <c r="E493" s="39" t="n">
        <v>0.265922806587405</v>
      </c>
      <c r="F493" s="39" t="n">
        <v>0.242407776502678</v>
      </c>
      <c r="G493" s="39" t="n">
        <v>0.0267098720453475</v>
      </c>
      <c r="H493" s="39" t="n">
        <v>0.125851128795845</v>
      </c>
      <c r="I493" s="39" t="n">
        <v>0.205856842614605</v>
      </c>
      <c r="J493" s="39" t="n">
        <v>0.13325157345412</v>
      </c>
      <c r="K493" s="38" t="n">
        <f aca="false">E493*Scorecard!$E$18+F493*Scorecard!$E$19+G493*Scorecard!$E$20+H493*Scorecard!$E$21+I493*Scorecard!$E$22+J493*Scorecard!$E$23</f>
        <v>3.25962128875402</v>
      </c>
      <c r="M493" s="0" t="str">
        <f aca="false">IF(AND(T493&gt;=U493,T493&gt;=V493),"A. Distribution",IF(U493&gt;=V493,"B. Manufacturing","C. Prof. services"))</f>
        <v>A. Distribution</v>
      </c>
      <c r="N493" s="39" t="n">
        <v>0.279858192884155</v>
      </c>
      <c r="O493" s="39" t="n">
        <v>0.187325487650616</v>
      </c>
      <c r="P493" s="39" t="n">
        <v>0.175852480285679</v>
      </c>
      <c r="Q493" s="39" t="n">
        <v>0.105030837343957</v>
      </c>
      <c r="R493" s="39" t="n">
        <v>0.206536841229789</v>
      </c>
      <c r="S493" s="39" t="n">
        <v>0.0453961606058051</v>
      </c>
      <c r="T493" s="38" t="n">
        <f aca="false">N493*Scorecard!$C$18+O493*Scorecard!$C$19+P493*Scorecard!$C$20+Q493*Scorecard!$C$21+R493*Scorecard!$C$22+S493*Scorecard!$C$23</f>
        <v>4.06274712120068</v>
      </c>
      <c r="U493" s="38" t="n">
        <f aca="false">N493*Scorecard!$D$18+O493*Scorecard!$D$19+P493*Scorecard!$D$20+Q493*Scorecard!$D$21+R493*Scorecard!$D$22+S493*Scorecard!$D$23</f>
        <v>2.94886865343802</v>
      </c>
      <c r="V493" s="38" t="n">
        <f aca="false">N493*Scorecard!$E$18+O493*Scorecard!$E$19+P493*Scorecard!$E$20+Q493*Scorecard!$E$21+R493*Scorecard!$E$22+S493*Scorecard!$E$23</f>
        <v>3.28024871233539</v>
      </c>
    </row>
    <row r="494" customFormat="false" ht="15" hidden="false" customHeight="false" outlineLevel="0" collapsed="false">
      <c r="A494" s="0" t="n">
        <v>489</v>
      </c>
      <c r="B494" s="38" t="n">
        <f aca="false">E494*Scorecard!$C$18+F494*Scorecard!$C$19+G494*Scorecard!$C$20+H494*Scorecard!$C$21+I494*Scorecard!$C$22+J494*Scorecard!$C$23</f>
        <v>3.40691051180652</v>
      </c>
      <c r="C494" s="38" t="n">
        <f aca="false">E494*Scorecard!$D$18+F494*Scorecard!$D$19+G494*Scorecard!$D$20+H494*Scorecard!$D$21+I494*Scorecard!$D$22+J494*Scorecard!$D$23</f>
        <v>2.1642270917288</v>
      </c>
      <c r="D494" s="0" t="str">
        <f aca="false">IF(AND(B494&gt;=C494,B494&gt;=K494),"A. Distribution",IF(C494&gt;=K494,"B. Manufacturing","C. Prof. services"))</f>
        <v>C. Prof. services</v>
      </c>
      <c r="E494" s="39" t="n">
        <v>0.00145754929071445</v>
      </c>
      <c r="F494" s="39" t="n">
        <v>0.0127126849299708</v>
      </c>
      <c r="G494" s="39" t="n">
        <v>0.317761475598323</v>
      </c>
      <c r="H494" s="39" t="n">
        <v>0.19208271725138</v>
      </c>
      <c r="I494" s="39" t="n">
        <v>0.183491510080897</v>
      </c>
      <c r="J494" s="39" t="n">
        <v>0.292494062848714</v>
      </c>
      <c r="K494" s="38" t="n">
        <f aca="false">E494*Scorecard!$E$18+F494*Scorecard!$E$19+G494*Scorecard!$E$20+H494*Scorecard!$E$21+I494*Scorecard!$E$22+J494*Scorecard!$E$23</f>
        <v>3.76167037294942</v>
      </c>
      <c r="M494" s="0" t="str">
        <f aca="false">IF(AND(T494&gt;=U494,T494&gt;=V494),"A. Distribution",IF(U494&gt;=V494,"B. Manufacturing","C. Prof. services"))</f>
        <v>A. Distribution</v>
      </c>
      <c r="N494" s="39" t="n">
        <v>0.116696210099571</v>
      </c>
      <c r="O494" s="39" t="n">
        <v>0.223478781107083</v>
      </c>
      <c r="P494" s="39" t="n">
        <v>0.222340557389441</v>
      </c>
      <c r="Q494" s="39" t="n">
        <v>0.280525814047601</v>
      </c>
      <c r="R494" s="39" t="n">
        <v>0.101783450633211</v>
      </c>
      <c r="S494" s="39" t="n">
        <v>0.0551751867230937</v>
      </c>
      <c r="T494" s="38" t="n">
        <f aca="false">N494*Scorecard!$C$18+O494*Scorecard!$C$19+P494*Scorecard!$C$20+Q494*Scorecard!$C$21+R494*Scorecard!$C$22+S494*Scorecard!$C$23</f>
        <v>4.07353242458786</v>
      </c>
      <c r="U494" s="38" t="n">
        <f aca="false">N494*Scorecard!$D$18+O494*Scorecard!$D$19+P494*Scorecard!$D$20+Q494*Scorecard!$D$21+R494*Scorecard!$D$22+S494*Scorecard!$D$23</f>
        <v>2.54462820051481</v>
      </c>
      <c r="V494" s="38" t="n">
        <f aca="false">N494*Scorecard!$E$18+O494*Scorecard!$E$19+P494*Scorecard!$E$20+Q494*Scorecard!$E$21+R494*Scorecard!$E$22+S494*Scorecard!$E$23</f>
        <v>3.44069323076255</v>
      </c>
    </row>
    <row r="495" customFormat="false" ht="15" hidden="false" customHeight="false" outlineLevel="0" collapsed="false">
      <c r="A495" s="0" t="n">
        <v>490</v>
      </c>
      <c r="B495" s="38" t="n">
        <f aca="false">E495*Scorecard!$C$18+F495*Scorecard!$C$19+G495*Scorecard!$C$20+H495*Scorecard!$C$21+I495*Scorecard!$C$22+J495*Scorecard!$C$23</f>
        <v>4.24564769579588</v>
      </c>
      <c r="C495" s="38" t="n">
        <f aca="false">E495*Scorecard!$D$18+F495*Scorecard!$D$19+G495*Scorecard!$D$20+H495*Scorecard!$D$21+I495*Scorecard!$D$22+J495*Scorecard!$D$23</f>
        <v>2.5359849459524</v>
      </c>
      <c r="D495" s="0" t="str">
        <f aca="false">IF(AND(B495&gt;=C495,B495&gt;=K495),"A. Distribution",IF(C495&gt;=K495,"B. Manufacturing","C. Prof. services"))</f>
        <v>A. Distribution</v>
      </c>
      <c r="E495" s="39" t="n">
        <v>0.137369972938367</v>
      </c>
      <c r="F495" s="39" t="n">
        <v>0.429121643436394</v>
      </c>
      <c r="G495" s="39" t="n">
        <v>0.266546815958209</v>
      </c>
      <c r="H495" s="39" t="n">
        <v>0.0359293998690152</v>
      </c>
      <c r="I495" s="39" t="n">
        <v>0.0467453967755273</v>
      </c>
      <c r="J495" s="39" t="n">
        <v>0.0842867710224879</v>
      </c>
      <c r="K495" s="38" t="n">
        <f aca="false">E495*Scorecard!$E$18+F495*Scorecard!$E$19+G495*Scorecard!$E$20+H495*Scorecard!$E$21+I495*Scorecard!$E$22+J495*Scorecard!$E$23</f>
        <v>3.37081644431633</v>
      </c>
      <c r="M495" s="0" t="str">
        <f aca="false">IF(AND(T495&gt;=U495,T495&gt;=V495),"A. Distribution",IF(U495&gt;=V495,"B. Manufacturing","C. Prof. services"))</f>
        <v>A. Distribution</v>
      </c>
      <c r="N495" s="39" t="n">
        <v>0.262868975481537</v>
      </c>
      <c r="O495" s="39" t="n">
        <v>0.136675600121337</v>
      </c>
      <c r="P495" s="39" t="n">
        <v>0.104509038892844</v>
      </c>
      <c r="Q495" s="39" t="n">
        <v>0.240802125389973</v>
      </c>
      <c r="R495" s="39" t="n">
        <v>0.173901840623582</v>
      </c>
      <c r="S495" s="39" t="n">
        <v>0.0812424194907275</v>
      </c>
      <c r="T495" s="38" t="n">
        <f aca="false">N495*Scorecard!$C$18+O495*Scorecard!$C$19+P495*Scorecard!$C$20+Q495*Scorecard!$C$21+R495*Scorecard!$C$22+S495*Scorecard!$C$23</f>
        <v>3.92713928936502</v>
      </c>
      <c r="U495" s="38" t="n">
        <f aca="false">N495*Scorecard!$D$18+O495*Scorecard!$D$19+P495*Scorecard!$D$20+Q495*Scorecard!$D$21+R495*Scorecard!$D$22+S495*Scorecard!$D$23</f>
        <v>2.86590533862126</v>
      </c>
      <c r="V495" s="38" t="n">
        <f aca="false">N495*Scorecard!$E$18+O495*Scorecard!$E$19+P495*Scorecard!$E$20+Q495*Scorecard!$E$21+R495*Scorecard!$E$22+S495*Scorecard!$E$23</f>
        <v>3.37719949216702</v>
      </c>
    </row>
    <row r="496" customFormat="false" ht="15" hidden="false" customHeight="false" outlineLevel="0" collapsed="false">
      <c r="A496" s="0" t="n">
        <v>491</v>
      </c>
      <c r="B496" s="38" t="n">
        <f aca="false">E496*Scorecard!$C$18+F496*Scorecard!$C$19+G496*Scorecard!$C$20+H496*Scorecard!$C$21+I496*Scorecard!$C$22+J496*Scorecard!$C$23</f>
        <v>4.00859000502652</v>
      </c>
      <c r="C496" s="38" t="n">
        <f aca="false">E496*Scorecard!$D$18+F496*Scorecard!$D$19+G496*Scorecard!$D$20+H496*Scorecard!$D$21+I496*Scorecard!$D$22+J496*Scorecard!$D$23</f>
        <v>2.58778647312942</v>
      </c>
      <c r="D496" s="0" t="str">
        <f aca="false">IF(AND(B496&gt;=C496,B496&gt;=K496),"A. Distribution",IF(C496&gt;=K496,"B. Manufacturing","C. Prof. services"))</f>
        <v>A. Distribution</v>
      </c>
      <c r="E496" s="39" t="n">
        <v>0.0549894815639445</v>
      </c>
      <c r="F496" s="39" t="n">
        <v>0.348734491053756</v>
      </c>
      <c r="G496" s="39" t="n">
        <v>0.0343949179487876</v>
      </c>
      <c r="H496" s="39" t="n">
        <v>0.158821809194116</v>
      </c>
      <c r="I496" s="39" t="n">
        <v>0.243751092774911</v>
      </c>
      <c r="J496" s="39" t="n">
        <v>0.159308207464485</v>
      </c>
      <c r="K496" s="38" t="n">
        <f aca="false">E496*Scorecard!$E$18+F496*Scorecard!$E$19+G496*Scorecard!$E$20+H496*Scorecard!$E$21+I496*Scorecard!$E$22+J496*Scorecard!$E$23</f>
        <v>3.17706913418223</v>
      </c>
      <c r="M496" s="0" t="str">
        <f aca="false">IF(AND(T496&gt;=U496,T496&gt;=V496),"A. Distribution",IF(U496&gt;=V496,"B. Manufacturing","C. Prof. services"))</f>
        <v>A. Distribution</v>
      </c>
      <c r="N496" s="39" t="n">
        <v>0.202911742170167</v>
      </c>
      <c r="O496" s="39" t="n">
        <v>0.221155994095439</v>
      </c>
      <c r="P496" s="39" t="n">
        <v>0.184531681506332</v>
      </c>
      <c r="Q496" s="39" t="n">
        <v>0.135809057067923</v>
      </c>
      <c r="R496" s="39" t="n">
        <v>0.117515665363438</v>
      </c>
      <c r="S496" s="39" t="n">
        <v>0.138075859796702</v>
      </c>
      <c r="T496" s="38" t="n">
        <f aca="false">N496*Scorecard!$C$18+O496*Scorecard!$C$19+P496*Scorecard!$C$20+Q496*Scorecard!$C$21+R496*Scorecard!$C$22+S496*Scorecard!$C$23</f>
        <v>3.91407964016072</v>
      </c>
      <c r="U496" s="38" t="n">
        <f aca="false">N496*Scorecard!$D$18+O496*Scorecard!$D$19+P496*Scorecard!$D$20+Q496*Scorecard!$D$21+R496*Scorecard!$D$22+S496*Scorecard!$D$23</f>
        <v>2.65506863530348</v>
      </c>
      <c r="V496" s="38" t="n">
        <f aca="false">N496*Scorecard!$E$18+O496*Scorecard!$E$19+P496*Scorecard!$E$20+Q496*Scorecard!$E$21+R496*Scorecard!$E$22+S496*Scorecard!$E$23</f>
        <v>3.46292497136488</v>
      </c>
    </row>
    <row r="497" customFormat="false" ht="15" hidden="false" customHeight="false" outlineLevel="0" collapsed="false">
      <c r="A497" s="0" t="n">
        <v>492</v>
      </c>
      <c r="B497" s="38" t="n">
        <f aca="false">E497*Scorecard!$C$18+F497*Scorecard!$C$19+G497*Scorecard!$C$20+H497*Scorecard!$C$21+I497*Scorecard!$C$22+J497*Scorecard!$C$23</f>
        <v>3.75994100671363</v>
      </c>
      <c r="C497" s="38" t="n">
        <f aca="false">E497*Scorecard!$D$18+F497*Scorecard!$D$19+G497*Scorecard!$D$20+H497*Scorecard!$D$21+I497*Scorecard!$D$22+J497*Scorecard!$D$23</f>
        <v>2.56513407235065</v>
      </c>
      <c r="D497" s="0" t="str">
        <f aca="false">IF(AND(B497&gt;=C497,B497&gt;=K497),"A. Distribution",IF(C497&gt;=K497,"B. Manufacturing","C. Prof. services"))</f>
        <v>A. Distribution</v>
      </c>
      <c r="E497" s="39" t="n">
        <v>0.0875553560087</v>
      </c>
      <c r="F497" s="39" t="n">
        <v>0.203457396104771</v>
      </c>
      <c r="G497" s="39" t="n">
        <v>0.045646032686238</v>
      </c>
      <c r="H497" s="39" t="n">
        <v>0.21665177605853</v>
      </c>
      <c r="I497" s="39" t="n">
        <v>0.240118190893358</v>
      </c>
      <c r="J497" s="39" t="n">
        <v>0.206571248248403</v>
      </c>
      <c r="K497" s="38" t="n">
        <f aca="false">E497*Scorecard!$E$18+F497*Scorecard!$E$19+G497*Scorecard!$E$20+H497*Scorecard!$E$21+I497*Scorecard!$E$22+J497*Scorecard!$E$23</f>
        <v>3.34522475513825</v>
      </c>
      <c r="M497" s="0" t="str">
        <f aca="false">IF(AND(T497&gt;=U497,T497&gt;=V497),"A. Distribution",IF(U497&gt;=V497,"B. Manufacturing","C. Prof. services"))</f>
        <v>A. Distribution</v>
      </c>
      <c r="N497" s="39" t="n">
        <v>0.146165356074555</v>
      </c>
      <c r="O497" s="39" t="n">
        <v>0.120076166366105</v>
      </c>
      <c r="P497" s="39" t="n">
        <v>0.153282619902396</v>
      </c>
      <c r="Q497" s="39" t="n">
        <v>0.151538924651747</v>
      </c>
      <c r="R497" s="39" t="n">
        <v>0.194977904147508</v>
      </c>
      <c r="S497" s="39" t="n">
        <v>0.233959028857689</v>
      </c>
      <c r="T497" s="38" t="n">
        <f aca="false">N497*Scorecard!$C$18+O497*Scorecard!$C$19+P497*Scorecard!$C$20+Q497*Scorecard!$C$21+R497*Scorecard!$C$22+S497*Scorecard!$C$23</f>
        <v>3.6240945560006</v>
      </c>
      <c r="U497" s="38" t="n">
        <f aca="false">N497*Scorecard!$D$18+O497*Scorecard!$D$19+P497*Scorecard!$D$20+Q497*Scorecard!$D$21+R497*Scorecard!$D$22+S497*Scorecard!$D$23</f>
        <v>2.54663423233678</v>
      </c>
      <c r="V497" s="38" t="n">
        <f aca="false">N497*Scorecard!$E$18+O497*Scorecard!$E$19+P497*Scorecard!$E$20+Q497*Scorecard!$E$21+R497*Scorecard!$E$22+S497*Scorecard!$E$23</f>
        <v>3.52582122833167</v>
      </c>
    </row>
    <row r="498" customFormat="false" ht="15" hidden="false" customHeight="false" outlineLevel="0" collapsed="false">
      <c r="A498" s="0" t="n">
        <v>493</v>
      </c>
      <c r="B498" s="38" t="n">
        <f aca="false">E498*Scorecard!$C$18+F498*Scorecard!$C$19+G498*Scorecard!$C$20+H498*Scorecard!$C$21+I498*Scorecard!$C$22+J498*Scorecard!$C$23</f>
        <v>3.7319839484833</v>
      </c>
      <c r="C498" s="38" t="n">
        <f aca="false">E498*Scorecard!$D$18+F498*Scorecard!$D$19+G498*Scorecard!$D$20+H498*Scorecard!$D$21+I498*Scorecard!$D$22+J498*Scorecard!$D$23</f>
        <v>2.36880510997487</v>
      </c>
      <c r="D498" s="0" t="str">
        <f aca="false">IF(AND(B498&gt;=C498,B498&gt;=K498),"A. Distribution",IF(C498&gt;=K498,"B. Manufacturing","C. Prof. services"))</f>
        <v>A. Distribution</v>
      </c>
      <c r="E498" s="39" t="n">
        <v>0.101235839249726</v>
      </c>
      <c r="F498" s="39" t="n">
        <v>0.036176371955602</v>
      </c>
      <c r="G498" s="39" t="n">
        <v>0.433261854098509</v>
      </c>
      <c r="H498" s="39" t="n">
        <v>0.165801471371798</v>
      </c>
      <c r="I498" s="39" t="n">
        <v>0.12442480386919</v>
      </c>
      <c r="J498" s="39" t="n">
        <v>0.139099659455176</v>
      </c>
      <c r="K498" s="38" t="n">
        <f aca="false">E498*Scorecard!$E$18+F498*Scorecard!$E$19+G498*Scorecard!$E$20+H498*Scorecard!$E$21+I498*Scorecard!$E$22+J498*Scorecard!$E$23</f>
        <v>3.7140775500383</v>
      </c>
      <c r="M498" s="0" t="str">
        <f aca="false">IF(AND(T498&gt;=U498,T498&gt;=V498),"A. Distribution",IF(U498&gt;=V498,"B. Manufacturing","C. Prof. services"))</f>
        <v>A. Distribution</v>
      </c>
      <c r="N498" s="39" t="n">
        <v>0.183221640666609</v>
      </c>
      <c r="O498" s="39" t="n">
        <v>0.321000888163189</v>
      </c>
      <c r="P498" s="39" t="n">
        <v>0.134131569885794</v>
      </c>
      <c r="Q498" s="39" t="n">
        <v>0.0854270182983079</v>
      </c>
      <c r="R498" s="39" t="n">
        <v>0.159654829632064</v>
      </c>
      <c r="S498" s="39" t="n">
        <v>0.116564053354036</v>
      </c>
      <c r="T498" s="38" t="n">
        <f aca="false">N498*Scorecard!$C$18+O498*Scorecard!$C$19+P498*Scorecard!$C$20+Q498*Scorecard!$C$21+R498*Scorecard!$C$22+S498*Scorecard!$C$23</f>
        <v>4.06395769604268</v>
      </c>
      <c r="U498" s="38" t="n">
        <f aca="false">N498*Scorecard!$D$18+O498*Scorecard!$D$19+P498*Scorecard!$D$20+Q498*Scorecard!$D$21+R498*Scorecard!$D$22+S498*Scorecard!$D$23</f>
        <v>2.72034368092785</v>
      </c>
      <c r="V498" s="38" t="n">
        <f aca="false">N498*Scorecard!$E$18+O498*Scorecard!$E$19+P498*Scorecard!$E$20+Q498*Scorecard!$E$21+R498*Scorecard!$E$22+S498*Scorecard!$E$23</f>
        <v>3.28890313008362</v>
      </c>
    </row>
    <row r="499" customFormat="false" ht="15" hidden="false" customHeight="false" outlineLevel="0" collapsed="false">
      <c r="A499" s="0" t="n">
        <v>494</v>
      </c>
      <c r="B499" s="38" t="n">
        <f aca="false">E499*Scorecard!$C$18+F499*Scorecard!$C$19+G499*Scorecard!$C$20+H499*Scorecard!$C$21+I499*Scorecard!$C$22+J499*Scorecard!$C$23</f>
        <v>4.15238777791732</v>
      </c>
      <c r="C499" s="38" t="n">
        <f aca="false">E499*Scorecard!$D$18+F499*Scorecard!$D$19+G499*Scorecard!$D$20+H499*Scorecard!$D$21+I499*Scorecard!$D$22+J499*Scorecard!$D$23</f>
        <v>2.6479842119852</v>
      </c>
      <c r="D499" s="0" t="str">
        <f aca="false">IF(AND(B499&gt;=C499,B499&gt;=K499),"A. Distribution",IF(C499&gt;=K499,"B. Manufacturing","C. Prof. services"))</f>
        <v>A. Distribution</v>
      </c>
      <c r="E499" s="39" t="n">
        <v>0.0911881981229252</v>
      </c>
      <c r="F499" s="39" t="n">
        <v>0.493028098746206</v>
      </c>
      <c r="G499" s="39" t="n">
        <v>0.0291647359090517</v>
      </c>
      <c r="H499" s="39" t="n">
        <v>0.00814791952537221</v>
      </c>
      <c r="I499" s="39" t="n">
        <v>0.212250461866035</v>
      </c>
      <c r="J499" s="39" t="n">
        <v>0.166220585830409</v>
      </c>
      <c r="K499" s="38" t="n">
        <f aca="false">E499*Scorecard!$E$18+F499*Scorecard!$E$19+G499*Scorecard!$E$20+H499*Scorecard!$E$21+I499*Scorecard!$E$22+J499*Scorecard!$E$23</f>
        <v>3.09171866629934</v>
      </c>
      <c r="M499" s="0" t="str">
        <f aca="false">IF(AND(T499&gt;=U499,T499&gt;=V499),"A. Distribution",IF(U499&gt;=V499,"B. Manufacturing","C. Prof. services"))</f>
        <v>A. Distribution</v>
      </c>
      <c r="N499" s="39" t="n">
        <v>0.151334269468811</v>
      </c>
      <c r="O499" s="39" t="n">
        <v>0.388746295407737</v>
      </c>
      <c r="P499" s="39" t="n">
        <v>0.108873333708728</v>
      </c>
      <c r="Q499" s="39" t="n">
        <v>0.185681549724408</v>
      </c>
      <c r="R499" s="39" t="n">
        <v>0.0686619557763718</v>
      </c>
      <c r="S499" s="39" t="n">
        <v>0.0967025959139447</v>
      </c>
      <c r="T499" s="38" t="n">
        <f aca="false">N499*Scorecard!$C$18+O499*Scorecard!$C$19+P499*Scorecard!$C$20+Q499*Scorecard!$C$21+R499*Scorecard!$C$22+S499*Scorecard!$C$23</f>
        <v>4.16318366767274</v>
      </c>
      <c r="U499" s="38" t="n">
        <f aca="false">N499*Scorecard!$D$18+O499*Scorecard!$D$19+P499*Scorecard!$D$20+Q499*Scorecard!$D$21+R499*Scorecard!$D$22+S499*Scorecard!$D$23</f>
        <v>2.60962941622587</v>
      </c>
      <c r="V499" s="38" t="n">
        <f aca="false">N499*Scorecard!$E$18+O499*Scorecard!$E$19+P499*Scorecard!$E$20+Q499*Scorecard!$E$21+R499*Scorecard!$E$22+S499*Scorecard!$E$23</f>
        <v>3.33279899393536</v>
      </c>
    </row>
    <row r="500" customFormat="false" ht="15" hidden="false" customHeight="false" outlineLevel="0" collapsed="false">
      <c r="A500" s="0" t="n">
        <v>495</v>
      </c>
      <c r="B500" s="38" t="n">
        <f aca="false">E500*Scorecard!$C$18+F500*Scorecard!$C$19+G500*Scorecard!$C$20+H500*Scorecard!$C$21+I500*Scorecard!$C$22+J500*Scorecard!$C$23</f>
        <v>4.43355512050909</v>
      </c>
      <c r="C500" s="38" t="n">
        <f aca="false">E500*Scorecard!$D$18+F500*Scorecard!$D$19+G500*Scorecard!$D$20+H500*Scorecard!$D$21+I500*Scorecard!$D$22+J500*Scorecard!$D$23</f>
        <v>2.63337954627786</v>
      </c>
      <c r="D500" s="0" t="str">
        <f aca="false">IF(AND(B500&gt;=C500,B500&gt;=K500),"A. Distribution",IF(C500&gt;=K500,"B. Manufacturing","C. Prof. services"))</f>
        <v>A. Distribution</v>
      </c>
      <c r="E500" s="39" t="n">
        <v>0.0490197262612413</v>
      </c>
      <c r="F500" s="39" t="n">
        <v>0.490973120854481</v>
      </c>
      <c r="G500" s="39" t="n">
        <v>0.154358947083067</v>
      </c>
      <c r="H500" s="39" t="n">
        <v>0.0896003891002614</v>
      </c>
      <c r="I500" s="39" t="n">
        <v>0.194133881569153</v>
      </c>
      <c r="J500" s="39" t="n">
        <v>0.0219139351317968</v>
      </c>
      <c r="K500" s="38" t="n">
        <f aca="false">E500*Scorecard!$E$18+F500*Scorecard!$E$19+G500*Scorecard!$E$20+H500*Scorecard!$E$21+I500*Scorecard!$E$22+J500*Scorecard!$E$23</f>
        <v>3.04665990630689</v>
      </c>
      <c r="M500" s="0" t="str">
        <f aca="false">IF(AND(T500&gt;=U500,T500&gt;=V500),"A. Distribution",IF(U500&gt;=V500,"B. Manufacturing","C. Prof. services"))</f>
        <v>A. Distribution</v>
      </c>
      <c r="N500" s="39" t="n">
        <v>0.207501862605212</v>
      </c>
      <c r="O500" s="39" t="n">
        <v>0.226507922356742</v>
      </c>
      <c r="P500" s="39" t="n">
        <v>0.244749297969726</v>
      </c>
      <c r="Q500" s="39" t="n">
        <v>0.155536623859066</v>
      </c>
      <c r="R500" s="39" t="n">
        <v>0.140869777526926</v>
      </c>
      <c r="S500" s="39" t="n">
        <v>0.0248345156823272</v>
      </c>
      <c r="T500" s="38" t="n">
        <f aca="false">N500*Scorecard!$C$18+O500*Scorecard!$C$19+P500*Scorecard!$C$20+Q500*Scorecard!$C$21+R500*Scorecard!$C$22+S500*Scorecard!$C$23</f>
        <v>4.14342007380069</v>
      </c>
      <c r="U500" s="38" t="n">
        <f aca="false">N500*Scorecard!$D$18+O500*Scorecard!$D$19+P500*Scorecard!$D$20+Q500*Scorecard!$D$21+R500*Scorecard!$D$22+S500*Scorecard!$D$23</f>
        <v>2.76071603198421</v>
      </c>
      <c r="V500" s="38" t="n">
        <f aca="false">N500*Scorecard!$E$18+O500*Scorecard!$E$19+P500*Scorecard!$E$20+Q500*Scorecard!$E$21+R500*Scorecard!$E$22+S500*Scorecard!$E$23</f>
        <v>3.35223473869337</v>
      </c>
    </row>
    <row r="501" customFormat="false" ht="15" hidden="false" customHeight="false" outlineLevel="0" collapsed="false">
      <c r="A501" s="0" t="n">
        <v>496</v>
      </c>
      <c r="B501" s="38" t="n">
        <f aca="false">E501*Scorecard!$C$18+F501*Scorecard!$C$19+G501*Scorecard!$C$20+H501*Scorecard!$C$21+I501*Scorecard!$C$22+J501*Scorecard!$C$23</f>
        <v>3.57932869976922</v>
      </c>
      <c r="C501" s="38" t="n">
        <f aca="false">E501*Scorecard!$D$18+F501*Scorecard!$D$19+G501*Scorecard!$D$20+H501*Scorecard!$D$21+I501*Scorecard!$D$22+J501*Scorecard!$D$23</f>
        <v>2.47844459316727</v>
      </c>
      <c r="D501" s="0" t="str">
        <f aca="false">IF(AND(B501&gt;=C501,B501&gt;=K501),"A. Distribution",IF(C501&gt;=K501,"B. Manufacturing","C. Prof. services"))</f>
        <v>C. Prof. services</v>
      </c>
      <c r="E501" s="39" t="n">
        <v>0.108667892427327</v>
      </c>
      <c r="F501" s="39" t="n">
        <v>0.0580306234846021</v>
      </c>
      <c r="G501" s="39" t="n">
        <v>0.0613303623634778</v>
      </c>
      <c r="H501" s="39" t="n">
        <v>0.393348834385395</v>
      </c>
      <c r="I501" s="39" t="n">
        <v>0.164825406486556</v>
      </c>
      <c r="J501" s="39" t="n">
        <v>0.213796880852642</v>
      </c>
      <c r="K501" s="38" t="n">
        <f aca="false">E501*Scorecard!$E$18+F501*Scorecard!$E$19+G501*Scorecard!$E$20+H501*Scorecard!$E$21+I501*Scorecard!$E$22+J501*Scorecard!$E$23</f>
        <v>3.57982424412148</v>
      </c>
      <c r="M501" s="0" t="str">
        <f aca="false">IF(AND(T501&gt;=U501,T501&gt;=V501),"A. Distribution",IF(U501&gt;=V501,"B. Manufacturing","C. Prof. services"))</f>
        <v>A. Distribution</v>
      </c>
      <c r="N501" s="39" t="n">
        <v>0.317953313591454</v>
      </c>
      <c r="O501" s="39" t="n">
        <v>0.12322589801443</v>
      </c>
      <c r="P501" s="39" t="n">
        <v>0.186101419193464</v>
      </c>
      <c r="Q501" s="39" t="n">
        <v>0.188216404117851</v>
      </c>
      <c r="R501" s="39" t="n">
        <v>0.0894086782157932</v>
      </c>
      <c r="S501" s="39" t="n">
        <v>0.0950942868670085</v>
      </c>
      <c r="T501" s="38" t="n">
        <f aca="false">N501*Scorecard!$C$18+O501*Scorecard!$C$19+P501*Scorecard!$C$20+Q501*Scorecard!$C$21+R501*Scorecard!$C$22+S501*Scorecard!$C$23</f>
        <v>3.88722945114385</v>
      </c>
      <c r="U501" s="38" t="n">
        <f aca="false">N501*Scorecard!$D$18+O501*Scorecard!$D$19+P501*Scorecard!$D$20+Q501*Scorecard!$D$21+R501*Scorecard!$D$22+S501*Scorecard!$D$23</f>
        <v>2.83528311340967</v>
      </c>
      <c r="V501" s="38" t="n">
        <f aca="false">N501*Scorecard!$E$18+O501*Scorecard!$E$19+P501*Scorecard!$E$20+Q501*Scorecard!$E$21+R501*Scorecard!$E$22+S501*Scorecard!$E$23</f>
        <v>3.53068554494015</v>
      </c>
    </row>
    <row r="502" customFormat="false" ht="15" hidden="false" customHeight="false" outlineLevel="0" collapsed="false">
      <c r="A502" s="0" t="n">
        <v>497</v>
      </c>
      <c r="B502" s="38" t="n">
        <f aca="false">E502*Scorecard!$C$18+F502*Scorecard!$C$19+G502*Scorecard!$C$20+H502*Scorecard!$C$21+I502*Scorecard!$C$22+J502*Scorecard!$C$23</f>
        <v>3.24544182461445</v>
      </c>
      <c r="C502" s="38" t="n">
        <f aca="false">E502*Scorecard!$D$18+F502*Scorecard!$D$19+G502*Scorecard!$D$20+H502*Scorecard!$D$21+I502*Scorecard!$D$22+J502*Scorecard!$D$23</f>
        <v>2.45136864673329</v>
      </c>
      <c r="D502" s="0" t="str">
        <f aca="false">IF(AND(B502&gt;=C502,B502&gt;=K502),"A. Distribution",IF(C502&gt;=K502,"B. Manufacturing","C. Prof. services"))</f>
        <v>C. Prof. services</v>
      </c>
      <c r="E502" s="39" t="n">
        <v>0.110544357671015</v>
      </c>
      <c r="F502" s="39" t="n">
        <v>0.0392116995190811</v>
      </c>
      <c r="G502" s="39" t="n">
        <v>0.0897632589650283</v>
      </c>
      <c r="H502" s="39" t="n">
        <v>0.0929141993142051</v>
      </c>
      <c r="I502" s="39" t="n">
        <v>0.280124951639341</v>
      </c>
      <c r="J502" s="39" t="n">
        <v>0.387441532891329</v>
      </c>
      <c r="K502" s="38" t="n">
        <f aca="false">E502*Scorecard!$E$18+F502*Scorecard!$E$19+G502*Scorecard!$E$20+H502*Scorecard!$E$21+I502*Scorecard!$E$22+J502*Scorecard!$E$23</f>
        <v>3.59429996956998</v>
      </c>
      <c r="M502" s="0" t="str">
        <f aca="false">IF(AND(T502&gt;=U502,T502&gt;=V502),"A. Distribution",IF(U502&gt;=V502,"B. Manufacturing","C. Prof. services"))</f>
        <v>A. Distribution</v>
      </c>
      <c r="N502" s="39" t="n">
        <v>0.309720515898938</v>
      </c>
      <c r="O502" s="39" t="n">
        <v>0.188367504834063</v>
      </c>
      <c r="P502" s="39" t="n">
        <v>0.214089806369355</v>
      </c>
      <c r="Q502" s="39" t="n">
        <v>0.101232722280693</v>
      </c>
      <c r="R502" s="39" t="n">
        <v>0.14228332136137</v>
      </c>
      <c r="S502" s="39" t="n">
        <v>0.0443061292555816</v>
      </c>
      <c r="T502" s="38" t="n">
        <f aca="false">N502*Scorecard!$C$18+O502*Scorecard!$C$19+P502*Scorecard!$C$20+Q502*Scorecard!$C$21+R502*Scorecard!$C$22+S502*Scorecard!$C$23</f>
        <v>4.06398090069664</v>
      </c>
      <c r="U502" s="38" t="n">
        <f aca="false">N502*Scorecard!$D$18+O502*Scorecard!$D$19+P502*Scorecard!$D$20+Q502*Scorecard!$D$21+R502*Scorecard!$D$22+S502*Scorecard!$D$23</f>
        <v>2.92360772305588</v>
      </c>
      <c r="V502" s="38" t="n">
        <f aca="false">N502*Scorecard!$E$18+O502*Scorecard!$E$19+P502*Scorecard!$E$20+Q502*Scorecard!$E$21+R502*Scorecard!$E$22+S502*Scorecard!$E$23</f>
        <v>3.37186050212278</v>
      </c>
    </row>
    <row r="503" customFormat="false" ht="15" hidden="false" customHeight="false" outlineLevel="0" collapsed="false">
      <c r="A503" s="0" t="n">
        <v>498</v>
      </c>
      <c r="B503" s="38" t="n">
        <f aca="false">E503*Scorecard!$C$18+F503*Scorecard!$C$19+G503*Scorecard!$C$20+H503*Scorecard!$C$21+I503*Scorecard!$C$22+J503*Scorecard!$C$23</f>
        <v>4.11851965159055</v>
      </c>
      <c r="C503" s="38" t="n">
        <f aca="false">E503*Scorecard!$D$18+F503*Scorecard!$D$19+G503*Scorecard!$D$20+H503*Scorecard!$D$21+I503*Scorecard!$D$22+J503*Scorecard!$D$23</f>
        <v>2.79396131904673</v>
      </c>
      <c r="D503" s="0" t="str">
        <f aca="false">IF(AND(B503&gt;=C503,B503&gt;=K503),"A. Distribution",IF(C503&gt;=K503,"B. Manufacturing","C. Prof. services"))</f>
        <v>A. Distribution</v>
      </c>
      <c r="E503" s="39" t="n">
        <v>0.330226105494318</v>
      </c>
      <c r="F503" s="39" t="n">
        <v>0.176496647239444</v>
      </c>
      <c r="G503" s="39" t="n">
        <v>0.361101705594158</v>
      </c>
      <c r="H503" s="39" t="n">
        <v>0.122146666975143</v>
      </c>
      <c r="I503" s="39" t="n">
        <v>0.000877458388958702</v>
      </c>
      <c r="J503" s="39" t="n">
        <v>0.00915141630797812</v>
      </c>
      <c r="K503" s="38" t="n">
        <f aca="false">E503*Scorecard!$E$18+F503*Scorecard!$E$19+G503*Scorecard!$E$20+H503*Scorecard!$E$21+I503*Scorecard!$E$22+J503*Scorecard!$E$23</f>
        <v>3.58706169482394</v>
      </c>
      <c r="M503" s="0" t="str">
        <f aca="false">IF(AND(T503&gt;=U503,T503&gt;=V503),"A. Distribution",IF(U503&gt;=V503,"B. Manufacturing","C. Prof. services"))</f>
        <v>A. Distribution</v>
      </c>
      <c r="N503" s="39" t="n">
        <v>0.248992942028382</v>
      </c>
      <c r="O503" s="39" t="n">
        <v>0.116702312634827</v>
      </c>
      <c r="P503" s="39" t="n">
        <v>0.174847892024237</v>
      </c>
      <c r="Q503" s="39" t="n">
        <v>0.172127594112881</v>
      </c>
      <c r="R503" s="39" t="n">
        <v>0.152761166053829</v>
      </c>
      <c r="S503" s="39" t="n">
        <v>0.134568093145844</v>
      </c>
      <c r="T503" s="38" t="n">
        <f aca="false">N503*Scorecard!$C$18+O503*Scorecard!$C$19+P503*Scorecard!$C$20+Q503*Scorecard!$C$21+R503*Scorecard!$C$22+S503*Scorecard!$C$23</f>
        <v>3.80902843754386</v>
      </c>
      <c r="U503" s="38" t="n">
        <f aca="false">N503*Scorecard!$D$18+O503*Scorecard!$D$19+P503*Scorecard!$D$20+Q503*Scorecard!$D$21+R503*Scorecard!$D$22+S503*Scorecard!$D$23</f>
        <v>2.75232600622031</v>
      </c>
      <c r="V503" s="38" t="n">
        <f aca="false">N503*Scorecard!$E$18+O503*Scorecard!$E$19+P503*Scorecard!$E$20+Q503*Scorecard!$E$21+R503*Scorecard!$E$22+S503*Scorecard!$E$23</f>
        <v>3.49237371478802</v>
      </c>
    </row>
    <row r="504" customFormat="false" ht="15" hidden="false" customHeight="false" outlineLevel="0" collapsed="false">
      <c r="A504" s="0" t="n">
        <v>499</v>
      </c>
      <c r="B504" s="38" t="n">
        <f aca="false">E504*Scorecard!$C$18+F504*Scorecard!$C$19+G504*Scorecard!$C$20+H504*Scorecard!$C$21+I504*Scorecard!$C$22+J504*Scorecard!$C$23</f>
        <v>3.92428744323937</v>
      </c>
      <c r="C504" s="38" t="n">
        <f aca="false">E504*Scorecard!$D$18+F504*Scorecard!$D$19+G504*Scorecard!$D$20+H504*Scorecard!$D$21+I504*Scorecard!$D$22+J504*Scorecard!$D$23</f>
        <v>2.9881745200981</v>
      </c>
      <c r="D504" s="0" t="str">
        <f aca="false">IF(AND(B504&gt;=C504,B504&gt;=K504),"A. Distribution",IF(C504&gt;=K504,"B. Manufacturing","C. Prof. services"))</f>
        <v>A. Distribution</v>
      </c>
      <c r="E504" s="39" t="n">
        <v>0.232339399140327</v>
      </c>
      <c r="F504" s="39" t="n">
        <v>0.177520353114016</v>
      </c>
      <c r="G504" s="39" t="n">
        <v>0.0638103015983197</v>
      </c>
      <c r="H504" s="39" t="n">
        <v>0.0665494502107351</v>
      </c>
      <c r="I504" s="39" t="n">
        <v>0.346076302320216</v>
      </c>
      <c r="J504" s="39" t="n">
        <v>0.113704193616386</v>
      </c>
      <c r="K504" s="38" t="n">
        <f aca="false">E504*Scorecard!$E$18+F504*Scorecard!$E$19+G504*Scorecard!$E$20+H504*Scorecard!$E$21+I504*Scorecard!$E$22+J504*Scorecard!$E$23</f>
        <v>3.1298992718135</v>
      </c>
      <c r="M504" s="0" t="str">
        <f aca="false">IF(AND(T504&gt;=U504,T504&gt;=V504),"A. Distribution",IF(U504&gt;=V504,"B. Manufacturing","C. Prof. services"))</f>
        <v>A. Distribution</v>
      </c>
      <c r="N504" s="39" t="n">
        <v>0.203847311472679</v>
      </c>
      <c r="O504" s="39" t="n">
        <v>0.0904850773088093</v>
      </c>
      <c r="P504" s="39" t="n">
        <v>0.128735119059576</v>
      </c>
      <c r="Q504" s="39" t="n">
        <v>0.156592345275266</v>
      </c>
      <c r="R504" s="39" t="n">
        <v>0.255943279310597</v>
      </c>
      <c r="S504" s="39" t="n">
        <v>0.164396867573072</v>
      </c>
      <c r="T504" s="38" t="n">
        <f aca="false">N504*Scorecard!$C$18+O504*Scorecard!$C$19+P504*Scorecard!$C$20+Q504*Scorecard!$C$21+R504*Scorecard!$C$22+S504*Scorecard!$C$23</f>
        <v>3.72845218248216</v>
      </c>
      <c r="U504" s="38" t="n">
        <f aca="false">N504*Scorecard!$D$18+O504*Scorecard!$D$19+P504*Scorecard!$D$20+Q504*Scorecard!$D$21+R504*Scorecard!$D$22+S504*Scorecard!$D$23</f>
        <v>2.76520899519894</v>
      </c>
      <c r="V504" s="38" t="n">
        <f aca="false">N504*Scorecard!$E$18+O504*Scorecard!$E$19+P504*Scorecard!$E$20+Q504*Scorecard!$E$21+R504*Scorecard!$E$22+S504*Scorecard!$E$23</f>
        <v>3.39430904994716</v>
      </c>
    </row>
    <row r="505" customFormat="false" ht="15" hidden="false" customHeight="false" outlineLevel="0" collapsed="false">
      <c r="A505" s="0" t="n">
        <v>500</v>
      </c>
      <c r="B505" s="38" t="n">
        <f aca="false">E505*Scorecard!$C$18+F505*Scorecard!$C$19+G505*Scorecard!$C$20+H505*Scorecard!$C$21+I505*Scorecard!$C$22+J505*Scorecard!$C$23</f>
        <v>3.83734831028341</v>
      </c>
      <c r="C505" s="38" t="n">
        <f aca="false">E505*Scorecard!$D$18+F505*Scorecard!$D$19+G505*Scorecard!$D$20+H505*Scorecard!$D$21+I505*Scorecard!$D$22+J505*Scorecard!$D$23</f>
        <v>2.7075864275217</v>
      </c>
      <c r="D505" s="0" t="str">
        <f aca="false">IF(AND(B505&gt;=C505,B505&gt;=K505),"A. Distribution",IF(C505&gt;=K505,"B. Manufacturing","C. Prof. services"))</f>
        <v>A. Distribution</v>
      </c>
      <c r="E505" s="39" t="n">
        <v>0.263593433581279</v>
      </c>
      <c r="F505" s="39" t="n">
        <v>0.236846275954401</v>
      </c>
      <c r="G505" s="39" t="n">
        <v>0.0977669205860818</v>
      </c>
      <c r="H505" s="39" t="n">
        <v>0.148733834466717</v>
      </c>
      <c r="I505" s="39" t="n">
        <v>0.0719051644780492</v>
      </c>
      <c r="J505" s="39" t="n">
        <v>0.181154370933472</v>
      </c>
      <c r="K505" s="38" t="n">
        <f aca="false">E505*Scorecard!$E$18+F505*Scorecard!$E$19+G505*Scorecard!$E$20+H505*Scorecard!$E$21+I505*Scorecard!$E$22+J505*Scorecard!$E$23</f>
        <v>3.5071585746217</v>
      </c>
      <c r="M505" s="0" t="str">
        <f aca="false">IF(AND(T505&gt;=U505,T505&gt;=V505),"A. Distribution",IF(U505&gt;=V505,"B. Manufacturing","C. Prof. services"))</f>
        <v>A. Distribution</v>
      </c>
      <c r="N505" s="39" t="n">
        <v>0.328649073421241</v>
      </c>
      <c r="O505" s="39" t="n">
        <v>0.0960921631626141</v>
      </c>
      <c r="P505" s="39" t="n">
        <v>0.163408996535315</v>
      </c>
      <c r="Q505" s="39" t="n">
        <v>0.121751046998348</v>
      </c>
      <c r="R505" s="39" t="n">
        <v>0.177747387463357</v>
      </c>
      <c r="S505" s="39" t="n">
        <v>0.112351332419125</v>
      </c>
      <c r="T505" s="38" t="n">
        <f aca="false">N505*Scorecard!$C$18+O505*Scorecard!$C$19+P505*Scorecard!$C$20+Q505*Scorecard!$C$21+R505*Scorecard!$C$22+S505*Scorecard!$C$23</f>
        <v>3.83188457839033</v>
      </c>
      <c r="U505" s="38" t="n">
        <f aca="false">N505*Scorecard!$D$18+O505*Scorecard!$D$19+P505*Scorecard!$D$20+Q505*Scorecard!$D$21+R505*Scorecard!$D$22+S505*Scorecard!$D$23</f>
        <v>2.93227568799669</v>
      </c>
      <c r="V505" s="38" t="n">
        <f aca="false">N505*Scorecard!$E$18+O505*Scorecard!$E$19+P505*Scorecard!$E$20+Q505*Scorecard!$E$21+R505*Scorecard!$E$22+S505*Scorecard!$E$23</f>
        <v>3.44090742855555</v>
      </c>
    </row>
    <row r="506" customFormat="false" ht="15" hidden="false" customHeight="false" outlineLevel="0" collapsed="false">
      <c r="A506" s="0" t="n">
        <v>501</v>
      </c>
      <c r="B506" s="38" t="n">
        <f aca="false">E506*Scorecard!$C$18+F506*Scorecard!$C$19+G506*Scorecard!$C$20+H506*Scorecard!$C$21+I506*Scorecard!$C$22+J506*Scorecard!$C$23</f>
        <v>4.0081050503674</v>
      </c>
      <c r="C506" s="38" t="n">
        <f aca="false">E506*Scorecard!$D$18+F506*Scorecard!$D$19+G506*Scorecard!$D$20+H506*Scorecard!$D$21+I506*Scorecard!$D$22+J506*Scorecard!$D$23</f>
        <v>2.91706851739558</v>
      </c>
      <c r="D506" s="0" t="str">
        <f aca="false">IF(AND(B506&gt;=C506,B506&gt;=K506),"A. Distribution",IF(C506&gt;=K506,"B. Manufacturing","C. Prof. services"))</f>
        <v>A. Distribution</v>
      </c>
      <c r="E506" s="39" t="n">
        <v>0.345445214782001</v>
      </c>
      <c r="F506" s="39" t="n">
        <v>0.197554799643609</v>
      </c>
      <c r="G506" s="39" t="n">
        <v>0.131787298699403</v>
      </c>
      <c r="H506" s="39" t="n">
        <v>0.182453938620583</v>
      </c>
      <c r="I506" s="39" t="n">
        <v>0.0717309736644873</v>
      </c>
      <c r="J506" s="39" t="n">
        <v>0.0710277745899171</v>
      </c>
      <c r="K506" s="38" t="n">
        <f aca="false">E506*Scorecard!$E$18+F506*Scorecard!$E$19+G506*Scorecard!$E$20+H506*Scorecard!$E$21+I506*Scorecard!$E$22+J506*Scorecard!$E$23</f>
        <v>3.4474004197707</v>
      </c>
      <c r="M506" s="0" t="str">
        <f aca="false">IF(AND(T506&gt;=U506,T506&gt;=V506),"A. Distribution",IF(U506&gt;=V506,"B. Manufacturing","C. Prof. services"))</f>
        <v>A. Distribution</v>
      </c>
      <c r="N506" s="39" t="n">
        <v>0.195295697508099</v>
      </c>
      <c r="O506" s="39" t="n">
        <v>0.221367006468675</v>
      </c>
      <c r="P506" s="39" t="n">
        <v>0.204094890229295</v>
      </c>
      <c r="Q506" s="39" t="n">
        <v>0.125599846919595</v>
      </c>
      <c r="R506" s="39" t="n">
        <v>0.163118644348435</v>
      </c>
      <c r="S506" s="39" t="n">
        <v>0.0905239145259016</v>
      </c>
      <c r="T506" s="38" t="n">
        <f aca="false">N506*Scorecard!$C$18+O506*Scorecard!$C$19+P506*Scorecard!$C$20+Q506*Scorecard!$C$21+R506*Scorecard!$C$22+S506*Scorecard!$C$23</f>
        <v>4.01110605910001</v>
      </c>
      <c r="U506" s="38" t="n">
        <f aca="false">N506*Scorecard!$D$18+O506*Scorecard!$D$19+P506*Scorecard!$D$20+Q506*Scorecard!$D$21+R506*Scorecard!$D$22+S506*Scorecard!$D$23</f>
        <v>2.7213652379198</v>
      </c>
      <c r="V506" s="38" t="n">
        <f aca="false">N506*Scorecard!$E$18+O506*Scorecard!$E$19+P506*Scorecard!$E$20+Q506*Scorecard!$E$21+R506*Scorecard!$E$22+S506*Scorecard!$E$23</f>
        <v>3.37003747368544</v>
      </c>
    </row>
    <row r="507" customFormat="false" ht="15" hidden="false" customHeight="false" outlineLevel="0" collapsed="false">
      <c r="A507" s="0" t="n">
        <v>502</v>
      </c>
      <c r="B507" s="38" t="n">
        <f aca="false">E507*Scorecard!$C$18+F507*Scorecard!$C$19+G507*Scorecard!$C$20+H507*Scorecard!$C$21+I507*Scorecard!$C$22+J507*Scorecard!$C$23</f>
        <v>4.17117781596401</v>
      </c>
      <c r="C507" s="38" t="n">
        <f aca="false">E507*Scorecard!$D$18+F507*Scorecard!$D$19+G507*Scorecard!$D$20+H507*Scorecard!$D$21+I507*Scorecard!$D$22+J507*Scorecard!$D$23</f>
        <v>2.38147577514523</v>
      </c>
      <c r="D507" s="0" t="str">
        <f aca="false">IF(AND(B507&gt;=C507,B507&gt;=K507),"A. Distribution",IF(C507&gt;=K507,"B. Manufacturing","C. Prof. services"))</f>
        <v>A. Distribution</v>
      </c>
      <c r="E507" s="39" t="n">
        <v>0.0762037930144484</v>
      </c>
      <c r="F507" s="39" t="n">
        <v>0.247238547465468</v>
      </c>
      <c r="G507" s="39" t="n">
        <v>0.402042938031306</v>
      </c>
      <c r="H507" s="39" t="n">
        <v>0.218197976273493</v>
      </c>
      <c r="I507" s="39" t="n">
        <v>0.0331009377278374</v>
      </c>
      <c r="J507" s="39" t="n">
        <v>0.0232158074874473</v>
      </c>
      <c r="K507" s="38" t="n">
        <f aca="false">E507*Scorecard!$E$18+F507*Scorecard!$E$19+G507*Scorecard!$E$20+H507*Scorecard!$E$21+I507*Scorecard!$E$22+J507*Scorecard!$E$23</f>
        <v>3.55141596820961</v>
      </c>
      <c r="M507" s="0" t="str">
        <f aca="false">IF(AND(T507&gt;=U507,T507&gt;=V507),"A. Distribution",IF(U507&gt;=V507,"B. Manufacturing","C. Prof. services"))</f>
        <v>A. Distribution</v>
      </c>
      <c r="N507" s="39" t="n">
        <v>0.178560924064974</v>
      </c>
      <c r="O507" s="39" t="n">
        <v>0.318080479098087</v>
      </c>
      <c r="P507" s="39" t="n">
        <v>0.191322709785976</v>
      </c>
      <c r="Q507" s="39" t="n">
        <v>0.129471697904177</v>
      </c>
      <c r="R507" s="39" t="n">
        <v>0.114653171379172</v>
      </c>
      <c r="S507" s="39" t="n">
        <v>0.0679110177676153</v>
      </c>
      <c r="T507" s="38" t="n">
        <f aca="false">N507*Scorecard!$C$18+O507*Scorecard!$C$19+P507*Scorecard!$C$20+Q507*Scorecard!$C$21+R507*Scorecard!$C$22+S507*Scorecard!$C$23</f>
        <v>4.15397171196775</v>
      </c>
      <c r="U507" s="38" t="n">
        <f aca="false">N507*Scorecard!$D$18+O507*Scorecard!$D$19+P507*Scorecard!$D$20+Q507*Scorecard!$D$21+R507*Scorecard!$D$22+S507*Scorecard!$D$23</f>
        <v>2.68656505801337</v>
      </c>
      <c r="V507" s="38" t="n">
        <f aca="false">N507*Scorecard!$E$18+O507*Scorecard!$E$19+P507*Scorecard!$E$20+Q507*Scorecard!$E$21+R507*Scorecard!$E$22+S507*Scorecard!$E$23</f>
        <v>3.33099639479394</v>
      </c>
    </row>
    <row r="508" customFormat="false" ht="15" hidden="false" customHeight="false" outlineLevel="0" collapsed="false">
      <c r="A508" s="0" t="n">
        <v>503</v>
      </c>
      <c r="B508" s="38" t="n">
        <f aca="false">E508*Scorecard!$C$18+F508*Scorecard!$C$19+G508*Scorecard!$C$20+H508*Scorecard!$C$21+I508*Scorecard!$C$22+J508*Scorecard!$C$23</f>
        <v>3.90462760367336</v>
      </c>
      <c r="C508" s="38" t="n">
        <f aca="false">E508*Scorecard!$D$18+F508*Scorecard!$D$19+G508*Scorecard!$D$20+H508*Scorecard!$D$21+I508*Scorecard!$D$22+J508*Scorecard!$D$23</f>
        <v>2.68130014695163</v>
      </c>
      <c r="D508" s="0" t="str">
        <f aca="false">IF(AND(B508&gt;=C508,B508&gt;=K508),"A. Distribution",IF(C508&gt;=K508,"B. Manufacturing","C. Prof. services"))</f>
        <v>A. Distribution</v>
      </c>
      <c r="E508" s="39" t="n">
        <v>0.110632496818204</v>
      </c>
      <c r="F508" s="39" t="n">
        <v>0.0734242690682664</v>
      </c>
      <c r="G508" s="39" t="n">
        <v>0.192002308095801</v>
      </c>
      <c r="H508" s="39" t="n">
        <v>0.28310937474717</v>
      </c>
      <c r="I508" s="39" t="n">
        <v>0.276126982217944</v>
      </c>
      <c r="J508" s="39" t="n">
        <v>0.0647045690526152</v>
      </c>
      <c r="K508" s="38" t="n">
        <f aca="false">E508*Scorecard!$E$18+F508*Scorecard!$E$19+G508*Scorecard!$E$20+H508*Scorecard!$E$21+I508*Scorecard!$E$22+J508*Scorecard!$E$23</f>
        <v>3.33644426855685</v>
      </c>
      <c r="M508" s="0" t="str">
        <f aca="false">IF(AND(T508&gt;=U508,T508&gt;=V508),"A. Distribution",IF(U508&gt;=V508,"B. Manufacturing","C. Prof. services"))</f>
        <v>A. Distribution</v>
      </c>
      <c r="N508" s="39" t="n">
        <v>0.106226917817847</v>
      </c>
      <c r="O508" s="39" t="n">
        <v>0.175553872857506</v>
      </c>
      <c r="P508" s="39" t="n">
        <v>0.278716117341249</v>
      </c>
      <c r="Q508" s="39" t="n">
        <v>0.0993798283389848</v>
      </c>
      <c r="R508" s="39" t="n">
        <v>0.325258796646694</v>
      </c>
      <c r="S508" s="39" t="n">
        <v>0.0148644669977201</v>
      </c>
      <c r="T508" s="38" t="n">
        <f aca="false">N508*Scorecard!$C$18+O508*Scorecard!$C$19+P508*Scorecard!$C$20+Q508*Scorecard!$C$21+R508*Scorecard!$C$22+S508*Scorecard!$C$23</f>
        <v>4.12658808772709</v>
      </c>
      <c r="U508" s="38" t="n">
        <f aca="false">N508*Scorecard!$D$18+O508*Scorecard!$D$19+P508*Scorecard!$D$20+Q508*Scorecard!$D$21+R508*Scorecard!$D$22+S508*Scorecard!$D$23</f>
        <v>2.76322500888247</v>
      </c>
      <c r="V508" s="38" t="n">
        <f aca="false">N508*Scorecard!$E$18+O508*Scorecard!$E$19+P508*Scorecard!$E$20+Q508*Scorecard!$E$21+R508*Scorecard!$E$22+S508*Scorecard!$E$23</f>
        <v>3.16984492929928</v>
      </c>
    </row>
    <row r="509" customFormat="false" ht="15" hidden="false" customHeight="false" outlineLevel="0" collapsed="false">
      <c r="A509" s="0" t="n">
        <v>504</v>
      </c>
      <c r="B509" s="38" t="n">
        <f aca="false">E509*Scorecard!$C$18+F509*Scorecard!$C$19+G509*Scorecard!$C$20+H509*Scorecard!$C$21+I509*Scorecard!$C$22+J509*Scorecard!$C$23</f>
        <v>4.3613631738424</v>
      </c>
      <c r="C509" s="38" t="n">
        <f aca="false">E509*Scorecard!$D$18+F509*Scorecard!$D$19+G509*Scorecard!$D$20+H509*Scorecard!$D$21+I509*Scorecard!$D$22+J509*Scorecard!$D$23</f>
        <v>2.81734421791137</v>
      </c>
      <c r="D509" s="0" t="str">
        <f aca="false">IF(AND(B509&gt;=C509,B509&gt;=K509),"A. Distribution",IF(C509&gt;=K509,"B. Manufacturing","C. Prof. services"))</f>
        <v>A. Distribution</v>
      </c>
      <c r="E509" s="39" t="n">
        <v>0.255176243287225</v>
      </c>
      <c r="F509" s="39" t="n">
        <v>0.406067390905341</v>
      </c>
      <c r="G509" s="39" t="n">
        <v>0.16160893218718</v>
      </c>
      <c r="H509" s="39" t="n">
        <v>0.135945338453226</v>
      </c>
      <c r="I509" s="39" t="n">
        <v>0.0364177200443158</v>
      </c>
      <c r="J509" s="39" t="n">
        <v>0.00478437512271338</v>
      </c>
      <c r="K509" s="38" t="n">
        <f aca="false">E509*Scorecard!$E$18+F509*Scorecard!$E$19+G509*Scorecard!$E$20+H509*Scorecard!$E$21+I509*Scorecard!$E$22+J509*Scorecard!$E$23</f>
        <v>3.28422192557776</v>
      </c>
      <c r="M509" s="0" t="str">
        <f aca="false">IF(AND(T509&gt;=U509,T509&gt;=V509),"A. Distribution",IF(U509&gt;=V509,"B. Manufacturing","C. Prof. services"))</f>
        <v>A. Distribution</v>
      </c>
      <c r="N509" s="39" t="n">
        <v>0.221558019511661</v>
      </c>
      <c r="O509" s="39" t="n">
        <v>0.19895795129125</v>
      </c>
      <c r="P509" s="39" t="n">
        <v>0.340320614249696</v>
      </c>
      <c r="Q509" s="39" t="n">
        <v>0.0962143578256528</v>
      </c>
      <c r="R509" s="39" t="n">
        <v>0.0681247975353702</v>
      </c>
      <c r="S509" s="39" t="n">
        <v>0.0748242595863709</v>
      </c>
      <c r="T509" s="38" t="n">
        <f aca="false">N509*Scorecard!$C$18+O509*Scorecard!$C$19+P509*Scorecard!$C$20+Q509*Scorecard!$C$21+R509*Scorecard!$C$22+S509*Scorecard!$C$23</f>
        <v>4.02115410044011</v>
      </c>
      <c r="U509" s="38" t="n">
        <f aca="false">N509*Scorecard!$D$18+O509*Scorecard!$D$19+P509*Scorecard!$D$20+Q509*Scorecard!$D$21+R509*Scorecard!$D$22+S509*Scorecard!$D$23</f>
        <v>2.63523575394643</v>
      </c>
      <c r="V509" s="38" t="n">
        <f aca="false">N509*Scorecard!$E$18+O509*Scorecard!$E$19+P509*Scorecard!$E$20+Q509*Scorecard!$E$21+R509*Scorecard!$E$22+S509*Scorecard!$E$23</f>
        <v>3.5437822017709</v>
      </c>
    </row>
    <row r="510" customFormat="false" ht="15" hidden="false" customHeight="false" outlineLevel="0" collapsed="false">
      <c r="A510" s="0" t="n">
        <v>505</v>
      </c>
      <c r="B510" s="38" t="n">
        <f aca="false">E510*Scorecard!$C$18+F510*Scorecard!$C$19+G510*Scorecard!$C$20+H510*Scorecard!$C$21+I510*Scorecard!$C$22+J510*Scorecard!$C$23</f>
        <v>4.13809462722827</v>
      </c>
      <c r="C510" s="38" t="n">
        <f aca="false">E510*Scorecard!$D$18+F510*Scorecard!$D$19+G510*Scorecard!$D$20+H510*Scorecard!$D$21+I510*Scorecard!$D$22+J510*Scorecard!$D$23</f>
        <v>2.60419492177002</v>
      </c>
      <c r="D510" s="0" t="str">
        <f aca="false">IF(AND(B510&gt;=C510,B510&gt;=K510),"A. Distribution",IF(C510&gt;=K510,"B. Manufacturing","C. Prof. services"))</f>
        <v>A. Distribution</v>
      </c>
      <c r="E510" s="39" t="n">
        <v>0.154256572574034</v>
      </c>
      <c r="F510" s="39" t="n">
        <v>0.29529667687712</v>
      </c>
      <c r="G510" s="39" t="n">
        <v>0.344788645096021</v>
      </c>
      <c r="H510" s="39" t="n">
        <v>0.00618498147342766</v>
      </c>
      <c r="I510" s="39" t="n">
        <v>0.127397697970732</v>
      </c>
      <c r="J510" s="39" t="n">
        <v>0.0720754260086658</v>
      </c>
      <c r="K510" s="38" t="n">
        <f aca="false">E510*Scorecard!$E$18+F510*Scorecard!$E$19+G510*Scorecard!$E$20+H510*Scorecard!$E$21+I510*Scorecard!$E$22+J510*Scorecard!$E$23</f>
        <v>3.39154974385353</v>
      </c>
      <c r="M510" s="0" t="str">
        <f aca="false">IF(AND(T510&gt;=U510,T510&gt;=V510),"A. Distribution",IF(U510&gt;=V510,"B. Manufacturing","C. Prof. services"))</f>
        <v>A. Distribution</v>
      </c>
      <c r="N510" s="39" t="n">
        <v>0.177014539478673</v>
      </c>
      <c r="O510" s="39" t="n">
        <v>0.0975957851286796</v>
      </c>
      <c r="P510" s="39" t="n">
        <v>0.215770115458934</v>
      </c>
      <c r="Q510" s="39" t="n">
        <v>0.121286494122793</v>
      </c>
      <c r="R510" s="39" t="n">
        <v>0.284369506479771</v>
      </c>
      <c r="S510" s="39" t="n">
        <v>0.103963559331149</v>
      </c>
      <c r="T510" s="38" t="n">
        <f aca="false">N510*Scorecard!$C$18+O510*Scorecard!$C$19+P510*Scorecard!$C$20+Q510*Scorecard!$C$21+R510*Scorecard!$C$22+S510*Scorecard!$C$23</f>
        <v>3.8623880496083</v>
      </c>
      <c r="U510" s="38" t="n">
        <f aca="false">N510*Scorecard!$D$18+O510*Scorecard!$D$19+P510*Scorecard!$D$20+Q510*Scorecard!$D$21+R510*Scorecard!$D$22+S510*Scorecard!$D$23</f>
        <v>2.77248332740271</v>
      </c>
      <c r="V510" s="38" t="n">
        <f aca="false">N510*Scorecard!$E$18+O510*Scorecard!$E$19+P510*Scorecard!$E$20+Q510*Scorecard!$E$21+R510*Scorecard!$E$22+S510*Scorecard!$E$23</f>
        <v>3.33317821036745</v>
      </c>
    </row>
    <row r="511" customFormat="false" ht="15" hidden="false" customHeight="false" outlineLevel="0" collapsed="false">
      <c r="A511" s="0" t="n">
        <v>506</v>
      </c>
      <c r="B511" s="38" t="n">
        <f aca="false">E511*Scorecard!$C$18+F511*Scorecard!$C$19+G511*Scorecard!$C$20+H511*Scorecard!$C$21+I511*Scorecard!$C$22+J511*Scorecard!$C$23</f>
        <v>3.6925766201884</v>
      </c>
      <c r="C511" s="38" t="n">
        <f aca="false">E511*Scorecard!$D$18+F511*Scorecard!$D$19+G511*Scorecard!$D$20+H511*Scorecard!$D$21+I511*Scorecard!$D$22+J511*Scorecard!$D$23</f>
        <v>2.48413445287481</v>
      </c>
      <c r="D511" s="0" t="str">
        <f aca="false">IF(AND(B511&gt;=C511,B511&gt;=K511),"A. Distribution",IF(C511&gt;=K511,"B. Manufacturing","C. Prof. services"))</f>
        <v>A. Distribution</v>
      </c>
      <c r="E511" s="39" t="n">
        <v>0.00567962011313159</v>
      </c>
      <c r="F511" s="39" t="n">
        <v>0.148724390929635</v>
      </c>
      <c r="G511" s="39" t="n">
        <v>0.0826218171563347</v>
      </c>
      <c r="H511" s="39" t="n">
        <v>0.218324320438317</v>
      </c>
      <c r="I511" s="39" t="n">
        <v>0.328566251994427</v>
      </c>
      <c r="J511" s="39" t="n">
        <v>0.216083599368155</v>
      </c>
      <c r="K511" s="38" t="n">
        <f aca="false">E511*Scorecard!$E$18+F511*Scorecard!$E$19+G511*Scorecard!$E$20+H511*Scorecard!$E$21+I511*Scorecard!$E$22+J511*Scorecard!$E$23</f>
        <v>3.30838418948768</v>
      </c>
      <c r="M511" s="0" t="str">
        <f aca="false">IF(AND(T511&gt;=U511,T511&gt;=V511),"A. Distribution",IF(U511&gt;=V511,"B. Manufacturing","C. Prof. services"))</f>
        <v>A. Distribution</v>
      </c>
      <c r="N511" s="39" t="n">
        <v>0.121741359240504</v>
      </c>
      <c r="O511" s="39" t="n">
        <v>0.169193414480654</v>
      </c>
      <c r="P511" s="39" t="n">
        <v>0.184381685632862</v>
      </c>
      <c r="Q511" s="39" t="n">
        <v>0.164000461449706</v>
      </c>
      <c r="R511" s="39" t="n">
        <v>0.127032414003448</v>
      </c>
      <c r="S511" s="39" t="n">
        <v>0.233650665192827</v>
      </c>
      <c r="T511" s="38" t="n">
        <f aca="false">N511*Scorecard!$C$18+O511*Scorecard!$C$19+P511*Scorecard!$C$20+Q511*Scorecard!$C$21+R511*Scorecard!$C$22+S511*Scorecard!$C$23</f>
        <v>3.67444671740386</v>
      </c>
      <c r="U511" s="38" t="n">
        <f aca="false">N511*Scorecard!$D$18+O511*Scorecard!$D$19+P511*Scorecard!$D$20+Q511*Scorecard!$D$21+R511*Scorecard!$D$22+S511*Scorecard!$D$23</f>
        <v>2.43644437100807</v>
      </c>
      <c r="V511" s="38" t="n">
        <f aca="false">N511*Scorecard!$E$18+O511*Scorecard!$E$19+P511*Scorecard!$E$20+Q511*Scorecard!$E$21+R511*Scorecard!$E$22+S511*Scorecard!$E$23</f>
        <v>3.58833228041247</v>
      </c>
    </row>
    <row r="512" customFormat="false" ht="15" hidden="false" customHeight="false" outlineLevel="0" collapsed="false">
      <c r="A512" s="0" t="n">
        <v>507</v>
      </c>
      <c r="B512" s="38" t="n">
        <f aca="false">E512*Scorecard!$C$18+F512*Scorecard!$C$19+G512*Scorecard!$C$20+H512*Scorecard!$C$21+I512*Scorecard!$C$22+J512*Scorecard!$C$23</f>
        <v>4.05980615174121</v>
      </c>
      <c r="C512" s="38" t="n">
        <f aca="false">E512*Scorecard!$D$18+F512*Scorecard!$D$19+G512*Scorecard!$D$20+H512*Scorecard!$D$21+I512*Scorecard!$D$22+J512*Scorecard!$D$23</f>
        <v>2.79711946063206</v>
      </c>
      <c r="D512" s="0" t="str">
        <f aca="false">IF(AND(B512&gt;=C512,B512&gt;=K512),"A. Distribution",IF(C512&gt;=K512,"B. Manufacturing","C. Prof. services"))</f>
        <v>A. Distribution</v>
      </c>
      <c r="E512" s="39" t="n">
        <v>0.138163311261595</v>
      </c>
      <c r="F512" s="39" t="n">
        <v>0.132858607979982</v>
      </c>
      <c r="G512" s="39" t="n">
        <v>0.000172710254705895</v>
      </c>
      <c r="H512" s="39" t="n">
        <v>0.496405219838246</v>
      </c>
      <c r="I512" s="39" t="n">
        <v>0.228164242535598</v>
      </c>
      <c r="J512" s="39" t="n">
        <v>0.00423590812987387</v>
      </c>
      <c r="K512" s="38" t="n">
        <f aca="false">E512*Scorecard!$E$18+F512*Scorecard!$E$19+G512*Scorecard!$E$20+H512*Scorecard!$E$21+I512*Scorecard!$E$22+J512*Scorecard!$E$23</f>
        <v>3.23157123494971</v>
      </c>
      <c r="M512" s="0" t="str">
        <f aca="false">IF(AND(T512&gt;=U512,T512&gt;=V512),"A. Distribution",IF(U512&gt;=V512,"B. Manufacturing","C. Prof. services"))</f>
        <v>A. Distribution</v>
      </c>
      <c r="N512" s="39" t="n">
        <v>0.142079396109832</v>
      </c>
      <c r="O512" s="39" t="n">
        <v>0.197663624307455</v>
      </c>
      <c r="P512" s="39" t="n">
        <v>0.173020389421818</v>
      </c>
      <c r="Q512" s="39" t="n">
        <v>0.150735123012048</v>
      </c>
      <c r="R512" s="39" t="n">
        <v>0.205842080633268</v>
      </c>
      <c r="S512" s="39" t="n">
        <v>0.13065938651558</v>
      </c>
      <c r="T512" s="38" t="n">
        <f aca="false">N512*Scorecard!$C$18+O512*Scorecard!$C$19+P512*Scorecard!$C$20+Q512*Scorecard!$C$21+R512*Scorecard!$C$22+S512*Scorecard!$C$23</f>
        <v>3.90869595725999</v>
      </c>
      <c r="U512" s="38" t="n">
        <f aca="false">N512*Scorecard!$D$18+O512*Scorecard!$D$19+P512*Scorecard!$D$20+Q512*Scorecard!$D$21+R512*Scorecard!$D$22+S512*Scorecard!$D$23</f>
        <v>2.64537444670886</v>
      </c>
      <c r="V512" s="38" t="n">
        <f aca="false">N512*Scorecard!$E$18+O512*Scorecard!$E$19+P512*Scorecard!$E$20+Q512*Scorecard!$E$21+R512*Scorecard!$E$22+S512*Scorecard!$E$23</f>
        <v>3.36562051949531</v>
      </c>
    </row>
    <row r="513" customFormat="false" ht="15" hidden="false" customHeight="false" outlineLevel="0" collapsed="false">
      <c r="A513" s="0" t="n">
        <v>508</v>
      </c>
      <c r="B513" s="38" t="n">
        <f aca="false">E513*Scorecard!$C$18+F513*Scorecard!$C$19+G513*Scorecard!$C$20+H513*Scorecard!$C$21+I513*Scorecard!$C$22+J513*Scorecard!$C$23</f>
        <v>4.00288285244178</v>
      </c>
      <c r="C513" s="38" t="n">
        <f aca="false">E513*Scorecard!$D$18+F513*Scorecard!$D$19+G513*Scorecard!$D$20+H513*Scorecard!$D$21+I513*Scorecard!$D$22+J513*Scorecard!$D$23</f>
        <v>3.0106580176891</v>
      </c>
      <c r="D513" s="0" t="str">
        <f aca="false">IF(AND(B513&gt;=C513,B513&gt;=K513),"A. Distribution",IF(C513&gt;=K513,"B. Manufacturing","C. Prof. services"))</f>
        <v>A. Distribution</v>
      </c>
      <c r="E513" s="39" t="n">
        <v>0.165432849734512</v>
      </c>
      <c r="F513" s="39" t="n">
        <v>0.174339498097748</v>
      </c>
      <c r="G513" s="39" t="n">
        <v>0.0771541745218124</v>
      </c>
      <c r="H513" s="39" t="n">
        <v>0.051850424086169</v>
      </c>
      <c r="I513" s="39" t="n">
        <v>0.454929222273869</v>
      </c>
      <c r="J513" s="39" t="n">
        <v>0.0762938312858903</v>
      </c>
      <c r="K513" s="38" t="n">
        <f aca="false">E513*Scorecard!$E$18+F513*Scorecard!$E$19+G513*Scorecard!$E$20+H513*Scorecard!$E$21+I513*Scorecard!$E$22+J513*Scorecard!$E$23</f>
        <v>2.97183235111957</v>
      </c>
      <c r="M513" s="0" t="str">
        <f aca="false">IF(AND(T513&gt;=U513,T513&gt;=V513),"A. Distribution",IF(U513&gt;=V513,"B. Manufacturing","C. Prof. services"))</f>
        <v>A. Distribution</v>
      </c>
      <c r="N513" s="39" t="n">
        <v>0.246040296178322</v>
      </c>
      <c r="O513" s="39" t="n">
        <v>0.205518628863918</v>
      </c>
      <c r="P513" s="39" t="n">
        <v>0.210607374045101</v>
      </c>
      <c r="Q513" s="39" t="n">
        <v>0.153456278813656</v>
      </c>
      <c r="R513" s="39" t="n">
        <v>0.11700193653186</v>
      </c>
      <c r="S513" s="39" t="n">
        <v>0.0673754855671437</v>
      </c>
      <c r="T513" s="38" t="n">
        <f aca="false">N513*Scorecard!$C$18+O513*Scorecard!$C$19+P513*Scorecard!$C$20+Q513*Scorecard!$C$21+R513*Scorecard!$C$22+S513*Scorecard!$C$23</f>
        <v>4.03447887251395</v>
      </c>
      <c r="U513" s="38" t="n">
        <f aca="false">N513*Scorecard!$D$18+O513*Scorecard!$D$19+P513*Scorecard!$D$20+Q513*Scorecard!$D$21+R513*Scorecard!$D$22+S513*Scorecard!$D$23</f>
        <v>2.77386988021974</v>
      </c>
      <c r="V513" s="38" t="n">
        <f aca="false">N513*Scorecard!$E$18+O513*Scorecard!$E$19+P513*Scorecard!$E$20+Q513*Scorecard!$E$21+R513*Scorecard!$E$22+S513*Scorecard!$E$23</f>
        <v>3.4197879485759</v>
      </c>
    </row>
    <row r="514" customFormat="false" ht="15" hidden="false" customHeight="false" outlineLevel="0" collapsed="false">
      <c r="A514" s="0" t="n">
        <v>509</v>
      </c>
      <c r="B514" s="38" t="n">
        <f aca="false">E514*Scorecard!$C$18+F514*Scorecard!$C$19+G514*Scorecard!$C$20+H514*Scorecard!$C$21+I514*Scorecard!$C$22+J514*Scorecard!$C$23</f>
        <v>3.30988155036737</v>
      </c>
      <c r="C514" s="38" t="n">
        <f aca="false">E514*Scorecard!$D$18+F514*Scorecard!$D$19+G514*Scorecard!$D$20+H514*Scorecard!$D$21+I514*Scorecard!$D$22+J514*Scorecard!$D$23</f>
        <v>2.47967530760806</v>
      </c>
      <c r="D514" s="0" t="str">
        <f aca="false">IF(AND(B514&gt;=C514,B514&gt;=K514),"A. Distribution",IF(C514&gt;=K514,"B. Manufacturing","C. Prof. services"))</f>
        <v>C. Prof. services</v>
      </c>
      <c r="E514" s="39" t="n">
        <v>0.183735806588209</v>
      </c>
      <c r="F514" s="39" t="n">
        <v>0.0909961812747236</v>
      </c>
      <c r="G514" s="39" t="n">
        <v>0.0330375865322394</v>
      </c>
      <c r="H514" s="39" t="n">
        <v>0.170609376250208</v>
      </c>
      <c r="I514" s="39" t="n">
        <v>0.147631141495497</v>
      </c>
      <c r="J514" s="39" t="n">
        <v>0.373989907859123</v>
      </c>
      <c r="K514" s="38" t="n">
        <f aca="false">E514*Scorecard!$E$18+F514*Scorecard!$E$19+G514*Scorecard!$E$20+H514*Scorecard!$E$21+I514*Scorecard!$E$22+J514*Scorecard!$E$23</f>
        <v>3.68448954792355</v>
      </c>
      <c r="M514" s="0" t="str">
        <f aca="false">IF(AND(T514&gt;=U514,T514&gt;=V514),"A. Distribution",IF(U514&gt;=V514,"B. Manufacturing","C. Prof. services"))</f>
        <v>A. Distribution</v>
      </c>
      <c r="N514" s="39" t="n">
        <v>0.140345851492356</v>
      </c>
      <c r="O514" s="39" t="n">
        <v>0.252633848616119</v>
      </c>
      <c r="P514" s="39" t="n">
        <v>0.0740998660870777</v>
      </c>
      <c r="Q514" s="39" t="n">
        <v>0.15553564097207</v>
      </c>
      <c r="R514" s="39" t="n">
        <v>0.209623541148137</v>
      </c>
      <c r="S514" s="39" t="n">
        <v>0.167761251684241</v>
      </c>
      <c r="T514" s="38" t="n">
        <f aca="false">N514*Scorecard!$C$18+O514*Scorecard!$C$19+P514*Scorecard!$C$20+Q514*Scorecard!$C$21+R514*Scorecard!$C$22+S514*Scorecard!$C$23</f>
        <v>3.88908437330537</v>
      </c>
      <c r="U514" s="38" t="n">
        <f aca="false">N514*Scorecard!$D$18+O514*Scorecard!$D$19+P514*Scorecard!$D$20+Q514*Scorecard!$D$21+R514*Scorecard!$D$22+S514*Scorecard!$D$23</f>
        <v>2.65888516187719</v>
      </c>
      <c r="V514" s="38" t="n">
        <f aca="false">N514*Scorecard!$E$18+O514*Scorecard!$E$19+P514*Scorecard!$E$20+Q514*Scorecard!$E$21+R514*Scorecard!$E$22+S514*Scorecard!$E$23</f>
        <v>3.31145313170925</v>
      </c>
    </row>
    <row r="515" customFormat="false" ht="15" hidden="false" customHeight="false" outlineLevel="0" collapsed="false">
      <c r="A515" s="0" t="n">
        <v>510</v>
      </c>
      <c r="B515" s="38" t="n">
        <f aca="false">E515*Scorecard!$C$18+F515*Scorecard!$C$19+G515*Scorecard!$C$20+H515*Scorecard!$C$21+I515*Scorecard!$C$22+J515*Scorecard!$C$23</f>
        <v>2.94399437280499</v>
      </c>
      <c r="C515" s="38" t="n">
        <f aca="false">E515*Scorecard!$D$18+F515*Scorecard!$D$19+G515*Scorecard!$D$20+H515*Scorecard!$D$21+I515*Scorecard!$D$22+J515*Scorecard!$D$23</f>
        <v>2.23894351900299</v>
      </c>
      <c r="D515" s="0" t="str">
        <f aca="false">IF(AND(B515&gt;=C515,B515&gt;=K515),"A. Distribution",IF(C515&gt;=K515,"B. Manufacturing","C. Prof. services"))</f>
        <v>C. Prof. services</v>
      </c>
      <c r="E515" s="39" t="n">
        <v>0.0291015072269732</v>
      </c>
      <c r="F515" s="39" t="n">
        <v>0.0246452222269319</v>
      </c>
      <c r="G515" s="39" t="n">
        <v>0.0270215789333313</v>
      </c>
      <c r="H515" s="39" t="n">
        <v>0.0744706691952805</v>
      </c>
      <c r="I515" s="39" t="n">
        <v>0.309615959894824</v>
      </c>
      <c r="J515" s="39" t="n">
        <v>0.53514506252266</v>
      </c>
      <c r="K515" s="38" t="n">
        <f aca="false">E515*Scorecard!$E$18+F515*Scorecard!$E$19+G515*Scorecard!$E$20+H515*Scorecard!$E$21+I515*Scorecard!$E$22+J515*Scorecard!$E$23</f>
        <v>3.68316595882889</v>
      </c>
      <c r="M515" s="0" t="str">
        <f aca="false">IF(AND(T515&gt;=U515,T515&gt;=V515),"A. Distribution",IF(U515&gt;=V515,"B. Manufacturing","C. Prof. services"))</f>
        <v>A. Distribution</v>
      </c>
      <c r="N515" s="39" t="n">
        <v>0.0786902304157388</v>
      </c>
      <c r="O515" s="39" t="n">
        <v>0.2078293113587</v>
      </c>
      <c r="P515" s="39" t="n">
        <v>0.178624822330243</v>
      </c>
      <c r="Q515" s="39" t="n">
        <v>0.142205628277027</v>
      </c>
      <c r="R515" s="39" t="n">
        <v>0.320901610029844</v>
      </c>
      <c r="S515" s="39" t="n">
        <v>0.0717483975884475</v>
      </c>
      <c r="T515" s="38" t="n">
        <f aca="false">N515*Scorecard!$C$18+O515*Scorecard!$C$19+P515*Scorecard!$C$20+Q515*Scorecard!$C$21+R515*Scorecard!$C$22+S515*Scorecard!$C$23</f>
        <v>4.04269199171209</v>
      </c>
      <c r="U515" s="38" t="n">
        <f aca="false">N515*Scorecard!$D$18+O515*Scorecard!$D$19+P515*Scorecard!$D$20+Q515*Scorecard!$D$21+R515*Scorecard!$D$22+S515*Scorecard!$D$23</f>
        <v>2.70287478980668</v>
      </c>
      <c r="V515" s="38" t="n">
        <f aca="false">N515*Scorecard!$E$18+O515*Scorecard!$E$19+P515*Scorecard!$E$20+Q515*Scorecard!$E$21+R515*Scorecard!$E$22+S515*Scorecard!$E$23</f>
        <v>3.16672743571691</v>
      </c>
    </row>
    <row r="516" customFormat="false" ht="15" hidden="false" customHeight="false" outlineLevel="0" collapsed="false">
      <c r="A516" s="0" t="n">
        <v>511</v>
      </c>
      <c r="B516" s="38" t="n">
        <f aca="false">E516*Scorecard!$C$18+F516*Scorecard!$C$19+G516*Scorecard!$C$20+H516*Scorecard!$C$21+I516*Scorecard!$C$22+J516*Scorecard!$C$23</f>
        <v>4.08769314734067</v>
      </c>
      <c r="C516" s="38" t="n">
        <f aca="false">E516*Scorecard!$D$18+F516*Scorecard!$D$19+G516*Scorecard!$D$20+H516*Scorecard!$D$21+I516*Scorecard!$D$22+J516*Scorecard!$D$23</f>
        <v>2.60129816934916</v>
      </c>
      <c r="D516" s="0" t="str">
        <f aca="false">IF(AND(B516&gt;=C516,B516&gt;=K516),"A. Distribution",IF(C516&gt;=K516,"B. Manufacturing","C. Prof. services"))</f>
        <v>A. Distribution</v>
      </c>
      <c r="E516" s="39" t="n">
        <v>0.0946997496695193</v>
      </c>
      <c r="F516" s="39" t="n">
        <v>0.174663894627185</v>
      </c>
      <c r="G516" s="39" t="n">
        <v>0.435861323493795</v>
      </c>
      <c r="H516" s="39" t="n">
        <v>0.00331337739388155</v>
      </c>
      <c r="I516" s="39" t="n">
        <v>0.251956358949525</v>
      </c>
      <c r="J516" s="39" t="n">
        <v>0.0395052958660939</v>
      </c>
      <c r="K516" s="38" t="n">
        <f aca="false">E516*Scorecard!$E$18+F516*Scorecard!$E$19+G516*Scorecard!$E$20+H516*Scorecard!$E$21+I516*Scorecard!$E$22+J516*Scorecard!$E$23</f>
        <v>3.3425870092459</v>
      </c>
      <c r="M516" s="0" t="str">
        <f aca="false">IF(AND(T516&gt;=U516,T516&gt;=V516),"A. Distribution",IF(U516&gt;=V516,"B. Manufacturing","C. Prof. services"))</f>
        <v>A. Distribution</v>
      </c>
      <c r="N516" s="39" t="n">
        <v>0.271214477285507</v>
      </c>
      <c r="O516" s="39" t="n">
        <v>0.210863323718179</v>
      </c>
      <c r="P516" s="39" t="n">
        <v>0.158568099070771</v>
      </c>
      <c r="Q516" s="39" t="n">
        <v>0.106436714945454</v>
      </c>
      <c r="R516" s="39" t="n">
        <v>0.164199196713084</v>
      </c>
      <c r="S516" s="39" t="n">
        <v>0.0887181882670047</v>
      </c>
      <c r="T516" s="38" t="n">
        <f aca="false">N516*Scorecard!$C$18+O516*Scorecard!$C$19+P516*Scorecard!$C$20+Q516*Scorecard!$C$21+R516*Scorecard!$C$22+S516*Scorecard!$C$23</f>
        <v>4.0001833938315</v>
      </c>
      <c r="U516" s="38" t="n">
        <f aca="false">N516*Scorecard!$D$18+O516*Scorecard!$D$19+P516*Scorecard!$D$20+Q516*Scorecard!$D$21+R516*Scorecard!$D$22+S516*Scorecard!$D$23</f>
        <v>2.86615149096074</v>
      </c>
      <c r="V516" s="38" t="n">
        <f aca="false">N516*Scorecard!$E$18+O516*Scorecard!$E$19+P516*Scorecard!$E$20+Q516*Scorecard!$E$21+R516*Scorecard!$E$22+S516*Scorecard!$E$23</f>
        <v>3.34819835309712</v>
      </c>
    </row>
    <row r="517" customFormat="false" ht="15" hidden="false" customHeight="false" outlineLevel="0" collapsed="false">
      <c r="A517" s="0" t="n">
        <v>512</v>
      </c>
      <c r="B517" s="38" t="n">
        <f aca="false">E517*Scorecard!$C$18+F517*Scorecard!$C$19+G517*Scorecard!$C$20+H517*Scorecard!$C$21+I517*Scorecard!$C$22+J517*Scorecard!$C$23</f>
        <v>3.97839047118916</v>
      </c>
      <c r="C517" s="38" t="n">
        <f aca="false">E517*Scorecard!$D$18+F517*Scorecard!$D$19+G517*Scorecard!$D$20+H517*Scorecard!$D$21+I517*Scorecard!$D$22+J517*Scorecard!$D$23</f>
        <v>2.25603141515624</v>
      </c>
      <c r="D517" s="0" t="str">
        <f aca="false">IF(AND(B517&gt;=C517,B517&gt;=K517),"A. Distribution",IF(C517&gt;=K517,"B. Manufacturing","C. Prof. services"))</f>
        <v>A. Distribution</v>
      </c>
      <c r="E517" s="39" t="n">
        <v>0.00226261492774841</v>
      </c>
      <c r="F517" s="39" t="n">
        <v>0.102271650619849</v>
      </c>
      <c r="G517" s="39" t="n">
        <v>0.586979501984508</v>
      </c>
      <c r="H517" s="39" t="n">
        <v>0.106815308453505</v>
      </c>
      <c r="I517" s="39" t="n">
        <v>0.14557586940602</v>
      </c>
      <c r="J517" s="39" t="n">
        <v>0.0560950546083688</v>
      </c>
      <c r="K517" s="38" t="n">
        <f aca="false">E517*Scorecard!$E$18+F517*Scorecard!$E$19+G517*Scorecard!$E$20+H517*Scorecard!$E$21+I517*Scorecard!$E$22+J517*Scorecard!$E$23</f>
        <v>3.62709083592611</v>
      </c>
      <c r="M517" s="0" t="str">
        <f aca="false">IF(AND(T517&gt;=U517,T517&gt;=V517),"A. Distribution",IF(U517&gt;=V517,"B. Manufacturing","C. Prof. services"))</f>
        <v>A. Distribution</v>
      </c>
      <c r="N517" s="39" t="n">
        <v>0.116536061402296</v>
      </c>
      <c r="O517" s="39" t="n">
        <v>0.168116994525874</v>
      </c>
      <c r="P517" s="39" t="n">
        <v>0.287427755027374</v>
      </c>
      <c r="Q517" s="39" t="n">
        <v>0.0976339227544253</v>
      </c>
      <c r="R517" s="39" t="n">
        <v>0.288799936826668</v>
      </c>
      <c r="S517" s="39" t="n">
        <v>0.041485329463362</v>
      </c>
      <c r="T517" s="38" t="n">
        <f aca="false">N517*Scorecard!$C$18+O517*Scorecard!$C$19+P517*Scorecard!$C$20+Q517*Scorecard!$C$21+R517*Scorecard!$C$22+S517*Scorecard!$C$23</f>
        <v>4.06526991895649</v>
      </c>
      <c r="U517" s="38" t="n">
        <f aca="false">N517*Scorecard!$D$18+O517*Scorecard!$D$19+P517*Scorecard!$D$20+Q517*Scorecard!$D$21+R517*Scorecard!$D$22+S517*Scorecard!$D$23</f>
        <v>2.7177122756914</v>
      </c>
      <c r="V517" s="38" t="n">
        <f aca="false">N517*Scorecard!$E$18+O517*Scorecard!$E$19+P517*Scorecard!$E$20+Q517*Scorecard!$E$21+R517*Scorecard!$E$22+S517*Scorecard!$E$23</f>
        <v>3.24822799258752</v>
      </c>
    </row>
    <row r="518" customFormat="false" ht="15" hidden="false" customHeight="false" outlineLevel="0" collapsed="false">
      <c r="A518" s="0" t="n">
        <v>513</v>
      </c>
      <c r="B518" s="38" t="n">
        <f aca="false">E518*Scorecard!$C$18+F518*Scorecard!$C$19+G518*Scorecard!$C$20+H518*Scorecard!$C$21+I518*Scorecard!$C$22+J518*Scorecard!$C$23</f>
        <v>4.40028730329951</v>
      </c>
      <c r="C518" s="38" t="n">
        <f aca="false">E518*Scorecard!$D$18+F518*Scorecard!$D$19+G518*Scorecard!$D$20+H518*Scorecard!$D$21+I518*Scorecard!$D$22+J518*Scorecard!$D$23</f>
        <v>2.54175948785589</v>
      </c>
      <c r="D518" s="0" t="str">
        <f aca="false">IF(AND(B518&gt;=C518,B518&gt;=K518),"A. Distribution",IF(C518&gt;=K518,"B. Manufacturing","C. Prof. services"))</f>
        <v>A. Distribution</v>
      </c>
      <c r="E518" s="39" t="n">
        <v>0.000802738460848468</v>
      </c>
      <c r="F518" s="39" t="n">
        <v>0.520688226104557</v>
      </c>
      <c r="G518" s="39" t="n">
        <v>0.18690613184617</v>
      </c>
      <c r="H518" s="39" t="n">
        <v>0.0150948381224056</v>
      </c>
      <c r="I518" s="39" t="n">
        <v>0.217153067536022</v>
      </c>
      <c r="J518" s="39" t="n">
        <v>0.0593549979299967</v>
      </c>
      <c r="K518" s="38" t="n">
        <f aca="false">E518*Scorecard!$E$18+F518*Scorecard!$E$19+G518*Scorecard!$E$20+H518*Scorecard!$E$21+I518*Scorecard!$E$22+J518*Scorecard!$E$23</f>
        <v>3.03996984436675</v>
      </c>
      <c r="M518" s="0" t="str">
        <f aca="false">IF(AND(T518&gt;=U518,T518&gt;=V518),"A. Distribution",IF(U518&gt;=V518,"B. Manufacturing","C. Prof. services"))</f>
        <v>A. Distribution</v>
      </c>
      <c r="N518" s="39" t="n">
        <v>0.184316862854737</v>
      </c>
      <c r="O518" s="39" t="n">
        <v>0.266966694810191</v>
      </c>
      <c r="P518" s="39" t="n">
        <v>0.13104156396727</v>
      </c>
      <c r="Q518" s="39" t="n">
        <v>0.075979057241453</v>
      </c>
      <c r="R518" s="39" t="n">
        <v>0.187032652417338</v>
      </c>
      <c r="S518" s="39" t="n">
        <v>0.154663168709012</v>
      </c>
      <c r="T518" s="38" t="n">
        <f aca="false">N518*Scorecard!$C$18+O518*Scorecard!$C$19+P518*Scorecard!$C$20+Q518*Scorecard!$C$21+R518*Scorecard!$C$22+S518*Scorecard!$C$23</f>
        <v>3.93465536347376</v>
      </c>
      <c r="U518" s="38" t="n">
        <f aca="false">N518*Scorecard!$D$18+O518*Scorecard!$D$19+P518*Scorecard!$D$20+Q518*Scorecard!$D$21+R518*Scorecard!$D$22+S518*Scorecard!$D$23</f>
        <v>2.70862322320311</v>
      </c>
      <c r="V518" s="38" t="n">
        <f aca="false">N518*Scorecard!$E$18+O518*Scorecard!$E$19+P518*Scorecard!$E$20+Q518*Scorecard!$E$21+R518*Scorecard!$E$22+S518*Scorecard!$E$23</f>
        <v>3.32945810978273</v>
      </c>
    </row>
    <row r="519" customFormat="false" ht="15" hidden="false" customHeight="false" outlineLevel="0" collapsed="false">
      <c r="A519" s="0" t="n">
        <v>514</v>
      </c>
      <c r="B519" s="38" t="n">
        <f aca="false">E519*Scorecard!$C$18+F519*Scorecard!$C$19+G519*Scorecard!$C$20+H519*Scorecard!$C$21+I519*Scorecard!$C$22+J519*Scorecard!$C$23</f>
        <v>3.72234924970118</v>
      </c>
      <c r="C519" s="38" t="n">
        <f aca="false">E519*Scorecard!$D$18+F519*Scorecard!$D$19+G519*Scorecard!$D$20+H519*Scorecard!$D$21+I519*Scorecard!$D$22+J519*Scorecard!$D$23</f>
        <v>2.31590285836215</v>
      </c>
      <c r="D519" s="0" t="str">
        <f aca="false">IF(AND(B519&gt;=C519,B519&gt;=K519),"A. Distribution",IF(C519&gt;=K519,"B. Manufacturing","C. Prof. services"))</f>
        <v>A. Distribution</v>
      </c>
      <c r="E519" s="39" t="n">
        <v>0.00863737585030285</v>
      </c>
      <c r="F519" s="39" t="n">
        <v>0.0699819404204451</v>
      </c>
      <c r="G519" s="39" t="n">
        <v>0.265283626527302</v>
      </c>
      <c r="H519" s="39" t="n">
        <v>0.313505813032133</v>
      </c>
      <c r="I519" s="39" t="n">
        <v>0.186011849982587</v>
      </c>
      <c r="J519" s="39" t="n">
        <v>0.156579394187231</v>
      </c>
      <c r="K519" s="38" t="n">
        <f aca="false">E519*Scorecard!$E$18+F519*Scorecard!$E$19+G519*Scorecard!$E$20+H519*Scorecard!$E$21+I519*Scorecard!$E$22+J519*Scorecard!$E$23</f>
        <v>3.57774721461075</v>
      </c>
      <c r="M519" s="0" t="str">
        <f aca="false">IF(AND(T519&gt;=U519,T519&gt;=V519),"A. Distribution",IF(U519&gt;=V519,"B. Manufacturing","C. Prof. services"))</f>
        <v>A. Distribution</v>
      </c>
      <c r="N519" s="39" t="n">
        <v>0.217476854566513</v>
      </c>
      <c r="O519" s="39" t="n">
        <v>0.197909702068856</v>
      </c>
      <c r="P519" s="39" t="n">
        <v>0.11718518986951</v>
      </c>
      <c r="Q519" s="39" t="n">
        <v>0.179238954658995</v>
      </c>
      <c r="R519" s="39" t="n">
        <v>0.0619763050887977</v>
      </c>
      <c r="S519" s="39" t="n">
        <v>0.226212993747329</v>
      </c>
      <c r="T519" s="38" t="n">
        <f aca="false">N519*Scorecard!$C$18+O519*Scorecard!$C$19+P519*Scorecard!$C$20+Q519*Scorecard!$C$21+R519*Scorecard!$C$22+S519*Scorecard!$C$23</f>
        <v>3.70871009742671</v>
      </c>
      <c r="U519" s="38" t="n">
        <f aca="false">N519*Scorecard!$D$18+O519*Scorecard!$D$19+P519*Scorecard!$D$20+Q519*Scorecard!$D$21+R519*Scorecard!$D$22+S519*Scorecard!$D$23</f>
        <v>2.56679643305779</v>
      </c>
      <c r="V519" s="38" t="n">
        <f aca="false">N519*Scorecard!$E$18+O519*Scorecard!$E$19+P519*Scorecard!$E$20+Q519*Scorecard!$E$21+R519*Scorecard!$E$22+S519*Scorecard!$E$23</f>
        <v>3.6058626022928</v>
      </c>
    </row>
    <row r="520" customFormat="false" ht="15" hidden="false" customHeight="false" outlineLevel="0" collapsed="false">
      <c r="A520" s="0" t="n">
        <v>515</v>
      </c>
      <c r="B520" s="38" t="n">
        <f aca="false">E520*Scorecard!$C$18+F520*Scorecard!$C$19+G520*Scorecard!$C$20+H520*Scorecard!$C$21+I520*Scorecard!$C$22+J520*Scorecard!$C$23</f>
        <v>3.74635046255524</v>
      </c>
      <c r="C520" s="38" t="n">
        <f aca="false">E520*Scorecard!$D$18+F520*Scorecard!$D$19+G520*Scorecard!$D$20+H520*Scorecard!$D$21+I520*Scorecard!$D$22+J520*Scorecard!$D$23</f>
        <v>2.64253927415319</v>
      </c>
      <c r="D520" s="0" t="str">
        <f aca="false">IF(AND(B520&gt;=C520,B520&gt;=K520),"A. Distribution",IF(C520&gt;=K520,"B. Manufacturing","C. Prof. services"))</f>
        <v>A. Distribution</v>
      </c>
      <c r="E520" s="39" t="n">
        <v>0.0430416703481609</v>
      </c>
      <c r="F520" s="39" t="n">
        <v>0.0264662621831133</v>
      </c>
      <c r="G520" s="39" t="n">
        <v>0.28057946980229</v>
      </c>
      <c r="H520" s="39" t="n">
        <v>0.0758798566776124</v>
      </c>
      <c r="I520" s="39" t="n">
        <v>0.439790729100289</v>
      </c>
      <c r="J520" s="39" t="n">
        <v>0.134242011888535</v>
      </c>
      <c r="K520" s="38" t="n">
        <f aca="false">E520*Scorecard!$E$18+F520*Scorecard!$E$19+G520*Scorecard!$E$20+H520*Scorecard!$E$21+I520*Scorecard!$E$22+J520*Scorecard!$E$23</f>
        <v>3.25614424891693</v>
      </c>
      <c r="M520" s="0" t="str">
        <f aca="false">IF(AND(T520&gt;=U520,T520&gt;=V520),"A. Distribution",IF(U520&gt;=V520,"B. Manufacturing","C. Prof. services"))</f>
        <v>A. Distribution</v>
      </c>
      <c r="N520" s="39" t="n">
        <v>0.223688970425517</v>
      </c>
      <c r="O520" s="39" t="n">
        <v>0.158109454784518</v>
      </c>
      <c r="P520" s="39" t="n">
        <v>0.182438217436658</v>
      </c>
      <c r="Q520" s="39" t="n">
        <v>0.187336029190792</v>
      </c>
      <c r="R520" s="39" t="n">
        <v>0.138513227984677</v>
      </c>
      <c r="S520" s="39" t="n">
        <v>0.109914100177839</v>
      </c>
      <c r="T520" s="38" t="n">
        <f aca="false">N520*Scorecard!$C$18+O520*Scorecard!$C$19+P520*Scorecard!$C$20+Q520*Scorecard!$C$21+R520*Scorecard!$C$22+S520*Scorecard!$C$23</f>
        <v>3.90013642202049</v>
      </c>
      <c r="U520" s="38" t="n">
        <f aca="false">N520*Scorecard!$D$18+O520*Scorecard!$D$19+P520*Scorecard!$D$20+Q520*Scorecard!$D$21+R520*Scorecard!$D$22+S520*Scorecard!$D$23</f>
        <v>2.72084130421728</v>
      </c>
      <c r="V520" s="38" t="n">
        <f aca="false">N520*Scorecard!$E$18+O520*Scorecard!$E$19+P520*Scorecard!$E$20+Q520*Scorecard!$E$21+R520*Scorecard!$E$22+S520*Scorecard!$E$23</f>
        <v>3.46197258551902</v>
      </c>
    </row>
    <row r="521" customFormat="false" ht="15" hidden="false" customHeight="false" outlineLevel="0" collapsed="false">
      <c r="A521" s="0" t="n">
        <v>516</v>
      </c>
      <c r="B521" s="38" t="n">
        <f aca="false">E521*Scorecard!$C$18+F521*Scorecard!$C$19+G521*Scorecard!$C$20+H521*Scorecard!$C$21+I521*Scorecard!$C$22+J521*Scorecard!$C$23</f>
        <v>4.14055170057824</v>
      </c>
      <c r="C521" s="38" t="n">
        <f aca="false">E521*Scorecard!$D$18+F521*Scorecard!$D$19+G521*Scorecard!$D$20+H521*Scorecard!$D$21+I521*Scorecard!$D$22+J521*Scorecard!$D$23</f>
        <v>2.95686529003847</v>
      </c>
      <c r="D521" s="0" t="str">
        <f aca="false">IF(AND(B521&gt;=C521,B521&gt;=K521),"A. Distribution",IF(C521&gt;=K521,"B. Manufacturing","C. Prof. services"))</f>
        <v>A. Distribution</v>
      </c>
      <c r="E521" s="39" t="n">
        <v>0.380356205148781</v>
      </c>
      <c r="F521" s="39" t="n">
        <v>0.310404774028728</v>
      </c>
      <c r="G521" s="39" t="n">
        <v>0.193907887424082</v>
      </c>
      <c r="H521" s="39" t="n">
        <v>0.00344493083393421</v>
      </c>
      <c r="I521" s="39" t="n">
        <v>0.0424140484306389</v>
      </c>
      <c r="J521" s="39" t="n">
        <v>0.0694721541338351</v>
      </c>
      <c r="K521" s="38" t="n">
        <f aca="false">E521*Scorecard!$E$18+F521*Scorecard!$E$19+G521*Scorecard!$E$20+H521*Scorecard!$E$21+I521*Scorecard!$E$22+J521*Scorecard!$E$23</f>
        <v>3.40167625235613</v>
      </c>
      <c r="M521" s="0" t="str">
        <f aca="false">IF(AND(T521&gt;=U521,T521&gt;=V521),"A. Distribution",IF(U521&gt;=V521,"B. Manufacturing","C. Prof. services"))</f>
        <v>A. Distribution</v>
      </c>
      <c r="N521" s="39" t="n">
        <v>0.154133665776293</v>
      </c>
      <c r="O521" s="39" t="n">
        <v>0.379419946816252</v>
      </c>
      <c r="P521" s="39" t="n">
        <v>0.191127751252079</v>
      </c>
      <c r="Q521" s="39" t="n">
        <v>0.0540512069670452</v>
      </c>
      <c r="R521" s="39" t="n">
        <v>0.149964455428364</v>
      </c>
      <c r="S521" s="39" t="n">
        <v>0.071302973759968</v>
      </c>
      <c r="T521" s="38" t="n">
        <f aca="false">N521*Scorecard!$C$18+O521*Scorecard!$C$19+P521*Scorecard!$C$20+Q521*Scorecard!$C$21+R521*Scorecard!$C$22+S521*Scorecard!$C$23</f>
        <v>4.21861505556981</v>
      </c>
      <c r="U521" s="38" t="n">
        <f aca="false">N521*Scorecard!$D$18+O521*Scorecard!$D$19+P521*Scorecard!$D$20+Q521*Scorecard!$D$21+R521*Scorecard!$D$22+S521*Scorecard!$D$23</f>
        <v>2.69298082648018</v>
      </c>
      <c r="V521" s="38" t="n">
        <f aca="false">N521*Scorecard!$E$18+O521*Scorecard!$E$19+P521*Scorecard!$E$20+Q521*Scorecard!$E$21+R521*Scorecard!$E$22+S521*Scorecard!$E$23</f>
        <v>3.23739459539061</v>
      </c>
    </row>
    <row r="522" customFormat="false" ht="15" hidden="false" customHeight="false" outlineLevel="0" collapsed="false">
      <c r="A522" s="0" t="n">
        <v>517</v>
      </c>
      <c r="B522" s="38" t="n">
        <f aca="false">E522*Scorecard!$C$18+F522*Scorecard!$C$19+G522*Scorecard!$C$20+H522*Scorecard!$C$21+I522*Scorecard!$C$22+J522*Scorecard!$C$23</f>
        <v>3.88875082120542</v>
      </c>
      <c r="C522" s="38" t="n">
        <f aca="false">E522*Scorecard!$D$18+F522*Scorecard!$D$19+G522*Scorecard!$D$20+H522*Scorecard!$D$21+I522*Scorecard!$D$22+J522*Scorecard!$D$23</f>
        <v>2.60216344471192</v>
      </c>
      <c r="D522" s="0" t="str">
        <f aca="false">IF(AND(B522&gt;=C522,B522&gt;=K522),"A. Distribution",IF(C522&gt;=K522,"B. Manufacturing","C. Prof. services"))</f>
        <v>A. Distribution</v>
      </c>
      <c r="E522" s="39" t="n">
        <v>0.0214841984759429</v>
      </c>
      <c r="F522" s="39" t="n">
        <v>0.0405707120133527</v>
      </c>
      <c r="G522" s="39" t="n">
        <v>0.241344880371915</v>
      </c>
      <c r="H522" s="39" t="n">
        <v>0.269558452365181</v>
      </c>
      <c r="I522" s="39" t="n">
        <v>0.36651680055044</v>
      </c>
      <c r="J522" s="39" t="n">
        <v>0.0605249562231679</v>
      </c>
      <c r="K522" s="38" t="n">
        <f aca="false">E522*Scorecard!$E$18+F522*Scorecard!$E$19+G522*Scorecard!$E$20+H522*Scorecard!$E$21+I522*Scorecard!$E$22+J522*Scorecard!$E$23</f>
        <v>3.27198181561803</v>
      </c>
      <c r="M522" s="0" t="str">
        <f aca="false">IF(AND(T522&gt;=U522,T522&gt;=V522),"A. Distribution",IF(U522&gt;=V522,"B. Manufacturing","C. Prof. services"))</f>
        <v>A. Distribution</v>
      </c>
      <c r="N522" s="39" t="n">
        <v>0.260994735810007</v>
      </c>
      <c r="O522" s="39" t="n">
        <v>0.116333567478866</v>
      </c>
      <c r="P522" s="39" t="n">
        <v>0.142552467058925</v>
      </c>
      <c r="Q522" s="39" t="n">
        <v>0.139363692227188</v>
      </c>
      <c r="R522" s="39" t="n">
        <v>0.167080968435738</v>
      </c>
      <c r="S522" s="39" t="n">
        <v>0.173674568989275</v>
      </c>
      <c r="T522" s="38" t="n">
        <f aca="false">N522*Scorecard!$C$18+O522*Scorecard!$C$19+P522*Scorecard!$C$20+Q522*Scorecard!$C$21+R522*Scorecard!$C$22+S522*Scorecard!$C$23</f>
        <v>3.73301348507607</v>
      </c>
      <c r="U522" s="38" t="n">
        <f aca="false">N522*Scorecard!$D$18+O522*Scorecard!$D$19+P522*Scorecard!$D$20+Q522*Scorecard!$D$21+R522*Scorecard!$D$22+S522*Scorecard!$D$23</f>
        <v>2.76637759233804</v>
      </c>
      <c r="V522" s="38" t="n">
        <f aca="false">N522*Scorecard!$E$18+O522*Scorecard!$E$19+P522*Scorecard!$E$20+Q522*Scorecard!$E$21+R522*Scorecard!$E$22+S522*Scorecard!$E$23</f>
        <v>3.49321632563204</v>
      </c>
    </row>
    <row r="523" customFormat="false" ht="15" hidden="false" customHeight="false" outlineLevel="0" collapsed="false">
      <c r="A523" s="0" t="n">
        <v>518</v>
      </c>
      <c r="B523" s="38" t="n">
        <f aca="false">E523*Scorecard!$C$18+F523*Scorecard!$C$19+G523*Scorecard!$C$20+H523*Scorecard!$C$21+I523*Scorecard!$C$22+J523*Scorecard!$C$23</f>
        <v>3.49161560269387</v>
      </c>
      <c r="C523" s="38" t="n">
        <f aca="false">E523*Scorecard!$D$18+F523*Scorecard!$D$19+G523*Scorecard!$D$20+H523*Scorecard!$D$21+I523*Scorecard!$D$22+J523*Scorecard!$D$23</f>
        <v>2.95692025394575</v>
      </c>
      <c r="D523" s="0" t="str">
        <f aca="false">IF(AND(B523&gt;=C523,B523&gt;=K523),"A. Distribution",IF(C523&gt;=K523,"B. Manufacturing","C. Prof. services"))</f>
        <v>C. Prof. services</v>
      </c>
      <c r="E523" s="39" t="n">
        <v>0.460109779015498</v>
      </c>
      <c r="F523" s="39" t="n">
        <v>0.0680704067159072</v>
      </c>
      <c r="G523" s="39" t="n">
        <v>0.00608649296411112</v>
      </c>
      <c r="H523" s="39" t="n">
        <v>0.144879986904082</v>
      </c>
      <c r="I523" s="39" t="n">
        <v>0.0589017486184415</v>
      </c>
      <c r="J523" s="39" t="n">
        <v>0.261951585781961</v>
      </c>
      <c r="K523" s="38" t="n">
        <f aca="false">E523*Scorecard!$E$18+F523*Scorecard!$E$19+G523*Scorecard!$E$20+H523*Scorecard!$E$21+I523*Scorecard!$E$22+J523*Scorecard!$E$23</f>
        <v>3.67399002574101</v>
      </c>
      <c r="M523" s="0" t="str">
        <f aca="false">IF(AND(T523&gt;=U523,T523&gt;=V523),"A. Distribution",IF(U523&gt;=V523,"B. Manufacturing","C. Prof. services"))</f>
        <v>A. Distribution</v>
      </c>
      <c r="N523" s="39" t="n">
        <v>0.12905403748072</v>
      </c>
      <c r="O523" s="39" t="n">
        <v>0.305103771460903</v>
      </c>
      <c r="P523" s="39" t="n">
        <v>0.275266383324262</v>
      </c>
      <c r="Q523" s="39" t="n">
        <v>0.0932268742879907</v>
      </c>
      <c r="R523" s="39" t="n">
        <v>0.0876868678920739</v>
      </c>
      <c r="S523" s="39" t="n">
        <v>0.109662065554051</v>
      </c>
      <c r="T523" s="38" t="n">
        <f aca="false">N523*Scorecard!$C$18+O523*Scorecard!$C$19+P523*Scorecard!$C$20+Q523*Scorecard!$C$21+R523*Scorecard!$C$22+S523*Scorecard!$C$23</f>
        <v>4.06537305787906</v>
      </c>
      <c r="U523" s="38" t="n">
        <f aca="false">N523*Scorecard!$D$18+O523*Scorecard!$D$19+P523*Scorecard!$D$20+Q523*Scorecard!$D$21+R523*Scorecard!$D$22+S523*Scorecard!$D$23</f>
        <v>2.5120980405854</v>
      </c>
      <c r="V523" s="38" t="n">
        <f aca="false">N523*Scorecard!$E$18+O523*Scorecard!$E$19+P523*Scorecard!$E$20+Q523*Scorecard!$E$21+R523*Scorecard!$E$22+S523*Scorecard!$E$23</f>
        <v>3.44893749584867</v>
      </c>
    </row>
    <row r="524" customFormat="false" ht="15" hidden="false" customHeight="false" outlineLevel="0" collapsed="false">
      <c r="A524" s="0" t="n">
        <v>519</v>
      </c>
      <c r="B524" s="38" t="n">
        <f aca="false">E524*Scorecard!$C$18+F524*Scorecard!$C$19+G524*Scorecard!$C$20+H524*Scorecard!$C$21+I524*Scorecard!$C$22+J524*Scorecard!$C$23</f>
        <v>3.47383424872182</v>
      </c>
      <c r="C524" s="38" t="n">
        <f aca="false">E524*Scorecard!$D$18+F524*Scorecard!$D$19+G524*Scorecard!$D$20+H524*Scorecard!$D$21+I524*Scorecard!$D$22+J524*Scorecard!$D$23</f>
        <v>2.52195683703033</v>
      </c>
      <c r="D524" s="0" t="str">
        <f aca="false">IF(AND(B524&gt;=C524,B524&gt;=K524),"A. Distribution",IF(C524&gt;=K524,"B. Manufacturing","C. Prof. services"))</f>
        <v>C. Prof. services</v>
      </c>
      <c r="E524" s="39" t="n">
        <v>0.299915048717049</v>
      </c>
      <c r="F524" s="39" t="n">
        <v>0.0676210023959731</v>
      </c>
      <c r="G524" s="39" t="n">
        <v>0.292507842495009</v>
      </c>
      <c r="H524" s="39" t="n">
        <v>0.054908122350053</v>
      </c>
      <c r="I524" s="39" t="n">
        <v>0.00315240395173614</v>
      </c>
      <c r="J524" s="39" t="n">
        <v>0.28189558009018</v>
      </c>
      <c r="K524" s="38" t="n">
        <f aca="false">E524*Scorecard!$E$18+F524*Scorecard!$E$19+G524*Scorecard!$E$20+H524*Scorecard!$E$21+I524*Scorecard!$E$22+J524*Scorecard!$E$23</f>
        <v>3.88694166752334</v>
      </c>
      <c r="M524" s="0" t="str">
        <f aca="false">IF(AND(T524&gt;=U524,T524&gt;=V524),"A. Distribution",IF(U524&gt;=V524,"B. Manufacturing","C. Prof. services"))</f>
        <v>A. Distribution</v>
      </c>
      <c r="N524" s="39" t="n">
        <v>0.195157471201139</v>
      </c>
      <c r="O524" s="39" t="n">
        <v>0.232084147487736</v>
      </c>
      <c r="P524" s="39" t="n">
        <v>0.17140949572198</v>
      </c>
      <c r="Q524" s="39" t="n">
        <v>0.149670281473426</v>
      </c>
      <c r="R524" s="39" t="n">
        <v>0.13624295988401</v>
      </c>
      <c r="S524" s="39" t="n">
        <v>0.11543564423171</v>
      </c>
      <c r="T524" s="38" t="n">
        <f aca="false">N524*Scorecard!$C$18+O524*Scorecard!$C$19+P524*Scorecard!$C$20+Q524*Scorecard!$C$21+R524*Scorecard!$C$22+S524*Scorecard!$C$23</f>
        <v>3.96941723500363</v>
      </c>
      <c r="U524" s="38" t="n">
        <f aca="false">N524*Scorecard!$D$18+O524*Scorecard!$D$19+P524*Scorecard!$D$20+Q524*Scorecard!$D$21+R524*Scorecard!$D$22+S524*Scorecard!$D$23</f>
        <v>2.68550960616238</v>
      </c>
      <c r="V524" s="38" t="n">
        <f aca="false">N524*Scorecard!$E$18+O524*Scorecard!$E$19+P524*Scorecard!$E$20+Q524*Scorecard!$E$21+R524*Scorecard!$E$22+S524*Scorecard!$E$23</f>
        <v>3.40667183408516</v>
      </c>
    </row>
    <row r="525" customFormat="false" ht="15" hidden="false" customHeight="false" outlineLevel="0" collapsed="false">
      <c r="A525" s="0" t="n">
        <v>520</v>
      </c>
      <c r="B525" s="38" t="n">
        <f aca="false">E525*Scorecard!$C$18+F525*Scorecard!$C$19+G525*Scorecard!$C$20+H525*Scorecard!$C$21+I525*Scorecard!$C$22+J525*Scorecard!$C$23</f>
        <v>3.98649587839869</v>
      </c>
      <c r="C525" s="38" t="n">
        <f aca="false">E525*Scorecard!$D$18+F525*Scorecard!$D$19+G525*Scorecard!$D$20+H525*Scorecard!$D$21+I525*Scorecard!$D$22+J525*Scorecard!$D$23</f>
        <v>2.47510887203958</v>
      </c>
      <c r="D525" s="0" t="str">
        <f aca="false">IF(AND(B525&gt;=C525,B525&gt;=K525),"A. Distribution",IF(C525&gt;=K525,"B. Manufacturing","C. Prof. services"))</f>
        <v>A. Distribution</v>
      </c>
      <c r="E525" s="39" t="n">
        <v>0.138166838954794</v>
      </c>
      <c r="F525" s="39" t="n">
        <v>0.419695714457275</v>
      </c>
      <c r="G525" s="39" t="n">
        <v>0.050972712902754</v>
      </c>
      <c r="H525" s="39" t="n">
        <v>0.171318817030214</v>
      </c>
      <c r="I525" s="39" t="n">
        <v>0.0180223348965209</v>
      </c>
      <c r="J525" s="39" t="n">
        <v>0.201823581758442</v>
      </c>
      <c r="K525" s="38" t="n">
        <f aca="false">E525*Scorecard!$E$18+F525*Scorecard!$E$19+G525*Scorecard!$E$20+H525*Scorecard!$E$21+I525*Scorecard!$E$22+J525*Scorecard!$E$23</f>
        <v>3.44404446609133</v>
      </c>
      <c r="M525" s="0" t="str">
        <f aca="false">IF(AND(T525&gt;=U525,T525&gt;=V525),"A. Distribution",IF(U525&gt;=V525,"B. Manufacturing","C. Prof. services"))</f>
        <v>A. Distribution</v>
      </c>
      <c r="N525" s="39" t="n">
        <v>0.115936474954915</v>
      </c>
      <c r="O525" s="39" t="n">
        <v>0.181411588092138</v>
      </c>
      <c r="P525" s="39" t="n">
        <v>0.291599114352148</v>
      </c>
      <c r="Q525" s="39" t="n">
        <v>0.22554161860273</v>
      </c>
      <c r="R525" s="39" t="n">
        <v>0.141720489628777</v>
      </c>
      <c r="S525" s="39" t="n">
        <v>0.0437907143692917</v>
      </c>
      <c r="T525" s="38" t="n">
        <f aca="false">N525*Scorecard!$C$18+O525*Scorecard!$C$19+P525*Scorecard!$C$20+Q525*Scorecard!$C$21+R525*Scorecard!$C$22+S525*Scorecard!$C$23</f>
        <v>4.06021975228685</v>
      </c>
      <c r="U525" s="38" t="n">
        <f aca="false">N525*Scorecard!$D$18+O525*Scorecard!$D$19+P525*Scorecard!$D$20+Q525*Scorecard!$D$21+R525*Scorecard!$D$22+S525*Scorecard!$D$23</f>
        <v>2.56367294570371</v>
      </c>
      <c r="V525" s="38" t="n">
        <f aca="false">N525*Scorecard!$E$18+O525*Scorecard!$E$19+P525*Scorecard!$E$20+Q525*Scorecard!$E$21+R525*Scorecard!$E$22+S525*Scorecard!$E$23</f>
        <v>3.43708968208878</v>
      </c>
    </row>
    <row r="526" customFormat="false" ht="15" hidden="false" customHeight="false" outlineLevel="0" collapsed="false">
      <c r="A526" s="0" t="n">
        <v>521</v>
      </c>
      <c r="B526" s="38" t="n">
        <f aca="false">E526*Scorecard!$C$18+F526*Scorecard!$C$19+G526*Scorecard!$C$20+H526*Scorecard!$C$21+I526*Scorecard!$C$22+J526*Scorecard!$C$23</f>
        <v>3.88942564162003</v>
      </c>
      <c r="C526" s="38" t="n">
        <f aca="false">E526*Scorecard!$D$18+F526*Scorecard!$D$19+G526*Scorecard!$D$20+H526*Scorecard!$D$21+I526*Scorecard!$D$22+J526*Scorecard!$D$23</f>
        <v>2.40231109746474</v>
      </c>
      <c r="D526" s="0" t="str">
        <f aca="false">IF(AND(B526&gt;=C526,B526&gt;=K526),"A. Distribution",IF(C526&gt;=K526,"B. Manufacturing","C. Prof. services"))</f>
        <v>A. Distribution</v>
      </c>
      <c r="E526" s="39" t="n">
        <v>0.0901049327078622</v>
      </c>
      <c r="F526" s="39" t="n">
        <v>0.295349864239613</v>
      </c>
      <c r="G526" s="39" t="n">
        <v>0.168411028474463</v>
      </c>
      <c r="H526" s="39" t="n">
        <v>0.176017898909765</v>
      </c>
      <c r="I526" s="39" t="n">
        <v>0.0802542973936096</v>
      </c>
      <c r="J526" s="39" t="n">
        <v>0.189861978274687</v>
      </c>
      <c r="K526" s="38" t="n">
        <f aca="false">E526*Scorecard!$E$18+F526*Scorecard!$E$19+G526*Scorecard!$E$20+H526*Scorecard!$E$21+I526*Scorecard!$E$22+J526*Scorecard!$E$23</f>
        <v>3.50548092510619</v>
      </c>
      <c r="M526" s="0" t="str">
        <f aca="false">IF(AND(T526&gt;=U526,T526&gt;=V526),"A. Distribution",IF(U526&gt;=V526,"B. Manufacturing","C. Prof. services"))</f>
        <v>A. Distribution</v>
      </c>
      <c r="N526" s="39" t="n">
        <v>0.272285490614284</v>
      </c>
      <c r="O526" s="39" t="n">
        <v>0.156243946375985</v>
      </c>
      <c r="P526" s="39" t="n">
        <v>0.261031567029399</v>
      </c>
      <c r="Q526" s="39" t="n">
        <v>0.119761543980906</v>
      </c>
      <c r="R526" s="39" t="n">
        <v>0.0233161693642329</v>
      </c>
      <c r="S526" s="39" t="n">
        <v>0.167361282635195</v>
      </c>
      <c r="T526" s="38" t="n">
        <f aca="false">N526*Scorecard!$C$18+O526*Scorecard!$C$19+P526*Scorecard!$C$20+Q526*Scorecard!$C$21+R526*Scorecard!$C$22+S526*Scorecard!$C$23</f>
        <v>3.78675608140253</v>
      </c>
      <c r="U526" s="38" t="n">
        <f aca="false">N526*Scorecard!$D$18+O526*Scorecard!$D$19+P526*Scorecard!$D$20+Q526*Scorecard!$D$21+R526*Scorecard!$D$22+S526*Scorecard!$D$23</f>
        <v>2.61611367245013</v>
      </c>
      <c r="V526" s="38" t="n">
        <f aca="false">N526*Scorecard!$E$18+O526*Scorecard!$E$19+P526*Scorecard!$E$20+Q526*Scorecard!$E$21+R526*Scorecard!$E$22+S526*Scorecard!$E$23</f>
        <v>3.6827288963454</v>
      </c>
    </row>
    <row r="527" customFormat="false" ht="15" hidden="false" customHeight="false" outlineLevel="0" collapsed="false">
      <c r="A527" s="0" t="n">
        <v>522</v>
      </c>
      <c r="B527" s="38" t="n">
        <f aca="false">E527*Scorecard!$C$18+F527*Scorecard!$C$19+G527*Scorecard!$C$20+H527*Scorecard!$C$21+I527*Scorecard!$C$22+J527*Scorecard!$C$23</f>
        <v>3.770762883752</v>
      </c>
      <c r="C527" s="38" t="n">
        <f aca="false">E527*Scorecard!$D$18+F527*Scorecard!$D$19+G527*Scorecard!$D$20+H527*Scorecard!$D$21+I527*Scorecard!$D$22+J527*Scorecard!$D$23</f>
        <v>2.63407156184646</v>
      </c>
      <c r="D527" s="0" t="str">
        <f aca="false">IF(AND(B527&gt;=C527,B527&gt;=K527),"A. Distribution",IF(C527&gt;=K527,"B. Manufacturing","C. Prof. services"))</f>
        <v>A. Distribution</v>
      </c>
      <c r="E527" s="39" t="n">
        <v>0.236028515922959</v>
      </c>
      <c r="F527" s="39" t="n">
        <v>0.128411740719983</v>
      </c>
      <c r="G527" s="39" t="n">
        <v>0.304298295582011</v>
      </c>
      <c r="H527" s="39" t="n">
        <v>0.0453475656040543</v>
      </c>
      <c r="I527" s="39" t="n">
        <v>0.119007550892808</v>
      </c>
      <c r="J527" s="39" t="n">
        <v>0.166906331278184</v>
      </c>
      <c r="K527" s="38" t="n">
        <f aca="false">E527*Scorecard!$E$18+F527*Scorecard!$E$19+G527*Scorecard!$E$20+H527*Scorecard!$E$21+I527*Scorecard!$E$22+J527*Scorecard!$E$23</f>
        <v>3.59875121624684</v>
      </c>
      <c r="M527" s="0" t="str">
        <f aca="false">IF(AND(T527&gt;=U527,T527&gt;=V527),"A. Distribution",IF(U527&gt;=V527,"B. Manufacturing","C. Prof. services"))</f>
        <v>A. Distribution</v>
      </c>
      <c r="N527" s="39" t="n">
        <v>0.220346042383753</v>
      </c>
      <c r="O527" s="39" t="n">
        <v>0.159941836680763</v>
      </c>
      <c r="P527" s="39" t="n">
        <v>0.0704946010337007</v>
      </c>
      <c r="Q527" s="39" t="n">
        <v>0.178935439742869</v>
      </c>
      <c r="R527" s="39" t="n">
        <v>0.140813006729918</v>
      </c>
      <c r="S527" s="39" t="n">
        <v>0.229469073428997</v>
      </c>
      <c r="T527" s="38" t="n">
        <f aca="false">N527*Scorecard!$C$18+O527*Scorecard!$C$19+P527*Scorecard!$C$20+Q527*Scorecard!$C$21+R527*Scorecard!$C$22+S527*Scorecard!$C$23</f>
        <v>3.66403241875792</v>
      </c>
      <c r="U527" s="38" t="n">
        <f aca="false">N527*Scorecard!$D$18+O527*Scorecard!$D$19+P527*Scorecard!$D$20+Q527*Scorecard!$D$21+R527*Scorecard!$D$22+S527*Scorecard!$D$23</f>
        <v>2.65588184911507</v>
      </c>
      <c r="V527" s="38" t="n">
        <f aca="false">N527*Scorecard!$E$18+O527*Scorecard!$E$19+P527*Scorecard!$E$20+Q527*Scorecard!$E$21+R527*Scorecard!$E$22+S527*Scorecard!$E$23</f>
        <v>3.52014566212889</v>
      </c>
    </row>
    <row r="528" customFormat="false" ht="15" hidden="false" customHeight="false" outlineLevel="0" collapsed="false">
      <c r="A528" s="0" t="n">
        <v>523</v>
      </c>
      <c r="B528" s="38" t="n">
        <f aca="false">E528*Scorecard!$C$18+F528*Scorecard!$C$19+G528*Scorecard!$C$20+H528*Scorecard!$C$21+I528*Scorecard!$C$22+J528*Scorecard!$C$23</f>
        <v>3.98376609093864</v>
      </c>
      <c r="C528" s="38" t="n">
        <f aca="false">E528*Scorecard!$D$18+F528*Scorecard!$D$19+G528*Scorecard!$D$20+H528*Scorecard!$D$21+I528*Scorecard!$D$22+J528*Scorecard!$D$23</f>
        <v>2.80283932021573</v>
      </c>
      <c r="D528" s="0" t="str">
        <f aca="false">IF(AND(B528&gt;=C528,B528&gt;=K528),"A. Distribution",IF(C528&gt;=K528,"B. Manufacturing","C. Prof. services"))</f>
        <v>A. Distribution</v>
      </c>
      <c r="E528" s="39" t="n">
        <v>0.218574490963138</v>
      </c>
      <c r="F528" s="39" t="n">
        <v>0.113773675439981</v>
      </c>
      <c r="G528" s="39" t="n">
        <v>0.051259370783653</v>
      </c>
      <c r="H528" s="39" t="n">
        <v>0.444080476311786</v>
      </c>
      <c r="I528" s="39" t="n">
        <v>0.140007480350012</v>
      </c>
      <c r="J528" s="39" t="n">
        <v>0.0323045061514309</v>
      </c>
      <c r="K528" s="38" t="n">
        <f aca="false">E528*Scorecard!$E$18+F528*Scorecard!$E$19+G528*Scorecard!$E$20+H528*Scorecard!$E$21+I528*Scorecard!$E$22+J528*Scorecard!$E$23</f>
        <v>3.39225945074643</v>
      </c>
      <c r="M528" s="0" t="str">
        <f aca="false">IF(AND(T528&gt;=U528,T528&gt;=V528),"A. Distribution",IF(U528&gt;=V528,"B. Manufacturing","C. Prof. services"))</f>
        <v>A. Distribution</v>
      </c>
      <c r="N528" s="39" t="n">
        <v>0.2709760548452</v>
      </c>
      <c r="O528" s="39" t="n">
        <v>0.279312117068694</v>
      </c>
      <c r="P528" s="39" t="n">
        <v>0.159218188982736</v>
      </c>
      <c r="Q528" s="39" t="n">
        <v>0.116020625513957</v>
      </c>
      <c r="R528" s="39" t="n">
        <v>0.129835943393187</v>
      </c>
      <c r="S528" s="39" t="n">
        <v>0.0446370701962265</v>
      </c>
      <c r="T528" s="38" t="n">
        <f aca="false">N528*Scorecard!$C$18+O528*Scorecard!$C$19+P528*Scorecard!$C$20+Q528*Scorecard!$C$21+R528*Scorecard!$C$22+S528*Scorecard!$C$23</f>
        <v>4.15578089350401</v>
      </c>
      <c r="U528" s="38" t="n">
        <f aca="false">N528*Scorecard!$D$18+O528*Scorecard!$D$19+P528*Scorecard!$D$20+Q528*Scorecard!$D$21+R528*Scorecard!$D$22+S528*Scorecard!$D$23</f>
        <v>2.88095973352344</v>
      </c>
      <c r="V528" s="38" t="n">
        <f aca="false">N528*Scorecard!$E$18+O528*Scorecard!$E$19+P528*Scorecard!$E$20+Q528*Scorecard!$E$21+R528*Scorecard!$E$22+S528*Scorecard!$E$23</f>
        <v>3.29859065021706</v>
      </c>
    </row>
    <row r="529" customFormat="false" ht="15" hidden="false" customHeight="false" outlineLevel="0" collapsed="false">
      <c r="A529" s="0" t="n">
        <v>524</v>
      </c>
      <c r="B529" s="38" t="n">
        <f aca="false">E529*Scorecard!$C$18+F529*Scorecard!$C$19+G529*Scorecard!$C$20+H529*Scorecard!$C$21+I529*Scorecard!$C$22+J529*Scorecard!$C$23</f>
        <v>3.64166281164894</v>
      </c>
      <c r="C529" s="38" t="n">
        <f aca="false">E529*Scorecard!$D$18+F529*Scorecard!$D$19+G529*Scorecard!$D$20+H529*Scorecard!$D$21+I529*Scorecard!$D$22+J529*Scorecard!$D$23</f>
        <v>2.5638295444936</v>
      </c>
      <c r="D529" s="0" t="str">
        <f aca="false">IF(AND(B529&gt;=C529,B529&gt;=K529),"A. Distribution",IF(C529&gt;=K529,"B. Manufacturing","C. Prof. services"))</f>
        <v>A. Distribution</v>
      </c>
      <c r="E529" s="39" t="n">
        <v>0.151945195578969</v>
      </c>
      <c r="F529" s="39" t="n">
        <v>0.0201426976898853</v>
      </c>
      <c r="G529" s="39" t="n">
        <v>0.380869228854637</v>
      </c>
      <c r="H529" s="39" t="n">
        <v>0.0154612333896582</v>
      </c>
      <c r="I529" s="39" t="n">
        <v>0.249274274577065</v>
      </c>
      <c r="J529" s="39" t="n">
        <v>0.182307369909786</v>
      </c>
      <c r="K529" s="38" t="n">
        <f aca="false">E529*Scorecard!$E$18+F529*Scorecard!$E$19+G529*Scorecard!$E$20+H529*Scorecard!$E$21+I529*Scorecard!$E$22+J529*Scorecard!$E$23</f>
        <v>3.57057971357932</v>
      </c>
      <c r="M529" s="0" t="str">
        <f aca="false">IF(AND(T529&gt;=U529,T529&gt;=V529),"A. Distribution",IF(U529&gt;=V529,"B. Manufacturing","C. Prof. services"))</f>
        <v>A. Distribution</v>
      </c>
      <c r="N529" s="39" t="n">
        <v>0.163261881582614</v>
      </c>
      <c r="O529" s="39" t="n">
        <v>0.149827878406595</v>
      </c>
      <c r="P529" s="39" t="n">
        <v>0.25828862565735</v>
      </c>
      <c r="Q529" s="39" t="n">
        <v>0.223445108581206</v>
      </c>
      <c r="R529" s="39" t="n">
        <v>0.161266597346438</v>
      </c>
      <c r="S529" s="39" t="n">
        <v>0.0439099084257966</v>
      </c>
      <c r="T529" s="38" t="n">
        <f aca="false">N529*Scorecard!$C$18+O529*Scorecard!$C$19+P529*Scorecard!$C$20+Q529*Scorecard!$C$21+R529*Scorecard!$C$22+S529*Scorecard!$C$23</f>
        <v>4.0248239505488</v>
      </c>
      <c r="U529" s="38" t="n">
        <f aca="false">N529*Scorecard!$D$18+O529*Scorecard!$D$19+P529*Scorecard!$D$20+Q529*Scorecard!$D$21+R529*Scorecard!$D$22+S529*Scorecard!$D$23</f>
        <v>2.66808257445275</v>
      </c>
      <c r="V529" s="38" t="n">
        <f aca="false">N529*Scorecard!$E$18+O529*Scorecard!$E$19+P529*Scorecard!$E$20+Q529*Scorecard!$E$21+R529*Scorecard!$E$22+S529*Scorecard!$E$23</f>
        <v>3.41935053287875</v>
      </c>
    </row>
    <row r="530" customFormat="false" ht="15" hidden="false" customHeight="false" outlineLevel="0" collapsed="false">
      <c r="A530" s="0" t="n">
        <v>525</v>
      </c>
      <c r="B530" s="38" t="n">
        <f aca="false">E530*Scorecard!$C$18+F530*Scorecard!$C$19+G530*Scorecard!$C$20+H530*Scorecard!$C$21+I530*Scorecard!$C$22+J530*Scorecard!$C$23</f>
        <v>3.35554099171587</v>
      </c>
      <c r="C530" s="38" t="n">
        <f aca="false">E530*Scorecard!$D$18+F530*Scorecard!$D$19+G530*Scorecard!$D$20+H530*Scorecard!$D$21+I530*Scorecard!$D$22+J530*Scorecard!$D$23</f>
        <v>2.0749905852138</v>
      </c>
      <c r="D530" s="0" t="str">
        <f aca="false">IF(AND(B530&gt;=C530,B530&gt;=K530),"A. Distribution",IF(C530&gt;=K530,"B. Manufacturing","C. Prof. services"))</f>
        <v>C. Prof. services</v>
      </c>
      <c r="E530" s="39" t="n">
        <v>0.0110099044214468</v>
      </c>
      <c r="F530" s="39" t="n">
        <v>0.0930946482381179</v>
      </c>
      <c r="G530" s="39" t="n">
        <v>0.362211561410401</v>
      </c>
      <c r="H530" s="39" t="n">
        <v>0.0349180839285463</v>
      </c>
      <c r="I530" s="39" t="n">
        <v>0.132312170599223</v>
      </c>
      <c r="J530" s="39" t="n">
        <v>0.366453631402265</v>
      </c>
      <c r="K530" s="38" t="n">
        <f aca="false">E530*Scorecard!$E$18+F530*Scorecard!$E$19+G530*Scorecard!$E$20+H530*Scorecard!$E$21+I530*Scorecard!$E$22+J530*Scorecard!$E$23</f>
        <v>3.83448928391096</v>
      </c>
      <c r="M530" s="0" t="str">
        <f aca="false">IF(AND(T530&gt;=U530,T530&gt;=V530),"A. Distribution",IF(U530&gt;=V530,"B. Manufacturing","C. Prof. services"))</f>
        <v>A. Distribution</v>
      </c>
      <c r="N530" s="39" t="n">
        <v>0.323642830902145</v>
      </c>
      <c r="O530" s="39" t="n">
        <v>0.225675729105139</v>
      </c>
      <c r="P530" s="39" t="n">
        <v>0.179259029991147</v>
      </c>
      <c r="Q530" s="39" t="n">
        <v>0.150185664591625</v>
      </c>
      <c r="R530" s="39" t="n">
        <v>0.0549577713053643</v>
      </c>
      <c r="S530" s="39" t="n">
        <v>0.0662789741045804</v>
      </c>
      <c r="T530" s="38" t="n">
        <f aca="false">N530*Scorecard!$C$18+O530*Scorecard!$C$19+P530*Scorecard!$C$20+Q530*Scorecard!$C$21+R530*Scorecard!$C$22+S530*Scorecard!$C$23</f>
        <v>4.05095094928168</v>
      </c>
      <c r="U530" s="38" t="n">
        <f aca="false">N530*Scorecard!$D$18+O530*Scorecard!$D$19+P530*Scorecard!$D$20+Q530*Scorecard!$D$21+R530*Scorecard!$D$22+S530*Scorecard!$D$23</f>
        <v>2.85843374560914</v>
      </c>
      <c r="V530" s="38" t="n">
        <f aca="false">N530*Scorecard!$E$18+O530*Scorecard!$E$19+P530*Scorecard!$E$20+Q530*Scorecard!$E$21+R530*Scorecard!$E$22+S530*Scorecard!$E$23</f>
        <v>3.46082101272017</v>
      </c>
    </row>
    <row r="531" customFormat="false" ht="15" hidden="false" customHeight="false" outlineLevel="0" collapsed="false">
      <c r="A531" s="0" t="n">
        <v>526</v>
      </c>
      <c r="B531" s="38" t="n">
        <f aca="false">E531*Scorecard!$C$18+F531*Scorecard!$C$19+G531*Scorecard!$C$20+H531*Scorecard!$C$21+I531*Scorecard!$C$22+J531*Scorecard!$C$23</f>
        <v>3.01431072285623</v>
      </c>
      <c r="C531" s="38" t="n">
        <f aca="false">E531*Scorecard!$D$18+F531*Scorecard!$D$19+G531*Scorecard!$D$20+H531*Scorecard!$D$21+I531*Scorecard!$D$22+J531*Scorecard!$D$23</f>
        <v>1.97649532454495</v>
      </c>
      <c r="D531" s="0" t="str">
        <f aca="false">IF(AND(B531&gt;=C531,B531&gt;=K531),"A. Distribution",IF(C531&gt;=K531,"B. Manufacturing","C. Prof. services"))</f>
        <v>C. Prof. services</v>
      </c>
      <c r="E531" s="39" t="n">
        <v>0.030877287725529</v>
      </c>
      <c r="F531" s="39" t="n">
        <v>0.0469814648229358</v>
      </c>
      <c r="G531" s="39" t="n">
        <v>0.0175200599982278</v>
      </c>
      <c r="H531" s="39" t="n">
        <v>0.395515043724055</v>
      </c>
      <c r="I531" s="39" t="n">
        <v>0.0153187806488153</v>
      </c>
      <c r="J531" s="39" t="n">
        <v>0.493787363080437</v>
      </c>
      <c r="K531" s="38" t="n">
        <f aca="false">E531*Scorecard!$E$18+F531*Scorecard!$E$19+G531*Scorecard!$E$20+H531*Scorecard!$E$21+I531*Scorecard!$E$22+J531*Scorecard!$E$23</f>
        <v>4.02039733004864</v>
      </c>
      <c r="M531" s="0" t="str">
        <f aca="false">IF(AND(T531&gt;=U531,T531&gt;=V531),"A. Distribution",IF(U531&gt;=V531,"B. Manufacturing","C. Prof. services"))</f>
        <v>A. Distribution</v>
      </c>
      <c r="N531" s="39" t="n">
        <v>0.337216346382818</v>
      </c>
      <c r="O531" s="39" t="n">
        <v>0.106544289855917</v>
      </c>
      <c r="P531" s="39" t="n">
        <v>0.10512536823078</v>
      </c>
      <c r="Q531" s="39" t="n">
        <v>0.227660864304422</v>
      </c>
      <c r="R531" s="39" t="n">
        <v>0.18792428397477</v>
      </c>
      <c r="S531" s="39" t="n">
        <v>0.0355288472512935</v>
      </c>
      <c r="T531" s="38" t="n">
        <f aca="false">N531*Scorecard!$C$18+O531*Scorecard!$C$19+P531*Scorecard!$C$20+Q531*Scorecard!$C$21+R531*Scorecard!$C$22+S531*Scorecard!$C$23</f>
        <v>3.98388199176668</v>
      </c>
      <c r="U531" s="38" t="n">
        <f aca="false">N531*Scorecard!$D$18+O531*Scorecard!$D$19+P531*Scorecard!$D$20+Q531*Scorecard!$D$21+R531*Scorecard!$D$22+S531*Scorecard!$D$23</f>
        <v>3.03808238467725</v>
      </c>
      <c r="V531" s="38" t="n">
        <f aca="false">N531*Scorecard!$E$18+O531*Scorecard!$E$19+P531*Scorecard!$E$20+Q531*Scorecard!$E$21+R531*Scorecard!$E$22+S531*Scorecard!$E$23</f>
        <v>3.33411551549431</v>
      </c>
    </row>
    <row r="532" customFormat="false" ht="15" hidden="false" customHeight="false" outlineLevel="0" collapsed="false">
      <c r="A532" s="0" t="n">
        <v>527</v>
      </c>
      <c r="B532" s="38" t="n">
        <f aca="false">E532*Scorecard!$C$18+F532*Scorecard!$C$19+G532*Scorecard!$C$20+H532*Scorecard!$C$21+I532*Scorecard!$C$22+J532*Scorecard!$C$23</f>
        <v>3.93336029290273</v>
      </c>
      <c r="C532" s="38" t="n">
        <f aca="false">E532*Scorecard!$D$18+F532*Scorecard!$D$19+G532*Scorecard!$D$20+H532*Scorecard!$D$21+I532*Scorecard!$D$22+J532*Scorecard!$D$23</f>
        <v>2.41139715745881</v>
      </c>
      <c r="D532" s="0" t="str">
        <f aca="false">IF(AND(B532&gt;=C532,B532&gt;=K532),"A. Distribution",IF(C532&gt;=K532,"B. Manufacturing","C. Prof. services"))</f>
        <v>A. Distribution</v>
      </c>
      <c r="E532" s="39" t="n">
        <v>0.0847052486581575</v>
      </c>
      <c r="F532" s="39" t="n">
        <v>0.268116608729624</v>
      </c>
      <c r="G532" s="39" t="n">
        <v>0.232934537650512</v>
      </c>
      <c r="H532" s="39" t="n">
        <v>0.163153992458467</v>
      </c>
      <c r="I532" s="39" t="n">
        <v>0.0959017792898612</v>
      </c>
      <c r="J532" s="39" t="n">
        <v>0.155187833213379</v>
      </c>
      <c r="K532" s="38" t="n">
        <f aca="false">E532*Scorecard!$E$18+F532*Scorecard!$E$19+G532*Scorecard!$E$20+H532*Scorecard!$E$21+I532*Scorecard!$E$22+J532*Scorecard!$E$23</f>
        <v>3.50152663475721</v>
      </c>
      <c r="M532" s="0" t="str">
        <f aca="false">IF(AND(T532&gt;=U532,T532&gt;=V532),"A. Distribution",IF(U532&gt;=V532,"B. Manufacturing","C. Prof. services"))</f>
        <v>A. Distribution</v>
      </c>
      <c r="N532" s="39" t="n">
        <v>0.172870993954192</v>
      </c>
      <c r="O532" s="39" t="n">
        <v>0.220393788006645</v>
      </c>
      <c r="P532" s="39" t="n">
        <v>0.209739144552722</v>
      </c>
      <c r="Q532" s="39" t="n">
        <v>0.171637988766697</v>
      </c>
      <c r="R532" s="39" t="n">
        <v>0.120090704172935</v>
      </c>
      <c r="S532" s="39" t="n">
        <v>0.10526738054681</v>
      </c>
      <c r="T532" s="38" t="n">
        <f aca="false">N532*Scorecard!$C$18+O532*Scorecard!$C$19+P532*Scorecard!$C$20+Q532*Scorecard!$C$21+R532*Scorecard!$C$22+S532*Scorecard!$C$23</f>
        <v>3.97748567885479</v>
      </c>
      <c r="U532" s="38" t="n">
        <f aca="false">N532*Scorecard!$D$18+O532*Scorecard!$D$19+P532*Scorecard!$D$20+Q532*Scorecard!$D$21+R532*Scorecard!$D$22+S532*Scorecard!$D$23</f>
        <v>2.62419184364523</v>
      </c>
      <c r="V532" s="38" t="n">
        <f aca="false">N532*Scorecard!$E$18+O532*Scorecard!$E$19+P532*Scorecard!$E$20+Q532*Scorecard!$E$21+R532*Scorecard!$E$22+S532*Scorecard!$E$23</f>
        <v>3.44644166665296</v>
      </c>
    </row>
    <row r="533" customFormat="false" ht="15" hidden="false" customHeight="false" outlineLevel="0" collapsed="false">
      <c r="A533" s="0" t="n">
        <v>528</v>
      </c>
      <c r="B533" s="38" t="n">
        <f aca="false">E533*Scorecard!$C$18+F533*Scorecard!$C$19+G533*Scorecard!$C$20+H533*Scorecard!$C$21+I533*Scorecard!$C$22+J533*Scorecard!$C$23</f>
        <v>4.37671438835562</v>
      </c>
      <c r="C533" s="38" t="n">
        <f aca="false">E533*Scorecard!$D$18+F533*Scorecard!$D$19+G533*Scorecard!$D$20+H533*Scorecard!$D$21+I533*Scorecard!$D$22+J533*Scorecard!$D$23</f>
        <v>2.77823692497773</v>
      </c>
      <c r="D533" s="0" t="str">
        <f aca="false">IF(AND(B533&gt;=C533,B533&gt;=K533),"A. Distribution",IF(C533&gt;=K533,"B. Manufacturing","C. Prof. services"))</f>
        <v>A. Distribution</v>
      </c>
      <c r="E533" s="39" t="n">
        <v>0.208350317920078</v>
      </c>
      <c r="F533" s="39" t="n">
        <v>0.592743308830645</v>
      </c>
      <c r="G533" s="39" t="n">
        <v>0.00381572358372051</v>
      </c>
      <c r="H533" s="39" t="n">
        <v>0.0369283538514442</v>
      </c>
      <c r="I533" s="39" t="n">
        <v>0.0605012486949044</v>
      </c>
      <c r="J533" s="39" t="n">
        <v>0.0976610471192083</v>
      </c>
      <c r="K533" s="38" t="n">
        <f aca="false">E533*Scorecard!$E$18+F533*Scorecard!$E$19+G533*Scorecard!$E$20+H533*Scorecard!$E$21+I533*Scorecard!$E$22+J533*Scorecard!$E$23</f>
        <v>3.12316350329916</v>
      </c>
      <c r="M533" s="0" t="str">
        <f aca="false">IF(AND(T533&gt;=U533,T533&gt;=V533),"A. Distribution",IF(U533&gt;=V533,"B. Manufacturing","C. Prof. services"))</f>
        <v>A. Distribution</v>
      </c>
      <c r="N533" s="39" t="n">
        <v>0.248257218984176</v>
      </c>
      <c r="O533" s="39" t="n">
        <v>0.240453088043688</v>
      </c>
      <c r="P533" s="39" t="n">
        <v>0.167133986441646</v>
      </c>
      <c r="Q533" s="39" t="n">
        <v>0.198588378045751</v>
      </c>
      <c r="R533" s="39" t="n">
        <v>0.0859360292248535</v>
      </c>
      <c r="S533" s="39" t="n">
        <v>0.0596312992598863</v>
      </c>
      <c r="T533" s="38" t="n">
        <f aca="false">N533*Scorecard!$C$18+O533*Scorecard!$C$19+P533*Scorecard!$C$20+Q533*Scorecard!$C$21+R533*Scorecard!$C$22+S533*Scorecard!$C$23</f>
        <v>4.07986070455678</v>
      </c>
      <c r="U533" s="38" t="n">
        <f aca="false">N533*Scorecard!$D$18+O533*Scorecard!$D$19+P533*Scorecard!$D$20+Q533*Scorecard!$D$21+R533*Scorecard!$D$22+S533*Scorecard!$D$23</f>
        <v>2.77250716092277</v>
      </c>
      <c r="V533" s="38" t="n">
        <f aca="false">N533*Scorecard!$E$18+O533*Scorecard!$E$19+P533*Scorecard!$E$20+Q533*Scorecard!$E$21+R533*Scorecard!$E$22+S533*Scorecard!$E$23</f>
        <v>3.41006204014782</v>
      </c>
    </row>
    <row r="534" customFormat="false" ht="15" hidden="false" customHeight="false" outlineLevel="0" collapsed="false">
      <c r="A534" s="0" t="n">
        <v>529</v>
      </c>
      <c r="B534" s="38" t="n">
        <f aca="false">E534*Scorecard!$C$18+F534*Scorecard!$C$19+G534*Scorecard!$C$20+H534*Scorecard!$C$21+I534*Scorecard!$C$22+J534*Scorecard!$C$23</f>
        <v>4.20472600030382</v>
      </c>
      <c r="C534" s="38" t="n">
        <f aca="false">E534*Scorecard!$D$18+F534*Scorecard!$D$19+G534*Scorecard!$D$20+H534*Scorecard!$D$21+I534*Scorecard!$D$22+J534*Scorecard!$D$23</f>
        <v>2.24511017906432</v>
      </c>
      <c r="D534" s="0" t="str">
        <f aca="false">IF(AND(B534&gt;=C534,B534&gt;=K534),"A. Distribution",IF(C534&gt;=K534,"B. Manufacturing","C. Prof. services"))</f>
        <v>A. Distribution</v>
      </c>
      <c r="E534" s="39" t="n">
        <v>0.0434819286932468</v>
      </c>
      <c r="F534" s="39" t="n">
        <v>0.284992806300238</v>
      </c>
      <c r="G534" s="39" t="n">
        <v>0.590920167243232</v>
      </c>
      <c r="H534" s="39" t="n">
        <v>0.0328540799209704</v>
      </c>
      <c r="I534" s="39" t="n">
        <v>0.0111331498835561</v>
      </c>
      <c r="J534" s="39" t="n">
        <v>0.0366178679587571</v>
      </c>
      <c r="K534" s="38" t="n">
        <f aca="false">E534*Scorecard!$E$18+F534*Scorecard!$E$19+G534*Scorecard!$E$20+H534*Scorecard!$E$21+I534*Scorecard!$E$22+J534*Scorecard!$E$23</f>
        <v>3.62658102504658</v>
      </c>
      <c r="M534" s="0" t="str">
        <f aca="false">IF(AND(T534&gt;=U534,T534&gt;=V534),"A. Distribution",IF(U534&gt;=V534,"B. Manufacturing","C. Prof. services"))</f>
        <v>A. Distribution</v>
      </c>
      <c r="N534" s="39" t="n">
        <v>0.263863912629034</v>
      </c>
      <c r="O534" s="39" t="n">
        <v>0.246115955183156</v>
      </c>
      <c r="P534" s="39" t="n">
        <v>0.166992842553138</v>
      </c>
      <c r="Q534" s="39" t="n">
        <v>0.0969096460276823</v>
      </c>
      <c r="R534" s="39" t="n">
        <v>0.103431833885829</v>
      </c>
      <c r="S534" s="39" t="n">
        <v>0.122685809721161</v>
      </c>
      <c r="T534" s="38" t="n">
        <f aca="false">N534*Scorecard!$C$18+O534*Scorecard!$C$19+P534*Scorecard!$C$20+Q534*Scorecard!$C$21+R534*Scorecard!$C$22+S534*Scorecard!$C$23</f>
        <v>3.96911748276211</v>
      </c>
      <c r="U534" s="38" t="n">
        <f aca="false">N534*Scorecard!$D$18+O534*Scorecard!$D$19+P534*Scorecard!$D$20+Q534*Scorecard!$D$21+R534*Scorecard!$D$22+S534*Scorecard!$D$23</f>
        <v>2.76916699219734</v>
      </c>
      <c r="V534" s="38" t="n">
        <f aca="false">N534*Scorecard!$E$18+O534*Scorecard!$E$19+P534*Scorecard!$E$20+Q534*Scorecard!$E$21+R534*Scorecard!$E$22+S534*Scorecard!$E$23</f>
        <v>3.43111285112013</v>
      </c>
    </row>
    <row r="535" customFormat="false" ht="15" hidden="false" customHeight="false" outlineLevel="0" collapsed="false">
      <c r="A535" s="0" t="n">
        <v>530</v>
      </c>
      <c r="B535" s="38" t="n">
        <f aca="false">E535*Scorecard!$C$18+F535*Scorecard!$C$19+G535*Scorecard!$C$20+H535*Scorecard!$C$21+I535*Scorecard!$C$22+J535*Scorecard!$C$23</f>
        <v>3.85396478174504</v>
      </c>
      <c r="C535" s="38" t="n">
        <f aca="false">E535*Scorecard!$D$18+F535*Scorecard!$D$19+G535*Scorecard!$D$20+H535*Scorecard!$D$21+I535*Scorecard!$D$22+J535*Scorecard!$D$23</f>
        <v>2.66084107849513</v>
      </c>
      <c r="D535" s="0" t="str">
        <f aca="false">IF(AND(B535&gt;=C535,B535&gt;=K535),"A. Distribution",IF(C535&gt;=K535,"B. Manufacturing","C. Prof. services"))</f>
        <v>A. Distribution</v>
      </c>
      <c r="E535" s="39" t="n">
        <v>0.193383280116651</v>
      </c>
      <c r="F535" s="39" t="n">
        <v>0.288971573374304</v>
      </c>
      <c r="G535" s="39" t="n">
        <v>0.0857566752238018</v>
      </c>
      <c r="H535" s="39" t="n">
        <v>0.0794468171552061</v>
      </c>
      <c r="I535" s="39" t="n">
        <v>0.146981538544507</v>
      </c>
      <c r="J535" s="39" t="n">
        <v>0.20546011558553</v>
      </c>
      <c r="K535" s="38" t="n">
        <f aca="false">E535*Scorecard!$E$18+F535*Scorecard!$E$19+G535*Scorecard!$E$20+H535*Scorecard!$E$21+I535*Scorecard!$E$22+J535*Scorecard!$E$23</f>
        <v>3.38963731635678</v>
      </c>
      <c r="M535" s="0" t="str">
        <f aca="false">IF(AND(T535&gt;=U535,T535&gt;=V535),"A. Distribution",IF(U535&gt;=V535,"B. Manufacturing","C. Prof. services"))</f>
        <v>A. Distribution</v>
      </c>
      <c r="N535" s="39" t="n">
        <v>0.250712108826544</v>
      </c>
      <c r="O535" s="39" t="n">
        <v>0.155935692377138</v>
      </c>
      <c r="P535" s="39" t="n">
        <v>0.28361476223293</v>
      </c>
      <c r="Q535" s="39" t="n">
        <v>0.136571246344925</v>
      </c>
      <c r="R535" s="39" t="n">
        <v>0.0972797041647245</v>
      </c>
      <c r="S535" s="39" t="n">
        <v>0.0758864860537382</v>
      </c>
      <c r="T535" s="38" t="n">
        <f aca="false">N535*Scorecard!$C$18+O535*Scorecard!$C$19+P535*Scorecard!$C$20+Q535*Scorecard!$C$21+R535*Scorecard!$C$22+S535*Scorecard!$C$23</f>
        <v>3.96931822245447</v>
      </c>
      <c r="U535" s="38" t="n">
        <f aca="false">N535*Scorecard!$D$18+O535*Scorecard!$D$19+P535*Scorecard!$D$20+Q535*Scorecard!$D$21+R535*Scorecard!$D$22+S535*Scorecard!$D$23</f>
        <v>2.72156630844252</v>
      </c>
      <c r="V535" s="38" t="n">
        <f aca="false">N535*Scorecard!$E$18+O535*Scorecard!$E$19+P535*Scorecard!$E$20+Q535*Scorecard!$E$21+R535*Scorecard!$E$22+S535*Scorecard!$E$23</f>
        <v>3.51937361084032</v>
      </c>
    </row>
    <row r="536" customFormat="false" ht="15" hidden="false" customHeight="false" outlineLevel="0" collapsed="false">
      <c r="A536" s="0" t="n">
        <v>531</v>
      </c>
      <c r="B536" s="38" t="n">
        <f aca="false">E536*Scorecard!$C$18+F536*Scorecard!$C$19+G536*Scorecard!$C$20+H536*Scorecard!$C$21+I536*Scorecard!$C$22+J536*Scorecard!$C$23</f>
        <v>3.95354456401459</v>
      </c>
      <c r="C536" s="38" t="n">
        <f aca="false">E536*Scorecard!$D$18+F536*Scorecard!$D$19+G536*Scorecard!$D$20+H536*Scorecard!$D$21+I536*Scorecard!$D$22+J536*Scorecard!$D$23</f>
        <v>2.42906869225811</v>
      </c>
      <c r="D536" s="0" t="str">
        <f aca="false">IF(AND(B536&gt;=C536,B536&gt;=K536),"A. Distribution",IF(C536&gt;=K536,"B. Manufacturing","C. Prof. services"))</f>
        <v>A. Distribution</v>
      </c>
      <c r="E536" s="39" t="n">
        <v>0.134262097179261</v>
      </c>
      <c r="F536" s="39" t="n">
        <v>0.00486133462757562</v>
      </c>
      <c r="G536" s="39" t="n">
        <v>0.657467018771702</v>
      </c>
      <c r="H536" s="39" t="n">
        <v>0.0840646365849977</v>
      </c>
      <c r="I536" s="39" t="n">
        <v>0.10360526967277</v>
      </c>
      <c r="J536" s="39" t="n">
        <v>0.0157396431636939</v>
      </c>
      <c r="K536" s="38" t="n">
        <f aca="false">E536*Scorecard!$E$18+F536*Scorecard!$E$19+G536*Scorecard!$E$20+H536*Scorecard!$E$21+I536*Scorecard!$E$22+J536*Scorecard!$E$23</f>
        <v>3.73475303350444</v>
      </c>
      <c r="M536" s="0" t="str">
        <f aca="false">IF(AND(T536&gt;=U536,T536&gt;=V536),"A. Distribution",IF(U536&gt;=V536,"B. Manufacturing","C. Prof. services"))</f>
        <v>A. Distribution</v>
      </c>
      <c r="N536" s="39" t="n">
        <v>0.186730143835482</v>
      </c>
      <c r="O536" s="39" t="n">
        <v>0.235989164156553</v>
      </c>
      <c r="P536" s="39" t="n">
        <v>0.229805753509699</v>
      </c>
      <c r="Q536" s="39" t="n">
        <v>0.126003919346142</v>
      </c>
      <c r="R536" s="39" t="n">
        <v>0.145940268153413</v>
      </c>
      <c r="S536" s="39" t="n">
        <v>0.07553075099871</v>
      </c>
      <c r="T536" s="38" t="n">
        <f aca="false">N536*Scorecard!$C$18+O536*Scorecard!$C$19+P536*Scorecard!$C$20+Q536*Scorecard!$C$21+R536*Scorecard!$C$22+S536*Scorecard!$C$23</f>
        <v>4.05635870545467</v>
      </c>
      <c r="U536" s="38" t="n">
        <f aca="false">N536*Scorecard!$D$18+O536*Scorecard!$D$19+P536*Scorecard!$D$20+Q536*Scorecard!$D$21+R536*Scorecard!$D$22+S536*Scorecard!$D$23</f>
        <v>2.69649217055666</v>
      </c>
      <c r="V536" s="38" t="n">
        <f aca="false">N536*Scorecard!$E$18+O536*Scorecard!$E$19+P536*Scorecard!$E$20+Q536*Scorecard!$E$21+R536*Scorecard!$E$22+S536*Scorecard!$E$23</f>
        <v>3.3778431146086</v>
      </c>
    </row>
    <row r="537" customFormat="false" ht="15" hidden="false" customHeight="false" outlineLevel="0" collapsed="false">
      <c r="A537" s="0" t="n">
        <v>532</v>
      </c>
      <c r="B537" s="38" t="n">
        <f aca="false">E537*Scorecard!$C$18+F537*Scorecard!$C$19+G537*Scorecard!$C$20+H537*Scorecard!$C$21+I537*Scorecard!$C$22+J537*Scorecard!$C$23</f>
        <v>3.7365855685114</v>
      </c>
      <c r="C537" s="38" t="n">
        <f aca="false">E537*Scorecard!$D$18+F537*Scorecard!$D$19+G537*Scorecard!$D$20+H537*Scorecard!$D$21+I537*Scorecard!$D$22+J537*Scorecard!$D$23</f>
        <v>2.85481246634779</v>
      </c>
      <c r="D537" s="0" t="str">
        <f aca="false">IF(AND(B537&gt;=C537,B537&gt;=K537),"A. Distribution",IF(C537&gt;=K537,"B. Manufacturing","C. Prof. services"))</f>
        <v>A. Distribution</v>
      </c>
      <c r="E537" s="39" t="n">
        <v>0.0126956670679563</v>
      </c>
      <c r="F537" s="39" t="n">
        <v>0.014450347896097</v>
      </c>
      <c r="G537" s="39" t="n">
        <v>0.157111004468054</v>
      </c>
      <c r="H537" s="39" t="n">
        <v>0.0131501164329215</v>
      </c>
      <c r="I537" s="39" t="n">
        <v>0.66487858788639</v>
      </c>
      <c r="J537" s="39" t="n">
        <v>0.137714276248581</v>
      </c>
      <c r="K537" s="38" t="n">
        <f aca="false">E537*Scorecard!$E$18+F537*Scorecard!$E$19+G537*Scorecard!$E$20+H537*Scorecard!$E$21+I537*Scorecard!$E$22+J537*Scorecard!$E$23</f>
        <v>2.9327808702383</v>
      </c>
      <c r="M537" s="0" t="str">
        <f aca="false">IF(AND(T537&gt;=U537,T537&gt;=V537),"A. Distribution",IF(U537&gt;=V537,"B. Manufacturing","C. Prof. services"))</f>
        <v>A. Distribution</v>
      </c>
      <c r="N537" s="39" t="n">
        <v>0.148160036774473</v>
      </c>
      <c r="O537" s="39" t="n">
        <v>0.197071223338572</v>
      </c>
      <c r="P537" s="39" t="n">
        <v>0.0883582162603229</v>
      </c>
      <c r="Q537" s="39" t="n">
        <v>0.2812131422123</v>
      </c>
      <c r="R537" s="39" t="n">
        <v>0.162121920480937</v>
      </c>
      <c r="S537" s="39" t="n">
        <v>0.123075460933396</v>
      </c>
      <c r="T537" s="38" t="n">
        <f aca="false">N537*Scorecard!$C$18+O537*Scorecard!$C$19+P537*Scorecard!$C$20+Q537*Scorecard!$C$21+R537*Scorecard!$C$22+S537*Scorecard!$C$23</f>
        <v>3.90872412931194</v>
      </c>
      <c r="U537" s="38" t="n">
        <f aca="false">N537*Scorecard!$D$18+O537*Scorecard!$D$19+P537*Scorecard!$D$20+Q537*Scorecard!$D$21+R537*Scorecard!$D$22+S537*Scorecard!$D$23</f>
        <v>2.64099863145154</v>
      </c>
      <c r="V537" s="38" t="n">
        <f aca="false">N537*Scorecard!$E$18+O537*Scorecard!$E$19+P537*Scorecard!$E$20+Q537*Scorecard!$E$21+R537*Scorecard!$E$22+S537*Scorecard!$E$23</f>
        <v>3.38968859000333</v>
      </c>
    </row>
    <row r="538" customFormat="false" ht="15" hidden="false" customHeight="false" outlineLevel="0" collapsed="false">
      <c r="A538" s="0" t="n">
        <v>533</v>
      </c>
      <c r="B538" s="38" t="n">
        <f aca="false">E538*Scorecard!$C$18+F538*Scorecard!$C$19+G538*Scorecard!$C$20+H538*Scorecard!$C$21+I538*Scorecard!$C$22+J538*Scorecard!$C$23</f>
        <v>4.38649840893583</v>
      </c>
      <c r="C538" s="38" t="n">
        <f aca="false">E538*Scorecard!$D$18+F538*Scorecard!$D$19+G538*Scorecard!$D$20+H538*Scorecard!$D$21+I538*Scorecard!$D$22+J538*Scorecard!$D$23</f>
        <v>2.84659647120788</v>
      </c>
      <c r="D538" s="0" t="str">
        <f aca="false">IF(AND(B538&gt;=C538,B538&gt;=K538),"A. Distribution",IF(C538&gt;=K538,"B. Manufacturing","C. Prof. services"))</f>
        <v>A. Distribution</v>
      </c>
      <c r="E538" s="39" t="n">
        <v>0.142121416093493</v>
      </c>
      <c r="F538" s="39" t="n">
        <v>0.418554950068463</v>
      </c>
      <c r="G538" s="39" t="n">
        <v>0.138317985887256</v>
      </c>
      <c r="H538" s="39" t="n">
        <v>0.047891276709049</v>
      </c>
      <c r="I538" s="39" t="n">
        <v>0.245371492113856</v>
      </c>
      <c r="J538" s="39" t="n">
        <v>0.00774287912788354</v>
      </c>
      <c r="K538" s="38" t="n">
        <f aca="false">E538*Scorecard!$E$18+F538*Scorecard!$E$19+G538*Scorecard!$E$20+H538*Scorecard!$E$21+I538*Scorecard!$E$22+J538*Scorecard!$E$23</f>
        <v>3.00783783923745</v>
      </c>
      <c r="M538" s="0" t="str">
        <f aca="false">IF(AND(T538&gt;=U538,T538&gt;=V538),"A. Distribution",IF(U538&gt;=V538,"B. Manufacturing","C. Prof. services"))</f>
        <v>A. Distribution</v>
      </c>
      <c r="N538" s="39" t="n">
        <v>0.166020768814315</v>
      </c>
      <c r="O538" s="39" t="n">
        <v>0.238872935158157</v>
      </c>
      <c r="P538" s="39" t="n">
        <v>0.255077829824193</v>
      </c>
      <c r="Q538" s="39" t="n">
        <v>0.14606039628261</v>
      </c>
      <c r="R538" s="39" t="n">
        <v>0.149835375159283</v>
      </c>
      <c r="S538" s="39" t="n">
        <v>0.0441326947614414</v>
      </c>
      <c r="T538" s="38" t="n">
        <f aca="false">N538*Scorecard!$C$18+O538*Scorecard!$C$19+P538*Scorecard!$C$20+Q538*Scorecard!$C$21+R538*Scorecard!$C$22+S538*Scorecard!$C$23</f>
        <v>4.12154018063914</v>
      </c>
      <c r="U538" s="38" t="n">
        <f aca="false">N538*Scorecard!$D$18+O538*Scorecard!$D$19+P538*Scorecard!$D$20+Q538*Scorecard!$D$21+R538*Scorecard!$D$22+S538*Scorecard!$D$23</f>
        <v>2.68287250857983</v>
      </c>
      <c r="V538" s="38" t="n">
        <f aca="false">N538*Scorecard!$E$18+O538*Scorecard!$E$19+P538*Scorecard!$E$20+Q538*Scorecard!$E$21+R538*Scorecard!$E$22+S538*Scorecard!$E$23</f>
        <v>3.35599949872038</v>
      </c>
    </row>
    <row r="539" customFormat="false" ht="15" hidden="false" customHeight="false" outlineLevel="0" collapsed="false">
      <c r="A539" s="0" t="n">
        <v>534</v>
      </c>
      <c r="B539" s="38" t="n">
        <f aca="false">E539*Scorecard!$C$18+F539*Scorecard!$C$19+G539*Scorecard!$C$20+H539*Scorecard!$C$21+I539*Scorecard!$C$22+J539*Scorecard!$C$23</f>
        <v>3.0180247406447</v>
      </c>
      <c r="C539" s="38" t="n">
        <f aca="false">E539*Scorecard!$D$18+F539*Scorecard!$D$19+G539*Scorecard!$D$20+H539*Scorecard!$D$21+I539*Scorecard!$D$22+J539*Scorecard!$D$23</f>
        <v>2.16878362940393</v>
      </c>
      <c r="D539" s="0" t="str">
        <f aca="false">IF(AND(B539&gt;=C539,B539&gt;=K539),"A. Distribution",IF(C539&gt;=K539,"B. Manufacturing","C. Prof. services"))</f>
        <v>C. Prof. services</v>
      </c>
      <c r="E539" s="39" t="n">
        <v>0.0152069821922759</v>
      </c>
      <c r="F539" s="39" t="n">
        <v>0.106491993627581</v>
      </c>
      <c r="G539" s="39" t="n">
        <v>0.00198650932742927</v>
      </c>
      <c r="H539" s="39" t="n">
        <v>0.0956981585172876</v>
      </c>
      <c r="I539" s="39" t="n">
        <v>0.242148955967005</v>
      </c>
      <c r="J539" s="39" t="n">
        <v>0.538467400368422</v>
      </c>
      <c r="K539" s="38" t="n">
        <f aca="false">E539*Scorecard!$E$18+F539*Scorecard!$E$19+G539*Scorecard!$E$20+H539*Scorecard!$E$21+I539*Scorecard!$E$22+J539*Scorecard!$E$23</f>
        <v>3.69943753837997</v>
      </c>
      <c r="M539" s="0" t="str">
        <f aca="false">IF(AND(T539&gt;=U539,T539&gt;=V539),"A. Distribution",IF(U539&gt;=V539,"B. Manufacturing","C. Prof. services"))</f>
        <v>A. Distribution</v>
      </c>
      <c r="N539" s="39" t="n">
        <v>0.300870298685465</v>
      </c>
      <c r="O539" s="39" t="n">
        <v>0.113274681102274</v>
      </c>
      <c r="P539" s="39" t="n">
        <v>0.119357496687982</v>
      </c>
      <c r="Q539" s="39" t="n">
        <v>0.218755440517415</v>
      </c>
      <c r="R539" s="39" t="n">
        <v>0.141234724743428</v>
      </c>
      <c r="S539" s="39" t="n">
        <v>0.106507358263437</v>
      </c>
      <c r="T539" s="38" t="n">
        <f aca="false">N539*Scorecard!$C$18+O539*Scorecard!$C$19+P539*Scorecard!$C$20+Q539*Scorecard!$C$21+R539*Scorecard!$C$22+S539*Scorecard!$C$23</f>
        <v>3.85253303246661</v>
      </c>
      <c r="U539" s="38" t="n">
        <f aca="false">N539*Scorecard!$D$18+O539*Scorecard!$D$19+P539*Scorecard!$D$20+Q539*Scorecard!$D$21+R539*Scorecard!$D$22+S539*Scorecard!$D$23</f>
        <v>2.86776505414138</v>
      </c>
      <c r="V539" s="38" t="n">
        <f aca="false">N539*Scorecard!$E$18+O539*Scorecard!$E$19+P539*Scorecard!$E$20+Q539*Scorecard!$E$21+R539*Scorecard!$E$22+S539*Scorecard!$E$23</f>
        <v>3.46046240066416</v>
      </c>
    </row>
    <row r="540" customFormat="false" ht="15" hidden="false" customHeight="false" outlineLevel="0" collapsed="false">
      <c r="A540" s="0" t="n">
        <v>535</v>
      </c>
      <c r="B540" s="38" t="n">
        <f aca="false">E540*Scorecard!$C$18+F540*Scorecard!$C$19+G540*Scorecard!$C$20+H540*Scorecard!$C$21+I540*Scorecard!$C$22+J540*Scorecard!$C$23</f>
        <v>3.44517766196849</v>
      </c>
      <c r="C540" s="38" t="n">
        <f aca="false">E540*Scorecard!$D$18+F540*Scorecard!$D$19+G540*Scorecard!$D$20+H540*Scorecard!$D$21+I540*Scorecard!$D$22+J540*Scorecard!$D$23</f>
        <v>2.80298135845839</v>
      </c>
      <c r="D540" s="0" t="str">
        <f aca="false">IF(AND(B540&gt;=C540,B540&gt;=K540),"A. Distribution",IF(C540&gt;=K540,"B. Manufacturing","C. Prof. services"))</f>
        <v>C. Prof. services</v>
      </c>
      <c r="E540" s="39" t="n">
        <v>0.384137691111107</v>
      </c>
      <c r="F540" s="39" t="n">
        <v>0.0570322597879643</v>
      </c>
      <c r="G540" s="39" t="n">
        <v>0.105977168295511</v>
      </c>
      <c r="H540" s="39" t="n">
        <v>0.0803120998256687</v>
      </c>
      <c r="I540" s="39" t="n">
        <v>0.0863609075941713</v>
      </c>
      <c r="J540" s="39" t="n">
        <v>0.286179873385579</v>
      </c>
      <c r="K540" s="38" t="n">
        <f aca="false">E540*Scorecard!$E$18+F540*Scorecard!$E$19+G540*Scorecard!$E$20+H540*Scorecard!$E$21+I540*Scorecard!$E$22+J540*Scorecard!$E$23</f>
        <v>3.71263782757537</v>
      </c>
      <c r="M540" s="0" t="str">
        <f aca="false">IF(AND(T540&gt;=U540,T540&gt;=V540),"A. Distribution",IF(U540&gt;=V540,"B. Manufacturing","C. Prof. services"))</f>
        <v>A. Distribution</v>
      </c>
      <c r="N540" s="39" t="n">
        <v>0.119997243315724</v>
      </c>
      <c r="O540" s="39" t="n">
        <v>0.231932901541876</v>
      </c>
      <c r="P540" s="39" t="n">
        <v>0.120605475295905</v>
      </c>
      <c r="Q540" s="39" t="n">
        <v>0.104259397320664</v>
      </c>
      <c r="R540" s="39" t="n">
        <v>0.370757860423013</v>
      </c>
      <c r="S540" s="39" t="n">
        <v>0.0524471221028182</v>
      </c>
      <c r="T540" s="38" t="n">
        <f aca="false">N540*Scorecard!$C$18+O540*Scorecard!$C$19+P540*Scorecard!$C$20+Q540*Scorecard!$C$21+R540*Scorecard!$C$22+S540*Scorecard!$C$23</f>
        <v>4.10617045479861</v>
      </c>
      <c r="U540" s="38" t="n">
        <f aca="false">N540*Scorecard!$D$18+O540*Scorecard!$D$19+P540*Scorecard!$D$20+Q540*Scorecard!$D$21+R540*Scorecard!$D$22+S540*Scorecard!$D$23</f>
        <v>2.86425633977061</v>
      </c>
      <c r="V540" s="38" t="n">
        <f aca="false">N540*Scorecard!$E$18+O540*Scorecard!$E$19+P540*Scorecard!$E$20+Q540*Scorecard!$E$21+R540*Scorecard!$E$22+S540*Scorecard!$E$23</f>
        <v>3.03692530619124</v>
      </c>
    </row>
    <row r="541" customFormat="false" ht="15" hidden="false" customHeight="false" outlineLevel="0" collapsed="false">
      <c r="A541" s="0" t="n">
        <v>536</v>
      </c>
      <c r="B541" s="38" t="n">
        <f aca="false">E541*Scorecard!$C$18+F541*Scorecard!$C$19+G541*Scorecard!$C$20+H541*Scorecard!$C$21+I541*Scorecard!$C$22+J541*Scorecard!$C$23</f>
        <v>3.93363549226255</v>
      </c>
      <c r="C541" s="38" t="n">
        <f aca="false">E541*Scorecard!$D$18+F541*Scorecard!$D$19+G541*Scorecard!$D$20+H541*Scorecard!$D$21+I541*Scorecard!$D$22+J541*Scorecard!$D$23</f>
        <v>3.37013974388468</v>
      </c>
      <c r="D541" s="0" t="str">
        <f aca="false">IF(AND(B541&gt;=C541,B541&gt;=K541),"A. Distribution",IF(C541&gt;=K541,"B. Manufacturing","C. Prof. services"))</f>
        <v>A. Distribution</v>
      </c>
      <c r="E541" s="39" t="n">
        <v>0.516195154929964</v>
      </c>
      <c r="F541" s="39" t="n">
        <v>0.120204389544631</v>
      </c>
      <c r="G541" s="39" t="n">
        <v>0.00299154095484556</v>
      </c>
      <c r="H541" s="39" t="n">
        <v>0.0910045050751056</v>
      </c>
      <c r="I541" s="39" t="n">
        <v>0.201944676582818</v>
      </c>
      <c r="J541" s="39" t="n">
        <v>0.0676597329126361</v>
      </c>
      <c r="K541" s="38" t="n">
        <f aca="false">E541*Scorecard!$E$18+F541*Scorecard!$E$19+G541*Scorecard!$E$20+H541*Scorecard!$E$21+I541*Scorecard!$E$22+J541*Scorecard!$E$23</f>
        <v>3.26569122546324</v>
      </c>
      <c r="M541" s="0" t="str">
        <f aca="false">IF(AND(T541&gt;=U541,T541&gt;=V541),"A. Distribution",IF(U541&gt;=V541,"B. Manufacturing","C. Prof. services"))</f>
        <v>A. Distribution</v>
      </c>
      <c r="N541" s="39" t="n">
        <v>0.225245747480982</v>
      </c>
      <c r="O541" s="39" t="n">
        <v>0.116644501756374</v>
      </c>
      <c r="P541" s="39" t="n">
        <v>0.122610935006756</v>
      </c>
      <c r="Q541" s="39" t="n">
        <v>0.381628792827525</v>
      </c>
      <c r="R541" s="39" t="n">
        <v>0.122491287342574</v>
      </c>
      <c r="S541" s="39" t="n">
        <v>0.0313787355857882</v>
      </c>
      <c r="T541" s="38" t="n">
        <f aca="false">N541*Scorecard!$C$18+O541*Scorecard!$C$19+P541*Scorecard!$C$20+Q541*Scorecard!$C$21+R541*Scorecard!$C$22+S541*Scorecard!$C$23</f>
        <v>3.99468205027863</v>
      </c>
      <c r="U541" s="38" t="n">
        <f aca="false">N541*Scorecard!$D$18+O541*Scorecard!$D$19+P541*Scorecard!$D$20+Q541*Scorecard!$D$21+R541*Scorecard!$D$22+S541*Scorecard!$D$23</f>
        <v>2.77671415847672</v>
      </c>
      <c r="V541" s="38" t="n">
        <f aca="false">N541*Scorecard!$E$18+O541*Scorecard!$E$19+P541*Scorecard!$E$20+Q541*Scorecard!$E$21+R541*Scorecard!$E$22+S541*Scorecard!$E$23</f>
        <v>3.4346497735561</v>
      </c>
    </row>
    <row r="542" customFormat="false" ht="15" hidden="false" customHeight="false" outlineLevel="0" collapsed="false">
      <c r="A542" s="0" t="n">
        <v>537</v>
      </c>
      <c r="B542" s="38" t="n">
        <f aca="false">E542*Scorecard!$C$18+F542*Scorecard!$C$19+G542*Scorecard!$C$20+H542*Scorecard!$C$21+I542*Scorecard!$C$22+J542*Scorecard!$C$23</f>
        <v>3.63684742789599</v>
      </c>
      <c r="C542" s="38" t="n">
        <f aca="false">E542*Scorecard!$D$18+F542*Scorecard!$D$19+G542*Scorecard!$D$20+H542*Scorecard!$D$21+I542*Scorecard!$D$22+J542*Scorecard!$D$23</f>
        <v>2.35714576719471</v>
      </c>
      <c r="D542" s="0" t="str">
        <f aca="false">IF(AND(B542&gt;=C542,B542&gt;=K542),"A. Distribution",IF(C542&gt;=K542,"B. Manufacturing","C. Prof. services"))</f>
        <v>A. Distribution</v>
      </c>
      <c r="E542" s="39" t="n">
        <v>0.0775232020201833</v>
      </c>
      <c r="F542" s="39" t="n">
        <v>0.307275446520945</v>
      </c>
      <c r="G542" s="39" t="n">
        <v>0.0500886346805204</v>
      </c>
      <c r="H542" s="39" t="n">
        <v>0.113696902662883</v>
      </c>
      <c r="I542" s="39" t="n">
        <v>0.125439302609608</v>
      </c>
      <c r="J542" s="39" t="n">
        <v>0.32597651150586</v>
      </c>
      <c r="K542" s="38" t="n">
        <f aca="false">E542*Scorecard!$E$18+F542*Scorecard!$E$19+G542*Scorecard!$E$20+H542*Scorecard!$E$21+I542*Scorecard!$E$22+J542*Scorecard!$E$23</f>
        <v>3.51064684285693</v>
      </c>
      <c r="M542" s="0" t="str">
        <f aca="false">IF(AND(T542&gt;=U542,T542&gt;=V542),"A. Distribution",IF(U542&gt;=V542,"B. Manufacturing","C. Prof. services"))</f>
        <v>A. Distribution</v>
      </c>
      <c r="N542" s="39" t="n">
        <v>0.219892728490005</v>
      </c>
      <c r="O542" s="39" t="n">
        <v>0.268078841796956</v>
      </c>
      <c r="P542" s="39" t="n">
        <v>0.228038784002918</v>
      </c>
      <c r="Q542" s="39" t="n">
        <v>0.112728397980167</v>
      </c>
      <c r="R542" s="39" t="n">
        <v>0.114535030102631</v>
      </c>
      <c r="S542" s="39" t="n">
        <v>0.0567262176273226</v>
      </c>
      <c r="T542" s="38" t="n">
        <f aca="false">N542*Scorecard!$C$18+O542*Scorecard!$C$19+P542*Scorecard!$C$20+Q542*Scorecard!$C$21+R542*Scorecard!$C$22+S542*Scorecard!$C$23</f>
        <v>4.12482537818709</v>
      </c>
      <c r="U542" s="38" t="n">
        <f aca="false">N542*Scorecard!$D$18+O542*Scorecard!$D$19+P542*Scorecard!$D$20+Q542*Scorecard!$D$21+R542*Scorecard!$D$22+S542*Scorecard!$D$23</f>
        <v>2.74424229583582</v>
      </c>
      <c r="V542" s="38" t="n">
        <f aca="false">N542*Scorecard!$E$18+O542*Scorecard!$E$19+P542*Scorecard!$E$20+Q542*Scorecard!$E$21+R542*Scorecard!$E$22+S542*Scorecard!$E$23</f>
        <v>3.37018418746556</v>
      </c>
    </row>
    <row r="543" customFormat="false" ht="15" hidden="false" customHeight="false" outlineLevel="0" collapsed="false">
      <c r="A543" s="0" t="n">
        <v>538</v>
      </c>
      <c r="B543" s="38" t="n">
        <f aca="false">E543*Scorecard!$C$18+F543*Scorecard!$C$19+G543*Scorecard!$C$20+H543*Scorecard!$C$21+I543*Scorecard!$C$22+J543*Scorecard!$C$23</f>
        <v>3.91775425356685</v>
      </c>
      <c r="C543" s="38" t="n">
        <f aca="false">E543*Scorecard!$D$18+F543*Scorecard!$D$19+G543*Scorecard!$D$20+H543*Scorecard!$D$21+I543*Scorecard!$D$22+J543*Scorecard!$D$23</f>
        <v>2.9911952781386</v>
      </c>
      <c r="D543" s="0" t="str">
        <f aca="false">IF(AND(B543&gt;=C543,B543&gt;=K543),"A. Distribution",IF(C543&gt;=K543,"B. Manufacturing","C. Prof. services"))</f>
        <v>A. Distribution</v>
      </c>
      <c r="E543" s="39" t="n">
        <v>0.0661566982303634</v>
      </c>
      <c r="F543" s="39" t="n">
        <v>0.109622180422258</v>
      </c>
      <c r="G543" s="39" t="n">
        <v>0.0545439212028279</v>
      </c>
      <c r="H543" s="39" t="n">
        <v>0.059373362815767</v>
      </c>
      <c r="I543" s="39" t="n">
        <v>0.620224385111568</v>
      </c>
      <c r="J543" s="39" t="n">
        <v>0.0900794522172159</v>
      </c>
      <c r="K543" s="38" t="n">
        <f aca="false">E543*Scorecard!$E$18+F543*Scorecard!$E$19+G543*Scorecard!$E$20+H543*Scorecard!$E$21+I543*Scorecard!$E$22+J543*Scorecard!$E$23</f>
        <v>2.8277694687514</v>
      </c>
      <c r="M543" s="0" t="str">
        <f aca="false">IF(AND(T543&gt;=U543,T543&gt;=V543),"A. Distribution",IF(U543&gt;=V543,"B. Manufacturing","C. Prof. services"))</f>
        <v>A. Distribution</v>
      </c>
      <c r="N543" s="39" t="n">
        <v>0.151219028443931</v>
      </c>
      <c r="O543" s="39" t="n">
        <v>0.281645291420172</v>
      </c>
      <c r="P543" s="39" t="n">
        <v>0.225061385404452</v>
      </c>
      <c r="Q543" s="39" t="n">
        <v>0.0912862047857026</v>
      </c>
      <c r="R543" s="39" t="n">
        <v>0.17596056291299</v>
      </c>
      <c r="S543" s="39" t="n">
        <v>0.074827527032753</v>
      </c>
      <c r="T543" s="38" t="n">
        <f aca="false">N543*Scorecard!$C$18+O543*Scorecard!$C$19+P543*Scorecard!$C$20+Q543*Scorecard!$C$21+R543*Scorecard!$C$22+S543*Scorecard!$C$23</f>
        <v>4.1100132075861</v>
      </c>
      <c r="U543" s="38" t="n">
        <f aca="false">N543*Scorecard!$D$18+O543*Scorecard!$D$19+P543*Scorecard!$D$20+Q543*Scorecard!$D$21+R543*Scorecard!$D$22+S543*Scorecard!$D$23</f>
        <v>2.67906170880086</v>
      </c>
      <c r="V543" s="38" t="n">
        <f aca="false">N543*Scorecard!$E$18+O543*Scorecard!$E$19+P543*Scorecard!$E$20+Q543*Scorecard!$E$21+R543*Scorecard!$E$22+S543*Scorecard!$E$23</f>
        <v>3.30198940046661</v>
      </c>
    </row>
    <row r="544" customFormat="false" ht="15" hidden="false" customHeight="false" outlineLevel="0" collapsed="false">
      <c r="A544" s="0" t="n">
        <v>539</v>
      </c>
      <c r="B544" s="38" t="n">
        <f aca="false">E544*Scorecard!$C$18+F544*Scorecard!$C$19+G544*Scorecard!$C$20+H544*Scorecard!$C$21+I544*Scorecard!$C$22+J544*Scorecard!$C$23</f>
        <v>3.67454439309371</v>
      </c>
      <c r="C544" s="38" t="n">
        <f aca="false">E544*Scorecard!$D$18+F544*Scorecard!$D$19+G544*Scorecard!$D$20+H544*Scorecard!$D$21+I544*Scorecard!$D$22+J544*Scorecard!$D$23</f>
        <v>3.34740287360125</v>
      </c>
      <c r="D544" s="0" t="str">
        <f aca="false">IF(AND(B544&gt;=C544,B544&gt;=K544),"A. Distribution",IF(C544&gt;=K544,"B. Manufacturing","C. Prof. services"))</f>
        <v>A. Distribution</v>
      </c>
      <c r="E544" s="39" t="n">
        <v>0.677912964308159</v>
      </c>
      <c r="F544" s="39" t="n">
        <v>0.102295698824619</v>
      </c>
      <c r="G544" s="39" t="n">
        <v>0.00884127422212321</v>
      </c>
      <c r="H544" s="39" t="n">
        <v>0.0185597006103871</v>
      </c>
      <c r="I544" s="39" t="n">
        <v>0.00672834023438856</v>
      </c>
      <c r="J544" s="39" t="n">
        <v>0.185662021800324</v>
      </c>
      <c r="K544" s="38" t="n">
        <f aca="false">E544*Scorecard!$E$18+F544*Scorecard!$E$19+G544*Scorecard!$E$20+H544*Scorecard!$E$21+I544*Scorecard!$E$22+J544*Scorecard!$E$23</f>
        <v>3.61430384866691</v>
      </c>
      <c r="M544" s="0" t="str">
        <f aca="false">IF(AND(T544&gt;=U544,T544&gt;=V544),"A. Distribution",IF(U544&gt;=V544,"B. Manufacturing","C. Prof. services"))</f>
        <v>A. Distribution</v>
      </c>
      <c r="N544" s="39" t="n">
        <v>0.209843111988628</v>
      </c>
      <c r="O544" s="39" t="n">
        <v>0.201534763621302</v>
      </c>
      <c r="P544" s="39" t="n">
        <v>0.161550938538457</v>
      </c>
      <c r="Q544" s="39" t="n">
        <v>0.136940261537124</v>
      </c>
      <c r="R544" s="39" t="n">
        <v>0.142528456310472</v>
      </c>
      <c r="S544" s="39" t="n">
        <v>0.147602468004016</v>
      </c>
      <c r="T544" s="38" t="n">
        <f aca="false">N544*Scorecard!$C$18+O544*Scorecard!$C$19+P544*Scorecard!$C$20+Q544*Scorecard!$C$21+R544*Scorecard!$C$22+S544*Scorecard!$C$23</f>
        <v>3.87472680801939</v>
      </c>
      <c r="U544" s="38" t="n">
        <f aca="false">N544*Scorecard!$D$18+O544*Scorecard!$D$19+P544*Scorecard!$D$20+Q544*Scorecard!$D$21+R544*Scorecard!$D$22+S544*Scorecard!$D$23</f>
        <v>2.68761422729459</v>
      </c>
      <c r="V544" s="38" t="n">
        <f aca="false">N544*Scorecard!$E$18+O544*Scorecard!$E$19+P544*Scorecard!$E$20+Q544*Scorecard!$E$21+R544*Scorecard!$E$22+S544*Scorecard!$E$23</f>
        <v>3.44561935561652</v>
      </c>
    </row>
    <row r="545" customFormat="false" ht="15" hidden="false" customHeight="false" outlineLevel="0" collapsed="false">
      <c r="A545" s="0" t="n">
        <v>540</v>
      </c>
      <c r="B545" s="38" t="n">
        <f aca="false">E545*Scorecard!$C$18+F545*Scorecard!$C$19+G545*Scorecard!$C$20+H545*Scorecard!$C$21+I545*Scorecard!$C$22+J545*Scorecard!$C$23</f>
        <v>3.79297774384117</v>
      </c>
      <c r="C545" s="38" t="n">
        <f aca="false">E545*Scorecard!$D$18+F545*Scorecard!$D$19+G545*Scorecard!$D$20+H545*Scorecard!$D$21+I545*Scorecard!$D$22+J545*Scorecard!$D$23</f>
        <v>2.57669504942065</v>
      </c>
      <c r="D545" s="0" t="str">
        <f aca="false">IF(AND(B545&gt;=C545,B545&gt;=K545),"A. Distribution",IF(C545&gt;=K545,"B. Manufacturing","C. Prof. services"))</f>
        <v>A. Distribution</v>
      </c>
      <c r="E545" s="39" t="n">
        <v>0.153278338576477</v>
      </c>
      <c r="F545" s="39" t="n">
        <v>0.0451448486184874</v>
      </c>
      <c r="G545" s="39" t="n">
        <v>0.236224402442412</v>
      </c>
      <c r="H545" s="39" t="n">
        <v>0.309120880408876</v>
      </c>
      <c r="I545" s="39" t="n">
        <v>0.152955067193041</v>
      </c>
      <c r="J545" s="39" t="n">
        <v>0.103276462760706</v>
      </c>
      <c r="K545" s="38" t="n">
        <f aca="false">E545*Scorecard!$E$18+F545*Scorecard!$E$19+G545*Scorecard!$E$20+H545*Scorecard!$E$21+I545*Scorecard!$E$22+J545*Scorecard!$E$23</f>
        <v>3.56499592100979</v>
      </c>
      <c r="M545" s="0" t="str">
        <f aca="false">IF(AND(T545&gt;=U545,T545&gt;=V545),"A. Distribution",IF(U545&gt;=V545,"B. Manufacturing","C. Prof. services"))</f>
        <v>A. Distribution</v>
      </c>
      <c r="N545" s="39" t="n">
        <v>0.191283390096668</v>
      </c>
      <c r="O545" s="39" t="n">
        <v>0.158747423397966</v>
      </c>
      <c r="P545" s="39" t="n">
        <v>0.17495448966482</v>
      </c>
      <c r="Q545" s="39" t="n">
        <v>0.302556078079172</v>
      </c>
      <c r="R545" s="39" t="n">
        <v>0.0913433872225087</v>
      </c>
      <c r="S545" s="39" t="n">
        <v>0.0811152315388659</v>
      </c>
      <c r="T545" s="38" t="n">
        <f aca="false">N545*Scorecard!$C$18+O545*Scorecard!$C$19+P545*Scorecard!$C$20+Q545*Scorecard!$C$21+R545*Scorecard!$C$22+S545*Scorecard!$C$23</f>
        <v>3.94855883946711</v>
      </c>
      <c r="U545" s="38" t="n">
        <f aca="false">N545*Scorecard!$D$18+O545*Scorecard!$D$19+P545*Scorecard!$D$20+Q545*Scorecard!$D$21+R545*Scorecard!$D$22+S545*Scorecard!$D$23</f>
        <v>2.64079565388156</v>
      </c>
      <c r="V545" s="38" t="n">
        <f aca="false">N545*Scorecard!$E$18+O545*Scorecard!$E$19+P545*Scorecard!$E$20+Q545*Scorecard!$E$21+R545*Scorecard!$E$22+S545*Scorecard!$E$23</f>
        <v>3.50394558467694</v>
      </c>
    </row>
    <row r="546" customFormat="false" ht="15" hidden="false" customHeight="false" outlineLevel="0" collapsed="false">
      <c r="A546" s="0" t="n">
        <v>541</v>
      </c>
      <c r="B546" s="38" t="n">
        <f aca="false">E546*Scorecard!$C$18+F546*Scorecard!$C$19+G546*Scorecard!$C$20+H546*Scorecard!$C$21+I546*Scorecard!$C$22+J546*Scorecard!$C$23</f>
        <v>3.6250181494433</v>
      </c>
      <c r="C546" s="38" t="n">
        <f aca="false">E546*Scorecard!$D$18+F546*Scorecard!$D$19+G546*Scorecard!$D$20+H546*Scorecard!$D$21+I546*Scorecard!$D$22+J546*Scorecard!$D$23</f>
        <v>2.47556116046255</v>
      </c>
      <c r="D546" s="0" t="str">
        <f aca="false">IF(AND(B546&gt;=C546,B546&gt;=K546),"A. Distribution",IF(C546&gt;=K546,"B. Manufacturing","C. Prof. services"))</f>
        <v>A. Distribution</v>
      </c>
      <c r="E546" s="39" t="n">
        <v>0.113138229258097</v>
      </c>
      <c r="F546" s="39" t="n">
        <v>0.0643407309142922</v>
      </c>
      <c r="G546" s="39" t="n">
        <v>0.184680580200809</v>
      </c>
      <c r="H546" s="39" t="n">
        <v>0.258419067275828</v>
      </c>
      <c r="I546" s="39" t="n">
        <v>0.178224256285474</v>
      </c>
      <c r="J546" s="39" t="n">
        <v>0.2011971360655</v>
      </c>
      <c r="K546" s="38" t="n">
        <f aca="false">E546*Scorecard!$E$18+F546*Scorecard!$E$19+G546*Scorecard!$E$20+H546*Scorecard!$E$21+I546*Scorecard!$E$22+J546*Scorecard!$E$23</f>
        <v>3.58554638712197</v>
      </c>
      <c r="M546" s="0" t="str">
        <f aca="false">IF(AND(T546&gt;=U546,T546&gt;=V546),"A. Distribution",IF(U546&gt;=V546,"B. Manufacturing","C. Prof. services"))</f>
        <v>A. Distribution</v>
      </c>
      <c r="N546" s="39" t="n">
        <v>0.247219947932545</v>
      </c>
      <c r="O546" s="39" t="n">
        <v>0.251476131733963</v>
      </c>
      <c r="P546" s="39" t="n">
        <v>0.127093122001402</v>
      </c>
      <c r="Q546" s="39" t="n">
        <v>0.109450471181683</v>
      </c>
      <c r="R546" s="39" t="n">
        <v>0.174257872102652</v>
      </c>
      <c r="S546" s="39" t="n">
        <v>0.0905024550477548</v>
      </c>
      <c r="T546" s="38" t="n">
        <f aca="false">N546*Scorecard!$C$18+O546*Scorecard!$C$19+P546*Scorecard!$C$20+Q546*Scorecard!$C$21+R546*Scorecard!$C$22+S546*Scorecard!$C$23</f>
        <v>4.03882937758663</v>
      </c>
      <c r="U546" s="38" t="n">
        <f aca="false">N546*Scorecard!$D$18+O546*Scorecard!$D$19+P546*Scorecard!$D$20+Q546*Scorecard!$D$21+R546*Scorecard!$D$22+S546*Scorecard!$D$23</f>
        <v>2.85252008329717</v>
      </c>
      <c r="V546" s="38" t="n">
        <f aca="false">N546*Scorecard!$E$18+O546*Scorecard!$E$19+P546*Scorecard!$E$20+Q546*Scorecard!$E$21+R546*Scorecard!$E$22+S546*Scorecard!$E$23</f>
        <v>3.29478794578609</v>
      </c>
    </row>
    <row r="547" customFormat="false" ht="15" hidden="false" customHeight="false" outlineLevel="0" collapsed="false">
      <c r="A547" s="0" t="n">
        <v>542</v>
      </c>
      <c r="B547" s="38" t="n">
        <f aca="false">E547*Scorecard!$C$18+F547*Scorecard!$C$19+G547*Scorecard!$C$20+H547*Scorecard!$C$21+I547*Scorecard!$C$22+J547*Scorecard!$C$23</f>
        <v>4.14311979182301</v>
      </c>
      <c r="C547" s="38" t="n">
        <f aca="false">E547*Scorecard!$D$18+F547*Scorecard!$D$19+G547*Scorecard!$D$20+H547*Scorecard!$D$21+I547*Scorecard!$D$22+J547*Scorecard!$D$23</f>
        <v>3.27087291626633</v>
      </c>
      <c r="D547" s="0" t="str">
        <f aca="false">IF(AND(B547&gt;=C547,B547&gt;=K547),"A. Distribution",IF(C547&gt;=K547,"B. Manufacturing","C. Prof. services"))</f>
        <v>A. Distribution</v>
      </c>
      <c r="E547" s="39" t="n">
        <v>0.233280124529615</v>
      </c>
      <c r="F547" s="39" t="n">
        <v>0.179945844086265</v>
      </c>
      <c r="G547" s="39" t="n">
        <v>0.0328014571480949</v>
      </c>
      <c r="H547" s="39" t="n">
        <v>0.0196245058726667</v>
      </c>
      <c r="I547" s="39" t="n">
        <v>0.526356972310941</v>
      </c>
      <c r="J547" s="39" t="n">
        <v>0.00799109605241752</v>
      </c>
      <c r="K547" s="38" t="n">
        <f aca="false">E547*Scorecard!$E$18+F547*Scorecard!$E$19+G547*Scorecard!$E$20+H547*Scorecard!$E$21+I547*Scorecard!$E$22+J547*Scorecard!$E$23</f>
        <v>2.78854710622602</v>
      </c>
      <c r="M547" s="0" t="str">
        <f aca="false">IF(AND(T547&gt;=U547,T547&gt;=V547),"A. Distribution",IF(U547&gt;=V547,"B. Manufacturing","C. Prof. services"))</f>
        <v>A. Distribution</v>
      </c>
      <c r="N547" s="39" t="n">
        <v>0.186271290630077</v>
      </c>
      <c r="O547" s="39" t="n">
        <v>0.253735616871562</v>
      </c>
      <c r="P547" s="39" t="n">
        <v>0.192088683821008</v>
      </c>
      <c r="Q547" s="39" t="n">
        <v>0.128950130911652</v>
      </c>
      <c r="R547" s="39" t="n">
        <v>0.150991558117287</v>
      </c>
      <c r="S547" s="39" t="n">
        <v>0.0879627196484157</v>
      </c>
      <c r="T547" s="38" t="n">
        <f aca="false">N547*Scorecard!$C$18+O547*Scorecard!$C$19+P547*Scorecard!$C$20+Q547*Scorecard!$C$21+R547*Scorecard!$C$22+S547*Scorecard!$C$23</f>
        <v>4.04896060468785</v>
      </c>
      <c r="U547" s="38" t="n">
        <f aca="false">N547*Scorecard!$D$18+O547*Scorecard!$D$19+P547*Scorecard!$D$20+Q547*Scorecard!$D$21+R547*Scorecard!$D$22+S547*Scorecard!$D$23</f>
        <v>2.70634617285127</v>
      </c>
      <c r="V547" s="38" t="n">
        <f aca="false">N547*Scorecard!$E$18+O547*Scorecard!$E$19+P547*Scorecard!$E$20+Q547*Scorecard!$E$21+R547*Scorecard!$E$22+S547*Scorecard!$E$23</f>
        <v>3.35369147586269</v>
      </c>
    </row>
    <row r="548" customFormat="false" ht="15" hidden="false" customHeight="false" outlineLevel="0" collapsed="false">
      <c r="A548" s="0" t="n">
        <v>543</v>
      </c>
      <c r="B548" s="38" t="n">
        <f aca="false">E548*Scorecard!$C$18+F548*Scorecard!$C$19+G548*Scorecard!$C$20+H548*Scorecard!$C$21+I548*Scorecard!$C$22+J548*Scorecard!$C$23</f>
        <v>3.886739307964</v>
      </c>
      <c r="C548" s="38" t="n">
        <f aca="false">E548*Scorecard!$D$18+F548*Scorecard!$D$19+G548*Scorecard!$D$20+H548*Scorecard!$D$21+I548*Scorecard!$D$22+J548*Scorecard!$D$23</f>
        <v>2.57915780196985</v>
      </c>
      <c r="D548" s="0" t="str">
        <f aca="false">IF(AND(B548&gt;=C548,B548&gt;=K548),"A. Distribution",IF(C548&gt;=K548,"B. Manufacturing","C. Prof. services"))</f>
        <v>A. Distribution</v>
      </c>
      <c r="E548" s="39" t="n">
        <v>0.152903818318425</v>
      </c>
      <c r="F548" s="39" t="n">
        <v>0.228714217206342</v>
      </c>
      <c r="G548" s="39" t="n">
        <v>0.00267777197738646</v>
      </c>
      <c r="H548" s="39" t="n">
        <v>0.39277334491073</v>
      </c>
      <c r="I548" s="39" t="n">
        <v>0.0792422491514624</v>
      </c>
      <c r="J548" s="39" t="n">
        <v>0.143688598435655</v>
      </c>
      <c r="K548" s="38" t="n">
        <f aca="false">E548*Scorecard!$E$18+F548*Scorecard!$E$19+G548*Scorecard!$E$20+H548*Scorecard!$E$21+I548*Scorecard!$E$22+J548*Scorecard!$E$23</f>
        <v>3.46144356579953</v>
      </c>
      <c r="M548" s="0" t="str">
        <f aca="false">IF(AND(T548&gt;=U548,T548&gt;=V548),"A. Distribution",IF(U548&gt;=V548,"B. Manufacturing","C. Prof. services"))</f>
        <v>A. Distribution</v>
      </c>
      <c r="N548" s="39" t="n">
        <v>0.249209493868014</v>
      </c>
      <c r="O548" s="39" t="n">
        <v>0.356018342692158</v>
      </c>
      <c r="P548" s="39" t="n">
        <v>0.0512957755144059</v>
      </c>
      <c r="Q548" s="39" t="n">
        <v>0.159958548840384</v>
      </c>
      <c r="R548" s="39" t="n">
        <v>0.101082443269324</v>
      </c>
      <c r="S548" s="39" t="n">
        <v>0.0824353958157141</v>
      </c>
      <c r="T548" s="38" t="n">
        <f aca="false">N548*Scorecard!$C$18+O548*Scorecard!$C$19+P548*Scorecard!$C$20+Q548*Scorecard!$C$21+R548*Scorecard!$C$22+S548*Scorecard!$C$23</f>
        <v>4.15390369778225</v>
      </c>
      <c r="U548" s="38" t="n">
        <f aca="false">N548*Scorecard!$D$18+O548*Scorecard!$D$19+P548*Scorecard!$D$20+Q548*Scorecard!$D$21+R548*Scorecard!$D$22+S548*Scorecard!$D$23</f>
        <v>2.83316491229179</v>
      </c>
      <c r="V548" s="38" t="n">
        <f aca="false">N548*Scorecard!$E$18+O548*Scorecard!$E$19+P548*Scorecard!$E$20+Q548*Scorecard!$E$21+R548*Scorecard!$E$22+S548*Scorecard!$E$23</f>
        <v>3.27022951246863</v>
      </c>
    </row>
    <row r="549" customFormat="false" ht="15" hidden="false" customHeight="false" outlineLevel="0" collapsed="false">
      <c r="A549" s="0" t="n">
        <v>544</v>
      </c>
      <c r="B549" s="38" t="n">
        <f aca="false">E549*Scorecard!$C$18+F549*Scorecard!$C$19+G549*Scorecard!$C$20+H549*Scorecard!$C$21+I549*Scorecard!$C$22+J549*Scorecard!$C$23</f>
        <v>4.1111578361717</v>
      </c>
      <c r="C549" s="38" t="n">
        <f aca="false">E549*Scorecard!$D$18+F549*Scorecard!$D$19+G549*Scorecard!$D$20+H549*Scorecard!$D$21+I549*Scorecard!$D$22+J549*Scorecard!$D$23</f>
        <v>2.29938144431754</v>
      </c>
      <c r="D549" s="0" t="str">
        <f aca="false">IF(AND(B549&gt;=C549,B549&gt;=K549),"A. Distribution",IF(C549&gt;=K549,"B. Manufacturing","C. Prof. services"))</f>
        <v>A. Distribution</v>
      </c>
      <c r="E549" s="39" t="n">
        <v>0.0227292578527921</v>
      </c>
      <c r="F549" s="39" t="n">
        <v>0.420106992905501</v>
      </c>
      <c r="G549" s="39" t="n">
        <v>0.228811476168724</v>
      </c>
      <c r="H549" s="39" t="n">
        <v>0.133142635700592</v>
      </c>
      <c r="I549" s="39" t="n">
        <v>0.048820586937902</v>
      </c>
      <c r="J549" s="39" t="n">
        <v>0.146389050434489</v>
      </c>
      <c r="K549" s="38" t="n">
        <f aca="false">E549*Scorecard!$E$18+F549*Scorecard!$E$19+G549*Scorecard!$E$20+H549*Scorecard!$E$21+I549*Scorecard!$E$22+J549*Scorecard!$E$23</f>
        <v>3.43470940013451</v>
      </c>
      <c r="M549" s="0" t="str">
        <f aca="false">IF(AND(T549&gt;=U549,T549&gt;=V549),"A. Distribution",IF(U549&gt;=V549,"B. Manufacturing","C. Prof. services"))</f>
        <v>A. Distribution</v>
      </c>
      <c r="N549" s="39" t="n">
        <v>0.114431998642211</v>
      </c>
      <c r="O549" s="39" t="n">
        <v>0.327607061067349</v>
      </c>
      <c r="P549" s="39" t="n">
        <v>0.239643581845327</v>
      </c>
      <c r="Q549" s="39" t="n">
        <v>0.119643049307685</v>
      </c>
      <c r="R549" s="39" t="n">
        <v>0.080785217654201</v>
      </c>
      <c r="S549" s="39" t="n">
        <v>0.117889091483227</v>
      </c>
      <c r="T549" s="38" t="n">
        <f aca="false">N549*Scorecard!$C$18+O549*Scorecard!$C$19+P549*Scorecard!$C$20+Q549*Scorecard!$C$21+R549*Scorecard!$C$22+S549*Scorecard!$C$23</f>
        <v>4.06974989356386</v>
      </c>
      <c r="U549" s="38" t="n">
        <f aca="false">N549*Scorecard!$D$18+O549*Scorecard!$D$19+P549*Scorecard!$D$20+Q549*Scorecard!$D$21+R549*Scorecard!$D$22+S549*Scorecard!$D$23</f>
        <v>2.48884076358739</v>
      </c>
      <c r="V549" s="38" t="n">
        <f aca="false">N549*Scorecard!$E$18+O549*Scorecard!$E$19+P549*Scorecard!$E$20+Q549*Scorecard!$E$21+R549*Scorecard!$E$22+S549*Scorecard!$E$23</f>
        <v>3.43632407788432</v>
      </c>
    </row>
    <row r="550" customFormat="false" ht="15" hidden="false" customHeight="false" outlineLevel="0" collapsed="false">
      <c r="A550" s="0" t="n">
        <v>545</v>
      </c>
      <c r="B550" s="38" t="n">
        <f aca="false">E550*Scorecard!$C$18+F550*Scorecard!$C$19+G550*Scorecard!$C$20+H550*Scorecard!$C$21+I550*Scorecard!$C$22+J550*Scorecard!$C$23</f>
        <v>4.45738259063504</v>
      </c>
      <c r="C550" s="38" t="n">
        <f aca="false">E550*Scorecard!$D$18+F550*Scorecard!$D$19+G550*Scorecard!$D$20+H550*Scorecard!$D$21+I550*Scorecard!$D$22+J550*Scorecard!$D$23</f>
        <v>2.77342001189793</v>
      </c>
      <c r="D550" s="0" t="str">
        <f aca="false">IF(AND(B550&gt;=C550,B550&gt;=K550),"A. Distribution",IF(C550&gt;=K550,"B. Manufacturing","C. Prof. services"))</f>
        <v>A. Distribution</v>
      </c>
      <c r="E550" s="39" t="n">
        <v>0.200024703221645</v>
      </c>
      <c r="F550" s="39" t="n">
        <v>0.587936883299003</v>
      </c>
      <c r="G550" s="39" t="n">
        <v>0.0207656278881769</v>
      </c>
      <c r="H550" s="39" t="n">
        <v>0.0985591650968897</v>
      </c>
      <c r="I550" s="39" t="n">
        <v>0.0407760469551491</v>
      </c>
      <c r="J550" s="39" t="n">
        <v>0.0519375735391361</v>
      </c>
      <c r="K550" s="38" t="n">
        <f aca="false">E550*Scorecard!$E$18+F550*Scorecard!$E$19+G550*Scorecard!$E$20+H550*Scorecard!$E$21+I550*Scorecard!$E$22+J550*Scorecard!$E$23</f>
        <v>3.12292830785318</v>
      </c>
      <c r="M550" s="0" t="str">
        <f aca="false">IF(AND(T550&gt;=U550,T550&gt;=V550),"A. Distribution",IF(U550&gt;=V550,"B. Manufacturing","C. Prof. services"))</f>
        <v>A. Distribution</v>
      </c>
      <c r="N550" s="39" t="n">
        <v>0.219704721838552</v>
      </c>
      <c r="O550" s="39" t="n">
        <v>0.188158145543724</v>
      </c>
      <c r="P550" s="39" t="n">
        <v>0.220417938455116</v>
      </c>
      <c r="Q550" s="39" t="n">
        <v>0.13713603712109</v>
      </c>
      <c r="R550" s="39" t="n">
        <v>0.191368648432227</v>
      </c>
      <c r="S550" s="39" t="n">
        <v>0.0432145086092903</v>
      </c>
      <c r="T550" s="38" t="n">
        <f aca="false">N550*Scorecard!$C$18+O550*Scorecard!$C$19+P550*Scorecard!$C$20+Q550*Scorecard!$C$21+R550*Scorecard!$C$22+S550*Scorecard!$C$23</f>
        <v>4.06931325697713</v>
      </c>
      <c r="U550" s="38" t="n">
        <f aca="false">N550*Scorecard!$D$18+O550*Scorecard!$D$19+P550*Scorecard!$D$20+Q550*Scorecard!$D$21+R550*Scorecard!$D$22+S550*Scorecard!$D$23</f>
        <v>2.81785013188796</v>
      </c>
      <c r="V550" s="38" t="n">
        <f aca="false">N550*Scorecard!$E$18+O550*Scorecard!$E$19+P550*Scorecard!$E$20+Q550*Scorecard!$E$21+R550*Scorecard!$E$22+S550*Scorecard!$E$23</f>
        <v>3.32301924021363</v>
      </c>
    </row>
    <row r="551" customFormat="false" ht="15" hidden="false" customHeight="false" outlineLevel="0" collapsed="false">
      <c r="A551" s="0" t="n">
        <v>546</v>
      </c>
      <c r="B551" s="38" t="n">
        <f aca="false">E551*Scorecard!$C$18+F551*Scorecard!$C$19+G551*Scorecard!$C$20+H551*Scorecard!$C$21+I551*Scorecard!$C$22+J551*Scorecard!$C$23</f>
        <v>3.87370346054202</v>
      </c>
      <c r="C551" s="38" t="n">
        <f aca="false">E551*Scorecard!$D$18+F551*Scorecard!$D$19+G551*Scorecard!$D$20+H551*Scorecard!$D$21+I551*Scorecard!$D$22+J551*Scorecard!$D$23</f>
        <v>2.81155510647643</v>
      </c>
      <c r="D551" s="0" t="str">
        <f aca="false">IF(AND(B551&gt;=C551,B551&gt;=K551),"A. Distribution",IF(C551&gt;=K551,"B. Manufacturing","C. Prof. services"))</f>
        <v>A. Distribution</v>
      </c>
      <c r="E551" s="39" t="n">
        <v>0.345314738837056</v>
      </c>
      <c r="F551" s="39" t="n">
        <v>0.0130253705157045</v>
      </c>
      <c r="G551" s="39" t="n">
        <v>0.197539934121733</v>
      </c>
      <c r="H551" s="39" t="n">
        <v>0.407404134497613</v>
      </c>
      <c r="I551" s="39" t="n">
        <v>0.00286598714668707</v>
      </c>
      <c r="J551" s="39" t="n">
        <v>0.033849834881207</v>
      </c>
      <c r="K551" s="38" t="n">
        <f aca="false">E551*Scorecard!$E$18+F551*Scorecard!$E$19+G551*Scorecard!$E$20+H551*Scorecard!$E$21+I551*Scorecard!$E$22+J551*Scorecard!$E$23</f>
        <v>3.69066800582348</v>
      </c>
      <c r="M551" s="0" t="str">
        <f aca="false">IF(AND(T551&gt;=U551,T551&gt;=V551),"A. Distribution",IF(U551&gt;=V551,"B. Manufacturing","C. Prof. services"))</f>
        <v>A. Distribution</v>
      </c>
      <c r="N551" s="39" t="n">
        <v>0.155478588152881</v>
      </c>
      <c r="O551" s="39" t="n">
        <v>0.117053994893569</v>
      </c>
      <c r="P551" s="39" t="n">
        <v>0.186236703669189</v>
      </c>
      <c r="Q551" s="39" t="n">
        <v>0.161944081853277</v>
      </c>
      <c r="R551" s="39" t="n">
        <v>0.177941488716752</v>
      </c>
      <c r="S551" s="39" t="n">
        <v>0.201345142714332</v>
      </c>
      <c r="T551" s="38" t="n">
        <f aca="false">N551*Scorecard!$C$18+O551*Scorecard!$C$19+P551*Scorecard!$C$20+Q551*Scorecard!$C$21+R551*Scorecard!$C$22+S551*Scorecard!$C$23</f>
        <v>3.68443126568148</v>
      </c>
      <c r="U551" s="38" t="n">
        <f aca="false">N551*Scorecard!$D$18+O551*Scorecard!$D$19+P551*Scorecard!$D$20+Q551*Scorecard!$D$21+R551*Scorecard!$D$22+S551*Scorecard!$D$23</f>
        <v>2.56051017409711</v>
      </c>
      <c r="V551" s="38" t="n">
        <f aca="false">N551*Scorecard!$E$18+O551*Scorecard!$E$19+P551*Scorecard!$E$20+Q551*Scorecard!$E$21+R551*Scorecard!$E$22+S551*Scorecard!$E$23</f>
        <v>3.53346174594691</v>
      </c>
    </row>
    <row r="552" customFormat="false" ht="15" hidden="false" customHeight="false" outlineLevel="0" collapsed="false">
      <c r="A552" s="0" t="n">
        <v>547</v>
      </c>
      <c r="B552" s="38" t="n">
        <f aca="false">E552*Scorecard!$C$18+F552*Scorecard!$C$19+G552*Scorecard!$C$20+H552*Scorecard!$C$21+I552*Scorecard!$C$22+J552*Scorecard!$C$23</f>
        <v>3.01286311594496</v>
      </c>
      <c r="C552" s="38" t="n">
        <f aca="false">E552*Scorecard!$D$18+F552*Scorecard!$D$19+G552*Scorecard!$D$20+H552*Scorecard!$D$21+I552*Scorecard!$D$22+J552*Scorecard!$D$23</f>
        <v>2.31657159543779</v>
      </c>
      <c r="D552" s="0" t="str">
        <f aca="false">IF(AND(B552&gt;=C552,B552&gt;=K552),"A. Distribution",IF(C552&gt;=K552,"B. Manufacturing","C. Prof. services"))</f>
        <v>C. Prof. services</v>
      </c>
      <c r="E552" s="39" t="n">
        <v>0.191061715773225</v>
      </c>
      <c r="F552" s="39" t="n">
        <v>0.0559762343866744</v>
      </c>
      <c r="G552" s="39" t="n">
        <v>0.0340831330490671</v>
      </c>
      <c r="H552" s="39" t="n">
        <v>0.123149842437139</v>
      </c>
      <c r="I552" s="39" t="n">
        <v>0.0884771132183628</v>
      </c>
      <c r="J552" s="39" t="n">
        <v>0.507251961135531</v>
      </c>
      <c r="K552" s="38" t="n">
        <f aca="false">E552*Scorecard!$E$18+F552*Scorecard!$E$19+G552*Scorecard!$E$20+H552*Scorecard!$E$21+I552*Scorecard!$E$22+J552*Scorecard!$E$23</f>
        <v>3.90343598158568</v>
      </c>
      <c r="M552" s="0" t="str">
        <f aca="false">IF(AND(T552&gt;=U552,T552&gt;=V552),"A. Distribution",IF(U552&gt;=V552,"B. Manufacturing","C. Prof. services"))</f>
        <v>A. Distribution</v>
      </c>
      <c r="N552" s="39" t="n">
        <v>0.326696520182475</v>
      </c>
      <c r="O552" s="39" t="n">
        <v>0.2506129944176</v>
      </c>
      <c r="P552" s="39" t="n">
        <v>0.209174719573164</v>
      </c>
      <c r="Q552" s="39" t="n">
        <v>0.0611868804665264</v>
      </c>
      <c r="R552" s="39" t="n">
        <v>0.0302527334261928</v>
      </c>
      <c r="S552" s="39" t="n">
        <v>0.122076151934041</v>
      </c>
      <c r="T552" s="38" t="n">
        <f aca="false">N552*Scorecard!$C$18+O552*Scorecard!$C$19+P552*Scorecard!$C$20+Q552*Scorecard!$C$21+R552*Scorecard!$C$22+S552*Scorecard!$C$23</f>
        <v>3.97363835929496</v>
      </c>
      <c r="U552" s="38" t="n">
        <f aca="false">N552*Scorecard!$D$18+O552*Scorecard!$D$19+P552*Scorecard!$D$20+Q552*Scorecard!$D$21+R552*Scorecard!$D$22+S552*Scorecard!$D$23</f>
        <v>2.79097495957072</v>
      </c>
      <c r="V552" s="38" t="n">
        <f aca="false">N552*Scorecard!$E$18+O552*Scorecard!$E$19+P552*Scorecard!$E$20+Q552*Scorecard!$E$21+R552*Scorecard!$E$22+S552*Scorecard!$E$23</f>
        <v>3.52766753581257</v>
      </c>
    </row>
    <row r="553" customFormat="false" ht="15" hidden="false" customHeight="false" outlineLevel="0" collapsed="false">
      <c r="A553" s="0" t="n">
        <v>548</v>
      </c>
      <c r="B553" s="38" t="n">
        <f aca="false">E553*Scorecard!$C$18+F553*Scorecard!$C$19+G553*Scorecard!$C$20+H553*Scorecard!$C$21+I553*Scorecard!$C$22+J553*Scorecard!$C$23</f>
        <v>3.98089644604146</v>
      </c>
      <c r="C553" s="38" t="n">
        <f aca="false">E553*Scorecard!$D$18+F553*Scorecard!$D$19+G553*Scorecard!$D$20+H553*Scorecard!$D$21+I553*Scorecard!$D$22+J553*Scorecard!$D$23</f>
        <v>2.54633822751066</v>
      </c>
      <c r="D553" s="0" t="str">
        <f aca="false">IF(AND(B553&gt;=C553,B553&gt;=K553),"A. Distribution",IF(C553&gt;=K553,"B. Manufacturing","C. Prof. services"))</f>
        <v>A. Distribution</v>
      </c>
      <c r="E553" s="39" t="n">
        <v>0.174199882545597</v>
      </c>
      <c r="F553" s="39" t="n">
        <v>0.182728531724137</v>
      </c>
      <c r="G553" s="39" t="n">
        <v>0.43160341059899</v>
      </c>
      <c r="H553" s="39" t="n">
        <v>0.013478005947732</v>
      </c>
      <c r="I553" s="39" t="n">
        <v>0.104793230980105</v>
      </c>
      <c r="J553" s="39" t="n">
        <v>0.0931969382034396</v>
      </c>
      <c r="K553" s="38" t="n">
        <f aca="false">E553*Scorecard!$E$18+F553*Scorecard!$E$19+G553*Scorecard!$E$20+H553*Scorecard!$E$21+I553*Scorecard!$E$22+J553*Scorecard!$E$23</f>
        <v>3.5619943323561</v>
      </c>
      <c r="M553" s="0" t="str">
        <f aca="false">IF(AND(T553&gt;=U553,T553&gt;=V553),"A. Distribution",IF(U553&gt;=V553,"B. Manufacturing","C. Prof. services"))</f>
        <v>A. Distribution</v>
      </c>
      <c r="N553" s="39" t="n">
        <v>0.114921883392793</v>
      </c>
      <c r="O553" s="39" t="n">
        <v>0.463004502408371</v>
      </c>
      <c r="P553" s="39" t="n">
        <v>0.0841805689925045</v>
      </c>
      <c r="Q553" s="39" t="n">
        <v>0.175679945218085</v>
      </c>
      <c r="R553" s="39" t="n">
        <v>0.132539656980638</v>
      </c>
      <c r="S553" s="39" t="n">
        <v>0.0296734430076095</v>
      </c>
      <c r="T553" s="38" t="n">
        <f aca="false">N553*Scorecard!$C$18+O553*Scorecard!$C$19+P553*Scorecard!$C$20+Q553*Scorecard!$C$21+R553*Scorecard!$C$22+S553*Scorecard!$C$23</f>
        <v>4.37550129217392</v>
      </c>
      <c r="U553" s="38" t="n">
        <f aca="false">N553*Scorecard!$D$18+O553*Scorecard!$D$19+P553*Scorecard!$D$20+Q553*Scorecard!$D$21+R553*Scorecard!$D$22+S553*Scorecard!$D$23</f>
        <v>2.6910581961059</v>
      </c>
      <c r="V553" s="38" t="n">
        <f aca="false">N553*Scorecard!$E$18+O553*Scorecard!$E$19+P553*Scorecard!$E$20+Q553*Scorecard!$E$21+R553*Scorecard!$E$22+S553*Scorecard!$E$23</f>
        <v>3.1255273267825</v>
      </c>
    </row>
    <row r="554" customFormat="false" ht="15" hidden="false" customHeight="false" outlineLevel="0" collapsed="false">
      <c r="A554" s="0" t="n">
        <v>549</v>
      </c>
      <c r="B554" s="38" t="n">
        <f aca="false">E554*Scorecard!$C$18+F554*Scorecard!$C$19+G554*Scorecard!$C$20+H554*Scorecard!$C$21+I554*Scorecard!$C$22+J554*Scorecard!$C$23</f>
        <v>3.66250711120361</v>
      </c>
      <c r="C554" s="38" t="n">
        <f aca="false">E554*Scorecard!$D$18+F554*Scorecard!$D$19+G554*Scorecard!$D$20+H554*Scorecard!$D$21+I554*Scorecard!$D$22+J554*Scorecard!$D$23</f>
        <v>2.98556080420593</v>
      </c>
      <c r="D554" s="0" t="str">
        <f aca="false">IF(AND(B554&gt;=C554,B554&gt;=K554),"A. Distribution",IF(C554&gt;=K554,"B. Manufacturing","C. Prof. services"))</f>
        <v>C. Prof. services</v>
      </c>
      <c r="E554" s="39" t="n">
        <v>0.50263883233286</v>
      </c>
      <c r="F554" s="39" t="n">
        <v>0.0402816260224406</v>
      </c>
      <c r="G554" s="39" t="n">
        <v>0.240006503125496</v>
      </c>
      <c r="H554" s="39" t="n">
        <v>0.0349293709008605</v>
      </c>
      <c r="I554" s="39" t="n">
        <v>0.015315864941422</v>
      </c>
      <c r="J554" s="39" t="n">
        <v>0.166827802676922</v>
      </c>
      <c r="K554" s="38" t="n">
        <f aca="false">E554*Scorecard!$E$18+F554*Scorecard!$E$19+G554*Scorecard!$E$20+H554*Scorecard!$E$21+I554*Scorecard!$E$22+J554*Scorecard!$E$23</f>
        <v>3.74698959731475</v>
      </c>
      <c r="M554" s="0" t="str">
        <f aca="false">IF(AND(T554&gt;=U554,T554&gt;=V554),"A. Distribution",IF(U554&gt;=V554,"B. Manufacturing","C. Prof. services"))</f>
        <v>A. Distribution</v>
      </c>
      <c r="N554" s="39" t="n">
        <v>0.246157578450026</v>
      </c>
      <c r="O554" s="39" t="n">
        <v>0.167498438067826</v>
      </c>
      <c r="P554" s="39" t="n">
        <v>0.220632455628591</v>
      </c>
      <c r="Q554" s="39" t="n">
        <v>0.162269937745936</v>
      </c>
      <c r="R554" s="39" t="n">
        <v>0.117344621162372</v>
      </c>
      <c r="S554" s="39" t="n">
        <v>0.08609696894525</v>
      </c>
      <c r="T554" s="38" t="n">
        <f aca="false">N554*Scorecard!$C$18+O554*Scorecard!$C$19+P554*Scorecard!$C$20+Q554*Scorecard!$C$21+R554*Scorecard!$C$22+S554*Scorecard!$C$23</f>
        <v>3.95805662182481</v>
      </c>
      <c r="U554" s="38" t="n">
        <f aca="false">N554*Scorecard!$D$18+O554*Scorecard!$D$19+P554*Scorecard!$D$20+Q554*Scorecard!$D$21+R554*Scorecard!$D$22+S554*Scorecard!$D$23</f>
        <v>2.74763548401794</v>
      </c>
      <c r="V554" s="38" t="n">
        <f aca="false">N554*Scorecard!$E$18+O554*Scorecard!$E$19+P554*Scorecard!$E$20+Q554*Scorecard!$E$21+R554*Scorecard!$E$22+S554*Scorecard!$E$23</f>
        <v>3.47108618488039</v>
      </c>
    </row>
    <row r="555" customFormat="false" ht="15" hidden="false" customHeight="false" outlineLevel="0" collapsed="false">
      <c r="A555" s="0" t="n">
        <v>550</v>
      </c>
      <c r="B555" s="38" t="n">
        <f aca="false">E555*Scorecard!$C$18+F555*Scorecard!$C$19+G555*Scorecard!$C$20+H555*Scorecard!$C$21+I555*Scorecard!$C$22+J555*Scorecard!$C$23</f>
        <v>4.16888027258494</v>
      </c>
      <c r="C555" s="38" t="n">
        <f aca="false">E555*Scorecard!$D$18+F555*Scorecard!$D$19+G555*Scorecard!$D$20+H555*Scorecard!$D$21+I555*Scorecard!$D$22+J555*Scorecard!$D$23</f>
        <v>2.81707097868083</v>
      </c>
      <c r="D555" s="0" t="str">
        <f aca="false">IF(AND(B555&gt;=C555,B555&gt;=K555),"A. Distribution",IF(C555&gt;=K555,"B. Manufacturing","C. Prof. services"))</f>
        <v>A. Distribution</v>
      </c>
      <c r="E555" s="39" t="n">
        <v>0.117922397686831</v>
      </c>
      <c r="F555" s="39" t="n">
        <v>0.401661181606515</v>
      </c>
      <c r="G555" s="39" t="n">
        <v>0.0138512027655655</v>
      </c>
      <c r="H555" s="39" t="n">
        <v>0.0548723246557852</v>
      </c>
      <c r="I555" s="39" t="n">
        <v>0.302992505684441</v>
      </c>
      <c r="J555" s="39" t="n">
        <v>0.108700387600862</v>
      </c>
      <c r="K555" s="38" t="n">
        <f aca="false">E555*Scorecard!$E$18+F555*Scorecard!$E$19+G555*Scorecard!$E$20+H555*Scorecard!$E$21+I555*Scorecard!$E$22+J555*Scorecard!$E$23</f>
        <v>2.99229094342212</v>
      </c>
      <c r="M555" s="0" t="str">
        <f aca="false">IF(AND(T555&gt;=U555,T555&gt;=V555),"A. Distribution",IF(U555&gt;=V555,"B. Manufacturing","C. Prof. services"))</f>
        <v>C. Prof. services</v>
      </c>
      <c r="N555" s="39" t="n">
        <v>0.134275564158918</v>
      </c>
      <c r="O555" s="39" t="n">
        <v>0.0845362300888207</v>
      </c>
      <c r="P555" s="39" t="n">
        <v>0.197391525491384</v>
      </c>
      <c r="Q555" s="39" t="n">
        <v>0.252544805163156</v>
      </c>
      <c r="R555" s="39" t="n">
        <v>0.0955185032335282</v>
      </c>
      <c r="S555" s="39" t="n">
        <v>0.235733371864193</v>
      </c>
      <c r="T555" s="38" t="n">
        <f aca="false">N555*Scorecard!$C$18+O555*Scorecard!$C$19+P555*Scorecard!$C$20+Q555*Scorecard!$C$21+R555*Scorecard!$C$22+S555*Scorecard!$C$23</f>
        <v>3.57507708382545</v>
      </c>
      <c r="U555" s="38" t="n">
        <f aca="false">N555*Scorecard!$D$18+O555*Scorecard!$D$19+P555*Scorecard!$D$20+Q555*Scorecard!$D$21+R555*Scorecard!$D$22+S555*Scorecard!$D$23</f>
        <v>2.39977231167398</v>
      </c>
      <c r="V555" s="38" t="n">
        <f aca="false">N555*Scorecard!$E$18+O555*Scorecard!$E$19+P555*Scorecard!$E$20+Q555*Scorecard!$E$21+R555*Scorecard!$E$22+S555*Scorecard!$E$23</f>
        <v>3.70787078070723</v>
      </c>
    </row>
    <row r="556" customFormat="false" ht="15" hidden="false" customHeight="false" outlineLevel="0" collapsed="false">
      <c r="A556" s="0" t="n">
        <v>551</v>
      </c>
      <c r="B556" s="38" t="n">
        <f aca="false">E556*Scorecard!$C$18+F556*Scorecard!$C$19+G556*Scorecard!$C$20+H556*Scorecard!$C$21+I556*Scorecard!$C$22+J556*Scorecard!$C$23</f>
        <v>3.3858434050542</v>
      </c>
      <c r="C556" s="38" t="n">
        <f aca="false">E556*Scorecard!$D$18+F556*Scorecard!$D$19+G556*Scorecard!$D$20+H556*Scorecard!$D$21+I556*Scorecard!$D$22+J556*Scorecard!$D$23</f>
        <v>2.84096475708494</v>
      </c>
      <c r="D556" s="0" t="str">
        <f aca="false">IF(AND(B556&gt;=C556,B556&gt;=K556),"A. Distribution",IF(C556&gt;=K556,"B. Manufacturing","C. Prof. services"))</f>
        <v>C. Prof. services</v>
      </c>
      <c r="E556" s="39" t="n">
        <v>0.390207473444118</v>
      </c>
      <c r="F556" s="39" t="n">
        <v>0.0298767676097522</v>
      </c>
      <c r="G556" s="39" t="n">
        <v>0.0057650522288044</v>
      </c>
      <c r="H556" s="39" t="n">
        <v>0.178572472230026</v>
      </c>
      <c r="I556" s="39" t="n">
        <v>0.0988464467414037</v>
      </c>
      <c r="J556" s="39" t="n">
        <v>0.296731787745896</v>
      </c>
      <c r="K556" s="38" t="n">
        <f aca="false">E556*Scorecard!$E$18+F556*Scorecard!$E$19+G556*Scorecard!$E$20+H556*Scorecard!$E$21+I556*Scorecard!$E$22+J556*Scorecard!$E$23</f>
        <v>3.69439282026398</v>
      </c>
      <c r="M556" s="0" t="str">
        <f aca="false">IF(AND(T556&gt;=U556,T556&gt;=V556),"A. Distribution",IF(U556&gt;=V556,"B. Manufacturing","C. Prof. services"))</f>
        <v>A. Distribution</v>
      </c>
      <c r="N556" s="39" t="n">
        <v>0.408540390502192</v>
      </c>
      <c r="O556" s="39" t="n">
        <v>0.155324621078994</v>
      </c>
      <c r="P556" s="39" t="n">
        <v>0.170368956238807</v>
      </c>
      <c r="Q556" s="39" t="n">
        <v>0.111622834973597</v>
      </c>
      <c r="R556" s="39" t="n">
        <v>0.0772481183901017</v>
      </c>
      <c r="S556" s="39" t="n">
        <v>0.0768950788163089</v>
      </c>
      <c r="T556" s="38" t="n">
        <f aca="false">N556*Scorecard!$C$18+O556*Scorecard!$C$19+P556*Scorecard!$C$20+Q556*Scorecard!$C$21+R556*Scorecard!$C$22+S556*Scorecard!$C$23</f>
        <v>3.95670664835412</v>
      </c>
      <c r="U556" s="38" t="n">
        <f aca="false">N556*Scorecard!$D$18+O556*Scorecard!$D$19+P556*Scorecard!$D$20+Q556*Scorecard!$D$21+R556*Scorecard!$D$22+S556*Scorecard!$D$23</f>
        <v>3.00607679781729</v>
      </c>
      <c r="V556" s="38" t="n">
        <f aca="false">N556*Scorecard!$E$18+O556*Scorecard!$E$19+P556*Scorecard!$E$20+Q556*Scorecard!$E$21+R556*Scorecard!$E$22+S556*Scorecard!$E$23</f>
        <v>3.48324091797685</v>
      </c>
    </row>
    <row r="557" customFormat="false" ht="15" hidden="false" customHeight="false" outlineLevel="0" collapsed="false">
      <c r="A557" s="0" t="n">
        <v>552</v>
      </c>
      <c r="B557" s="38" t="n">
        <f aca="false">E557*Scorecard!$C$18+F557*Scorecard!$C$19+G557*Scorecard!$C$20+H557*Scorecard!$C$21+I557*Scorecard!$C$22+J557*Scorecard!$C$23</f>
        <v>4.175259354535</v>
      </c>
      <c r="C557" s="38" t="n">
        <f aca="false">E557*Scorecard!$D$18+F557*Scorecard!$D$19+G557*Scorecard!$D$20+H557*Scorecard!$D$21+I557*Scorecard!$D$22+J557*Scorecard!$D$23</f>
        <v>2.58564293602926</v>
      </c>
      <c r="D557" s="0" t="str">
        <f aca="false">IF(AND(B557&gt;=C557,B557&gt;=K557),"A. Distribution",IF(C557&gt;=K557,"B. Manufacturing","C. Prof. services"))</f>
        <v>A. Distribution</v>
      </c>
      <c r="E557" s="39" t="n">
        <v>0.194742286093052</v>
      </c>
      <c r="F557" s="39" t="n">
        <v>0.297490006252093</v>
      </c>
      <c r="G557" s="39" t="n">
        <v>0.307129814113092</v>
      </c>
      <c r="H557" s="39" t="n">
        <v>0.144122223491519</v>
      </c>
      <c r="I557" s="39" t="n">
        <v>0.0109825860144287</v>
      </c>
      <c r="J557" s="39" t="n">
        <v>0.0455330840358152</v>
      </c>
      <c r="K557" s="38" t="n">
        <f aca="false">E557*Scorecard!$E$18+F557*Scorecard!$E$19+G557*Scorecard!$E$20+H557*Scorecard!$E$21+I557*Scorecard!$E$22+J557*Scorecard!$E$23</f>
        <v>3.50432690217378</v>
      </c>
      <c r="M557" s="0" t="str">
        <f aca="false">IF(AND(T557&gt;=U557,T557&gt;=V557),"A. Distribution",IF(U557&gt;=V557,"B. Manufacturing","C. Prof. services"))</f>
        <v>A. Distribution</v>
      </c>
      <c r="N557" s="39" t="n">
        <v>0.184112378483552</v>
      </c>
      <c r="O557" s="39" t="n">
        <v>0.218334274570549</v>
      </c>
      <c r="P557" s="39" t="n">
        <v>0.223129167722588</v>
      </c>
      <c r="Q557" s="39" t="n">
        <v>0.0839552263136648</v>
      </c>
      <c r="R557" s="39" t="n">
        <v>0.204204574288964</v>
      </c>
      <c r="S557" s="39" t="n">
        <v>0.0862643786206832</v>
      </c>
      <c r="T557" s="38" t="n">
        <f aca="false">N557*Scorecard!$C$18+O557*Scorecard!$C$19+P557*Scorecard!$C$20+Q557*Scorecard!$C$21+R557*Scorecard!$C$22+S557*Scorecard!$C$23</f>
        <v>4.02197750390285</v>
      </c>
      <c r="U557" s="38" t="n">
        <f aca="false">N557*Scorecard!$D$18+O557*Scorecard!$D$19+P557*Scorecard!$D$20+Q557*Scorecard!$D$21+R557*Scorecard!$D$22+S557*Scorecard!$D$23</f>
        <v>2.74186900497117</v>
      </c>
      <c r="V557" s="38" t="n">
        <f aca="false">N557*Scorecard!$E$18+O557*Scorecard!$E$19+P557*Scorecard!$E$20+Q557*Scorecard!$E$21+R557*Scorecard!$E$22+S557*Scorecard!$E$23</f>
        <v>3.32226777641945</v>
      </c>
    </row>
    <row r="558" customFormat="false" ht="15" hidden="false" customHeight="false" outlineLevel="0" collapsed="false">
      <c r="A558" s="0" t="n">
        <v>553</v>
      </c>
      <c r="B558" s="38" t="n">
        <f aca="false">E558*Scorecard!$C$18+F558*Scorecard!$C$19+G558*Scorecard!$C$20+H558*Scorecard!$C$21+I558*Scorecard!$C$22+J558*Scorecard!$C$23</f>
        <v>4.39934455223327</v>
      </c>
      <c r="C558" s="38" t="n">
        <f aca="false">E558*Scorecard!$D$18+F558*Scorecard!$D$19+G558*Scorecard!$D$20+H558*Scorecard!$D$21+I558*Scorecard!$D$22+J558*Scorecard!$D$23</f>
        <v>2.6860533080845</v>
      </c>
      <c r="D558" s="0" t="str">
        <f aca="false">IF(AND(B558&gt;=C558,B558&gt;=K558),"A. Distribution",IF(C558&gt;=K558,"B. Manufacturing","C. Prof. services"))</f>
        <v>A. Distribution</v>
      </c>
      <c r="E558" s="39" t="n">
        <v>0.139241253799007</v>
      </c>
      <c r="F558" s="39" t="n">
        <v>0.495868402977208</v>
      </c>
      <c r="G558" s="39" t="n">
        <v>0.00276539791106446</v>
      </c>
      <c r="H558" s="39" t="n">
        <v>0.279104088801345</v>
      </c>
      <c r="I558" s="39" t="n">
        <v>0.0553853612010534</v>
      </c>
      <c r="J558" s="39" t="n">
        <v>0.0276354953103227</v>
      </c>
      <c r="K558" s="38" t="n">
        <f aca="false">E558*Scorecard!$E$18+F558*Scorecard!$E$19+G558*Scorecard!$E$20+H558*Scorecard!$E$21+I558*Scorecard!$E$22+J558*Scorecard!$E$23</f>
        <v>3.16782809633752</v>
      </c>
      <c r="M558" s="0" t="str">
        <f aca="false">IF(AND(T558&gt;=U558,T558&gt;=V558),"A. Distribution",IF(U558&gt;=V558,"B. Manufacturing","C. Prof. services"))</f>
        <v>A. Distribution</v>
      </c>
      <c r="N558" s="39" t="n">
        <v>0.112123499650698</v>
      </c>
      <c r="O558" s="39" t="n">
        <v>0.156795457712111</v>
      </c>
      <c r="P558" s="39" t="n">
        <v>0.186829996562975</v>
      </c>
      <c r="Q558" s="39" t="n">
        <v>0.252020221923343</v>
      </c>
      <c r="R558" s="39" t="n">
        <v>0.233206343466576</v>
      </c>
      <c r="S558" s="39" t="n">
        <v>0.059024480684297</v>
      </c>
      <c r="T558" s="38" t="n">
        <f aca="false">N558*Scorecard!$C$18+O558*Scorecard!$C$19+P558*Scorecard!$C$20+Q558*Scorecard!$C$21+R558*Scorecard!$C$22+S558*Scorecard!$C$23</f>
        <v>4.00258913570959</v>
      </c>
      <c r="U558" s="38" t="n">
        <f aca="false">N558*Scorecard!$D$18+O558*Scorecard!$D$19+P558*Scorecard!$D$20+Q558*Scorecard!$D$21+R558*Scorecard!$D$22+S558*Scorecard!$D$23</f>
        <v>2.66501609409422</v>
      </c>
      <c r="V558" s="38" t="n">
        <f aca="false">N558*Scorecard!$E$18+O558*Scorecard!$E$19+P558*Scorecard!$E$20+Q558*Scorecard!$E$21+R558*Scorecard!$E$22+S558*Scorecard!$E$23</f>
        <v>3.31489963654323</v>
      </c>
    </row>
    <row r="559" customFormat="false" ht="15" hidden="false" customHeight="false" outlineLevel="0" collapsed="false">
      <c r="A559" s="0" t="n">
        <v>554</v>
      </c>
      <c r="B559" s="38" t="n">
        <f aca="false">E559*Scorecard!$C$18+F559*Scorecard!$C$19+G559*Scorecard!$C$20+H559*Scorecard!$C$21+I559*Scorecard!$C$22+J559*Scorecard!$C$23</f>
        <v>3.79041207422574</v>
      </c>
      <c r="C559" s="38" t="n">
        <f aca="false">E559*Scorecard!$D$18+F559*Scorecard!$D$19+G559*Scorecard!$D$20+H559*Scorecard!$D$21+I559*Scorecard!$D$22+J559*Scorecard!$D$23</f>
        <v>2.40565542034018</v>
      </c>
      <c r="D559" s="0" t="str">
        <f aca="false">IF(AND(B559&gt;=C559,B559&gt;=K559),"A. Distribution",IF(C559&gt;=K559,"B. Manufacturing","C. Prof. services"))</f>
        <v>A. Distribution</v>
      </c>
      <c r="E559" s="39" t="n">
        <v>0.0173263979767312</v>
      </c>
      <c r="F559" s="39" t="n">
        <v>0.0738234282488013</v>
      </c>
      <c r="G559" s="39" t="n">
        <v>0.345746419700748</v>
      </c>
      <c r="H559" s="39" t="n">
        <v>0.170640002568347</v>
      </c>
      <c r="I559" s="39" t="n">
        <v>0.26064689497895</v>
      </c>
      <c r="J559" s="39" t="n">
        <v>0.131816856526424</v>
      </c>
      <c r="K559" s="38" t="n">
        <f aca="false">E559*Scorecard!$E$18+F559*Scorecard!$E$19+G559*Scorecard!$E$20+H559*Scorecard!$E$21+I559*Scorecard!$E$22+J559*Scorecard!$E$23</f>
        <v>3.47876297228222</v>
      </c>
      <c r="M559" s="0" t="str">
        <f aca="false">IF(AND(T559&gt;=U559,T559&gt;=V559),"A. Distribution",IF(U559&gt;=V559,"B. Manufacturing","C. Prof. services"))</f>
        <v>A. Distribution</v>
      </c>
      <c r="N559" s="39" t="n">
        <v>0.192157994352842</v>
      </c>
      <c r="O559" s="39" t="n">
        <v>0.143875754302549</v>
      </c>
      <c r="P559" s="39" t="n">
        <v>0.235092890493209</v>
      </c>
      <c r="Q559" s="39" t="n">
        <v>0.119855180598437</v>
      </c>
      <c r="R559" s="39" t="n">
        <v>0.137363239324937</v>
      </c>
      <c r="S559" s="39" t="n">
        <v>0.171654940928026</v>
      </c>
      <c r="T559" s="38" t="n">
        <f aca="false">N559*Scorecard!$C$18+O559*Scorecard!$C$19+P559*Scorecard!$C$20+Q559*Scorecard!$C$21+R559*Scorecard!$C$22+S559*Scorecard!$C$23</f>
        <v>3.77222366135408</v>
      </c>
      <c r="U559" s="38" t="n">
        <f aca="false">N559*Scorecard!$D$18+O559*Scorecard!$D$19+P559*Scorecard!$D$20+Q559*Scorecard!$D$21+R559*Scorecard!$D$22+S559*Scorecard!$D$23</f>
        <v>2.59737605611631</v>
      </c>
      <c r="V559" s="38" t="n">
        <f aca="false">N559*Scorecard!$E$18+O559*Scorecard!$E$19+P559*Scorecard!$E$20+Q559*Scorecard!$E$21+R559*Scorecard!$E$22+S559*Scorecard!$E$23</f>
        <v>3.54961175607151</v>
      </c>
    </row>
    <row r="560" customFormat="false" ht="15" hidden="false" customHeight="false" outlineLevel="0" collapsed="false">
      <c r="A560" s="0" t="n">
        <v>555</v>
      </c>
      <c r="B560" s="38" t="n">
        <f aca="false">E560*Scorecard!$C$18+F560*Scorecard!$C$19+G560*Scorecard!$C$20+H560*Scorecard!$C$21+I560*Scorecard!$C$22+J560*Scorecard!$C$23</f>
        <v>4.48198263420271</v>
      </c>
      <c r="C560" s="38" t="n">
        <f aca="false">E560*Scorecard!$D$18+F560*Scorecard!$D$19+G560*Scorecard!$D$20+H560*Scorecard!$D$21+I560*Scorecard!$D$22+J560*Scorecard!$D$23</f>
        <v>2.47734698814387</v>
      </c>
      <c r="D560" s="0" t="str">
        <f aca="false">IF(AND(B560&gt;=C560,B560&gt;=K560),"A. Distribution",IF(C560&gt;=K560,"B. Manufacturing","C. Prof. services"))</f>
        <v>A. Distribution</v>
      </c>
      <c r="E560" s="39" t="n">
        <v>0.0680168331707031</v>
      </c>
      <c r="F560" s="39" t="n">
        <v>0.52251545606119</v>
      </c>
      <c r="G560" s="39" t="n">
        <v>0.179741513224067</v>
      </c>
      <c r="H560" s="39" t="n">
        <v>0.224203304276432</v>
      </c>
      <c r="I560" s="39" t="n">
        <v>6.59271212266604E-005</v>
      </c>
      <c r="J560" s="39" t="n">
        <v>0.00545696614638088</v>
      </c>
      <c r="K560" s="38" t="n">
        <f aca="false">E560*Scorecard!$E$18+F560*Scorecard!$E$19+G560*Scorecard!$E$20+H560*Scorecard!$E$21+I560*Scorecard!$E$22+J560*Scorecard!$E$23</f>
        <v>3.2706542929311</v>
      </c>
      <c r="M560" s="0" t="str">
        <f aca="false">IF(AND(T560&gt;=U560,T560&gt;=V560),"A. Distribution",IF(U560&gt;=V560,"B. Manufacturing","C. Prof. services"))</f>
        <v>A. Distribution</v>
      </c>
      <c r="N560" s="39" t="n">
        <v>0.0899058094947871</v>
      </c>
      <c r="O560" s="39" t="n">
        <v>0.255122533350391</v>
      </c>
      <c r="P560" s="39" t="n">
        <v>0.179801839943284</v>
      </c>
      <c r="Q560" s="39" t="n">
        <v>0.198437624515578</v>
      </c>
      <c r="R560" s="39" t="n">
        <v>0.156793601169854</v>
      </c>
      <c r="S560" s="39" t="n">
        <v>0.119938591526105</v>
      </c>
      <c r="T560" s="38" t="n">
        <f aca="false">N560*Scorecard!$C$18+O560*Scorecard!$C$19+P560*Scorecard!$C$20+Q560*Scorecard!$C$21+R560*Scorecard!$C$22+S560*Scorecard!$C$23</f>
        <v>3.98664533259795</v>
      </c>
      <c r="U560" s="38" t="n">
        <f aca="false">N560*Scorecard!$D$18+O560*Scorecard!$D$19+P560*Scorecard!$D$20+Q560*Scorecard!$D$21+R560*Scorecard!$D$22+S560*Scorecard!$D$23</f>
        <v>2.52415918033255</v>
      </c>
      <c r="V560" s="38" t="n">
        <f aca="false">N560*Scorecard!$E$18+O560*Scorecard!$E$19+P560*Scorecard!$E$20+Q560*Scorecard!$E$21+R560*Scorecard!$E$22+S560*Scorecard!$E$23</f>
        <v>3.38380626378782</v>
      </c>
    </row>
    <row r="561" customFormat="false" ht="15" hidden="false" customHeight="false" outlineLevel="0" collapsed="false">
      <c r="A561" s="0" t="n">
        <v>556</v>
      </c>
      <c r="B561" s="38" t="n">
        <f aca="false">E561*Scorecard!$C$18+F561*Scorecard!$C$19+G561*Scorecard!$C$20+H561*Scorecard!$C$21+I561*Scorecard!$C$22+J561*Scorecard!$C$23</f>
        <v>3.87239564116747</v>
      </c>
      <c r="C561" s="38" t="n">
        <f aca="false">E561*Scorecard!$D$18+F561*Scorecard!$D$19+G561*Scorecard!$D$20+H561*Scorecard!$D$21+I561*Scorecard!$D$22+J561*Scorecard!$D$23</f>
        <v>2.55758711967203</v>
      </c>
      <c r="D561" s="0" t="str">
        <f aca="false">IF(AND(B561&gt;=C561,B561&gt;=K561),"A. Distribution",IF(C561&gt;=K561,"B. Manufacturing","C. Prof. services"))</f>
        <v>A. Distribution</v>
      </c>
      <c r="E561" s="39" t="n">
        <v>0.127053791490057</v>
      </c>
      <c r="F561" s="39" t="n">
        <v>0.307801889197693</v>
      </c>
      <c r="G561" s="39" t="n">
        <v>0.169084032018346</v>
      </c>
      <c r="H561" s="39" t="n">
        <v>0.000919469765674725</v>
      </c>
      <c r="I561" s="39" t="n">
        <v>0.182587599601443</v>
      </c>
      <c r="J561" s="39" t="n">
        <v>0.212553217926786</v>
      </c>
      <c r="K561" s="38" t="n">
        <f aca="false">E561*Scorecard!$E$18+F561*Scorecard!$E$19+G561*Scorecard!$E$20+H561*Scorecard!$E$21+I561*Scorecard!$E$22+J561*Scorecard!$E$23</f>
        <v>3.37017828612172</v>
      </c>
      <c r="M561" s="0" t="str">
        <f aca="false">IF(AND(T561&gt;=U561,T561&gt;=V561),"A. Distribution",IF(U561&gt;=V561,"B. Manufacturing","C. Prof. services"))</f>
        <v>A. Distribution</v>
      </c>
      <c r="N561" s="39" t="n">
        <v>0.253132196394628</v>
      </c>
      <c r="O561" s="39" t="n">
        <v>0.159162530760819</v>
      </c>
      <c r="P561" s="39" t="n">
        <v>0.194295585336215</v>
      </c>
      <c r="Q561" s="39" t="n">
        <v>0.124013242668716</v>
      </c>
      <c r="R561" s="39" t="n">
        <v>0.0610631635140134</v>
      </c>
      <c r="S561" s="39" t="n">
        <v>0.208333281325608</v>
      </c>
      <c r="T561" s="38" t="n">
        <f aca="false">N561*Scorecard!$C$18+O561*Scorecard!$C$19+P561*Scorecard!$C$20+Q561*Scorecard!$C$21+R561*Scorecard!$C$22+S561*Scorecard!$C$23</f>
        <v>3.70881030154118</v>
      </c>
      <c r="U561" s="38" t="n">
        <f aca="false">N561*Scorecard!$D$18+O561*Scorecard!$D$19+P561*Scorecard!$D$20+Q561*Scorecard!$D$21+R561*Scorecard!$D$22+S561*Scorecard!$D$23</f>
        <v>2.60999131958092</v>
      </c>
      <c r="V561" s="38" t="n">
        <f aca="false">N561*Scorecard!$E$18+O561*Scorecard!$E$19+P561*Scorecard!$E$20+Q561*Scorecard!$E$21+R561*Scorecard!$E$22+S561*Scorecard!$E$23</f>
        <v>3.64499907135381</v>
      </c>
    </row>
    <row r="562" customFormat="false" ht="15" hidden="false" customHeight="false" outlineLevel="0" collapsed="false">
      <c r="A562" s="0" t="n">
        <v>557</v>
      </c>
      <c r="B562" s="38" t="n">
        <f aca="false">E562*Scorecard!$C$18+F562*Scorecard!$C$19+G562*Scorecard!$C$20+H562*Scorecard!$C$21+I562*Scorecard!$C$22+J562*Scorecard!$C$23</f>
        <v>3.80912663367365</v>
      </c>
      <c r="C562" s="38" t="n">
        <f aca="false">E562*Scorecard!$D$18+F562*Scorecard!$D$19+G562*Scorecard!$D$20+H562*Scorecard!$D$21+I562*Scorecard!$D$22+J562*Scorecard!$D$23</f>
        <v>3.32716474315785</v>
      </c>
      <c r="D562" s="0" t="str">
        <f aca="false">IF(AND(B562&gt;=C562,B562&gt;=K562),"A. Distribution",IF(C562&gt;=K562,"B. Manufacturing","C. Prof. services"))</f>
        <v>A. Distribution</v>
      </c>
      <c r="E562" s="39" t="n">
        <v>0.541093564928375</v>
      </c>
      <c r="F562" s="39" t="n">
        <v>0.000615257936341367</v>
      </c>
      <c r="G562" s="39" t="n">
        <v>0.0122726742553905</v>
      </c>
      <c r="H562" s="39" t="n">
        <v>0.24084799694529</v>
      </c>
      <c r="I562" s="39" t="n">
        <v>0.14412327810198</v>
      </c>
      <c r="J562" s="39" t="n">
        <v>0.0610472278326235</v>
      </c>
      <c r="K562" s="38" t="n">
        <f aca="false">E562*Scorecard!$E$18+F562*Scorecard!$E$19+G562*Scorecard!$E$20+H562*Scorecard!$E$21+I562*Scorecard!$E$22+J562*Scorecard!$E$23</f>
        <v>3.44025551915282</v>
      </c>
      <c r="M562" s="0" t="str">
        <f aca="false">IF(AND(T562&gt;=U562,T562&gt;=V562),"A. Distribution",IF(U562&gt;=V562,"B. Manufacturing","C. Prof. services"))</f>
        <v>A. Distribution</v>
      </c>
      <c r="N562" s="39" t="n">
        <v>0.143896796119453</v>
      </c>
      <c r="O562" s="39" t="n">
        <v>0.103131956900043</v>
      </c>
      <c r="P562" s="39" t="n">
        <v>0.320122090349977</v>
      </c>
      <c r="Q562" s="39" t="n">
        <v>0.316325834275896</v>
      </c>
      <c r="R562" s="39" t="n">
        <v>0.0552987115776031</v>
      </c>
      <c r="S562" s="39" t="n">
        <v>0.061224610777028</v>
      </c>
      <c r="T562" s="38" t="n">
        <f aca="false">N562*Scorecard!$C$18+O562*Scorecard!$C$19+P562*Scorecard!$C$20+Q562*Scorecard!$C$21+R562*Scorecard!$C$22+S562*Scorecard!$C$23</f>
        <v>3.93504543184185</v>
      </c>
      <c r="U562" s="38" t="n">
        <f aca="false">N562*Scorecard!$D$18+O562*Scorecard!$D$19+P562*Scorecard!$D$20+Q562*Scorecard!$D$21+R562*Scorecard!$D$22+S562*Scorecard!$D$23</f>
        <v>2.48136232806454</v>
      </c>
      <c r="V562" s="38" t="n">
        <f aca="false">N562*Scorecard!$E$18+O562*Scorecard!$E$19+P562*Scorecard!$E$20+Q562*Scorecard!$E$21+R562*Scorecard!$E$22+S562*Scorecard!$E$23</f>
        <v>3.63974921128579</v>
      </c>
    </row>
    <row r="563" customFormat="false" ht="15" hidden="false" customHeight="false" outlineLevel="0" collapsed="false">
      <c r="A563" s="0" t="n">
        <v>558</v>
      </c>
      <c r="B563" s="38" t="n">
        <f aca="false">E563*Scorecard!$C$18+F563*Scorecard!$C$19+G563*Scorecard!$C$20+H563*Scorecard!$C$21+I563*Scorecard!$C$22+J563*Scorecard!$C$23</f>
        <v>3.90679878333232</v>
      </c>
      <c r="C563" s="38" t="n">
        <f aca="false">E563*Scorecard!$D$18+F563*Scorecard!$D$19+G563*Scorecard!$D$20+H563*Scorecard!$D$21+I563*Scorecard!$D$22+J563*Scorecard!$D$23</f>
        <v>2.41355187093607</v>
      </c>
      <c r="D563" s="0" t="str">
        <f aca="false">IF(AND(B563&gt;=C563,B563&gt;=K563),"A. Distribution",IF(C563&gt;=K563,"B. Manufacturing","C. Prof. services"))</f>
        <v>A. Distribution</v>
      </c>
      <c r="E563" s="39" t="n">
        <v>0.09468909149215</v>
      </c>
      <c r="F563" s="39" t="n">
        <v>0.110091927931863</v>
      </c>
      <c r="G563" s="39" t="n">
        <v>0.345613069461516</v>
      </c>
      <c r="H563" s="39" t="n">
        <v>0.272158405740521</v>
      </c>
      <c r="I563" s="39" t="n">
        <v>0.0942646877777975</v>
      </c>
      <c r="J563" s="39" t="n">
        <v>0.0831828175961535</v>
      </c>
      <c r="K563" s="38" t="n">
        <f aca="false">E563*Scorecard!$E$18+F563*Scorecard!$E$19+G563*Scorecard!$E$20+H563*Scorecard!$E$21+I563*Scorecard!$E$22+J563*Scorecard!$E$23</f>
        <v>3.61651359694316</v>
      </c>
      <c r="M563" s="0" t="str">
        <f aca="false">IF(AND(T563&gt;=U563,T563&gt;=V563),"A. Distribution",IF(U563&gt;=V563,"B. Manufacturing","C. Prof. services"))</f>
        <v>A. Distribution</v>
      </c>
      <c r="N563" s="39" t="n">
        <v>0.166763140754616</v>
      </c>
      <c r="O563" s="39" t="n">
        <v>0.125675385708162</v>
      </c>
      <c r="P563" s="39" t="n">
        <v>0.278449552656297</v>
      </c>
      <c r="Q563" s="39" t="n">
        <v>0.0461722695812353</v>
      </c>
      <c r="R563" s="39" t="n">
        <v>0.29081686507188</v>
      </c>
      <c r="S563" s="39" t="n">
        <v>0.0921227862278107</v>
      </c>
      <c r="T563" s="38" t="n">
        <f aca="false">N563*Scorecard!$C$18+O563*Scorecard!$C$19+P563*Scorecard!$C$20+Q563*Scorecard!$C$21+R563*Scorecard!$C$22+S563*Scorecard!$C$23</f>
        <v>3.9230658498766</v>
      </c>
      <c r="U563" s="38" t="n">
        <f aca="false">N563*Scorecard!$D$18+O563*Scorecard!$D$19+P563*Scorecard!$D$20+Q563*Scorecard!$D$21+R563*Scorecard!$D$22+S563*Scorecard!$D$23</f>
        <v>2.7591813866116</v>
      </c>
      <c r="V563" s="38" t="n">
        <f aca="false">N563*Scorecard!$E$18+O563*Scorecard!$E$19+P563*Scorecard!$E$20+Q563*Scorecard!$E$21+R563*Scorecard!$E$22+S563*Scorecard!$E$23</f>
        <v>3.31263889485135</v>
      </c>
    </row>
    <row r="564" customFormat="false" ht="15" hidden="false" customHeight="false" outlineLevel="0" collapsed="false">
      <c r="A564" s="0" t="n">
        <v>559</v>
      </c>
      <c r="B564" s="38" t="n">
        <f aca="false">E564*Scorecard!$C$18+F564*Scorecard!$C$19+G564*Scorecard!$C$20+H564*Scorecard!$C$21+I564*Scorecard!$C$22+J564*Scorecard!$C$23</f>
        <v>3.84444200149464</v>
      </c>
      <c r="C564" s="38" t="n">
        <f aca="false">E564*Scorecard!$D$18+F564*Scorecard!$D$19+G564*Scorecard!$D$20+H564*Scorecard!$D$21+I564*Scorecard!$D$22+J564*Scorecard!$D$23</f>
        <v>2.58599334738002</v>
      </c>
      <c r="D564" s="0" t="str">
        <f aca="false">IF(AND(B564&gt;=C564,B564&gt;=K564),"A. Distribution",IF(C564&gt;=K564,"B. Manufacturing","C. Prof. services"))</f>
        <v>A. Distribution</v>
      </c>
      <c r="E564" s="39" t="n">
        <v>0.0667614199975125</v>
      </c>
      <c r="F564" s="39" t="n">
        <v>0.117136497010295</v>
      </c>
      <c r="G564" s="39" t="n">
        <v>0.211074376013794</v>
      </c>
      <c r="H564" s="39" t="n">
        <v>0.183367319794283</v>
      </c>
      <c r="I564" s="39" t="n">
        <v>0.297872137028317</v>
      </c>
      <c r="J564" s="39" t="n">
        <v>0.123788250155799</v>
      </c>
      <c r="K564" s="38" t="n">
        <f aca="false">E564*Scorecard!$E$18+F564*Scorecard!$E$19+G564*Scorecard!$E$20+H564*Scorecard!$E$21+I564*Scorecard!$E$22+J564*Scorecard!$E$23</f>
        <v>3.33204782473267</v>
      </c>
      <c r="M564" s="0" t="str">
        <f aca="false">IF(AND(T564&gt;=U564,T564&gt;=V564),"A. Distribution",IF(U564&gt;=V564,"B. Manufacturing","C. Prof. services"))</f>
        <v>A. Distribution</v>
      </c>
      <c r="N564" s="39" t="n">
        <v>0.258586502665505</v>
      </c>
      <c r="O564" s="39" t="n">
        <v>0.1240687237917</v>
      </c>
      <c r="P564" s="39" t="n">
        <v>0.11063333895417</v>
      </c>
      <c r="Q564" s="39" t="n">
        <v>0.149879306952899</v>
      </c>
      <c r="R564" s="39" t="n">
        <v>0.210621121574187</v>
      </c>
      <c r="S564" s="39" t="n">
        <v>0.146211006061539</v>
      </c>
      <c r="T564" s="38" t="n">
        <f aca="false">N564*Scorecard!$C$18+O564*Scorecard!$C$19+P564*Scorecard!$C$20+Q564*Scorecard!$C$21+R564*Scorecard!$C$22+S564*Scorecard!$C$23</f>
        <v>3.79473605285211</v>
      </c>
      <c r="U564" s="38" t="n">
        <f aca="false">N564*Scorecard!$D$18+O564*Scorecard!$D$19+P564*Scorecard!$D$20+Q564*Scorecard!$D$21+R564*Scorecard!$D$22+S564*Scorecard!$D$23</f>
        <v>2.84046046935485</v>
      </c>
      <c r="V564" s="38" t="n">
        <f aca="false">N564*Scorecard!$E$18+O564*Scorecard!$E$19+P564*Scorecard!$E$20+Q564*Scorecard!$E$21+R564*Scorecard!$E$22+S564*Scorecard!$E$23</f>
        <v>3.39543413869135</v>
      </c>
    </row>
    <row r="565" customFormat="false" ht="15" hidden="false" customHeight="false" outlineLevel="0" collapsed="false">
      <c r="A565" s="0" t="n">
        <v>560</v>
      </c>
      <c r="B565" s="38" t="n">
        <f aca="false">E565*Scorecard!$C$18+F565*Scorecard!$C$19+G565*Scorecard!$C$20+H565*Scorecard!$C$21+I565*Scorecard!$C$22+J565*Scorecard!$C$23</f>
        <v>3.76111578515678</v>
      </c>
      <c r="C565" s="38" t="n">
        <f aca="false">E565*Scorecard!$D$18+F565*Scorecard!$D$19+G565*Scorecard!$D$20+H565*Scorecard!$D$21+I565*Scorecard!$D$22+J565*Scorecard!$D$23</f>
        <v>2.380171543203</v>
      </c>
      <c r="D565" s="0" t="str">
        <f aca="false">IF(AND(B565&gt;=C565,B565&gt;=K565),"A. Distribution",IF(C565&gt;=K565,"B. Manufacturing","C. Prof. services"))</f>
        <v>A. Distribution</v>
      </c>
      <c r="E565" s="39" t="n">
        <v>0.10425088408298</v>
      </c>
      <c r="F565" s="39" t="n">
        <v>0.0617317966855284</v>
      </c>
      <c r="G565" s="39" t="n">
        <v>0.213752450706966</v>
      </c>
      <c r="H565" s="39" t="n">
        <v>0.448476356192328</v>
      </c>
      <c r="I565" s="39" t="n">
        <v>0.0498272853141363</v>
      </c>
      <c r="J565" s="39" t="n">
        <v>0.121961227018061</v>
      </c>
      <c r="K565" s="38" t="n">
        <f aca="false">E565*Scorecard!$E$18+F565*Scorecard!$E$19+G565*Scorecard!$E$20+H565*Scorecard!$E$21+I565*Scorecard!$E$22+J565*Scorecard!$E$23</f>
        <v>3.7053269616579</v>
      </c>
      <c r="M565" s="0" t="str">
        <f aca="false">IF(AND(T565&gt;=U565,T565&gt;=V565),"A. Distribution",IF(U565&gt;=V565,"B. Manufacturing","C. Prof. services"))</f>
        <v>A. Distribution</v>
      </c>
      <c r="N565" s="39" t="n">
        <v>0.101544460685192</v>
      </c>
      <c r="O565" s="39" t="n">
        <v>0.365377005596563</v>
      </c>
      <c r="P565" s="39" t="n">
        <v>0.185039164278133</v>
      </c>
      <c r="Q565" s="39" t="n">
        <v>0.147836792602453</v>
      </c>
      <c r="R565" s="39" t="n">
        <v>0.131428819275578</v>
      </c>
      <c r="S565" s="39" t="n">
        <v>0.0687737575620819</v>
      </c>
      <c r="T565" s="38" t="n">
        <f aca="false">N565*Scorecard!$C$18+O565*Scorecard!$C$19+P565*Scorecard!$C$20+Q565*Scorecard!$C$21+R565*Scorecard!$C$22+S565*Scorecard!$C$23</f>
        <v>4.20374731237081</v>
      </c>
      <c r="U565" s="38" t="n">
        <f aca="false">N565*Scorecard!$D$18+O565*Scorecard!$D$19+P565*Scorecard!$D$20+Q565*Scorecard!$D$21+R565*Scorecard!$D$22+S565*Scorecard!$D$23</f>
        <v>2.58309732031485</v>
      </c>
      <c r="V565" s="38" t="n">
        <f aca="false">N565*Scorecard!$E$18+O565*Scorecard!$E$19+P565*Scorecard!$E$20+Q565*Scorecard!$E$21+R565*Scorecard!$E$22+S565*Scorecard!$E$23</f>
        <v>3.27943012361928</v>
      </c>
    </row>
    <row r="566" customFormat="false" ht="15" hidden="false" customHeight="false" outlineLevel="0" collapsed="false">
      <c r="A566" s="0" t="n">
        <v>561</v>
      </c>
      <c r="B566" s="38" t="n">
        <f aca="false">E566*Scorecard!$C$18+F566*Scorecard!$C$19+G566*Scorecard!$C$20+H566*Scorecard!$C$21+I566*Scorecard!$C$22+J566*Scorecard!$C$23</f>
        <v>3.1570119790335</v>
      </c>
      <c r="C566" s="38" t="n">
        <f aca="false">E566*Scorecard!$D$18+F566*Scorecard!$D$19+G566*Scorecard!$D$20+H566*Scorecard!$D$21+I566*Scorecard!$D$22+J566*Scorecard!$D$23</f>
        <v>2.03452265056959</v>
      </c>
      <c r="D566" s="0" t="str">
        <f aca="false">IF(AND(B566&gt;=C566,B566&gt;=K566),"A. Distribution",IF(C566&gt;=K566,"B. Manufacturing","C. Prof. services"))</f>
        <v>C. Prof. services</v>
      </c>
      <c r="E566" s="39" t="n">
        <v>0.0334446509877775</v>
      </c>
      <c r="F566" s="39" t="n">
        <v>0.131359124798447</v>
      </c>
      <c r="G566" s="39" t="n">
        <v>0.207733385364575</v>
      </c>
      <c r="H566" s="39" t="n">
        <v>0.0516479501697026</v>
      </c>
      <c r="I566" s="39" t="n">
        <v>0.0927664457977244</v>
      </c>
      <c r="J566" s="39" t="n">
        <v>0.483048442881774</v>
      </c>
      <c r="K566" s="38" t="n">
        <f aca="false">E566*Scorecard!$E$18+F566*Scorecard!$E$19+G566*Scorecard!$E$20+H566*Scorecard!$E$21+I566*Scorecard!$E$22+J566*Scorecard!$E$23</f>
        <v>3.89626619480942</v>
      </c>
      <c r="M566" s="0" t="str">
        <f aca="false">IF(AND(T566&gt;=U566,T566&gt;=V566),"A. Distribution",IF(U566&gt;=V566,"B. Manufacturing","C. Prof. services"))</f>
        <v>A. Distribution</v>
      </c>
      <c r="N566" s="39" t="n">
        <v>0.165753995286746</v>
      </c>
      <c r="O566" s="39" t="n">
        <v>0.119179210185225</v>
      </c>
      <c r="P566" s="39" t="n">
        <v>0.310988738485892</v>
      </c>
      <c r="Q566" s="39" t="n">
        <v>0.186034123510901</v>
      </c>
      <c r="R566" s="39" t="n">
        <v>0.14985699507276</v>
      </c>
      <c r="S566" s="39" t="n">
        <v>0.0681869374584772</v>
      </c>
      <c r="T566" s="38" t="n">
        <f aca="false">N566*Scorecard!$C$18+O566*Scorecard!$C$19+P566*Scorecard!$C$20+Q566*Scorecard!$C$21+R566*Scorecard!$C$22+S566*Scorecard!$C$23</f>
        <v>3.94945219609191</v>
      </c>
      <c r="U566" s="38" t="n">
        <f aca="false">N566*Scorecard!$D$18+O566*Scorecard!$D$19+P566*Scorecard!$D$20+Q566*Scorecard!$D$21+R566*Scorecard!$D$22+S566*Scorecard!$D$23</f>
        <v>2.61860156052328</v>
      </c>
      <c r="V566" s="38" t="n">
        <f aca="false">N566*Scorecard!$E$18+O566*Scorecard!$E$19+P566*Scorecard!$E$20+Q566*Scorecard!$E$21+R566*Scorecard!$E$22+S566*Scorecard!$E$23</f>
        <v>3.49813357461579</v>
      </c>
    </row>
    <row r="567" customFormat="false" ht="15" hidden="false" customHeight="false" outlineLevel="0" collapsed="false">
      <c r="A567" s="0" t="n">
        <v>562</v>
      </c>
      <c r="B567" s="38" t="n">
        <f aca="false">E567*Scorecard!$C$18+F567*Scorecard!$C$19+G567*Scorecard!$C$20+H567*Scorecard!$C$21+I567*Scorecard!$C$22+J567*Scorecard!$C$23</f>
        <v>4.11962713367979</v>
      </c>
      <c r="C567" s="38" t="n">
        <f aca="false">E567*Scorecard!$D$18+F567*Scorecard!$D$19+G567*Scorecard!$D$20+H567*Scorecard!$D$21+I567*Scorecard!$D$22+J567*Scorecard!$D$23</f>
        <v>2.31282845626055</v>
      </c>
      <c r="D567" s="0" t="str">
        <f aca="false">IF(AND(B567&gt;=C567,B567&gt;=K567),"A. Distribution",IF(C567&gt;=K567,"B. Manufacturing","C. Prof. services"))</f>
        <v>A. Distribution</v>
      </c>
      <c r="E567" s="39" t="n">
        <v>0.000453613054734931</v>
      </c>
      <c r="F567" s="39" t="n">
        <v>0.261699807296441</v>
      </c>
      <c r="G567" s="39" t="n">
        <v>0.417827095593951</v>
      </c>
      <c r="H567" s="39" t="n">
        <v>0.130778822389902</v>
      </c>
      <c r="I567" s="39" t="n">
        <v>0.125268281847559</v>
      </c>
      <c r="J567" s="39" t="n">
        <v>0.0639723798174121</v>
      </c>
      <c r="K567" s="38" t="n">
        <f aca="false">E567*Scorecard!$E$18+F567*Scorecard!$E$19+G567*Scorecard!$E$20+H567*Scorecard!$E$21+I567*Scorecard!$E$22+J567*Scorecard!$E$23</f>
        <v>3.46735947144289</v>
      </c>
      <c r="M567" s="0" t="str">
        <f aca="false">IF(AND(T567&gt;=U567,T567&gt;=V567),"A. Distribution",IF(U567&gt;=V567,"B. Manufacturing","C. Prof. services"))</f>
        <v>A. Distribution</v>
      </c>
      <c r="N567" s="39" t="n">
        <v>0.151803811481217</v>
      </c>
      <c r="O567" s="39" t="n">
        <v>0.229512032236639</v>
      </c>
      <c r="P567" s="39" t="n">
        <v>0.213650331607472</v>
      </c>
      <c r="Q567" s="39" t="n">
        <v>0.23600909640793</v>
      </c>
      <c r="R567" s="39" t="n">
        <v>0.108188097707625</v>
      </c>
      <c r="S567" s="39" t="n">
        <v>0.0608366305591171</v>
      </c>
      <c r="T567" s="38" t="n">
        <f aca="false">N567*Scorecard!$C$18+O567*Scorecard!$C$19+P567*Scorecard!$C$20+Q567*Scorecard!$C$21+R567*Scorecard!$C$22+S567*Scorecard!$C$23</f>
        <v>4.07022081451134</v>
      </c>
      <c r="U567" s="38" t="n">
        <f aca="false">N567*Scorecard!$D$18+O567*Scorecard!$D$19+P567*Scorecard!$D$20+Q567*Scorecard!$D$21+R567*Scorecard!$D$22+S567*Scorecard!$D$23</f>
        <v>2.6115565385096</v>
      </c>
      <c r="V567" s="38" t="n">
        <f aca="false">N567*Scorecard!$E$18+O567*Scorecard!$E$19+P567*Scorecard!$E$20+Q567*Scorecard!$E$21+R567*Scorecard!$E$22+S567*Scorecard!$E$23</f>
        <v>3.42264361090689</v>
      </c>
    </row>
    <row r="568" customFormat="false" ht="15" hidden="false" customHeight="false" outlineLevel="0" collapsed="false">
      <c r="A568" s="0" t="n">
        <v>563</v>
      </c>
      <c r="B568" s="38" t="n">
        <f aca="false">E568*Scorecard!$C$18+F568*Scorecard!$C$19+G568*Scorecard!$C$20+H568*Scorecard!$C$21+I568*Scorecard!$C$22+J568*Scorecard!$C$23</f>
        <v>4.14085429700848</v>
      </c>
      <c r="C568" s="38" t="n">
        <f aca="false">E568*Scorecard!$D$18+F568*Scorecard!$D$19+G568*Scorecard!$D$20+H568*Scorecard!$D$21+I568*Scorecard!$D$22+J568*Scorecard!$D$23</f>
        <v>3.1148974391294</v>
      </c>
      <c r="D568" s="0" t="str">
        <f aca="false">IF(AND(B568&gt;=C568,B568&gt;=K568),"A. Distribution",IF(C568&gt;=K568,"B. Manufacturing","C. Prof. services"))</f>
        <v>A. Distribution</v>
      </c>
      <c r="E568" s="39" t="n">
        <v>0.359684611547711</v>
      </c>
      <c r="F568" s="39" t="n">
        <v>0.18291391875435</v>
      </c>
      <c r="G568" s="39" t="n">
        <v>0.148564989263562</v>
      </c>
      <c r="H568" s="39" t="n">
        <v>0.116170367048052</v>
      </c>
      <c r="I568" s="39" t="n">
        <v>0.192333973295081</v>
      </c>
      <c r="J568" s="39" t="n">
        <v>0.000332140091243898</v>
      </c>
      <c r="K568" s="38" t="n">
        <f aca="false">E568*Scorecard!$E$18+F568*Scorecard!$E$19+G568*Scorecard!$E$20+H568*Scorecard!$E$21+I568*Scorecard!$E$22+J568*Scorecard!$E$23</f>
        <v>3.24310561115654</v>
      </c>
      <c r="M568" s="0" t="str">
        <f aca="false">IF(AND(T568&gt;=U568,T568&gt;=V568),"A. Distribution",IF(U568&gt;=V568,"B. Manufacturing","C. Prof. services"))</f>
        <v>A. Distribution</v>
      </c>
      <c r="N568" s="39" t="n">
        <v>0.177203585975968</v>
      </c>
      <c r="O568" s="39" t="n">
        <v>0.192533323905182</v>
      </c>
      <c r="P568" s="39" t="n">
        <v>0.330723854299173</v>
      </c>
      <c r="Q568" s="39" t="n">
        <v>0.0398534238152506</v>
      </c>
      <c r="R568" s="39" t="n">
        <v>0.189716312972624</v>
      </c>
      <c r="S568" s="39" t="n">
        <v>0.0699694990318026</v>
      </c>
      <c r="T568" s="38" t="n">
        <f aca="false">N568*Scorecard!$C$18+O568*Scorecard!$C$19+P568*Scorecard!$C$20+Q568*Scorecard!$C$21+R568*Scorecard!$C$22+S568*Scorecard!$C$23</f>
        <v>4.03407299216135</v>
      </c>
      <c r="U568" s="38" t="n">
        <f aca="false">N568*Scorecard!$D$18+O568*Scorecard!$D$19+P568*Scorecard!$D$20+Q568*Scorecard!$D$21+R568*Scorecard!$D$22+S568*Scorecard!$D$23</f>
        <v>2.69016093116264</v>
      </c>
      <c r="V568" s="38" t="n">
        <f aca="false">N568*Scorecard!$E$18+O568*Scorecard!$E$19+P568*Scorecard!$E$20+Q568*Scorecard!$E$21+R568*Scorecard!$E$22+S568*Scorecard!$E$23</f>
        <v>3.3869898733868</v>
      </c>
    </row>
    <row r="569" customFormat="false" ht="15" hidden="false" customHeight="false" outlineLevel="0" collapsed="false">
      <c r="A569" s="0" t="n">
        <v>564</v>
      </c>
      <c r="B569" s="38" t="n">
        <f aca="false">E569*Scorecard!$C$18+F569*Scorecard!$C$19+G569*Scorecard!$C$20+H569*Scorecard!$C$21+I569*Scorecard!$C$22+J569*Scorecard!$C$23</f>
        <v>3.7284131056787</v>
      </c>
      <c r="C569" s="38" t="n">
        <f aca="false">E569*Scorecard!$D$18+F569*Scorecard!$D$19+G569*Scorecard!$D$20+H569*Scorecard!$D$21+I569*Scorecard!$D$22+J569*Scorecard!$D$23</f>
        <v>2.6232480515131</v>
      </c>
      <c r="D569" s="0" t="str">
        <f aca="false">IF(AND(B569&gt;=C569,B569&gt;=K569),"A. Distribution",IF(C569&gt;=K569,"B. Manufacturing","C. Prof. services"))</f>
        <v>A. Distribution</v>
      </c>
      <c r="E569" s="39" t="n">
        <v>0.0654721141846847</v>
      </c>
      <c r="F569" s="39" t="n">
        <v>0.129541484067839</v>
      </c>
      <c r="G569" s="39" t="n">
        <v>0.142903952178645</v>
      </c>
      <c r="H569" s="39" t="n">
        <v>0.103724954606576</v>
      </c>
      <c r="I569" s="39" t="n">
        <v>0.366009790477199</v>
      </c>
      <c r="J569" s="39" t="n">
        <v>0.192347704485058</v>
      </c>
      <c r="K569" s="38" t="n">
        <f aca="false">E569*Scorecard!$E$18+F569*Scorecard!$E$19+G569*Scorecard!$E$20+H569*Scorecard!$E$21+I569*Scorecard!$E$22+J569*Scorecard!$E$23</f>
        <v>3.26462712347179</v>
      </c>
      <c r="M569" s="0" t="str">
        <f aca="false">IF(AND(T569&gt;=U569,T569&gt;=V569),"A. Distribution",IF(U569&gt;=V569,"B. Manufacturing","C. Prof. services"))</f>
        <v>A. Distribution</v>
      </c>
      <c r="N569" s="39" t="n">
        <v>0.15909094461362</v>
      </c>
      <c r="O569" s="39" t="n">
        <v>0.23453665802559</v>
      </c>
      <c r="P569" s="39" t="n">
        <v>0.231211671352274</v>
      </c>
      <c r="Q569" s="39" t="n">
        <v>0.114687673402197</v>
      </c>
      <c r="R569" s="39" t="n">
        <v>0.0594826980933077</v>
      </c>
      <c r="S569" s="39" t="n">
        <v>0.200990354513011</v>
      </c>
      <c r="T569" s="38" t="n">
        <f aca="false">N569*Scorecard!$C$18+O569*Scorecard!$C$19+P569*Scorecard!$C$20+Q569*Scorecard!$C$21+R569*Scorecard!$C$22+S569*Scorecard!$C$23</f>
        <v>3.80742538651798</v>
      </c>
      <c r="U569" s="38" t="n">
        <f aca="false">N569*Scorecard!$D$18+O569*Scorecard!$D$19+P569*Scorecard!$D$20+Q569*Scorecard!$D$21+R569*Scorecard!$D$22+S569*Scorecard!$D$23</f>
        <v>2.45848834044265</v>
      </c>
      <c r="V569" s="38" t="n">
        <f aca="false">N569*Scorecard!$E$18+O569*Scorecard!$E$19+P569*Scorecard!$E$20+Q569*Scorecard!$E$21+R569*Scorecard!$E$22+S569*Scorecard!$E$23</f>
        <v>3.60392897039709</v>
      </c>
    </row>
    <row r="570" customFormat="false" ht="15" hidden="false" customHeight="false" outlineLevel="0" collapsed="false">
      <c r="A570" s="0" t="n">
        <v>565</v>
      </c>
      <c r="B570" s="38" t="n">
        <f aca="false">E570*Scorecard!$C$18+F570*Scorecard!$C$19+G570*Scorecard!$C$20+H570*Scorecard!$C$21+I570*Scorecard!$C$22+J570*Scorecard!$C$23</f>
        <v>4.04556049751247</v>
      </c>
      <c r="C570" s="38" t="n">
        <f aca="false">E570*Scorecard!$D$18+F570*Scorecard!$D$19+G570*Scorecard!$D$20+H570*Scorecard!$D$21+I570*Scorecard!$D$22+J570*Scorecard!$D$23</f>
        <v>2.52919943960853</v>
      </c>
      <c r="D570" s="0" t="str">
        <f aca="false">IF(AND(B570&gt;=C570,B570&gt;=K570),"A. Distribution",IF(C570&gt;=K570,"B. Manufacturing","C. Prof. services"))</f>
        <v>A. Distribution</v>
      </c>
      <c r="E570" s="39" t="n">
        <v>0.0795980546507308</v>
      </c>
      <c r="F570" s="39" t="n">
        <v>0.28332589277686</v>
      </c>
      <c r="G570" s="39" t="n">
        <v>0.171381967885933</v>
      </c>
      <c r="H570" s="39" t="n">
        <v>0.202476693934215</v>
      </c>
      <c r="I570" s="39" t="n">
        <v>0.15843851983946</v>
      </c>
      <c r="J570" s="39" t="n">
        <v>0.104778870912802</v>
      </c>
      <c r="K570" s="38" t="n">
        <f aca="false">E570*Scorecard!$E$18+F570*Scorecard!$E$19+G570*Scorecard!$E$20+H570*Scorecard!$E$21+I570*Scorecard!$E$22+J570*Scorecard!$E$23</f>
        <v>3.34360280771806</v>
      </c>
      <c r="M570" s="0" t="str">
        <f aca="false">IF(AND(T570&gt;=U570,T570&gt;=V570),"A. Distribution",IF(U570&gt;=V570,"B. Manufacturing","C. Prof. services"))</f>
        <v>A. Distribution</v>
      </c>
      <c r="N570" s="39" t="n">
        <v>0.174967036439683</v>
      </c>
      <c r="O570" s="39" t="n">
        <v>0.163788977494443</v>
      </c>
      <c r="P570" s="39" t="n">
        <v>0.182026861417337</v>
      </c>
      <c r="Q570" s="39" t="n">
        <v>0.254869114014807</v>
      </c>
      <c r="R570" s="39" t="n">
        <v>0.147889250741493</v>
      </c>
      <c r="S570" s="39" t="n">
        <v>0.0764587598922378</v>
      </c>
      <c r="T570" s="38" t="n">
        <f aca="false">N570*Scorecard!$C$18+O570*Scorecard!$C$19+P570*Scorecard!$C$20+Q570*Scorecard!$C$21+R570*Scorecard!$C$22+S570*Scorecard!$C$23</f>
        <v>3.96936162258112</v>
      </c>
      <c r="U570" s="38" t="n">
        <f aca="false">N570*Scorecard!$D$18+O570*Scorecard!$D$19+P570*Scorecard!$D$20+Q570*Scorecard!$D$21+R570*Scorecard!$D$22+S570*Scorecard!$D$23</f>
        <v>2.67423671372577</v>
      </c>
      <c r="V570" s="38" t="n">
        <f aca="false">N570*Scorecard!$E$18+O570*Scorecard!$E$19+P570*Scorecard!$E$20+Q570*Scorecard!$E$21+R570*Scorecard!$E$22+S570*Scorecard!$E$23</f>
        <v>3.42510102262305</v>
      </c>
    </row>
    <row r="571" customFormat="false" ht="15" hidden="false" customHeight="false" outlineLevel="0" collapsed="false">
      <c r="A571" s="0" t="n">
        <v>566</v>
      </c>
      <c r="B571" s="38" t="n">
        <f aca="false">E571*Scorecard!$C$18+F571*Scorecard!$C$19+G571*Scorecard!$C$20+H571*Scorecard!$C$21+I571*Scorecard!$C$22+J571*Scorecard!$C$23</f>
        <v>3.59379687699336</v>
      </c>
      <c r="C571" s="38" t="n">
        <f aca="false">E571*Scorecard!$D$18+F571*Scorecard!$D$19+G571*Scorecard!$D$20+H571*Scorecard!$D$21+I571*Scorecard!$D$22+J571*Scorecard!$D$23</f>
        <v>2.72182584265586</v>
      </c>
      <c r="D571" s="0" t="str">
        <f aca="false">IF(AND(B571&gt;=C571,B571&gt;=K571),"A. Distribution",IF(C571&gt;=K571,"B. Manufacturing","C. Prof. services"))</f>
        <v>C. Prof. services</v>
      </c>
      <c r="E571" s="39" t="n">
        <v>0.330248793806968</v>
      </c>
      <c r="F571" s="39" t="n">
        <v>0.0980895967259331</v>
      </c>
      <c r="G571" s="39" t="n">
        <v>0.0399590588909336</v>
      </c>
      <c r="H571" s="39" t="n">
        <v>0.285812473526787</v>
      </c>
      <c r="I571" s="39" t="n">
        <v>0.0223992528330586</v>
      </c>
      <c r="J571" s="39" t="n">
        <v>0.22349082421632</v>
      </c>
      <c r="K571" s="38" t="n">
        <f aca="false">E571*Scorecard!$E$18+F571*Scorecard!$E$19+G571*Scorecard!$E$20+H571*Scorecard!$E$21+I571*Scorecard!$E$22+J571*Scorecard!$E$23</f>
        <v>3.69854775774143</v>
      </c>
      <c r="M571" s="0" t="str">
        <f aca="false">IF(AND(T571&gt;=U571,T571&gt;=V571),"A. Distribution",IF(U571&gt;=V571,"B. Manufacturing","C. Prof. services"))</f>
        <v>A. Distribution</v>
      </c>
      <c r="N571" s="39" t="n">
        <v>0.235551508595422</v>
      </c>
      <c r="O571" s="39" t="n">
        <v>0.221983938261472</v>
      </c>
      <c r="P571" s="39" t="n">
        <v>0.157091209791993</v>
      </c>
      <c r="Q571" s="39" t="n">
        <v>0.0607787763127672</v>
      </c>
      <c r="R571" s="39" t="n">
        <v>0.213919696073301</v>
      </c>
      <c r="S571" s="39" t="n">
        <v>0.110674870965045</v>
      </c>
      <c r="T571" s="38" t="n">
        <f aca="false">N571*Scorecard!$C$18+O571*Scorecard!$C$19+P571*Scorecard!$C$20+Q571*Scorecard!$C$21+R571*Scorecard!$C$22+S571*Scorecard!$C$23</f>
        <v>3.97517357728929</v>
      </c>
      <c r="U571" s="38" t="n">
        <f aca="false">N571*Scorecard!$D$18+O571*Scorecard!$D$19+P571*Scorecard!$D$20+Q571*Scorecard!$D$21+R571*Scorecard!$D$22+S571*Scorecard!$D$23</f>
        <v>2.84185500064743</v>
      </c>
      <c r="V571" s="38" t="n">
        <f aca="false">N571*Scorecard!$E$18+O571*Scorecard!$E$19+P571*Scorecard!$E$20+Q571*Scorecard!$E$21+R571*Scorecard!$E$22+S571*Scorecard!$E$23</f>
        <v>3.29577884636329</v>
      </c>
    </row>
    <row r="572" customFormat="false" ht="15" hidden="false" customHeight="false" outlineLevel="0" collapsed="false">
      <c r="A572" s="0" t="n">
        <v>567</v>
      </c>
      <c r="B572" s="38" t="n">
        <f aca="false">E572*Scorecard!$C$18+F572*Scorecard!$C$19+G572*Scorecard!$C$20+H572*Scorecard!$C$21+I572*Scorecard!$C$22+J572*Scorecard!$C$23</f>
        <v>3.88738034991449</v>
      </c>
      <c r="C572" s="38" t="n">
        <f aca="false">E572*Scorecard!$D$18+F572*Scorecard!$D$19+G572*Scorecard!$D$20+H572*Scorecard!$D$21+I572*Scorecard!$D$22+J572*Scorecard!$D$23</f>
        <v>2.33160027220325</v>
      </c>
      <c r="D572" s="0" t="str">
        <f aca="false">IF(AND(B572&gt;=C572,B572&gt;=K572),"A. Distribution",IF(C572&gt;=K572,"B. Manufacturing","C. Prof. services"))</f>
        <v>A. Distribution</v>
      </c>
      <c r="E572" s="39" t="n">
        <v>0.0200309678882342</v>
      </c>
      <c r="F572" s="39" t="n">
        <v>0.376508249610017</v>
      </c>
      <c r="G572" s="39" t="n">
        <v>0.0574736424010294</v>
      </c>
      <c r="H572" s="39" t="n">
        <v>0.201102028310722</v>
      </c>
      <c r="I572" s="39" t="n">
        <v>0.111959703595543</v>
      </c>
      <c r="J572" s="39" t="n">
        <v>0.232925408194455</v>
      </c>
      <c r="K572" s="38" t="n">
        <f aca="false">E572*Scorecard!$E$18+F572*Scorecard!$E$19+G572*Scorecard!$E$20+H572*Scorecard!$E$21+I572*Scorecard!$E$22+J572*Scorecard!$E$23</f>
        <v>3.40398361003266</v>
      </c>
      <c r="M572" s="0" t="str">
        <f aca="false">IF(AND(T572&gt;=U572,T572&gt;=V572),"A. Distribution",IF(U572&gt;=V572,"B. Manufacturing","C. Prof. services"))</f>
        <v>A. Distribution</v>
      </c>
      <c r="N572" s="39" t="n">
        <v>0.101994346907059</v>
      </c>
      <c r="O572" s="39" t="n">
        <v>0.463672668479722</v>
      </c>
      <c r="P572" s="39" t="n">
        <v>0.100061469935949</v>
      </c>
      <c r="Q572" s="39" t="n">
        <v>0.12380527499511</v>
      </c>
      <c r="R572" s="39" t="n">
        <v>0.127831412649861</v>
      </c>
      <c r="S572" s="39" t="n">
        <v>0.0826348270322986</v>
      </c>
      <c r="T572" s="38" t="n">
        <f aca="false">N572*Scorecard!$C$18+O572*Scorecard!$C$19+P572*Scorecard!$C$20+Q572*Scorecard!$C$21+R572*Scorecard!$C$22+S572*Scorecard!$C$23</f>
        <v>4.27687412652506</v>
      </c>
      <c r="U572" s="38" t="n">
        <f aca="false">N572*Scorecard!$D$18+O572*Scorecard!$D$19+P572*Scorecard!$D$20+Q572*Scorecard!$D$21+R572*Scorecard!$D$22+S572*Scorecard!$D$23</f>
        <v>2.61733585967835</v>
      </c>
      <c r="V572" s="38" t="n">
        <f aca="false">N572*Scorecard!$E$18+O572*Scorecard!$E$19+P572*Scorecard!$E$20+Q572*Scorecard!$E$21+R572*Scorecard!$E$22+S572*Scorecard!$E$23</f>
        <v>3.18248722997192</v>
      </c>
    </row>
    <row r="573" customFormat="false" ht="15" hidden="false" customHeight="false" outlineLevel="0" collapsed="false">
      <c r="A573" s="0" t="n">
        <v>568</v>
      </c>
      <c r="B573" s="38" t="n">
        <f aca="false">E573*Scorecard!$C$18+F573*Scorecard!$C$19+G573*Scorecard!$C$20+H573*Scorecard!$C$21+I573*Scorecard!$C$22+J573*Scorecard!$C$23</f>
        <v>3.94108541935583</v>
      </c>
      <c r="C573" s="38" t="n">
        <f aca="false">E573*Scorecard!$D$18+F573*Scorecard!$D$19+G573*Scorecard!$D$20+H573*Scorecard!$D$21+I573*Scorecard!$D$22+J573*Scorecard!$D$23</f>
        <v>3.26086276432404</v>
      </c>
      <c r="D573" s="0" t="str">
        <f aca="false">IF(AND(B573&gt;=C573,B573&gt;=K573),"A. Distribution",IF(C573&gt;=K573,"B. Manufacturing","C. Prof. services"))</f>
        <v>A. Distribution</v>
      </c>
      <c r="E573" s="39" t="n">
        <v>0.312270436986379</v>
      </c>
      <c r="F573" s="39" t="n">
        <v>0.0754438762675576</v>
      </c>
      <c r="G573" s="39" t="n">
        <v>0.0695173740235203</v>
      </c>
      <c r="H573" s="39" t="n">
        <v>0.0365390069745419</v>
      </c>
      <c r="I573" s="39" t="n">
        <v>0.453554219678188</v>
      </c>
      <c r="J573" s="39" t="n">
        <v>0.052675086069813</v>
      </c>
      <c r="K573" s="38" t="n">
        <f aca="false">E573*Scorecard!$E$18+F573*Scorecard!$E$19+G573*Scorecard!$E$20+H573*Scorecard!$E$21+I573*Scorecard!$E$22+J573*Scorecard!$E$23</f>
        <v>3.01212550869991</v>
      </c>
      <c r="M573" s="0" t="str">
        <f aca="false">IF(AND(T573&gt;=U573,T573&gt;=V573),"A. Distribution",IF(U573&gt;=V573,"B. Manufacturing","C. Prof. services"))</f>
        <v>A. Distribution</v>
      </c>
      <c r="N573" s="39" t="n">
        <v>0.157301057724751</v>
      </c>
      <c r="O573" s="39" t="n">
        <v>0.117550463532795</v>
      </c>
      <c r="P573" s="39" t="n">
        <v>0.216850953175024</v>
      </c>
      <c r="Q573" s="39" t="n">
        <v>0.232706114149148</v>
      </c>
      <c r="R573" s="39" t="n">
        <v>0.160324303667865</v>
      </c>
      <c r="S573" s="39" t="n">
        <v>0.115267107750417</v>
      </c>
      <c r="T573" s="38" t="n">
        <f aca="false">N573*Scorecard!$C$18+O573*Scorecard!$C$19+P573*Scorecard!$C$20+Q573*Scorecard!$C$21+R573*Scorecard!$C$22+S573*Scorecard!$C$23</f>
        <v>3.84931283354653</v>
      </c>
      <c r="U573" s="38" t="n">
        <f aca="false">N573*Scorecard!$D$18+O573*Scorecard!$D$19+P573*Scorecard!$D$20+Q573*Scorecard!$D$21+R573*Scorecard!$D$22+S573*Scorecard!$D$23</f>
        <v>2.60469243845175</v>
      </c>
      <c r="V573" s="38" t="n">
        <f aca="false">N573*Scorecard!$E$18+O573*Scorecard!$E$19+P573*Scorecard!$E$20+Q573*Scorecard!$E$21+R573*Scorecard!$E$22+S573*Scorecard!$E$23</f>
        <v>3.49513601922903</v>
      </c>
    </row>
    <row r="574" customFormat="false" ht="15" hidden="false" customHeight="false" outlineLevel="0" collapsed="false">
      <c r="A574" s="0" t="n">
        <v>569</v>
      </c>
      <c r="B574" s="38" t="n">
        <f aca="false">E574*Scorecard!$C$18+F574*Scorecard!$C$19+G574*Scorecard!$C$20+H574*Scorecard!$C$21+I574*Scorecard!$C$22+J574*Scorecard!$C$23</f>
        <v>3.74889280091866</v>
      </c>
      <c r="C574" s="38" t="n">
        <f aca="false">E574*Scorecard!$D$18+F574*Scorecard!$D$19+G574*Scorecard!$D$20+H574*Scorecard!$D$21+I574*Scorecard!$D$22+J574*Scorecard!$D$23</f>
        <v>2.49534195878831</v>
      </c>
      <c r="D574" s="0" t="str">
        <f aca="false">IF(AND(B574&gt;=C574,B574&gt;=K574),"A. Distribution",IF(C574&gt;=K574,"B. Manufacturing","C. Prof. services"))</f>
        <v>A. Distribution</v>
      </c>
      <c r="E574" s="39" t="n">
        <v>0.146257677631976</v>
      </c>
      <c r="F574" s="39" t="n">
        <v>0.136707124727337</v>
      </c>
      <c r="G574" s="39" t="n">
        <v>0.157102466405576</v>
      </c>
      <c r="H574" s="39" t="n">
        <v>0.291690112879069</v>
      </c>
      <c r="I574" s="39" t="n">
        <v>0.095921625263033</v>
      </c>
      <c r="J574" s="39" t="n">
        <v>0.172320993093009</v>
      </c>
      <c r="K574" s="38" t="n">
        <f aca="false">E574*Scorecard!$E$18+F574*Scorecard!$E$19+G574*Scorecard!$E$20+H574*Scorecard!$E$21+I574*Scorecard!$E$22+J574*Scorecard!$E$23</f>
        <v>3.59433213790788</v>
      </c>
      <c r="M574" s="0" t="str">
        <f aca="false">IF(AND(T574&gt;=U574,T574&gt;=V574),"A. Distribution",IF(U574&gt;=V574,"B. Manufacturing","C. Prof. services"))</f>
        <v>A. Distribution</v>
      </c>
      <c r="N574" s="39" t="n">
        <v>0.178064779318458</v>
      </c>
      <c r="O574" s="39" t="n">
        <v>0.212545694815652</v>
      </c>
      <c r="P574" s="39" t="n">
        <v>0.238149220101951</v>
      </c>
      <c r="Q574" s="39" t="n">
        <v>0.207384990622344</v>
      </c>
      <c r="R574" s="39" t="n">
        <v>0.106550800165692</v>
      </c>
      <c r="S574" s="39" t="n">
        <v>0.0573045149759031</v>
      </c>
      <c r="T574" s="38" t="n">
        <f aca="false">N574*Scorecard!$C$18+O574*Scorecard!$C$19+P574*Scorecard!$C$20+Q574*Scorecard!$C$21+R574*Scorecard!$C$22+S574*Scorecard!$C$23</f>
        <v>4.06129456411863</v>
      </c>
      <c r="U574" s="38" t="n">
        <f aca="false">N574*Scorecard!$D$18+O574*Scorecard!$D$19+P574*Scorecard!$D$20+Q574*Scorecard!$D$21+R574*Scorecard!$D$22+S574*Scorecard!$D$23</f>
        <v>2.64691902124369</v>
      </c>
      <c r="V574" s="38" t="n">
        <f aca="false">N574*Scorecard!$E$18+O574*Scorecard!$E$19+P574*Scorecard!$E$20+Q574*Scorecard!$E$21+R574*Scorecard!$E$22+S574*Scorecard!$E$23</f>
        <v>3.44012007189543</v>
      </c>
    </row>
    <row r="575" customFormat="false" ht="15" hidden="false" customHeight="false" outlineLevel="0" collapsed="false">
      <c r="A575" s="0" t="n">
        <v>570</v>
      </c>
      <c r="B575" s="38" t="n">
        <f aca="false">E575*Scorecard!$C$18+F575*Scorecard!$C$19+G575*Scorecard!$C$20+H575*Scorecard!$C$21+I575*Scorecard!$C$22+J575*Scorecard!$C$23</f>
        <v>3.99694193239714</v>
      </c>
      <c r="C575" s="38" t="n">
        <f aca="false">E575*Scorecard!$D$18+F575*Scorecard!$D$19+G575*Scorecard!$D$20+H575*Scorecard!$D$21+I575*Scorecard!$D$22+J575*Scorecard!$D$23</f>
        <v>3.00353195991552</v>
      </c>
      <c r="D575" s="0" t="str">
        <f aca="false">IF(AND(B575&gt;=C575,B575&gt;=K575),"A. Distribution",IF(C575&gt;=K575,"B. Manufacturing","C. Prof. services"))</f>
        <v>A. Distribution</v>
      </c>
      <c r="E575" s="39" t="n">
        <v>0.442430883599033</v>
      </c>
      <c r="F575" s="39" t="n">
        <v>0.172285386946334</v>
      </c>
      <c r="G575" s="39" t="n">
        <v>0.2398941350652</v>
      </c>
      <c r="H575" s="39" t="n">
        <v>0.0515898622129993</v>
      </c>
      <c r="I575" s="39" t="n">
        <v>0.0266680975702572</v>
      </c>
      <c r="J575" s="39" t="n">
        <v>0.0671316346061767</v>
      </c>
      <c r="K575" s="38" t="n">
        <f aca="false">E575*Scorecard!$E$18+F575*Scorecard!$E$19+G575*Scorecard!$E$20+H575*Scorecard!$E$21+I575*Scorecard!$E$22+J575*Scorecard!$E$23</f>
        <v>3.54507579745341</v>
      </c>
      <c r="M575" s="0" t="str">
        <f aca="false">IF(AND(T575&gt;=U575,T575&gt;=V575),"A. Distribution",IF(U575&gt;=V575,"B. Manufacturing","C. Prof. services"))</f>
        <v>A. Distribution</v>
      </c>
      <c r="N575" s="39" t="n">
        <v>0.0494462742999336</v>
      </c>
      <c r="O575" s="39" t="n">
        <v>0.298334390078857</v>
      </c>
      <c r="P575" s="39" t="n">
        <v>0.290370462835562</v>
      </c>
      <c r="Q575" s="39" t="n">
        <v>0.102548508256007</v>
      </c>
      <c r="R575" s="39" t="n">
        <v>0.105329999666492</v>
      </c>
      <c r="S575" s="39" t="n">
        <v>0.153970364863149</v>
      </c>
      <c r="T575" s="38" t="n">
        <f aca="false">N575*Scorecard!$C$18+O575*Scorecard!$C$19+P575*Scorecard!$C$20+Q575*Scorecard!$C$21+R575*Scorecard!$C$22+S575*Scorecard!$C$23</f>
        <v>3.97537411666866</v>
      </c>
      <c r="U575" s="38" t="n">
        <f aca="false">N575*Scorecard!$D$18+O575*Scorecard!$D$19+P575*Scorecard!$D$20+Q575*Scorecard!$D$21+R575*Scorecard!$D$22+S575*Scorecard!$D$23</f>
        <v>2.35153276629654</v>
      </c>
      <c r="V575" s="38" t="n">
        <f aca="false">N575*Scorecard!$E$18+O575*Scorecard!$E$19+P575*Scorecard!$E$20+Q575*Scorecard!$E$21+R575*Scorecard!$E$22+S575*Scorecard!$E$23</f>
        <v>3.48653307915046</v>
      </c>
    </row>
    <row r="576" customFormat="false" ht="15" hidden="false" customHeight="false" outlineLevel="0" collapsed="false">
      <c r="A576" s="0" t="n">
        <v>571</v>
      </c>
      <c r="B576" s="38" t="n">
        <f aca="false">E576*Scorecard!$C$18+F576*Scorecard!$C$19+G576*Scorecard!$C$20+H576*Scorecard!$C$21+I576*Scorecard!$C$22+J576*Scorecard!$C$23</f>
        <v>4.11366234971129</v>
      </c>
      <c r="C576" s="38" t="n">
        <f aca="false">E576*Scorecard!$D$18+F576*Scorecard!$D$19+G576*Scorecard!$D$20+H576*Scorecard!$D$21+I576*Scorecard!$D$22+J576*Scorecard!$D$23</f>
        <v>2.42500452794095</v>
      </c>
      <c r="D576" s="0" t="str">
        <f aca="false">IF(AND(B576&gt;=C576,B576&gt;=K576),"A. Distribution",IF(C576&gt;=K576,"B. Manufacturing","C. Prof. services"))</f>
        <v>A. Distribution</v>
      </c>
      <c r="E576" s="39" t="n">
        <v>0.0672762080095742</v>
      </c>
      <c r="F576" s="39" t="n">
        <v>0.292089608027865</v>
      </c>
      <c r="G576" s="39" t="n">
        <v>0.321252600962536</v>
      </c>
      <c r="H576" s="39" t="n">
        <v>0.141255691066642</v>
      </c>
      <c r="I576" s="39" t="n">
        <v>0.0992231493576315</v>
      </c>
      <c r="J576" s="39" t="n">
        <v>0.078902742575752</v>
      </c>
      <c r="K576" s="38" t="n">
        <f aca="false">E576*Scorecard!$E$18+F576*Scorecard!$E$19+G576*Scorecard!$E$20+H576*Scorecard!$E$21+I576*Scorecard!$E$22+J576*Scorecard!$E$23</f>
        <v>3.44506753057339</v>
      </c>
      <c r="M576" s="0" t="str">
        <f aca="false">IF(AND(T576&gt;=U576,T576&gt;=V576),"A. Distribution",IF(U576&gt;=V576,"B. Manufacturing","C. Prof. services"))</f>
        <v>A. Distribution</v>
      </c>
      <c r="N576" s="39" t="n">
        <v>0.122790601493804</v>
      </c>
      <c r="O576" s="39" t="n">
        <v>0.141904244761326</v>
      </c>
      <c r="P576" s="39" t="n">
        <v>0.385257367902985</v>
      </c>
      <c r="Q576" s="39" t="n">
        <v>0.131210021832444</v>
      </c>
      <c r="R576" s="39" t="n">
        <v>0.0906250459634508</v>
      </c>
      <c r="S576" s="39" t="n">
        <v>0.128212718045991</v>
      </c>
      <c r="T576" s="38" t="n">
        <f aca="false">N576*Scorecard!$C$18+O576*Scorecard!$C$19+P576*Scorecard!$C$20+Q576*Scorecard!$C$21+R576*Scorecard!$C$22+S576*Scorecard!$C$23</f>
        <v>3.86148239081511</v>
      </c>
      <c r="U576" s="38" t="n">
        <f aca="false">N576*Scorecard!$D$18+O576*Scorecard!$D$19+P576*Scorecard!$D$20+Q576*Scorecard!$D$21+R576*Scorecard!$D$22+S576*Scorecard!$D$23</f>
        <v>2.4187023051121</v>
      </c>
      <c r="V576" s="38" t="n">
        <f aca="false">N576*Scorecard!$E$18+O576*Scorecard!$E$19+P576*Scorecard!$E$20+Q576*Scorecard!$E$21+R576*Scorecard!$E$22+S576*Scorecard!$E$23</f>
        <v>3.63911577213493</v>
      </c>
    </row>
    <row r="577" customFormat="false" ht="15" hidden="false" customHeight="false" outlineLevel="0" collapsed="false">
      <c r="A577" s="0" t="n">
        <v>572</v>
      </c>
      <c r="B577" s="38" t="n">
        <f aca="false">E577*Scorecard!$C$18+F577*Scorecard!$C$19+G577*Scorecard!$C$20+H577*Scorecard!$C$21+I577*Scorecard!$C$22+J577*Scorecard!$C$23</f>
        <v>3.09831318079742</v>
      </c>
      <c r="C577" s="38" t="n">
        <f aca="false">E577*Scorecard!$D$18+F577*Scorecard!$D$19+G577*Scorecard!$D$20+H577*Scorecard!$D$21+I577*Scorecard!$D$22+J577*Scorecard!$D$23</f>
        <v>2.07838668965177</v>
      </c>
      <c r="D577" s="0" t="str">
        <f aca="false">IF(AND(B577&gt;=C577,B577&gt;=K577),"A. Distribution",IF(C577&gt;=K577,"B. Manufacturing","C. Prof. services"))</f>
        <v>C. Prof. services</v>
      </c>
      <c r="E577" s="39" t="n">
        <v>0.108013719437097</v>
      </c>
      <c r="F577" s="39" t="n">
        <v>0.0227491893206782</v>
      </c>
      <c r="G577" s="39" t="n">
        <v>0.319391099817754</v>
      </c>
      <c r="H577" s="39" t="n">
        <v>0.04870011421423</v>
      </c>
      <c r="I577" s="39" t="n">
        <v>0.0458876423150848</v>
      </c>
      <c r="J577" s="39" t="n">
        <v>0.455258234895156</v>
      </c>
      <c r="K577" s="38" t="n">
        <f aca="false">E577*Scorecard!$E$18+F577*Scorecard!$E$19+G577*Scorecard!$E$20+H577*Scorecard!$E$21+I577*Scorecard!$E$22+J577*Scorecard!$E$23</f>
        <v>4.05401790300974</v>
      </c>
      <c r="M577" s="0" t="str">
        <f aca="false">IF(AND(T577&gt;=U577,T577&gt;=V577),"A. Distribution",IF(U577&gt;=V577,"B. Manufacturing","C. Prof. services"))</f>
        <v>A. Distribution</v>
      </c>
      <c r="N577" s="39" t="n">
        <v>0.144816167032595</v>
      </c>
      <c r="O577" s="39" t="n">
        <v>0.32969521684467</v>
      </c>
      <c r="P577" s="39" t="n">
        <v>0.20095723951155</v>
      </c>
      <c r="Q577" s="39" t="n">
        <v>0.103389180790682</v>
      </c>
      <c r="R577" s="39" t="n">
        <v>0.106200421198153</v>
      </c>
      <c r="S577" s="39" t="n">
        <v>0.114941774622351</v>
      </c>
      <c r="T577" s="38" t="n">
        <f aca="false">N577*Scorecard!$C$18+O577*Scorecard!$C$19+P577*Scorecard!$C$20+Q577*Scorecard!$C$21+R577*Scorecard!$C$22+S577*Scorecard!$C$23</f>
        <v>4.0770446001381</v>
      </c>
      <c r="U577" s="38" t="n">
        <f aca="false">N577*Scorecard!$D$18+O577*Scorecard!$D$19+P577*Scorecard!$D$20+Q577*Scorecard!$D$21+R577*Scorecard!$D$22+S577*Scorecard!$D$23</f>
        <v>2.58203344829274</v>
      </c>
      <c r="V577" s="38" t="n">
        <f aca="false">N577*Scorecard!$E$18+O577*Scorecard!$E$19+P577*Scorecard!$E$20+Q577*Scorecard!$E$21+R577*Scorecard!$E$22+S577*Scorecard!$E$23</f>
        <v>3.38011884362285</v>
      </c>
    </row>
    <row r="578" customFormat="false" ht="15" hidden="false" customHeight="false" outlineLevel="0" collapsed="false">
      <c r="A578" s="0" t="n">
        <v>573</v>
      </c>
      <c r="B578" s="38" t="n">
        <f aca="false">E578*Scorecard!$C$18+F578*Scorecard!$C$19+G578*Scorecard!$C$20+H578*Scorecard!$C$21+I578*Scorecard!$C$22+J578*Scorecard!$C$23</f>
        <v>4.10462345266707</v>
      </c>
      <c r="C578" s="38" t="n">
        <f aca="false">E578*Scorecard!$D$18+F578*Scorecard!$D$19+G578*Scorecard!$D$20+H578*Scorecard!$D$21+I578*Scorecard!$D$22+J578*Scorecard!$D$23</f>
        <v>3.17863372836209</v>
      </c>
      <c r="D578" s="0" t="str">
        <f aca="false">IF(AND(B578&gt;=C578,B578&gt;=K578),"A. Distribution",IF(C578&gt;=K578,"B. Manufacturing","C. Prof. services"))</f>
        <v>A. Distribution</v>
      </c>
      <c r="E578" s="39" t="n">
        <v>0.405575885819945</v>
      </c>
      <c r="F578" s="39" t="n">
        <v>0.211597622552629</v>
      </c>
      <c r="G578" s="39" t="n">
        <v>0.0338155208973413</v>
      </c>
      <c r="H578" s="39" t="n">
        <v>0.160481010578489</v>
      </c>
      <c r="I578" s="39" t="n">
        <v>0.159970026045199</v>
      </c>
      <c r="J578" s="39" t="n">
        <v>0.0285599341063967</v>
      </c>
      <c r="K578" s="38" t="n">
        <f aca="false">E578*Scorecard!$E$18+F578*Scorecard!$E$19+G578*Scorecard!$E$20+H578*Scorecard!$E$21+I578*Scorecard!$E$22+J578*Scorecard!$E$23</f>
        <v>3.23943290451762</v>
      </c>
      <c r="M578" s="0" t="str">
        <f aca="false">IF(AND(T578&gt;=U578,T578&gt;=V578),"A. Distribution",IF(U578&gt;=V578,"B. Manufacturing","C. Prof. services"))</f>
        <v>A. Distribution</v>
      </c>
      <c r="N578" s="39" t="n">
        <v>0.156789286498818</v>
      </c>
      <c r="O578" s="39" t="n">
        <v>0.148288778907091</v>
      </c>
      <c r="P578" s="39" t="n">
        <v>0.23040717284249</v>
      </c>
      <c r="Q578" s="39" t="n">
        <v>0.248268087680786</v>
      </c>
      <c r="R578" s="39" t="n">
        <v>0.166171243577605</v>
      </c>
      <c r="S578" s="39" t="n">
        <v>0.0500754304932104</v>
      </c>
      <c r="T578" s="38" t="n">
        <f aca="false">N578*Scorecard!$C$18+O578*Scorecard!$C$19+P578*Scorecard!$C$20+Q578*Scorecard!$C$21+R578*Scorecard!$C$22+S578*Scorecard!$C$23</f>
        <v>4.00879878011504</v>
      </c>
      <c r="U578" s="38" t="n">
        <f aca="false">N578*Scorecard!$D$18+O578*Scorecard!$D$19+P578*Scorecard!$D$20+Q578*Scorecard!$D$21+R578*Scorecard!$D$22+S578*Scorecard!$D$23</f>
        <v>2.66488260771339</v>
      </c>
      <c r="V578" s="38" t="n">
        <f aca="false">N578*Scorecard!$E$18+O578*Scorecard!$E$19+P578*Scorecard!$E$20+Q578*Scorecard!$E$21+R578*Scorecard!$E$22+S578*Scorecard!$E$23</f>
        <v>3.411215888873</v>
      </c>
    </row>
    <row r="579" customFormat="false" ht="15" hidden="false" customHeight="false" outlineLevel="0" collapsed="false">
      <c r="A579" s="0" t="n">
        <v>574</v>
      </c>
      <c r="B579" s="38" t="n">
        <f aca="false">E579*Scorecard!$C$18+F579*Scorecard!$C$19+G579*Scorecard!$C$20+H579*Scorecard!$C$21+I579*Scorecard!$C$22+J579*Scorecard!$C$23</f>
        <v>3.5894000732861</v>
      </c>
      <c r="C579" s="38" t="n">
        <f aca="false">E579*Scorecard!$D$18+F579*Scorecard!$D$19+G579*Scorecard!$D$20+H579*Scorecard!$D$21+I579*Scorecard!$D$22+J579*Scorecard!$D$23</f>
        <v>2.23092685467316</v>
      </c>
      <c r="D579" s="0" t="str">
        <f aca="false">IF(AND(B579&gt;=C579,B579&gt;=K579),"A. Distribution",IF(C579&gt;=K579,"B. Manufacturing","C. Prof. services"))</f>
        <v>C. Prof. services</v>
      </c>
      <c r="E579" s="39" t="n">
        <v>0.0690719707206606</v>
      </c>
      <c r="F579" s="39" t="n">
        <v>0.0963621589610424</v>
      </c>
      <c r="G579" s="39" t="n">
        <v>0.409392191234796</v>
      </c>
      <c r="H579" s="39" t="n">
        <v>0.0712581052414396</v>
      </c>
      <c r="I579" s="39" t="n">
        <v>0.10704636510892</v>
      </c>
      <c r="J579" s="39" t="n">
        <v>0.246869208733142</v>
      </c>
      <c r="K579" s="38" t="n">
        <f aca="false">E579*Scorecard!$E$18+F579*Scorecard!$E$19+G579*Scorecard!$E$20+H579*Scorecard!$E$21+I579*Scorecard!$E$22+J579*Scorecard!$E$23</f>
        <v>3.77198457410558</v>
      </c>
      <c r="M579" s="0" t="str">
        <f aca="false">IF(AND(T579&gt;=U579,T579&gt;=V579),"A. Distribution",IF(U579&gt;=V579,"B. Manufacturing","C. Prof. services"))</f>
        <v>A. Distribution</v>
      </c>
      <c r="N579" s="39" t="n">
        <v>0.130065949359553</v>
      </c>
      <c r="O579" s="39" t="n">
        <v>0.274962012309777</v>
      </c>
      <c r="P579" s="39" t="n">
        <v>0.26547083809248</v>
      </c>
      <c r="Q579" s="39" t="n">
        <v>0.125691546158794</v>
      </c>
      <c r="R579" s="39" t="n">
        <v>0.14032736036725</v>
      </c>
      <c r="S579" s="39" t="n">
        <v>0.0634822937121456</v>
      </c>
      <c r="T579" s="38" t="n">
        <f aca="false">N579*Scorecard!$C$18+O579*Scorecard!$C$19+P579*Scorecard!$C$20+Q579*Scorecard!$C$21+R579*Scorecard!$C$22+S579*Scorecard!$C$23</f>
        <v>4.12401151182913</v>
      </c>
      <c r="U579" s="38" t="n">
        <f aca="false">N579*Scorecard!$D$18+O579*Scorecard!$D$19+P579*Scorecard!$D$20+Q579*Scorecard!$D$21+R579*Scorecard!$D$22+S579*Scorecard!$D$23</f>
        <v>2.60093973978069</v>
      </c>
      <c r="V579" s="38" t="n">
        <f aca="false">N579*Scorecard!$E$18+O579*Scorecard!$E$19+P579*Scorecard!$E$20+Q579*Scorecard!$E$21+R579*Scorecard!$E$22+S579*Scorecard!$E$23</f>
        <v>3.36301933963149</v>
      </c>
    </row>
    <row r="580" customFormat="false" ht="15" hidden="false" customHeight="false" outlineLevel="0" collapsed="false">
      <c r="A580" s="0" t="n">
        <v>575</v>
      </c>
      <c r="B580" s="38" t="n">
        <f aca="false">E580*Scorecard!$C$18+F580*Scorecard!$C$19+G580*Scorecard!$C$20+H580*Scorecard!$C$21+I580*Scorecard!$C$22+J580*Scorecard!$C$23</f>
        <v>3.72482316136042</v>
      </c>
      <c r="C580" s="38" t="n">
        <f aca="false">E580*Scorecard!$D$18+F580*Scorecard!$D$19+G580*Scorecard!$D$20+H580*Scorecard!$D$21+I580*Scorecard!$D$22+J580*Scorecard!$D$23</f>
        <v>2.39747695891435</v>
      </c>
      <c r="D580" s="0" t="str">
        <f aca="false">IF(AND(B580&gt;=C580,B580&gt;=K580),"A. Distribution",IF(C580&gt;=K580,"B. Manufacturing","C. Prof. services"))</f>
        <v>A. Distribution</v>
      </c>
      <c r="E580" s="39" t="n">
        <v>0.101754403683894</v>
      </c>
      <c r="F580" s="39" t="n">
        <v>0.17892504770059</v>
      </c>
      <c r="G580" s="39" t="n">
        <v>0.0321930257071918</v>
      </c>
      <c r="H580" s="39" t="n">
        <v>0.435747455149051</v>
      </c>
      <c r="I580" s="39" t="n">
        <v>0.0518899128809995</v>
      </c>
      <c r="J580" s="39" t="n">
        <v>0.199490154878274</v>
      </c>
      <c r="K580" s="38" t="n">
        <f aca="false">E580*Scorecard!$E$18+F580*Scorecard!$E$19+G580*Scorecard!$E$20+H580*Scorecard!$E$21+I580*Scorecard!$E$22+J580*Scorecard!$E$23</f>
        <v>3.60597027081235</v>
      </c>
      <c r="M580" s="0" t="str">
        <f aca="false">IF(AND(T580&gt;=U580,T580&gt;=V580),"A. Distribution",IF(U580&gt;=V580,"B. Manufacturing","C. Prof. services"))</f>
        <v>A. Distribution</v>
      </c>
      <c r="N580" s="39" t="n">
        <v>0.166959255273457</v>
      </c>
      <c r="O580" s="39" t="n">
        <v>0.20454399439068</v>
      </c>
      <c r="P580" s="39" t="n">
        <v>0.0806565696816697</v>
      </c>
      <c r="Q580" s="39" t="n">
        <v>0.330751978953822</v>
      </c>
      <c r="R580" s="39" t="n">
        <v>0.0950422929967836</v>
      </c>
      <c r="S580" s="39" t="n">
        <v>0.122045908703587</v>
      </c>
      <c r="T580" s="38" t="n">
        <f aca="false">N580*Scorecard!$C$18+O580*Scorecard!$C$19+P580*Scorecard!$C$20+Q580*Scorecard!$C$21+R580*Scorecard!$C$22+S580*Scorecard!$C$23</f>
        <v>3.91140883752864</v>
      </c>
      <c r="U580" s="38" t="n">
        <f aca="false">N580*Scorecard!$D$18+O580*Scorecard!$D$19+P580*Scorecard!$D$20+Q580*Scorecard!$D$21+R580*Scorecard!$D$22+S580*Scorecard!$D$23</f>
        <v>2.60855115021912</v>
      </c>
      <c r="V580" s="38" t="n">
        <f aca="false">N580*Scorecard!$E$18+O580*Scorecard!$E$19+P580*Scorecard!$E$20+Q580*Scorecard!$E$21+R580*Scorecard!$E$22+S580*Scorecard!$E$23</f>
        <v>3.46643977899561</v>
      </c>
    </row>
    <row r="581" customFormat="false" ht="15" hidden="false" customHeight="false" outlineLevel="0" collapsed="false">
      <c r="A581" s="0" t="n">
        <v>576</v>
      </c>
      <c r="B581" s="38" t="n">
        <f aca="false">E581*Scorecard!$C$18+F581*Scorecard!$C$19+G581*Scorecard!$C$20+H581*Scorecard!$C$21+I581*Scorecard!$C$22+J581*Scorecard!$C$23</f>
        <v>3.71090294614946</v>
      </c>
      <c r="C581" s="38" t="n">
        <f aca="false">E581*Scorecard!$D$18+F581*Scorecard!$D$19+G581*Scorecard!$D$20+H581*Scorecard!$D$21+I581*Scorecard!$D$22+J581*Scorecard!$D$23</f>
        <v>2.5594151724494</v>
      </c>
      <c r="D581" s="0" t="str">
        <f aca="false">IF(AND(B581&gt;=C581,B581&gt;=K581),"A. Distribution",IF(C581&gt;=K581,"B. Manufacturing","C. Prof. services"))</f>
        <v>A. Distribution</v>
      </c>
      <c r="E581" s="39" t="n">
        <v>0.00563329189698253</v>
      </c>
      <c r="F581" s="39" t="n">
        <v>0.106525497432504</v>
      </c>
      <c r="G581" s="39" t="n">
        <v>0.0587324287505012</v>
      </c>
      <c r="H581" s="39" t="n">
        <v>0.267060465957022</v>
      </c>
      <c r="I581" s="39" t="n">
        <v>0.378851140691565</v>
      </c>
      <c r="J581" s="39" t="n">
        <v>0.183197175271425</v>
      </c>
      <c r="K581" s="38" t="n">
        <f aca="false">E581*Scorecard!$E$18+F581*Scorecard!$E$19+G581*Scorecard!$E$20+H581*Scorecard!$E$21+I581*Scorecard!$E$22+J581*Scorecard!$E$23</f>
        <v>3.24265922274601</v>
      </c>
      <c r="M581" s="0" t="str">
        <f aca="false">IF(AND(T581&gt;=U581,T581&gt;=V581),"A. Distribution",IF(U581&gt;=V581,"B. Manufacturing","C. Prof. services"))</f>
        <v>A. Distribution</v>
      </c>
      <c r="N581" s="39" t="n">
        <v>0.077350662026485</v>
      </c>
      <c r="O581" s="39" t="n">
        <v>0.261883612313824</v>
      </c>
      <c r="P581" s="39" t="n">
        <v>0.293930403555607</v>
      </c>
      <c r="Q581" s="39" t="n">
        <v>0.15715958003013</v>
      </c>
      <c r="R581" s="39" t="n">
        <v>0.146348755277314</v>
      </c>
      <c r="S581" s="39" t="n">
        <v>0.0633269867966409</v>
      </c>
      <c r="T581" s="38" t="n">
        <f aca="false">N581*Scorecard!$C$18+O581*Scorecard!$C$19+P581*Scorecard!$C$20+Q581*Scorecard!$C$21+R581*Scorecard!$C$22+S581*Scorecard!$C$23</f>
        <v>4.11208536679604</v>
      </c>
      <c r="U581" s="38" t="n">
        <f aca="false">N581*Scorecard!$D$18+O581*Scorecard!$D$19+P581*Scorecard!$D$20+Q581*Scorecard!$D$21+R581*Scorecard!$D$22+S581*Scorecard!$D$23</f>
        <v>2.5046534318982</v>
      </c>
      <c r="V581" s="38" t="n">
        <f aca="false">N581*Scorecard!$E$18+O581*Scorecard!$E$19+P581*Scorecard!$E$20+Q581*Scorecard!$E$21+R581*Scorecard!$E$22+S581*Scorecard!$E$23</f>
        <v>3.38460519380961</v>
      </c>
    </row>
    <row r="582" customFormat="false" ht="15" hidden="false" customHeight="false" outlineLevel="0" collapsed="false">
      <c r="A582" s="0" t="n">
        <v>577</v>
      </c>
      <c r="B582" s="38" t="n">
        <f aca="false">E582*Scorecard!$C$18+F582*Scorecard!$C$19+G582*Scorecard!$C$20+H582*Scorecard!$C$21+I582*Scorecard!$C$22+J582*Scorecard!$C$23</f>
        <v>3.89381007110584</v>
      </c>
      <c r="C582" s="38" t="n">
        <f aca="false">E582*Scorecard!$D$18+F582*Scorecard!$D$19+G582*Scorecard!$D$20+H582*Scorecard!$D$21+I582*Scorecard!$D$22+J582*Scorecard!$D$23</f>
        <v>3.51622300236733</v>
      </c>
      <c r="D582" s="0" t="str">
        <f aca="false">IF(AND(B582&gt;=C582,B582&gt;=K582),"A. Distribution",IF(C582&gt;=K582,"B. Manufacturing","C. Prof. services"))</f>
        <v>A. Distribution</v>
      </c>
      <c r="E582" s="39" t="n">
        <v>0.675336271502095</v>
      </c>
      <c r="F582" s="39" t="n">
        <v>0.0146048035127575</v>
      </c>
      <c r="G582" s="39" t="n">
        <v>0.115536294061641</v>
      </c>
      <c r="H582" s="39" t="n">
        <v>0.0597219059644843</v>
      </c>
      <c r="I582" s="39" t="n">
        <v>0.104731178537487</v>
      </c>
      <c r="J582" s="39" t="n">
        <v>0.030069546421536</v>
      </c>
      <c r="K582" s="38" t="n">
        <f aca="false">E582*Scorecard!$E$18+F582*Scorecard!$E$19+G582*Scorecard!$E$20+H582*Scorecard!$E$21+I582*Scorecard!$E$22+J582*Scorecard!$E$23</f>
        <v>3.46581874534516</v>
      </c>
      <c r="M582" s="0" t="str">
        <f aca="false">IF(AND(T582&gt;=U582,T582&gt;=V582),"A. Distribution",IF(U582&gt;=V582,"B. Manufacturing","C. Prof. services"))</f>
        <v>A. Distribution</v>
      </c>
      <c r="N582" s="39" t="n">
        <v>0.331227008688925</v>
      </c>
      <c r="O582" s="39" t="n">
        <v>0.104754019907628</v>
      </c>
      <c r="P582" s="39" t="n">
        <v>0.173564705614992</v>
      </c>
      <c r="Q582" s="39" t="n">
        <v>0.103634289160533</v>
      </c>
      <c r="R582" s="39" t="n">
        <v>0.101821512948584</v>
      </c>
      <c r="S582" s="39" t="n">
        <v>0.184998463679338</v>
      </c>
      <c r="T582" s="38" t="n">
        <f aca="false">N582*Scorecard!$C$18+O582*Scorecard!$C$19+P582*Scorecard!$C$20+Q582*Scorecard!$C$21+R582*Scorecard!$C$22+S582*Scorecard!$C$23</f>
        <v>3.69699728980224</v>
      </c>
      <c r="U582" s="38" t="n">
        <f aca="false">N582*Scorecard!$D$18+O582*Scorecard!$D$19+P582*Scorecard!$D$20+Q582*Scorecard!$D$21+R582*Scorecard!$D$22+S582*Scorecard!$D$23</f>
        <v>2.79923036581799</v>
      </c>
      <c r="V582" s="38" t="n">
        <f aca="false">N582*Scorecard!$E$18+O582*Scorecard!$E$19+P582*Scorecard!$E$20+Q582*Scorecard!$E$21+R582*Scorecard!$E$22+S582*Scorecard!$E$23</f>
        <v>3.59805869486927</v>
      </c>
    </row>
    <row r="583" customFormat="false" ht="15" hidden="false" customHeight="false" outlineLevel="0" collapsed="false">
      <c r="A583" s="0" t="n">
        <v>578</v>
      </c>
      <c r="B583" s="38" t="n">
        <f aca="false">E583*Scorecard!$C$18+F583*Scorecard!$C$19+G583*Scorecard!$C$20+H583*Scorecard!$C$21+I583*Scorecard!$C$22+J583*Scorecard!$C$23</f>
        <v>3.89716814580335</v>
      </c>
      <c r="C583" s="38" t="n">
        <f aca="false">E583*Scorecard!$D$18+F583*Scorecard!$D$19+G583*Scorecard!$D$20+H583*Scorecard!$D$21+I583*Scorecard!$D$22+J583*Scorecard!$D$23</f>
        <v>2.84310055459321</v>
      </c>
      <c r="D583" s="0" t="str">
        <f aca="false">IF(AND(B583&gt;=C583,B583&gt;=K583),"A. Distribution",IF(C583&gt;=K583,"B. Manufacturing","C. Prof. services"))</f>
        <v>A. Distribution</v>
      </c>
      <c r="E583" s="39" t="n">
        <v>0.287850933720797</v>
      </c>
      <c r="F583" s="39" t="n">
        <v>0.269904269315396</v>
      </c>
      <c r="G583" s="39" t="n">
        <v>0.0849645541614364</v>
      </c>
      <c r="H583" s="39" t="n">
        <v>0.0405349192775947</v>
      </c>
      <c r="I583" s="39" t="n">
        <v>0.144116403558869</v>
      </c>
      <c r="J583" s="39" t="n">
        <v>0.172628919965908</v>
      </c>
      <c r="K583" s="38" t="n">
        <f aca="false">E583*Scorecard!$E$18+F583*Scorecard!$E$19+G583*Scorecard!$E$20+H583*Scorecard!$E$21+I583*Scorecard!$E$22+J583*Scorecard!$E$23</f>
        <v>3.3662837525372</v>
      </c>
      <c r="M583" s="0" t="str">
        <f aca="false">IF(AND(T583&gt;=U583,T583&gt;=V583),"A. Distribution",IF(U583&gt;=V583,"B. Manufacturing","C. Prof. services"))</f>
        <v>A. Distribution</v>
      </c>
      <c r="N583" s="39" t="n">
        <v>0.176394639072458</v>
      </c>
      <c r="O583" s="39" t="n">
        <v>0.139896074502533</v>
      </c>
      <c r="P583" s="39" t="n">
        <v>0.212955321712126</v>
      </c>
      <c r="Q583" s="39" t="n">
        <v>0.153584492239</v>
      </c>
      <c r="R583" s="39" t="n">
        <v>0.204411399665996</v>
      </c>
      <c r="S583" s="39" t="n">
        <v>0.112758072807888</v>
      </c>
      <c r="T583" s="38" t="n">
        <f aca="false">N583*Scorecard!$C$18+O583*Scorecard!$C$19+P583*Scorecard!$C$20+Q583*Scorecard!$C$21+R583*Scorecard!$C$22+S583*Scorecard!$C$23</f>
        <v>3.88366895358156</v>
      </c>
      <c r="U583" s="38" t="n">
        <f aca="false">N583*Scorecard!$D$18+O583*Scorecard!$D$19+P583*Scorecard!$D$20+Q583*Scorecard!$D$21+R583*Scorecard!$D$22+S583*Scorecard!$D$23</f>
        <v>2.69207497980314</v>
      </c>
      <c r="V583" s="38" t="n">
        <f aca="false">N583*Scorecard!$E$18+O583*Scorecard!$E$19+P583*Scorecard!$E$20+Q583*Scorecard!$E$21+R583*Scorecard!$E$22+S583*Scorecard!$E$23</f>
        <v>3.4100211699313</v>
      </c>
    </row>
    <row r="584" customFormat="false" ht="15" hidden="false" customHeight="false" outlineLevel="0" collapsed="false">
      <c r="A584" s="0" t="n">
        <v>579</v>
      </c>
      <c r="B584" s="38" t="n">
        <f aca="false">E584*Scorecard!$C$18+F584*Scorecard!$C$19+G584*Scorecard!$C$20+H584*Scorecard!$C$21+I584*Scorecard!$C$22+J584*Scorecard!$C$23</f>
        <v>3.35172043853532</v>
      </c>
      <c r="C584" s="38" t="n">
        <f aca="false">E584*Scorecard!$D$18+F584*Scorecard!$D$19+G584*Scorecard!$D$20+H584*Scorecard!$D$21+I584*Scorecard!$D$22+J584*Scorecard!$D$23</f>
        <v>2.40657235595192</v>
      </c>
      <c r="D584" s="0" t="str">
        <f aca="false">IF(AND(B584&gt;=C584,B584&gt;=K584),"A. Distribution",IF(C584&gt;=K584,"B. Manufacturing","C. Prof. services"))</f>
        <v>C. Prof. services</v>
      </c>
      <c r="E584" s="39" t="n">
        <v>0.162892199721512</v>
      </c>
      <c r="F584" s="39" t="n">
        <v>0.152878343848609</v>
      </c>
      <c r="G584" s="39" t="n">
        <v>0.0332916832530459</v>
      </c>
      <c r="H584" s="39" t="n">
        <v>0.158673943273804</v>
      </c>
      <c r="I584" s="39" t="n">
        <v>0.106772526932956</v>
      </c>
      <c r="J584" s="39" t="n">
        <v>0.385491302970073</v>
      </c>
      <c r="K584" s="38" t="n">
        <f aca="false">E584*Scorecard!$E$18+F584*Scorecard!$E$19+G584*Scorecard!$E$20+H584*Scorecard!$E$21+I584*Scorecard!$E$22+J584*Scorecard!$E$23</f>
        <v>3.69868983825107</v>
      </c>
      <c r="M584" s="0" t="str">
        <f aca="false">IF(AND(T584&gt;=U584,T584&gt;=V584),"A. Distribution",IF(U584&gt;=V584,"B. Manufacturing","C. Prof. services"))</f>
        <v>A. Distribution</v>
      </c>
      <c r="N584" s="39" t="n">
        <v>0.223365962400546</v>
      </c>
      <c r="O584" s="39" t="n">
        <v>0.229760559539773</v>
      </c>
      <c r="P584" s="39" t="n">
        <v>0.112555278308137</v>
      </c>
      <c r="Q584" s="39" t="n">
        <v>0.204514503937044</v>
      </c>
      <c r="R584" s="39" t="n">
        <v>0.105971905960968</v>
      </c>
      <c r="S584" s="39" t="n">
        <v>0.123831789853533</v>
      </c>
      <c r="T584" s="38" t="n">
        <f aca="false">N584*Scorecard!$C$18+O584*Scorecard!$C$19+P584*Scorecard!$C$20+Q584*Scorecard!$C$21+R584*Scorecard!$C$22+S584*Scorecard!$C$23</f>
        <v>3.94212708996166</v>
      </c>
      <c r="U584" s="38" t="n">
        <f aca="false">N584*Scorecard!$D$18+O584*Scorecard!$D$19+P584*Scorecard!$D$20+Q584*Scorecard!$D$21+R584*Scorecard!$D$22+S584*Scorecard!$D$23</f>
        <v>2.71282450374282</v>
      </c>
      <c r="V584" s="38" t="n">
        <f aca="false">N584*Scorecard!$E$18+O584*Scorecard!$E$19+P584*Scorecard!$E$20+Q584*Scorecard!$E$21+R584*Scorecard!$E$22+S584*Scorecard!$E$23</f>
        <v>3.43205786726565</v>
      </c>
    </row>
    <row r="585" customFormat="false" ht="15" hidden="false" customHeight="false" outlineLevel="0" collapsed="false">
      <c r="A585" s="0" t="n">
        <v>580</v>
      </c>
      <c r="B585" s="38" t="n">
        <f aca="false">E585*Scorecard!$C$18+F585*Scorecard!$C$19+G585*Scorecard!$C$20+H585*Scorecard!$C$21+I585*Scorecard!$C$22+J585*Scorecard!$C$23</f>
        <v>3.31846403942439</v>
      </c>
      <c r="C585" s="38" t="n">
        <f aca="false">E585*Scorecard!$D$18+F585*Scorecard!$D$19+G585*Scorecard!$D$20+H585*Scorecard!$D$21+I585*Scorecard!$D$22+J585*Scorecard!$D$23</f>
        <v>2.19366016316377</v>
      </c>
      <c r="D585" s="0" t="str">
        <f aca="false">IF(AND(B585&gt;=C585,B585&gt;=K585),"A. Distribution",IF(C585&gt;=K585,"B. Manufacturing","C. Prof. services"))</f>
        <v>C. Prof. services</v>
      </c>
      <c r="E585" s="39" t="n">
        <v>0.000325229388113329</v>
      </c>
      <c r="F585" s="39" t="n">
        <v>0.0350330303184035</v>
      </c>
      <c r="G585" s="39" t="n">
        <v>0.165024949101071</v>
      </c>
      <c r="H585" s="39" t="n">
        <v>0.249261827742345</v>
      </c>
      <c r="I585" s="39" t="n">
        <v>0.205512577915383</v>
      </c>
      <c r="J585" s="39" t="n">
        <v>0.344842385534684</v>
      </c>
      <c r="K585" s="38" t="n">
        <f aca="false">E585*Scorecard!$E$18+F585*Scorecard!$E$19+G585*Scorecard!$E$20+H585*Scorecard!$E$21+I585*Scorecard!$E$22+J585*Scorecard!$E$23</f>
        <v>3.70632413240004</v>
      </c>
      <c r="M585" s="0" t="str">
        <f aca="false">IF(AND(T585&gt;=U585,T585&gt;=V585),"A. Distribution",IF(U585&gt;=V585,"B. Manufacturing","C. Prof. services"))</f>
        <v>A. Distribution</v>
      </c>
      <c r="N585" s="39" t="n">
        <v>0.317926686918236</v>
      </c>
      <c r="O585" s="39" t="n">
        <v>0.180959190888793</v>
      </c>
      <c r="P585" s="39" t="n">
        <v>0.151142085543942</v>
      </c>
      <c r="Q585" s="39" t="n">
        <v>0.107533025671778</v>
      </c>
      <c r="R585" s="39" t="n">
        <v>0.151751454814729</v>
      </c>
      <c r="S585" s="39" t="n">
        <v>0.0906875561625214</v>
      </c>
      <c r="T585" s="38" t="n">
        <f aca="false">N585*Scorecard!$C$18+O585*Scorecard!$C$19+P585*Scorecard!$C$20+Q585*Scorecard!$C$21+R585*Scorecard!$C$22+S585*Scorecard!$C$23</f>
        <v>3.96247202456968</v>
      </c>
      <c r="U585" s="38" t="n">
        <f aca="false">N585*Scorecard!$D$18+O585*Scorecard!$D$19+P585*Scorecard!$D$20+Q585*Scorecard!$D$21+R585*Scorecard!$D$22+S585*Scorecard!$D$23</f>
        <v>2.92756097863573</v>
      </c>
      <c r="V585" s="38" t="n">
        <f aca="false">N585*Scorecard!$E$18+O585*Scorecard!$E$19+P585*Scorecard!$E$20+Q585*Scorecard!$E$21+R585*Scorecard!$E$22+S585*Scorecard!$E$23</f>
        <v>3.3819629475056</v>
      </c>
    </row>
    <row r="586" customFormat="false" ht="15" hidden="false" customHeight="false" outlineLevel="0" collapsed="false">
      <c r="A586" s="0" t="n">
        <v>581</v>
      </c>
      <c r="B586" s="38" t="n">
        <f aca="false">E586*Scorecard!$C$18+F586*Scorecard!$C$19+G586*Scorecard!$C$20+H586*Scorecard!$C$21+I586*Scorecard!$C$22+J586*Scorecard!$C$23</f>
        <v>3.69891354593389</v>
      </c>
      <c r="C586" s="38" t="n">
        <f aca="false">E586*Scorecard!$D$18+F586*Scorecard!$D$19+G586*Scorecard!$D$20+H586*Scorecard!$D$21+I586*Scorecard!$D$22+J586*Scorecard!$D$23</f>
        <v>2.64762735884839</v>
      </c>
      <c r="D586" s="0" t="str">
        <f aca="false">IF(AND(B586&gt;=C586,B586&gt;=K586),"A. Distribution",IF(C586&gt;=K586,"B. Manufacturing","C. Prof. services"))</f>
        <v>A. Distribution</v>
      </c>
      <c r="E586" s="39" t="n">
        <v>0.0466288121187926</v>
      </c>
      <c r="F586" s="39" t="n">
        <v>0.0799743533564954</v>
      </c>
      <c r="G586" s="39" t="n">
        <v>0.0947207585860797</v>
      </c>
      <c r="H586" s="39" t="n">
        <v>0.192549113072948</v>
      </c>
      <c r="I586" s="39" t="n">
        <v>0.407842037515515</v>
      </c>
      <c r="J586" s="39" t="n">
        <v>0.178284925350169</v>
      </c>
      <c r="K586" s="38" t="n">
        <f aca="false">E586*Scorecard!$E$18+F586*Scorecard!$E$19+G586*Scorecard!$E$20+H586*Scorecard!$E$21+I586*Scorecard!$E$22+J586*Scorecard!$E$23</f>
        <v>3.22749678845802</v>
      </c>
      <c r="M586" s="0" t="str">
        <f aca="false">IF(AND(T586&gt;=U586,T586&gt;=V586),"A. Distribution",IF(U586&gt;=V586,"B. Manufacturing","C. Prof. services"))</f>
        <v>A. Distribution</v>
      </c>
      <c r="N586" s="39" t="n">
        <v>0.217743763278937</v>
      </c>
      <c r="O586" s="39" t="n">
        <v>0.129697671970504</v>
      </c>
      <c r="P586" s="39" t="n">
        <v>0.155481116986293</v>
      </c>
      <c r="Q586" s="39" t="n">
        <v>0.179561012798005</v>
      </c>
      <c r="R586" s="39" t="n">
        <v>0.186206816742029</v>
      </c>
      <c r="S586" s="39" t="n">
        <v>0.131309618224233</v>
      </c>
      <c r="T586" s="38" t="n">
        <f aca="false">N586*Scorecard!$C$18+O586*Scorecard!$C$19+P586*Scorecard!$C$20+Q586*Scorecard!$C$21+R586*Scorecard!$C$22+S586*Scorecard!$C$23</f>
        <v>3.83024868718219</v>
      </c>
      <c r="U586" s="38" t="n">
        <f aca="false">N586*Scorecard!$D$18+O586*Scorecard!$D$19+P586*Scorecard!$D$20+Q586*Scorecard!$D$21+R586*Scorecard!$D$22+S586*Scorecard!$D$23</f>
        <v>2.74437876710573</v>
      </c>
      <c r="V586" s="38" t="n">
        <f aca="false">N586*Scorecard!$E$18+O586*Scorecard!$E$19+P586*Scorecard!$E$20+Q586*Scorecard!$E$21+R586*Scorecard!$E$22+S586*Scorecard!$E$23</f>
        <v>3.43265902194577</v>
      </c>
    </row>
    <row r="587" customFormat="false" ht="15" hidden="false" customHeight="false" outlineLevel="0" collapsed="false">
      <c r="A587" s="0" t="n">
        <v>582</v>
      </c>
      <c r="B587" s="38" t="n">
        <f aca="false">E587*Scorecard!$C$18+F587*Scorecard!$C$19+G587*Scorecard!$C$20+H587*Scorecard!$C$21+I587*Scorecard!$C$22+J587*Scorecard!$C$23</f>
        <v>3.56166131157525</v>
      </c>
      <c r="C587" s="38" t="n">
        <f aca="false">E587*Scorecard!$D$18+F587*Scorecard!$D$19+G587*Scorecard!$D$20+H587*Scorecard!$D$21+I587*Scorecard!$D$22+J587*Scorecard!$D$23</f>
        <v>2.11518901727538</v>
      </c>
      <c r="D587" s="0" t="str">
        <f aca="false">IF(AND(B587&gt;=C587,B587&gt;=K587),"A. Distribution",IF(C587&gt;=K587,"B. Manufacturing","C. Prof. services"))</f>
        <v>C. Prof. services</v>
      </c>
      <c r="E587" s="39" t="n">
        <v>0.0191871373801045</v>
      </c>
      <c r="F587" s="39" t="n">
        <v>0.215275061895123</v>
      </c>
      <c r="G587" s="39" t="n">
        <v>0.312930325712584</v>
      </c>
      <c r="H587" s="39" t="n">
        <v>0.046089648338924</v>
      </c>
      <c r="I587" s="39" t="n">
        <v>0.0829642815010052</v>
      </c>
      <c r="J587" s="39" t="n">
        <v>0.323553545172259</v>
      </c>
      <c r="K587" s="38" t="n">
        <f aca="false">E587*Scorecard!$E$18+F587*Scorecard!$E$19+G587*Scorecard!$E$20+H587*Scorecard!$E$21+I587*Scorecard!$E$22+J587*Scorecard!$E$23</f>
        <v>3.7414881290042</v>
      </c>
      <c r="M587" s="0" t="str">
        <f aca="false">IF(AND(T587&gt;=U587,T587&gt;=V587),"A. Distribution",IF(U587&gt;=V587,"B. Manufacturing","C. Prof. services"))</f>
        <v>A. Distribution</v>
      </c>
      <c r="N587" s="39" t="n">
        <v>0.26596942877393</v>
      </c>
      <c r="O587" s="39" t="n">
        <v>0.269642291317993</v>
      </c>
      <c r="P587" s="39" t="n">
        <v>0.220009605520869</v>
      </c>
      <c r="Q587" s="39" t="n">
        <v>0.0715007958209661</v>
      </c>
      <c r="R587" s="39" t="n">
        <v>0.0751724507675529</v>
      </c>
      <c r="S587" s="39" t="n">
        <v>0.0977054277986887</v>
      </c>
      <c r="T587" s="38" t="n">
        <f aca="false">N587*Scorecard!$C$18+O587*Scorecard!$C$19+P587*Scorecard!$C$20+Q587*Scorecard!$C$21+R587*Scorecard!$C$22+S587*Scorecard!$C$23</f>
        <v>4.04517335616732</v>
      </c>
      <c r="U587" s="38" t="n">
        <f aca="false">N587*Scorecard!$D$18+O587*Scorecard!$D$19+P587*Scorecard!$D$20+Q587*Scorecard!$D$21+R587*Scorecard!$D$22+S587*Scorecard!$D$23</f>
        <v>2.75327751955644</v>
      </c>
      <c r="V587" s="38" t="n">
        <f aca="false">N587*Scorecard!$E$18+O587*Scorecard!$E$19+P587*Scorecard!$E$20+Q587*Scorecard!$E$21+R587*Scorecard!$E$22+S587*Scorecard!$E$23</f>
        <v>3.4448566290516</v>
      </c>
    </row>
    <row r="588" customFormat="false" ht="15" hidden="false" customHeight="false" outlineLevel="0" collapsed="false">
      <c r="A588" s="0" t="n">
        <v>583</v>
      </c>
      <c r="B588" s="38" t="n">
        <f aca="false">E588*Scorecard!$C$18+F588*Scorecard!$C$19+G588*Scorecard!$C$20+H588*Scorecard!$C$21+I588*Scorecard!$C$22+J588*Scorecard!$C$23</f>
        <v>3.79110918881218</v>
      </c>
      <c r="C588" s="38" t="n">
        <f aca="false">E588*Scorecard!$D$18+F588*Scorecard!$D$19+G588*Scorecard!$D$20+H588*Scorecard!$D$21+I588*Scorecard!$D$22+J588*Scorecard!$D$23</f>
        <v>2.27971033522404</v>
      </c>
      <c r="D588" s="0" t="str">
        <f aca="false">IF(AND(B588&gt;=C588,B588&gt;=K588),"A. Distribution",IF(C588&gt;=K588,"B. Manufacturing","C. Prof. services"))</f>
        <v>A. Distribution</v>
      </c>
      <c r="E588" s="39" t="n">
        <v>0.0742197314271776</v>
      </c>
      <c r="F588" s="39" t="n">
        <v>0.230144067945647</v>
      </c>
      <c r="G588" s="39" t="n">
        <v>0.194596899677038</v>
      </c>
      <c r="H588" s="39" t="n">
        <v>0.279596189988135</v>
      </c>
      <c r="I588" s="39" t="n">
        <v>0.0199684294867803</v>
      </c>
      <c r="J588" s="39" t="n">
        <v>0.201474681475223</v>
      </c>
      <c r="K588" s="38" t="n">
        <f aca="false">E588*Scorecard!$E$18+F588*Scorecard!$E$19+G588*Scorecard!$E$20+H588*Scorecard!$E$21+I588*Scorecard!$E$22+J588*Scorecard!$E$23</f>
        <v>3.66377856647449</v>
      </c>
      <c r="M588" s="0" t="str">
        <f aca="false">IF(AND(T588&gt;=U588,T588&gt;=V588),"A. Distribution",IF(U588&gt;=V588,"B. Manufacturing","C. Prof. services"))</f>
        <v>A. Distribution</v>
      </c>
      <c r="N588" s="39" t="n">
        <v>0.198887881021255</v>
      </c>
      <c r="O588" s="39" t="n">
        <v>0.13325591911082</v>
      </c>
      <c r="P588" s="39" t="n">
        <v>0.136830551604213</v>
      </c>
      <c r="Q588" s="39" t="n">
        <v>0.133841621100895</v>
      </c>
      <c r="R588" s="39" t="n">
        <v>0.351048820814932</v>
      </c>
      <c r="S588" s="39" t="n">
        <v>0.0461352063478852</v>
      </c>
      <c r="T588" s="38" t="n">
        <f aca="false">N588*Scorecard!$C$18+O588*Scorecard!$C$19+P588*Scorecard!$C$20+Q588*Scorecard!$C$21+R588*Scorecard!$C$22+S588*Scorecard!$C$23</f>
        <v>4.01059592727569</v>
      </c>
      <c r="U588" s="38" t="n">
        <f aca="false">N588*Scorecard!$D$18+O588*Scorecard!$D$19+P588*Scorecard!$D$20+Q588*Scorecard!$D$21+R588*Scorecard!$D$22+S588*Scorecard!$D$23</f>
        <v>2.95712092297203</v>
      </c>
      <c r="V588" s="38" t="n">
        <f aca="false">N588*Scorecard!$E$18+O588*Scorecard!$E$19+P588*Scorecard!$E$20+Q588*Scorecard!$E$21+R588*Scorecard!$E$22+S588*Scorecard!$E$23</f>
        <v>3.13545770321598</v>
      </c>
    </row>
    <row r="589" customFormat="false" ht="15" hidden="false" customHeight="false" outlineLevel="0" collapsed="false">
      <c r="A589" s="0" t="n">
        <v>584</v>
      </c>
      <c r="B589" s="38" t="n">
        <f aca="false">E589*Scorecard!$C$18+F589*Scorecard!$C$19+G589*Scorecard!$C$20+H589*Scorecard!$C$21+I589*Scorecard!$C$22+J589*Scorecard!$C$23</f>
        <v>3.95245734813417</v>
      </c>
      <c r="C589" s="38" t="n">
        <f aca="false">E589*Scorecard!$D$18+F589*Scorecard!$D$19+G589*Scorecard!$D$20+H589*Scorecard!$D$21+I589*Scorecard!$D$22+J589*Scorecard!$D$23</f>
        <v>2.95186868158805</v>
      </c>
      <c r="D589" s="0" t="str">
        <f aca="false">IF(AND(B589&gt;=C589,B589&gt;=K589),"A. Distribution",IF(C589&gt;=K589,"B. Manufacturing","C. Prof. services"))</f>
        <v>A. Distribution</v>
      </c>
      <c r="E589" s="39" t="n">
        <v>0.0614907560445431</v>
      </c>
      <c r="F589" s="39" t="n">
        <v>0.0575316844151809</v>
      </c>
      <c r="G589" s="39" t="n">
        <v>0.156849541084447</v>
      </c>
      <c r="H589" s="39" t="n">
        <v>0.0814188322255574</v>
      </c>
      <c r="I589" s="39" t="n">
        <v>0.597026928715021</v>
      </c>
      <c r="J589" s="39" t="n">
        <v>0.0456822575152502</v>
      </c>
      <c r="K589" s="38" t="n">
        <f aca="false">E589*Scorecard!$E$18+F589*Scorecard!$E$19+G589*Scorecard!$E$20+H589*Scorecard!$E$21+I589*Scorecard!$E$22+J589*Scorecard!$E$23</f>
        <v>2.90162642315166</v>
      </c>
      <c r="M589" s="0" t="str">
        <f aca="false">IF(AND(T589&gt;=U589,T589&gt;=V589),"A. Distribution",IF(U589&gt;=V589,"B. Manufacturing","C. Prof. services"))</f>
        <v>A. Distribution</v>
      </c>
      <c r="N589" s="39" t="n">
        <v>0.165792048972377</v>
      </c>
      <c r="O589" s="39" t="n">
        <v>0.277687430445843</v>
      </c>
      <c r="P589" s="39" t="n">
        <v>0.257336123147144</v>
      </c>
      <c r="Q589" s="39" t="n">
        <v>0.165965659202208</v>
      </c>
      <c r="R589" s="39" t="n">
        <v>0.0539391104737567</v>
      </c>
      <c r="S589" s="39" t="n">
        <v>0.0792796277586726</v>
      </c>
      <c r="T589" s="38" t="n">
        <f aca="false">N589*Scorecard!$C$18+O589*Scorecard!$C$19+P589*Scorecard!$C$20+Q589*Scorecard!$C$21+R589*Scorecard!$C$22+S589*Scorecard!$C$23</f>
        <v>4.08793436935007</v>
      </c>
      <c r="U589" s="38" t="n">
        <f aca="false">N589*Scorecard!$D$18+O589*Scorecard!$D$19+P589*Scorecard!$D$20+Q589*Scorecard!$D$21+R589*Scorecard!$D$22+S589*Scorecard!$D$23</f>
        <v>2.5633602028857</v>
      </c>
      <c r="V589" s="38" t="n">
        <f aca="false">N589*Scorecard!$E$18+O589*Scorecard!$E$19+P589*Scorecard!$E$20+Q589*Scorecard!$E$21+R589*Scorecard!$E$22+S589*Scorecard!$E$23</f>
        <v>3.48060755063636</v>
      </c>
    </row>
    <row r="590" customFormat="false" ht="15" hidden="false" customHeight="false" outlineLevel="0" collapsed="false">
      <c r="A590" s="0" t="n">
        <v>585</v>
      </c>
      <c r="B590" s="38" t="n">
        <f aca="false">E590*Scorecard!$C$18+F590*Scorecard!$C$19+G590*Scorecard!$C$20+H590*Scorecard!$C$21+I590*Scorecard!$C$22+J590*Scorecard!$C$23</f>
        <v>4.00512234769442</v>
      </c>
      <c r="C590" s="38" t="n">
        <f aca="false">E590*Scorecard!$D$18+F590*Scorecard!$D$19+G590*Scorecard!$D$20+H590*Scorecard!$D$21+I590*Scorecard!$D$22+J590*Scorecard!$D$23</f>
        <v>2.92769669426091</v>
      </c>
      <c r="D590" s="0" t="str">
        <f aca="false">IF(AND(B590&gt;=C590,B590&gt;=K590),"A. Distribution",IF(C590&gt;=K590,"B. Manufacturing","C. Prof. services"))</f>
        <v>A. Distribution</v>
      </c>
      <c r="E590" s="39" t="n">
        <v>0.29435231146065</v>
      </c>
      <c r="F590" s="39" t="n">
        <v>0.064470376042288</v>
      </c>
      <c r="G590" s="39" t="n">
        <v>0.298723963051259</v>
      </c>
      <c r="H590" s="39" t="n">
        <v>0.133601040864044</v>
      </c>
      <c r="I590" s="39" t="n">
        <v>0.19819238811983</v>
      </c>
      <c r="J590" s="39" t="n">
        <v>0.0106599204619299</v>
      </c>
      <c r="K590" s="38" t="n">
        <f aca="false">E590*Scorecard!$E$18+F590*Scorecard!$E$19+G590*Scorecard!$E$20+H590*Scorecard!$E$21+I590*Scorecard!$E$22+J590*Scorecard!$E$23</f>
        <v>3.40705983013777</v>
      </c>
      <c r="M590" s="0" t="str">
        <f aca="false">IF(AND(T590&gt;=U590,T590&gt;=V590),"A. Distribution",IF(U590&gt;=V590,"B. Manufacturing","C. Prof. services"))</f>
        <v>A. Distribution</v>
      </c>
      <c r="N590" s="39" t="n">
        <v>0.350228759914483</v>
      </c>
      <c r="O590" s="39" t="n">
        <v>0.125369007795252</v>
      </c>
      <c r="P590" s="39" t="n">
        <v>0.123339560916861</v>
      </c>
      <c r="Q590" s="39" t="n">
        <v>0.252607263059097</v>
      </c>
      <c r="R590" s="39" t="n">
        <v>0.124250338175376</v>
      </c>
      <c r="S590" s="39" t="n">
        <v>0.0242050701389293</v>
      </c>
      <c r="T590" s="38" t="n">
        <f aca="false">N590*Scorecard!$C$18+O590*Scorecard!$C$19+P590*Scorecard!$C$20+Q590*Scorecard!$C$21+R590*Scorecard!$C$22+S590*Scorecard!$C$23</f>
        <v>4.02162155014987</v>
      </c>
      <c r="U590" s="38" t="n">
        <f aca="false">N590*Scorecard!$D$18+O590*Scorecard!$D$19+P590*Scorecard!$D$20+Q590*Scorecard!$D$21+R590*Scorecard!$D$22+S590*Scorecard!$D$23</f>
        <v>3.00244101408456</v>
      </c>
      <c r="V590" s="38" t="n">
        <f aca="false">N590*Scorecard!$E$18+O590*Scorecard!$E$19+P590*Scorecard!$E$20+Q590*Scorecard!$E$21+R590*Scorecard!$E$22+S590*Scorecard!$E$23</f>
        <v>3.39741001412329</v>
      </c>
    </row>
    <row r="591" customFormat="false" ht="15" hidden="false" customHeight="false" outlineLevel="0" collapsed="false">
      <c r="A591" s="0" t="n">
        <v>586</v>
      </c>
      <c r="B591" s="38" t="n">
        <f aca="false">E591*Scorecard!$C$18+F591*Scorecard!$C$19+G591*Scorecard!$C$20+H591*Scorecard!$C$21+I591*Scorecard!$C$22+J591*Scorecard!$C$23</f>
        <v>3.90398208264465</v>
      </c>
      <c r="C591" s="38" t="n">
        <f aca="false">E591*Scorecard!$D$18+F591*Scorecard!$D$19+G591*Scorecard!$D$20+H591*Scorecard!$D$21+I591*Scorecard!$D$22+J591*Scorecard!$D$23</f>
        <v>3.16472410241596</v>
      </c>
      <c r="D591" s="0" t="str">
        <f aca="false">IF(AND(B591&gt;=C591,B591&gt;=K591),"A. Distribution",IF(C591&gt;=K591,"B. Manufacturing","C. Prof. services"))</f>
        <v>A. Distribution</v>
      </c>
      <c r="E591" s="39" t="n">
        <v>0.440769009467535</v>
      </c>
      <c r="F591" s="39" t="n">
        <v>0.134775318577048</v>
      </c>
      <c r="G591" s="39" t="n">
        <v>0.0499583005537299</v>
      </c>
      <c r="H591" s="39" t="n">
        <v>0.125975836491254</v>
      </c>
      <c r="I591" s="39" t="n">
        <v>0.157605862547252</v>
      </c>
      <c r="J591" s="39" t="n">
        <v>0.0909156723631804</v>
      </c>
      <c r="K591" s="38" t="n">
        <f aca="false">E591*Scorecard!$E$18+F591*Scorecard!$E$19+G591*Scorecard!$E$20+H591*Scorecard!$E$21+I591*Scorecard!$E$22+J591*Scorecard!$E$23</f>
        <v>3.36007514086704</v>
      </c>
      <c r="M591" s="0" t="str">
        <f aca="false">IF(AND(T591&gt;=U591,T591&gt;=V591),"A. Distribution",IF(U591&gt;=V591,"B. Manufacturing","C. Prof. services"))</f>
        <v>A. Distribution</v>
      </c>
      <c r="N591" s="39" t="n">
        <v>0.151036614022173</v>
      </c>
      <c r="O591" s="39" t="n">
        <v>0.192623158163488</v>
      </c>
      <c r="P591" s="39" t="n">
        <v>0.273440407990779</v>
      </c>
      <c r="Q591" s="39" t="n">
        <v>0.164125528574323</v>
      </c>
      <c r="R591" s="39" t="n">
        <v>0.115745393463154</v>
      </c>
      <c r="S591" s="39" t="n">
        <v>0.103028897786084</v>
      </c>
      <c r="T591" s="38" t="n">
        <f aca="false">N591*Scorecard!$C$18+O591*Scorecard!$C$19+P591*Scorecard!$C$20+Q591*Scorecard!$C$21+R591*Scorecard!$C$22+S591*Scorecard!$C$23</f>
        <v>3.95675449840721</v>
      </c>
      <c r="U591" s="38" t="n">
        <f aca="false">N591*Scorecard!$D$18+O591*Scorecard!$D$19+P591*Scorecard!$D$20+Q591*Scorecard!$D$21+R591*Scorecard!$D$22+S591*Scorecard!$D$23</f>
        <v>2.55843026800137</v>
      </c>
      <c r="V591" s="38" t="n">
        <f aca="false">N591*Scorecard!$E$18+O591*Scorecard!$E$19+P591*Scorecard!$E$20+Q591*Scorecard!$E$21+R591*Scorecard!$E$22+S591*Scorecard!$E$23</f>
        <v>3.49913660118499</v>
      </c>
    </row>
    <row r="592" customFormat="false" ht="15" hidden="false" customHeight="false" outlineLevel="0" collapsed="false">
      <c r="A592" s="0" t="n">
        <v>587</v>
      </c>
      <c r="B592" s="38" t="n">
        <f aca="false">E592*Scorecard!$C$18+F592*Scorecard!$C$19+G592*Scorecard!$C$20+H592*Scorecard!$C$21+I592*Scorecard!$C$22+J592*Scorecard!$C$23</f>
        <v>4.21177949470787</v>
      </c>
      <c r="C592" s="38" t="n">
        <f aca="false">E592*Scorecard!$D$18+F592*Scorecard!$D$19+G592*Scorecard!$D$20+H592*Scorecard!$D$21+I592*Scorecard!$D$22+J592*Scorecard!$D$23</f>
        <v>2.72791619811801</v>
      </c>
      <c r="D592" s="0" t="str">
        <f aca="false">IF(AND(B592&gt;=C592,B592&gt;=K592),"A. Distribution",IF(C592&gt;=K592,"B. Manufacturing","C. Prof. services"))</f>
        <v>A. Distribution</v>
      </c>
      <c r="E592" s="39" t="n">
        <v>0.180765420462245</v>
      </c>
      <c r="F592" s="39" t="n">
        <v>0.411815988344676</v>
      </c>
      <c r="G592" s="39" t="n">
        <v>0.142514105850657</v>
      </c>
      <c r="H592" s="39" t="n">
        <v>0.0415563179211271</v>
      </c>
      <c r="I592" s="39" t="n">
        <v>0.132825315458973</v>
      </c>
      <c r="J592" s="39" t="n">
        <v>0.0905228519623231</v>
      </c>
      <c r="K592" s="38" t="n">
        <f aca="false">E592*Scorecard!$E$18+F592*Scorecard!$E$19+G592*Scorecard!$E$20+H592*Scorecard!$E$21+I592*Scorecard!$E$22+J592*Scorecard!$E$23</f>
        <v>3.22761442447037</v>
      </c>
      <c r="M592" s="0" t="str">
        <f aca="false">IF(AND(T592&gt;=U592,T592&gt;=V592),"A. Distribution",IF(U592&gt;=V592,"B. Manufacturing","C. Prof. services"))</f>
        <v>A. Distribution</v>
      </c>
      <c r="N592" s="39" t="n">
        <v>0.14808793227233</v>
      </c>
      <c r="O592" s="39" t="n">
        <v>0.423989723152135</v>
      </c>
      <c r="P592" s="39" t="n">
        <v>0.124936561773966</v>
      </c>
      <c r="Q592" s="39" t="n">
        <v>0.121958160354193</v>
      </c>
      <c r="R592" s="39" t="n">
        <v>0.113504114208828</v>
      </c>
      <c r="S592" s="39" t="n">
        <v>0.0675235082385477</v>
      </c>
      <c r="T592" s="38" t="n">
        <f aca="false">N592*Scorecard!$C$18+O592*Scorecard!$C$19+P592*Scorecard!$C$20+Q592*Scorecard!$C$21+R592*Scorecard!$C$22+S592*Scorecard!$C$23</f>
        <v>4.26391214129952</v>
      </c>
      <c r="U592" s="38" t="n">
        <f aca="false">N592*Scorecard!$D$18+O592*Scorecard!$D$19+P592*Scorecard!$D$20+Q592*Scorecard!$D$21+R592*Scorecard!$D$22+S592*Scorecard!$D$23</f>
        <v>2.67748671186324</v>
      </c>
      <c r="V592" s="38" t="n">
        <f aca="false">N592*Scorecard!$E$18+O592*Scorecard!$E$19+P592*Scorecard!$E$20+Q592*Scorecard!$E$21+R592*Scorecard!$E$22+S592*Scorecard!$E$23</f>
        <v>3.22380594240813</v>
      </c>
    </row>
    <row r="593" customFormat="false" ht="15" hidden="false" customHeight="false" outlineLevel="0" collapsed="false">
      <c r="A593" s="0" t="n">
        <v>588</v>
      </c>
      <c r="B593" s="38" t="n">
        <f aca="false">E593*Scorecard!$C$18+F593*Scorecard!$C$19+G593*Scorecard!$C$20+H593*Scorecard!$C$21+I593*Scorecard!$C$22+J593*Scorecard!$C$23</f>
        <v>4.01418786090509</v>
      </c>
      <c r="C593" s="38" t="n">
        <f aca="false">E593*Scorecard!$D$18+F593*Scorecard!$D$19+G593*Scorecard!$D$20+H593*Scorecard!$D$21+I593*Scorecard!$D$22+J593*Scorecard!$D$23</f>
        <v>2.8665195000316</v>
      </c>
      <c r="D593" s="0" t="str">
        <f aca="false">IF(AND(B593&gt;=C593,B593&gt;=K593),"A. Distribution",IF(C593&gt;=K593,"B. Manufacturing","C. Prof. services"))</f>
        <v>A. Distribution</v>
      </c>
      <c r="E593" s="39" t="n">
        <v>0.0275956770595919</v>
      </c>
      <c r="F593" s="39" t="n">
        <v>0.0642889556965747</v>
      </c>
      <c r="G593" s="39" t="n">
        <v>0.1260937288977</v>
      </c>
      <c r="H593" s="39" t="n">
        <v>0.235765775141112</v>
      </c>
      <c r="I593" s="39" t="n">
        <v>0.535015050033152</v>
      </c>
      <c r="J593" s="39" t="n">
        <v>0.0112408131718696</v>
      </c>
      <c r="K593" s="38" t="n">
        <f aca="false">E593*Scorecard!$E$18+F593*Scorecard!$E$19+G593*Scorecard!$E$20+H593*Scorecard!$E$21+I593*Scorecard!$E$22+J593*Scorecard!$E$23</f>
        <v>2.94614752279133</v>
      </c>
      <c r="M593" s="0" t="str">
        <f aca="false">IF(AND(T593&gt;=U593,T593&gt;=V593),"A. Distribution",IF(U593&gt;=V593,"B. Manufacturing","C. Prof. services"))</f>
        <v>A. Distribution</v>
      </c>
      <c r="N593" s="39" t="n">
        <v>0.0958623836896458</v>
      </c>
      <c r="O593" s="39" t="n">
        <v>0.264194346263816</v>
      </c>
      <c r="P593" s="39" t="n">
        <v>0.353591811744301</v>
      </c>
      <c r="Q593" s="39" t="n">
        <v>0.133933089979956</v>
      </c>
      <c r="R593" s="39" t="n">
        <v>0.128446063697756</v>
      </c>
      <c r="S593" s="39" t="n">
        <v>0.0239723046245254</v>
      </c>
      <c r="T593" s="38" t="n">
        <f aca="false">N593*Scorecard!$C$18+O593*Scorecard!$C$19+P593*Scorecard!$C$20+Q593*Scorecard!$C$21+R593*Scorecard!$C$22+S593*Scorecard!$C$23</f>
        <v>4.19412188664886</v>
      </c>
      <c r="U593" s="38" t="n">
        <f aca="false">N593*Scorecard!$D$18+O593*Scorecard!$D$19+P593*Scorecard!$D$20+Q593*Scorecard!$D$21+R593*Scorecard!$D$22+S593*Scorecard!$D$23</f>
        <v>2.53235222191782</v>
      </c>
      <c r="V593" s="38" t="n">
        <f aca="false">N593*Scorecard!$E$18+O593*Scorecard!$E$19+P593*Scorecard!$E$20+Q593*Scorecard!$E$21+R593*Scorecard!$E$22+S593*Scorecard!$E$23</f>
        <v>3.39034493794184</v>
      </c>
    </row>
    <row r="594" customFormat="false" ht="15" hidden="false" customHeight="false" outlineLevel="0" collapsed="false">
      <c r="A594" s="0" t="n">
        <v>589</v>
      </c>
      <c r="B594" s="38" t="n">
        <f aca="false">E594*Scorecard!$C$18+F594*Scorecard!$C$19+G594*Scorecard!$C$20+H594*Scorecard!$C$21+I594*Scorecard!$C$22+J594*Scorecard!$C$23</f>
        <v>3.78676053705277</v>
      </c>
      <c r="C594" s="38" t="n">
        <f aca="false">E594*Scorecard!$D$18+F594*Scorecard!$D$19+G594*Scorecard!$D$20+H594*Scorecard!$D$21+I594*Scorecard!$D$22+J594*Scorecard!$D$23</f>
        <v>2.26428576158542</v>
      </c>
      <c r="D594" s="0" t="str">
        <f aca="false">IF(AND(B594&gt;=C594,B594&gt;=K594),"A. Distribution",IF(C594&gt;=K594,"B. Manufacturing","C. Prof. services"))</f>
        <v>A. Distribution</v>
      </c>
      <c r="E594" s="39" t="n">
        <v>0.0531735187920315</v>
      </c>
      <c r="F594" s="39" t="n">
        <v>0.0752927668553271</v>
      </c>
      <c r="G594" s="39" t="n">
        <v>0.450475116177963</v>
      </c>
      <c r="H594" s="39" t="n">
        <v>0.195297704079405</v>
      </c>
      <c r="I594" s="39" t="n">
        <v>0.0941510653877874</v>
      </c>
      <c r="J594" s="39" t="n">
        <v>0.131609828707486</v>
      </c>
      <c r="K594" s="38" t="n">
        <f aca="false">E594*Scorecard!$E$18+F594*Scorecard!$E$19+G594*Scorecard!$E$20+H594*Scorecard!$E$21+I594*Scorecard!$E$22+J594*Scorecard!$E$23</f>
        <v>3.72841308548158</v>
      </c>
      <c r="M594" s="0" t="str">
        <f aca="false">IF(AND(T594&gt;=U594,T594&gt;=V594),"A. Distribution",IF(U594&gt;=V594,"B. Manufacturing","C. Prof. services"))</f>
        <v>A. Distribution</v>
      </c>
      <c r="N594" s="39" t="n">
        <v>0.284029661143052</v>
      </c>
      <c r="O594" s="39" t="n">
        <v>0.1176782045132</v>
      </c>
      <c r="P594" s="39" t="n">
        <v>0.0779397749827153</v>
      </c>
      <c r="Q594" s="39" t="n">
        <v>0.1579541508976</v>
      </c>
      <c r="R594" s="39" t="n">
        <v>0.197877052559495</v>
      </c>
      <c r="S594" s="39" t="n">
        <v>0.164521155903939</v>
      </c>
      <c r="T594" s="38" t="n">
        <f aca="false">N594*Scorecard!$C$18+O594*Scorecard!$C$19+P594*Scorecard!$C$20+Q594*Scorecard!$C$21+R594*Scorecard!$C$22+S594*Scorecard!$C$23</f>
        <v>3.74881241565563</v>
      </c>
      <c r="U594" s="38" t="n">
        <f aca="false">N594*Scorecard!$D$18+O594*Scorecard!$D$19+P594*Scorecard!$D$20+Q594*Scorecard!$D$21+R594*Scorecard!$D$22+S594*Scorecard!$D$23</f>
        <v>2.86476780814577</v>
      </c>
      <c r="V594" s="38" t="n">
        <f aca="false">N594*Scorecard!$E$18+O594*Scorecard!$E$19+P594*Scorecard!$E$20+Q594*Scorecard!$E$21+R594*Scorecard!$E$22+S594*Scorecard!$E$23</f>
        <v>3.41810643024306</v>
      </c>
    </row>
    <row r="595" customFormat="false" ht="15" hidden="false" customHeight="false" outlineLevel="0" collapsed="false">
      <c r="A595" s="0" t="n">
        <v>590</v>
      </c>
      <c r="B595" s="38" t="n">
        <f aca="false">E595*Scorecard!$C$18+F595*Scorecard!$C$19+G595*Scorecard!$C$20+H595*Scorecard!$C$21+I595*Scorecard!$C$22+J595*Scorecard!$C$23</f>
        <v>3.34715393638007</v>
      </c>
      <c r="C595" s="38" t="n">
        <f aca="false">E595*Scorecard!$D$18+F595*Scorecard!$D$19+G595*Scorecard!$D$20+H595*Scorecard!$D$21+I595*Scorecard!$D$22+J595*Scorecard!$D$23</f>
        <v>2.2500809178032</v>
      </c>
      <c r="D595" s="0" t="str">
        <f aca="false">IF(AND(B595&gt;=C595,B595&gt;=K595),"A. Distribution",IF(C595&gt;=K595,"B. Manufacturing","C. Prof. services"))</f>
        <v>C. Prof. services</v>
      </c>
      <c r="E595" s="39" t="n">
        <v>0.100800722369839</v>
      </c>
      <c r="F595" s="39" t="n">
        <v>0.0357876422838149</v>
      </c>
      <c r="G595" s="39" t="n">
        <v>0.227657298879436</v>
      </c>
      <c r="H595" s="39" t="n">
        <v>0.208718261944371</v>
      </c>
      <c r="I595" s="39" t="n">
        <v>0.0980104614707703</v>
      </c>
      <c r="J595" s="39" t="n">
        <v>0.329025613051769</v>
      </c>
      <c r="K595" s="38" t="n">
        <f aca="false">E595*Scorecard!$E$18+F595*Scorecard!$E$19+G595*Scorecard!$E$20+H595*Scorecard!$E$21+I595*Scorecard!$E$22+J595*Scorecard!$E$23</f>
        <v>3.83971052008697</v>
      </c>
      <c r="M595" s="0" t="str">
        <f aca="false">IF(AND(T595&gt;=U595,T595&gt;=V595),"A. Distribution",IF(U595&gt;=V595,"B. Manufacturing","C. Prof. services"))</f>
        <v>A. Distribution</v>
      </c>
      <c r="N595" s="39" t="n">
        <v>0.170271374243129</v>
      </c>
      <c r="O595" s="39" t="n">
        <v>0.162051277572804</v>
      </c>
      <c r="P595" s="39" t="n">
        <v>0.223587748855687</v>
      </c>
      <c r="Q595" s="39" t="n">
        <v>0.137022547107181</v>
      </c>
      <c r="R595" s="39" t="n">
        <v>0.197669992888427</v>
      </c>
      <c r="S595" s="39" t="n">
        <v>0.109397059332773</v>
      </c>
      <c r="T595" s="38" t="n">
        <f aca="false">N595*Scorecard!$C$18+O595*Scorecard!$C$19+P595*Scorecard!$C$20+Q595*Scorecard!$C$21+R595*Scorecard!$C$22+S595*Scorecard!$C$23</f>
        <v>3.91482236007494</v>
      </c>
      <c r="U595" s="38" t="n">
        <f aca="false">N595*Scorecard!$D$18+O595*Scorecard!$D$19+P595*Scorecard!$D$20+Q595*Scorecard!$D$21+R595*Scorecard!$D$22+S595*Scorecard!$D$23</f>
        <v>2.67927546609156</v>
      </c>
      <c r="V595" s="38" t="n">
        <f aca="false">N595*Scorecard!$E$18+O595*Scorecard!$E$19+P595*Scorecard!$E$20+Q595*Scorecard!$E$21+R595*Scorecard!$E$22+S595*Scorecard!$E$23</f>
        <v>3.40157047997673</v>
      </c>
    </row>
    <row r="596" customFormat="false" ht="15" hidden="false" customHeight="false" outlineLevel="0" collapsed="false">
      <c r="A596" s="0" t="n">
        <v>591</v>
      </c>
      <c r="B596" s="38" t="n">
        <f aca="false">E596*Scorecard!$C$18+F596*Scorecard!$C$19+G596*Scorecard!$C$20+H596*Scorecard!$C$21+I596*Scorecard!$C$22+J596*Scorecard!$C$23</f>
        <v>4.28089282313087</v>
      </c>
      <c r="C596" s="38" t="n">
        <f aca="false">E596*Scorecard!$D$18+F596*Scorecard!$D$19+G596*Scorecard!$D$20+H596*Scorecard!$D$21+I596*Scorecard!$D$22+J596*Scorecard!$D$23</f>
        <v>2.24256423827308</v>
      </c>
      <c r="D596" s="0" t="str">
        <f aca="false">IF(AND(B596&gt;=C596,B596&gt;=K596),"A. Distribution",IF(C596&gt;=K596,"B. Manufacturing","C. Prof. services"))</f>
        <v>A. Distribution</v>
      </c>
      <c r="E596" s="39" t="n">
        <v>0.00208224390579344</v>
      </c>
      <c r="F596" s="39" t="n">
        <v>0.404227747647992</v>
      </c>
      <c r="G596" s="39" t="n">
        <v>0.477485591373672</v>
      </c>
      <c r="H596" s="39" t="n">
        <v>0.0189440790343427</v>
      </c>
      <c r="I596" s="39" t="n">
        <v>0.036697081916542</v>
      </c>
      <c r="J596" s="39" t="n">
        <v>0.0605632561216589</v>
      </c>
      <c r="K596" s="38" t="n">
        <f aca="false">E596*Scorecard!$E$18+F596*Scorecard!$E$19+G596*Scorecard!$E$20+H596*Scorecard!$E$21+I596*Scorecard!$E$22+J596*Scorecard!$E$23</f>
        <v>3.47866017807845</v>
      </c>
      <c r="M596" s="0" t="str">
        <f aca="false">IF(AND(T596&gt;=U596,T596&gt;=V596),"A. Distribution",IF(U596&gt;=V596,"B. Manufacturing","C. Prof. services"))</f>
        <v>A. Distribution</v>
      </c>
      <c r="N596" s="39" t="n">
        <v>0.0798617138945198</v>
      </c>
      <c r="O596" s="39" t="n">
        <v>0.130638983957572</v>
      </c>
      <c r="P596" s="39" t="n">
        <v>0.329595848993991</v>
      </c>
      <c r="Q596" s="39" t="n">
        <v>0.183830578006656</v>
      </c>
      <c r="R596" s="39" t="n">
        <v>0.224984239452742</v>
      </c>
      <c r="S596" s="39" t="n">
        <v>0.0510886356945192</v>
      </c>
      <c r="T596" s="38" t="n">
        <f aca="false">N596*Scorecard!$C$18+O596*Scorecard!$C$19+P596*Scorecard!$C$20+Q596*Scorecard!$C$21+R596*Scorecard!$C$22+S596*Scorecard!$C$23</f>
        <v>4.00224202071299</v>
      </c>
      <c r="U596" s="38" t="n">
        <f aca="false">N596*Scorecard!$D$18+O596*Scorecard!$D$19+P596*Scorecard!$D$20+Q596*Scorecard!$D$21+R596*Scorecard!$D$22+S596*Scorecard!$D$23</f>
        <v>2.55895719050668</v>
      </c>
      <c r="V596" s="38" t="n">
        <f aca="false">N596*Scorecard!$E$18+O596*Scorecard!$E$19+P596*Scorecard!$E$20+Q596*Scorecard!$E$21+R596*Scorecard!$E$22+S596*Scorecard!$E$23</f>
        <v>3.39433749207917</v>
      </c>
    </row>
    <row r="597" customFormat="false" ht="15" hidden="false" customHeight="false" outlineLevel="0" collapsed="false">
      <c r="A597" s="0" t="n">
        <v>592</v>
      </c>
      <c r="B597" s="38" t="n">
        <f aca="false">E597*Scorecard!$C$18+F597*Scorecard!$C$19+G597*Scorecard!$C$20+H597*Scorecard!$C$21+I597*Scorecard!$C$22+J597*Scorecard!$C$23</f>
        <v>3.87041641155243</v>
      </c>
      <c r="C597" s="38" t="n">
        <f aca="false">E597*Scorecard!$D$18+F597*Scorecard!$D$19+G597*Scorecard!$D$20+H597*Scorecard!$D$21+I597*Scorecard!$D$22+J597*Scorecard!$D$23</f>
        <v>2.46256918387537</v>
      </c>
      <c r="D597" s="0" t="str">
        <f aca="false">IF(AND(B597&gt;=C597,B597&gt;=K597),"A. Distribution",IF(C597&gt;=K597,"B. Manufacturing","C. Prof. services"))</f>
        <v>A. Distribution</v>
      </c>
      <c r="E597" s="39" t="n">
        <v>0.0313890227034431</v>
      </c>
      <c r="F597" s="39" t="n">
        <v>0.254312680272634</v>
      </c>
      <c r="G597" s="39" t="n">
        <v>0.0646403052420418</v>
      </c>
      <c r="H597" s="39" t="n">
        <v>0.267741240643221</v>
      </c>
      <c r="I597" s="39" t="n">
        <v>0.20565331632614</v>
      </c>
      <c r="J597" s="39" t="n">
        <v>0.17626343481252</v>
      </c>
      <c r="K597" s="38" t="n">
        <f aca="false">E597*Scorecard!$E$18+F597*Scorecard!$E$19+G597*Scorecard!$E$20+H597*Scorecard!$E$21+I597*Scorecard!$E$22+J597*Scorecard!$E$23</f>
        <v>3.33809316803566</v>
      </c>
      <c r="M597" s="0" t="str">
        <f aca="false">IF(AND(T597&gt;=U597,T597&gt;=V597),"A. Distribution",IF(U597&gt;=V597,"B. Manufacturing","C. Prof. services"))</f>
        <v>A. Distribution</v>
      </c>
      <c r="N597" s="39" t="n">
        <v>0.27210919732732</v>
      </c>
      <c r="O597" s="39" t="n">
        <v>0.0530163483180667</v>
      </c>
      <c r="P597" s="39" t="n">
        <v>0.302717487518228</v>
      </c>
      <c r="Q597" s="39" t="n">
        <v>0.173697594627178</v>
      </c>
      <c r="R597" s="39" t="n">
        <v>0.0915536430072613</v>
      </c>
      <c r="S597" s="39" t="n">
        <v>0.106905729201947</v>
      </c>
      <c r="T597" s="38" t="n">
        <f aca="false">N597*Scorecard!$C$18+O597*Scorecard!$C$19+P597*Scorecard!$C$20+Q597*Scorecard!$C$21+R597*Scorecard!$C$22+S597*Scorecard!$C$23</f>
        <v>3.79864210312301</v>
      </c>
      <c r="U597" s="38" t="n">
        <f aca="false">N597*Scorecard!$D$18+O597*Scorecard!$D$19+P597*Scorecard!$D$20+Q597*Scorecard!$D$21+R597*Scorecard!$D$22+S597*Scorecard!$D$23</f>
        <v>2.6980377609742</v>
      </c>
      <c r="V597" s="38" t="n">
        <f aca="false">N597*Scorecard!$E$18+O597*Scorecard!$E$19+P597*Scorecard!$E$20+Q597*Scorecard!$E$21+R597*Scorecard!$E$22+S597*Scorecard!$E$23</f>
        <v>3.64461682681067</v>
      </c>
    </row>
    <row r="598" customFormat="false" ht="15" hidden="false" customHeight="false" outlineLevel="0" collapsed="false">
      <c r="A598" s="0" t="n">
        <v>593</v>
      </c>
      <c r="B598" s="38" t="n">
        <f aca="false">E598*Scorecard!$C$18+F598*Scorecard!$C$19+G598*Scorecard!$C$20+H598*Scorecard!$C$21+I598*Scorecard!$C$22+J598*Scorecard!$C$23</f>
        <v>4.01615241486915</v>
      </c>
      <c r="C598" s="38" t="n">
        <f aca="false">E598*Scorecard!$D$18+F598*Scorecard!$D$19+G598*Scorecard!$D$20+H598*Scorecard!$D$21+I598*Scorecard!$D$22+J598*Scorecard!$D$23</f>
        <v>2.29785847329982</v>
      </c>
      <c r="D598" s="0" t="str">
        <f aca="false">IF(AND(B598&gt;=C598,B598&gt;=K598),"A. Distribution",IF(C598&gt;=K598,"B. Manufacturing","C. Prof. services"))</f>
        <v>A. Distribution</v>
      </c>
      <c r="E598" s="39" t="n">
        <v>0.040448010472266</v>
      </c>
      <c r="F598" s="39" t="n">
        <v>0.105519896417836</v>
      </c>
      <c r="G598" s="39" t="n">
        <v>0.358839364762673</v>
      </c>
      <c r="H598" s="39" t="n">
        <v>0.446996337960291</v>
      </c>
      <c r="I598" s="39" t="n">
        <v>0.0292184285639809</v>
      </c>
      <c r="J598" s="39" t="n">
        <v>0.0189779618229535</v>
      </c>
      <c r="K598" s="38" t="n">
        <f aca="false">E598*Scorecard!$E$18+F598*Scorecard!$E$19+G598*Scorecard!$E$20+H598*Scorecard!$E$21+I598*Scorecard!$E$22+J598*Scorecard!$E$23</f>
        <v>3.66822454016266</v>
      </c>
      <c r="M598" s="0" t="str">
        <f aca="false">IF(AND(T598&gt;=U598,T598&gt;=V598),"A. Distribution",IF(U598&gt;=V598,"B. Manufacturing","C. Prof. services"))</f>
        <v>A. Distribution</v>
      </c>
      <c r="N598" s="39" t="n">
        <v>0.253289417441679</v>
      </c>
      <c r="O598" s="39" t="n">
        <v>0.293910748457188</v>
      </c>
      <c r="P598" s="39" t="n">
        <v>0.0972846214970576</v>
      </c>
      <c r="Q598" s="39" t="n">
        <v>0.149776730114416</v>
      </c>
      <c r="R598" s="39" t="n">
        <v>0.0703876605231882</v>
      </c>
      <c r="S598" s="39" t="n">
        <v>0.135350821966471</v>
      </c>
      <c r="T598" s="38" t="n">
        <f aca="false">N598*Scorecard!$C$18+O598*Scorecard!$C$19+P598*Scorecard!$C$20+Q598*Scorecard!$C$21+R598*Scorecard!$C$22+S598*Scorecard!$C$23</f>
        <v>3.9867347842951</v>
      </c>
      <c r="U598" s="38" t="n">
        <f aca="false">N598*Scorecard!$D$18+O598*Scorecard!$D$19+P598*Scorecard!$D$20+Q598*Scorecard!$D$21+R598*Scorecard!$D$22+S598*Scorecard!$D$23</f>
        <v>2.73815519240275</v>
      </c>
      <c r="V598" s="38" t="n">
        <f aca="false">N598*Scorecard!$E$18+O598*Scorecard!$E$19+P598*Scorecard!$E$20+Q598*Scorecard!$E$21+R598*Scorecard!$E$22+S598*Scorecard!$E$23</f>
        <v>3.42338102485856</v>
      </c>
    </row>
    <row r="599" customFormat="false" ht="15" hidden="false" customHeight="false" outlineLevel="0" collapsed="false">
      <c r="A599" s="0" t="n">
        <v>594</v>
      </c>
      <c r="B599" s="38" t="n">
        <f aca="false">E599*Scorecard!$C$18+F599*Scorecard!$C$19+G599*Scorecard!$C$20+H599*Scorecard!$C$21+I599*Scorecard!$C$22+J599*Scorecard!$C$23</f>
        <v>3.8285028126913</v>
      </c>
      <c r="C599" s="38" t="n">
        <f aca="false">E599*Scorecard!$D$18+F599*Scorecard!$D$19+G599*Scorecard!$D$20+H599*Scorecard!$D$21+I599*Scorecard!$D$22+J599*Scorecard!$D$23</f>
        <v>2.51629465161019</v>
      </c>
      <c r="D599" s="0" t="str">
        <f aca="false">IF(AND(B599&gt;=C599,B599&gt;=K599),"A. Distribution",IF(C599&gt;=K599,"B. Manufacturing","C. Prof. services"))</f>
        <v>A. Distribution</v>
      </c>
      <c r="E599" s="39" t="n">
        <v>0.083186968023645</v>
      </c>
      <c r="F599" s="39" t="n">
        <v>0.0177075834435614</v>
      </c>
      <c r="G599" s="39" t="n">
        <v>0.297643300676602</v>
      </c>
      <c r="H599" s="39" t="n">
        <v>0.314158712015759</v>
      </c>
      <c r="I599" s="39" t="n">
        <v>0.212965849810122</v>
      </c>
      <c r="J599" s="39" t="n">
        <v>0.0743375860303112</v>
      </c>
      <c r="K599" s="38" t="n">
        <f aca="false">E599*Scorecard!$E$18+F599*Scorecard!$E$19+G599*Scorecard!$E$20+H599*Scorecard!$E$21+I599*Scorecard!$E$22+J599*Scorecard!$E$23</f>
        <v>3.51670344608865</v>
      </c>
      <c r="M599" s="0" t="str">
        <f aca="false">IF(AND(T599&gt;=U599,T599&gt;=V599),"A. Distribution",IF(U599&gt;=V599,"B. Manufacturing","C. Prof. services"))</f>
        <v>A. Distribution</v>
      </c>
      <c r="N599" s="39" t="n">
        <v>0.347943226311274</v>
      </c>
      <c r="O599" s="39" t="n">
        <v>0.155224707187885</v>
      </c>
      <c r="P599" s="39" t="n">
        <v>0.143076367460873</v>
      </c>
      <c r="Q599" s="39" t="n">
        <v>0.126729520005177</v>
      </c>
      <c r="R599" s="39" t="n">
        <v>0.158670110216485</v>
      </c>
      <c r="S599" s="39" t="n">
        <v>0.0683560688183051</v>
      </c>
      <c r="T599" s="38" t="n">
        <f aca="false">N599*Scorecard!$C$18+O599*Scorecard!$C$19+P599*Scorecard!$C$20+Q599*Scorecard!$C$21+R599*Scorecard!$C$22+S599*Scorecard!$C$23</f>
        <v>3.97692215097828</v>
      </c>
      <c r="U599" s="38" t="n">
        <f aca="false">N599*Scorecard!$D$18+O599*Scorecard!$D$19+P599*Scorecard!$D$20+Q599*Scorecard!$D$21+R599*Scorecard!$D$22+S599*Scorecard!$D$23</f>
        <v>3.00066063024142</v>
      </c>
      <c r="V599" s="38" t="n">
        <f aca="false">N599*Scorecard!$E$18+O599*Scorecard!$E$19+P599*Scorecard!$E$20+Q599*Scorecard!$E$21+R599*Scorecard!$E$22+S599*Scorecard!$E$23</f>
        <v>3.36874236888909</v>
      </c>
    </row>
    <row r="600" customFormat="false" ht="15" hidden="false" customHeight="false" outlineLevel="0" collapsed="false">
      <c r="A600" s="0" t="n">
        <v>595</v>
      </c>
      <c r="B600" s="38" t="n">
        <f aca="false">E600*Scorecard!$C$18+F600*Scorecard!$C$19+G600*Scorecard!$C$20+H600*Scorecard!$C$21+I600*Scorecard!$C$22+J600*Scorecard!$C$23</f>
        <v>3.41943683080501</v>
      </c>
      <c r="C600" s="38" t="n">
        <f aca="false">E600*Scorecard!$D$18+F600*Scorecard!$D$19+G600*Scorecard!$D$20+H600*Scorecard!$D$21+I600*Scorecard!$D$22+J600*Scorecard!$D$23</f>
        <v>2.13879362667931</v>
      </c>
      <c r="D600" s="0" t="str">
        <f aca="false">IF(AND(B600&gt;=C600,B600&gt;=K600),"A. Distribution",IF(C600&gt;=K600,"B. Manufacturing","C. Prof. services"))</f>
        <v>C. Prof. services</v>
      </c>
      <c r="E600" s="39" t="n">
        <v>0.0293619984240331</v>
      </c>
      <c r="F600" s="39" t="n">
        <v>0.0104708300185102</v>
      </c>
      <c r="G600" s="39" t="n">
        <v>0.303787975965639</v>
      </c>
      <c r="H600" s="39" t="n">
        <v>0.27774002859427</v>
      </c>
      <c r="I600" s="39" t="n">
        <v>0.0992641829549784</v>
      </c>
      <c r="J600" s="39" t="n">
        <v>0.279374984042569</v>
      </c>
      <c r="K600" s="38" t="n">
        <f aca="false">E600*Scorecard!$E$18+F600*Scorecard!$E$19+G600*Scorecard!$E$20+H600*Scorecard!$E$21+I600*Scorecard!$E$22+J600*Scorecard!$E$23</f>
        <v>3.85620381427406</v>
      </c>
      <c r="M600" s="0" t="str">
        <f aca="false">IF(AND(T600&gt;=U600,T600&gt;=V600),"A. Distribution",IF(U600&gt;=V600,"B. Manufacturing","C. Prof. services"))</f>
        <v>A. Distribution</v>
      </c>
      <c r="N600" s="39" t="n">
        <v>0.245345681867518</v>
      </c>
      <c r="O600" s="39" t="n">
        <v>0.273798772569778</v>
      </c>
      <c r="P600" s="39" t="n">
        <v>0.184518602939046</v>
      </c>
      <c r="Q600" s="39" t="n">
        <v>0.0907199471971161</v>
      </c>
      <c r="R600" s="39" t="n">
        <v>0.11739147872805</v>
      </c>
      <c r="S600" s="39" t="n">
        <v>0.0882255166984922</v>
      </c>
      <c r="T600" s="38" t="n">
        <f aca="false">N600*Scorecard!$C$18+O600*Scorecard!$C$19+P600*Scorecard!$C$20+Q600*Scorecard!$C$21+R600*Scorecard!$C$22+S600*Scorecard!$C$23</f>
        <v>4.06787459884339</v>
      </c>
      <c r="U600" s="38" t="n">
        <f aca="false">N600*Scorecard!$D$18+O600*Scorecard!$D$19+P600*Scorecard!$D$20+Q600*Scorecard!$D$21+R600*Scorecard!$D$22+S600*Scorecard!$D$23</f>
        <v>2.78039890269608</v>
      </c>
      <c r="V600" s="38" t="n">
        <f aca="false">N600*Scorecard!$E$18+O600*Scorecard!$E$19+P600*Scorecard!$E$20+Q600*Scorecard!$E$21+R600*Scorecard!$E$22+S600*Scorecard!$E$23</f>
        <v>3.36880724073377</v>
      </c>
    </row>
    <row r="601" customFormat="false" ht="15" hidden="false" customHeight="false" outlineLevel="0" collapsed="false">
      <c r="A601" s="0" t="n">
        <v>596</v>
      </c>
      <c r="B601" s="38" t="n">
        <f aca="false">E601*Scorecard!$C$18+F601*Scorecard!$C$19+G601*Scorecard!$C$20+H601*Scorecard!$C$21+I601*Scorecard!$C$22+J601*Scorecard!$C$23</f>
        <v>3.24485153155013</v>
      </c>
      <c r="C601" s="38" t="n">
        <f aca="false">E601*Scorecard!$D$18+F601*Scorecard!$D$19+G601*Scorecard!$D$20+H601*Scorecard!$D$21+I601*Scorecard!$D$22+J601*Scorecard!$D$23</f>
        <v>2.43504211659414</v>
      </c>
      <c r="D601" s="0" t="str">
        <f aca="false">IF(AND(B601&gt;=C601,B601&gt;=K601),"A. Distribution",IF(C601&gt;=K601,"B. Manufacturing","C. Prof. services"))</f>
        <v>C. Prof. services</v>
      </c>
      <c r="E601" s="39" t="n">
        <v>0.175003803724263</v>
      </c>
      <c r="F601" s="39" t="n">
        <v>0.0180751936131223</v>
      </c>
      <c r="G601" s="39" t="n">
        <v>0.0588109326064475</v>
      </c>
      <c r="H601" s="39" t="n">
        <v>0.244289229477651</v>
      </c>
      <c r="I601" s="39" t="n">
        <v>0.137395408691147</v>
      </c>
      <c r="J601" s="39" t="n">
        <v>0.36642543188737</v>
      </c>
      <c r="K601" s="38" t="n">
        <f aca="false">E601*Scorecard!$E$18+F601*Scorecard!$E$19+G601*Scorecard!$E$20+H601*Scorecard!$E$21+I601*Scorecard!$E$22+J601*Scorecard!$E$23</f>
        <v>3.76520537529695</v>
      </c>
      <c r="M601" s="0" t="str">
        <f aca="false">IF(AND(T601&gt;=U601,T601&gt;=V601),"A. Distribution",IF(U601&gt;=V601,"B. Manufacturing","C. Prof. services"))</f>
        <v>A. Distribution</v>
      </c>
      <c r="N601" s="39" t="n">
        <v>0.148171602195397</v>
      </c>
      <c r="O601" s="39" t="n">
        <v>0.158612942501357</v>
      </c>
      <c r="P601" s="39" t="n">
        <v>0.246351091920406</v>
      </c>
      <c r="Q601" s="39" t="n">
        <v>0.0817080397729031</v>
      </c>
      <c r="R601" s="39" t="n">
        <v>0.281636186358617</v>
      </c>
      <c r="S601" s="39" t="n">
        <v>0.0835201372513203</v>
      </c>
      <c r="T601" s="38" t="n">
        <f aca="false">N601*Scorecard!$C$18+O601*Scorecard!$C$19+P601*Scorecard!$C$20+Q601*Scorecard!$C$21+R601*Scorecard!$C$22+S601*Scorecard!$C$23</f>
        <v>3.97087235914672</v>
      </c>
      <c r="U601" s="38" t="n">
        <f aca="false">N601*Scorecard!$D$18+O601*Scorecard!$D$19+P601*Scorecard!$D$20+Q601*Scorecard!$D$21+R601*Scorecard!$D$22+S601*Scorecard!$D$23</f>
        <v>2.74146239802301</v>
      </c>
      <c r="V601" s="38" t="n">
        <f aca="false">N601*Scorecard!$E$18+O601*Scorecard!$E$19+P601*Scorecard!$E$20+Q601*Scorecard!$E$21+R601*Scorecard!$E$22+S601*Scorecard!$E$23</f>
        <v>3.28193773557496</v>
      </c>
    </row>
    <row r="602" customFormat="false" ht="15" hidden="false" customHeight="false" outlineLevel="0" collapsed="false">
      <c r="A602" s="0" t="n">
        <v>597</v>
      </c>
      <c r="B602" s="38" t="n">
        <f aca="false">E602*Scorecard!$C$18+F602*Scorecard!$C$19+G602*Scorecard!$C$20+H602*Scorecard!$C$21+I602*Scorecard!$C$22+J602*Scorecard!$C$23</f>
        <v>4.2682188231854</v>
      </c>
      <c r="C602" s="38" t="n">
        <f aca="false">E602*Scorecard!$D$18+F602*Scorecard!$D$19+G602*Scorecard!$D$20+H602*Scorecard!$D$21+I602*Scorecard!$D$22+J602*Scorecard!$D$23</f>
        <v>2.54013842587695</v>
      </c>
      <c r="D602" s="0" t="str">
        <f aca="false">IF(AND(B602&gt;=C602,B602&gt;=K602),"A. Distribution",IF(C602&gt;=K602,"B. Manufacturing","C. Prof. services"))</f>
        <v>A. Distribution</v>
      </c>
      <c r="E602" s="39" t="n">
        <v>0.0640386051553323</v>
      </c>
      <c r="F602" s="39" t="n">
        <v>0.326609379087754</v>
      </c>
      <c r="G602" s="39" t="n">
        <v>0.217788793634182</v>
      </c>
      <c r="H602" s="39" t="n">
        <v>0.250183080602116</v>
      </c>
      <c r="I602" s="39" t="n">
        <v>0.128234276881845</v>
      </c>
      <c r="J602" s="39" t="n">
        <v>0.0131458646387706</v>
      </c>
      <c r="K602" s="38" t="n">
        <f aca="false">E602*Scorecard!$E$18+F602*Scorecard!$E$19+G602*Scorecard!$E$20+H602*Scorecard!$E$21+I602*Scorecard!$E$22+J602*Scorecard!$E$23</f>
        <v>3.28856197448153</v>
      </c>
      <c r="M602" s="0" t="str">
        <f aca="false">IF(AND(T602&gt;=U602,T602&gt;=V602),"A. Distribution",IF(U602&gt;=V602,"B. Manufacturing","C. Prof. services"))</f>
        <v>A. Distribution</v>
      </c>
      <c r="N602" s="39" t="n">
        <v>0.208531748614725</v>
      </c>
      <c r="O602" s="39" t="n">
        <v>0.168093436788608</v>
      </c>
      <c r="P602" s="39" t="n">
        <v>0.17414665654175</v>
      </c>
      <c r="Q602" s="39" t="n">
        <v>0.174487109498413</v>
      </c>
      <c r="R602" s="39" t="n">
        <v>0.184614744736127</v>
      </c>
      <c r="S602" s="39" t="n">
        <v>0.0901263038203769</v>
      </c>
      <c r="T602" s="38" t="n">
        <f aca="false">N602*Scorecard!$C$18+O602*Scorecard!$C$19+P602*Scorecard!$C$20+Q602*Scorecard!$C$21+R602*Scorecard!$C$22+S602*Scorecard!$C$23</f>
        <v>3.95229739978553</v>
      </c>
      <c r="U602" s="38" t="n">
        <f aca="false">N602*Scorecard!$D$18+O602*Scorecard!$D$19+P602*Scorecard!$D$20+Q602*Scorecard!$D$21+R602*Scorecard!$D$22+S602*Scorecard!$D$23</f>
        <v>2.76306865597532</v>
      </c>
      <c r="V602" s="38" t="n">
        <f aca="false">N602*Scorecard!$E$18+O602*Scorecard!$E$19+P602*Scorecard!$E$20+Q602*Scorecard!$E$21+R602*Scorecard!$E$22+S602*Scorecard!$E$23</f>
        <v>3.37508743868163</v>
      </c>
    </row>
    <row r="603" customFormat="false" ht="15" hidden="false" customHeight="false" outlineLevel="0" collapsed="false">
      <c r="A603" s="0" t="n">
        <v>598</v>
      </c>
      <c r="B603" s="38" t="n">
        <f aca="false">E603*Scorecard!$C$18+F603*Scorecard!$C$19+G603*Scorecard!$C$20+H603*Scorecard!$C$21+I603*Scorecard!$C$22+J603*Scorecard!$C$23</f>
        <v>3.89282688853647</v>
      </c>
      <c r="C603" s="38" t="n">
        <f aca="false">E603*Scorecard!$D$18+F603*Scorecard!$D$19+G603*Scorecard!$D$20+H603*Scorecard!$D$21+I603*Scorecard!$D$22+J603*Scorecard!$D$23</f>
        <v>2.51197920188914</v>
      </c>
      <c r="D603" s="0" t="str">
        <f aca="false">IF(AND(B603&gt;=C603,B603&gt;=K603),"A. Distribution",IF(C603&gt;=K603,"B. Manufacturing","C. Prof. services"))</f>
        <v>A. Distribution</v>
      </c>
      <c r="E603" s="39" t="n">
        <v>0.0381163994564248</v>
      </c>
      <c r="F603" s="39" t="n">
        <v>0.357533913173721</v>
      </c>
      <c r="G603" s="39" t="n">
        <v>0.0331663947707096</v>
      </c>
      <c r="H603" s="39" t="n">
        <v>0.0986580461358643</v>
      </c>
      <c r="I603" s="39" t="n">
        <v>0.247017086660093</v>
      </c>
      <c r="J603" s="39" t="n">
        <v>0.225508159803187</v>
      </c>
      <c r="K603" s="38" t="n">
        <f aca="false">E603*Scorecard!$E$18+F603*Scorecard!$E$19+G603*Scorecard!$E$20+H603*Scorecard!$E$21+I603*Scorecard!$E$22+J603*Scorecard!$E$23</f>
        <v>3.22232134291255</v>
      </c>
      <c r="M603" s="0" t="str">
        <f aca="false">IF(AND(T603&gt;=U603,T603&gt;=V603),"A. Distribution",IF(U603&gt;=V603,"B. Manufacturing","C. Prof. services"))</f>
        <v>A. Distribution</v>
      </c>
      <c r="N603" s="39" t="n">
        <v>0.150525442702722</v>
      </c>
      <c r="O603" s="39" t="n">
        <v>0.269993972700056</v>
      </c>
      <c r="P603" s="39" t="n">
        <v>0.199522488867907</v>
      </c>
      <c r="Q603" s="39" t="n">
        <v>0.0768326435881677</v>
      </c>
      <c r="R603" s="39" t="n">
        <v>0.26232606858848</v>
      </c>
      <c r="S603" s="39" t="n">
        <v>0.0407993835526679</v>
      </c>
      <c r="T603" s="38" t="n">
        <f aca="false">N603*Scorecard!$C$18+O603*Scorecard!$C$19+P603*Scorecard!$C$20+Q603*Scorecard!$C$21+R603*Scorecard!$C$22+S603*Scorecard!$C$23</f>
        <v>4.16803124128675</v>
      </c>
      <c r="U603" s="38" t="n">
        <f aca="false">N603*Scorecard!$D$18+O603*Scorecard!$D$19+P603*Scorecard!$D$20+Q603*Scorecard!$D$21+R603*Scorecard!$D$22+S603*Scorecard!$D$23</f>
        <v>2.7994260928717</v>
      </c>
      <c r="V603" s="38" t="n">
        <f aca="false">N603*Scorecard!$E$18+O603*Scorecard!$E$19+P603*Scorecard!$E$20+Q603*Scorecard!$E$21+R603*Scorecard!$E$22+S603*Scorecard!$E$23</f>
        <v>3.16003234042574</v>
      </c>
    </row>
    <row r="604" customFormat="false" ht="15" hidden="false" customHeight="false" outlineLevel="0" collapsed="false">
      <c r="A604" s="0" t="n">
        <v>599</v>
      </c>
      <c r="B604" s="38" t="n">
        <f aca="false">E604*Scorecard!$C$18+F604*Scorecard!$C$19+G604*Scorecard!$C$20+H604*Scorecard!$C$21+I604*Scorecard!$C$22+J604*Scorecard!$C$23</f>
        <v>3.81362202678211</v>
      </c>
      <c r="C604" s="38" t="n">
        <f aca="false">E604*Scorecard!$D$18+F604*Scorecard!$D$19+G604*Scorecard!$D$20+H604*Scorecard!$D$21+I604*Scorecard!$D$22+J604*Scorecard!$D$23</f>
        <v>2.56187010321863</v>
      </c>
      <c r="D604" s="0" t="str">
        <f aca="false">IF(AND(B604&gt;=C604,B604&gt;=K604),"A. Distribution",IF(C604&gt;=K604,"B. Manufacturing","C. Prof. services"))</f>
        <v>A. Distribution</v>
      </c>
      <c r="E604" s="39" t="n">
        <v>0.193452171676819</v>
      </c>
      <c r="F604" s="39" t="n">
        <v>0.20664011886968</v>
      </c>
      <c r="G604" s="39" t="n">
        <v>0.165323578748097</v>
      </c>
      <c r="H604" s="39" t="n">
        <v>0.183004040003903</v>
      </c>
      <c r="I604" s="39" t="n">
        <v>0.0726962661921546</v>
      </c>
      <c r="J604" s="39" t="n">
        <v>0.178883824509348</v>
      </c>
      <c r="K604" s="38" t="n">
        <f aca="false">E604*Scorecard!$E$18+F604*Scorecard!$E$19+G604*Scorecard!$E$20+H604*Scorecard!$E$21+I604*Scorecard!$E$22+J604*Scorecard!$E$23</f>
        <v>3.56467543364913</v>
      </c>
      <c r="M604" s="0" t="str">
        <f aca="false">IF(AND(T604&gt;=U604,T604&gt;=V604),"A. Distribution",IF(U604&gt;=V604,"B. Manufacturing","C. Prof. services"))</f>
        <v>A. Distribution</v>
      </c>
      <c r="N604" s="39" t="n">
        <v>0.154297838831281</v>
      </c>
      <c r="O604" s="39" t="n">
        <v>0.172504878504062</v>
      </c>
      <c r="P604" s="39" t="n">
        <v>0.29550720886145</v>
      </c>
      <c r="Q604" s="39" t="n">
        <v>0.0531178646415917</v>
      </c>
      <c r="R604" s="39" t="n">
        <v>0.185234028385573</v>
      </c>
      <c r="S604" s="39" t="n">
        <v>0.139338180776043</v>
      </c>
      <c r="T604" s="38" t="n">
        <f aca="false">N604*Scorecard!$C$18+O604*Scorecard!$C$19+P604*Scorecard!$C$20+Q604*Scorecard!$C$21+R604*Scorecard!$C$22+S604*Scorecard!$C$23</f>
        <v>3.87571696048412</v>
      </c>
      <c r="U604" s="38" t="n">
        <f aca="false">N604*Scorecard!$D$18+O604*Scorecard!$D$19+P604*Scorecard!$D$20+Q604*Scorecard!$D$21+R604*Scorecard!$D$22+S604*Scorecard!$D$23</f>
        <v>2.59641988193837</v>
      </c>
      <c r="V604" s="38" t="n">
        <f aca="false">N604*Scorecard!$E$18+O604*Scorecard!$E$19+P604*Scorecard!$E$20+Q604*Scorecard!$E$21+R604*Scorecard!$E$22+S604*Scorecard!$E$23</f>
        <v>3.46020159922381</v>
      </c>
    </row>
    <row r="605" customFormat="false" ht="15" hidden="false" customHeight="false" outlineLevel="0" collapsed="false">
      <c r="A605" s="0" t="n">
        <v>600</v>
      </c>
      <c r="B605" s="38" t="n">
        <f aca="false">E605*Scorecard!$C$18+F605*Scorecard!$C$19+G605*Scorecard!$C$20+H605*Scorecard!$C$21+I605*Scorecard!$C$22+J605*Scorecard!$C$23</f>
        <v>4.30153959549457</v>
      </c>
      <c r="C605" s="38" t="n">
        <f aca="false">E605*Scorecard!$D$18+F605*Scorecard!$D$19+G605*Scorecard!$D$20+H605*Scorecard!$D$21+I605*Scorecard!$D$22+J605*Scorecard!$D$23</f>
        <v>2.64619747414576</v>
      </c>
      <c r="D605" s="0" t="str">
        <f aca="false">IF(AND(B605&gt;=C605,B605&gt;=K605),"A. Distribution",IF(C605&gt;=K605,"B. Manufacturing","C. Prof. services"))</f>
        <v>A. Distribution</v>
      </c>
      <c r="E605" s="39" t="n">
        <v>0.104787899201092</v>
      </c>
      <c r="F605" s="39" t="n">
        <v>0.379334104557656</v>
      </c>
      <c r="G605" s="39" t="n">
        <v>0.107801520069684</v>
      </c>
      <c r="H605" s="39" t="n">
        <v>0.262445271282722</v>
      </c>
      <c r="I605" s="39" t="n">
        <v>0.125079807427396</v>
      </c>
      <c r="J605" s="39" t="n">
        <v>0.0205513974614511</v>
      </c>
      <c r="K605" s="38" t="n">
        <f aca="false">E605*Scorecard!$E$18+F605*Scorecard!$E$19+G605*Scorecard!$E$20+H605*Scorecard!$E$21+I605*Scorecard!$E$22+J605*Scorecard!$E$23</f>
        <v>3.21010889287955</v>
      </c>
      <c r="M605" s="0" t="str">
        <f aca="false">IF(AND(T605&gt;=U605,T605&gt;=V605),"A. Distribution",IF(U605&gt;=V605,"B. Manufacturing","C. Prof. services"))</f>
        <v>A. Distribution</v>
      </c>
      <c r="N605" s="39" t="n">
        <v>0.275712102236156</v>
      </c>
      <c r="O605" s="39" t="n">
        <v>0.229425582700778</v>
      </c>
      <c r="P605" s="39" t="n">
        <v>0.145299426298749</v>
      </c>
      <c r="Q605" s="39" t="n">
        <v>0.04774146644747</v>
      </c>
      <c r="R605" s="39" t="n">
        <v>0.157138657022703</v>
      </c>
      <c r="S605" s="39" t="n">
        <v>0.144682765294146</v>
      </c>
      <c r="T605" s="38" t="n">
        <f aca="false">N605*Scorecard!$C$18+O605*Scorecard!$C$19+P605*Scorecard!$C$20+Q605*Scorecard!$C$21+R605*Scorecard!$C$22+S605*Scorecard!$C$23</f>
        <v>3.91277984643979</v>
      </c>
      <c r="U605" s="38" t="n">
        <f aca="false">N605*Scorecard!$D$18+O605*Scorecard!$D$19+P605*Scorecard!$D$20+Q605*Scorecard!$D$21+R605*Scorecard!$D$22+S605*Scorecard!$D$23</f>
        <v>2.83053523637544</v>
      </c>
      <c r="V605" s="38" t="n">
        <f aca="false">N605*Scorecard!$E$18+O605*Scorecard!$E$19+P605*Scorecard!$E$20+Q605*Scorecard!$E$21+R605*Scorecard!$E$22+S605*Scorecard!$E$23</f>
        <v>3.38270776701759</v>
      </c>
    </row>
    <row r="606" customFormat="false" ht="15" hidden="false" customHeight="false" outlineLevel="0" collapsed="false">
      <c r="A606" s="0" t="n">
        <v>601</v>
      </c>
      <c r="B606" s="38" t="n">
        <f aca="false">E606*Scorecard!$C$18+F606*Scorecard!$C$19+G606*Scorecard!$C$20+H606*Scorecard!$C$21+I606*Scorecard!$C$22+J606*Scorecard!$C$23</f>
        <v>3.82404133746835</v>
      </c>
      <c r="C606" s="38" t="n">
        <f aca="false">E606*Scorecard!$D$18+F606*Scorecard!$D$19+G606*Scorecard!$D$20+H606*Scorecard!$D$21+I606*Scorecard!$D$22+J606*Scorecard!$D$23</f>
        <v>3.37842048125663</v>
      </c>
      <c r="D606" s="0" t="str">
        <f aca="false">IF(AND(B606&gt;=C606,B606&gt;=K606),"A. Distribution",IF(C606&gt;=K606,"B. Manufacturing","C. Prof. services"))</f>
        <v>A. Distribution</v>
      </c>
      <c r="E606" s="39" t="n">
        <v>0.604288278216271</v>
      </c>
      <c r="F606" s="39" t="n">
        <v>0.0905279099338814</v>
      </c>
      <c r="G606" s="39" t="n">
        <v>0.0629386416056439</v>
      </c>
      <c r="H606" s="39" t="n">
        <v>0.0163430988691339</v>
      </c>
      <c r="I606" s="39" t="n">
        <v>0.11779745195093</v>
      </c>
      <c r="J606" s="39" t="n">
        <v>0.10810461942414</v>
      </c>
      <c r="K606" s="38" t="n">
        <f aca="false">E606*Scorecard!$E$18+F606*Scorecard!$E$19+G606*Scorecard!$E$20+H606*Scorecard!$E$21+I606*Scorecard!$E$22+J606*Scorecard!$E$23</f>
        <v>3.44201102625667</v>
      </c>
      <c r="M606" s="0" t="str">
        <f aca="false">IF(AND(T606&gt;=U606,T606&gt;=V606),"A. Distribution",IF(U606&gt;=V606,"B. Manufacturing","C. Prof. services"))</f>
        <v>A. Distribution</v>
      </c>
      <c r="N606" s="39" t="n">
        <v>0.088080991503995</v>
      </c>
      <c r="O606" s="39" t="n">
        <v>0.119007816038706</v>
      </c>
      <c r="P606" s="39" t="n">
        <v>0.234246442415638</v>
      </c>
      <c r="Q606" s="39" t="n">
        <v>0.233404980306394</v>
      </c>
      <c r="R606" s="39" t="n">
        <v>0.204690817619972</v>
      </c>
      <c r="S606" s="39" t="n">
        <v>0.120568952115296</v>
      </c>
      <c r="T606" s="38" t="n">
        <f aca="false">N606*Scorecard!$C$18+O606*Scorecard!$C$19+P606*Scorecard!$C$20+Q606*Scorecard!$C$21+R606*Scorecard!$C$22+S606*Scorecard!$C$23</f>
        <v>3.84564864974815</v>
      </c>
      <c r="U606" s="38" t="n">
        <f aca="false">N606*Scorecard!$D$18+O606*Scorecard!$D$19+P606*Scorecard!$D$20+Q606*Scorecard!$D$21+R606*Scorecard!$D$22+S606*Scorecard!$D$23</f>
        <v>2.5221168872205</v>
      </c>
      <c r="V606" s="38" t="n">
        <f aca="false">N606*Scorecard!$E$18+O606*Scorecard!$E$19+P606*Scorecard!$E$20+Q606*Scorecard!$E$21+R606*Scorecard!$E$22+S606*Scorecard!$E$23</f>
        <v>3.45648057799045</v>
      </c>
    </row>
    <row r="607" customFormat="false" ht="15" hidden="false" customHeight="false" outlineLevel="0" collapsed="false">
      <c r="A607" s="0" t="n">
        <v>602</v>
      </c>
      <c r="B607" s="38" t="n">
        <f aca="false">E607*Scorecard!$C$18+F607*Scorecard!$C$19+G607*Scorecard!$C$20+H607*Scorecard!$C$21+I607*Scorecard!$C$22+J607*Scorecard!$C$23</f>
        <v>3.47801706469359</v>
      </c>
      <c r="C607" s="38" t="n">
        <f aca="false">E607*Scorecard!$D$18+F607*Scorecard!$D$19+G607*Scorecard!$D$20+H607*Scorecard!$D$21+I607*Scorecard!$D$22+J607*Scorecard!$D$23</f>
        <v>2.68982351050756</v>
      </c>
      <c r="D607" s="0" t="str">
        <f aca="false">IF(AND(B607&gt;=C607,B607&gt;=K607),"A. Distribution",IF(C607&gt;=K607,"B. Manufacturing","C. Prof. services"))</f>
        <v>C. Prof. services</v>
      </c>
      <c r="E607" s="39" t="n">
        <v>0.293482891235982</v>
      </c>
      <c r="F607" s="39" t="n">
        <v>0.172247932578373</v>
      </c>
      <c r="G607" s="39" t="n">
        <v>0.0237325550172485</v>
      </c>
      <c r="H607" s="39" t="n">
        <v>0.064928603961334</v>
      </c>
      <c r="I607" s="39" t="n">
        <v>0.113772027818316</v>
      </c>
      <c r="J607" s="39" t="n">
        <v>0.331835989388747</v>
      </c>
      <c r="K607" s="38" t="n">
        <f aca="false">E607*Scorecard!$E$18+F607*Scorecard!$E$19+G607*Scorecard!$E$20+H607*Scorecard!$E$21+I607*Scorecard!$E$22+J607*Scorecard!$E$23</f>
        <v>3.60240784431777</v>
      </c>
      <c r="M607" s="0" t="str">
        <f aca="false">IF(AND(T607&gt;=U607,T607&gt;=V607),"A. Distribution",IF(U607&gt;=V607,"B. Manufacturing","C. Prof. services"))</f>
        <v>A. Distribution</v>
      </c>
      <c r="N607" s="39" t="n">
        <v>0.347505801820065</v>
      </c>
      <c r="O607" s="39" t="n">
        <v>0.165362319450275</v>
      </c>
      <c r="P607" s="39" t="n">
        <v>0.138899589975199</v>
      </c>
      <c r="Q607" s="39" t="n">
        <v>0.107654510206968</v>
      </c>
      <c r="R607" s="39" t="n">
        <v>0.15743065295012</v>
      </c>
      <c r="S607" s="39" t="n">
        <v>0.0831471255973728</v>
      </c>
      <c r="T607" s="38" t="n">
        <f aca="false">N607*Scorecard!$C$18+O607*Scorecard!$C$19+P607*Scorecard!$C$20+Q607*Scorecard!$C$21+R607*Scorecard!$C$22+S607*Scorecard!$C$23</f>
        <v>3.9595681125819</v>
      </c>
      <c r="U607" s="38" t="n">
        <f aca="false">N607*Scorecard!$D$18+O607*Scorecard!$D$19+P607*Scorecard!$D$20+Q607*Scorecard!$D$21+R607*Scorecard!$D$22+S607*Scorecard!$D$23</f>
        <v>2.99052349782768</v>
      </c>
      <c r="V607" s="38" t="n">
        <f aca="false">N607*Scorecard!$E$18+O607*Scorecard!$E$19+P607*Scorecard!$E$20+Q607*Scorecard!$E$21+R607*Scorecard!$E$22+S607*Scorecard!$E$23</f>
        <v>3.37254270244835</v>
      </c>
    </row>
    <row r="608" customFormat="false" ht="15" hidden="false" customHeight="false" outlineLevel="0" collapsed="false">
      <c r="A608" s="0" t="n">
        <v>603</v>
      </c>
      <c r="B608" s="38" t="n">
        <f aca="false">E608*Scorecard!$C$18+F608*Scorecard!$C$19+G608*Scorecard!$C$20+H608*Scorecard!$C$21+I608*Scorecard!$C$22+J608*Scorecard!$C$23</f>
        <v>3.35894557422174</v>
      </c>
      <c r="C608" s="38" t="n">
        <f aca="false">E608*Scorecard!$D$18+F608*Scorecard!$D$19+G608*Scorecard!$D$20+H608*Scorecard!$D$21+I608*Scorecard!$D$22+J608*Scorecard!$D$23</f>
        <v>2.2520852014958</v>
      </c>
      <c r="D608" s="0" t="str">
        <f aca="false">IF(AND(B608&gt;=C608,B608&gt;=K608),"A. Distribution",IF(C608&gt;=K608,"B. Manufacturing","C. Prof. services"))</f>
        <v>C. Prof. services</v>
      </c>
      <c r="E608" s="39" t="n">
        <v>0.0144692168895698</v>
      </c>
      <c r="F608" s="39" t="n">
        <v>0.121472720695679</v>
      </c>
      <c r="G608" s="39" t="n">
        <v>0.0645867273482748</v>
      </c>
      <c r="H608" s="39" t="n">
        <v>0.22242181838217</v>
      </c>
      <c r="I608" s="39" t="n">
        <v>0.208349827529253</v>
      </c>
      <c r="J608" s="39" t="n">
        <v>0.368699689155053</v>
      </c>
      <c r="K608" s="38" t="n">
        <f aca="false">E608*Scorecard!$E$18+F608*Scorecard!$E$19+G608*Scorecard!$E$20+H608*Scorecard!$E$21+I608*Scorecard!$E$22+J608*Scorecard!$E$23</f>
        <v>3.61189909705614</v>
      </c>
      <c r="M608" s="0" t="str">
        <f aca="false">IF(AND(T608&gt;=U608,T608&gt;=V608),"A. Distribution",IF(U608&gt;=V608,"B. Manufacturing","C. Prof. services"))</f>
        <v>A. Distribution</v>
      </c>
      <c r="N608" s="39" t="n">
        <v>0.243022352881124</v>
      </c>
      <c r="O608" s="39" t="n">
        <v>0.125621603830271</v>
      </c>
      <c r="P608" s="39" t="n">
        <v>0.196105338060757</v>
      </c>
      <c r="Q608" s="39" t="n">
        <v>0.176356052017031</v>
      </c>
      <c r="R608" s="39" t="n">
        <v>0.222595583050711</v>
      </c>
      <c r="S608" s="39" t="n">
        <v>0.0362990701601062</v>
      </c>
      <c r="T608" s="38" t="n">
        <f aca="false">N608*Scorecard!$C$18+O608*Scorecard!$C$19+P608*Scorecard!$C$20+Q608*Scorecard!$C$21+R608*Scorecard!$C$22+S608*Scorecard!$C$23</f>
        <v>4.014509515219</v>
      </c>
      <c r="U608" s="38" t="n">
        <f aca="false">N608*Scorecard!$D$18+O608*Scorecard!$D$19+P608*Scorecard!$D$20+Q608*Scorecard!$D$21+R608*Scorecard!$D$22+S608*Scorecard!$D$23</f>
        <v>2.88845175990083</v>
      </c>
      <c r="V608" s="38" t="n">
        <f aca="false">N608*Scorecard!$E$18+O608*Scorecard!$E$19+P608*Scorecard!$E$20+Q608*Scorecard!$E$21+R608*Scorecard!$E$22+S608*Scorecard!$E$23</f>
        <v>3.31778616694214</v>
      </c>
    </row>
    <row r="609" customFormat="false" ht="15" hidden="false" customHeight="false" outlineLevel="0" collapsed="false">
      <c r="A609" s="0" t="n">
        <v>604</v>
      </c>
      <c r="B609" s="38" t="n">
        <f aca="false">E609*Scorecard!$C$18+F609*Scorecard!$C$19+G609*Scorecard!$C$20+H609*Scorecard!$C$21+I609*Scorecard!$C$22+J609*Scorecard!$C$23</f>
        <v>4.05791906113399</v>
      </c>
      <c r="C609" s="38" t="n">
        <f aca="false">E609*Scorecard!$D$18+F609*Scorecard!$D$19+G609*Scorecard!$D$20+H609*Scorecard!$D$21+I609*Scorecard!$D$22+J609*Scorecard!$D$23</f>
        <v>2.67829030242437</v>
      </c>
      <c r="D609" s="0" t="str">
        <f aca="false">IF(AND(B609&gt;=C609,B609&gt;=K609),"A. Distribution",IF(C609&gt;=K609,"B. Manufacturing","C. Prof. services"))</f>
        <v>A. Distribution</v>
      </c>
      <c r="E609" s="39" t="n">
        <v>0.221621220970937</v>
      </c>
      <c r="F609" s="39" t="n">
        <v>0.286957212352427</v>
      </c>
      <c r="G609" s="39" t="n">
        <v>0.255485466057413</v>
      </c>
      <c r="H609" s="39" t="n">
        <v>0.0457343837863024</v>
      </c>
      <c r="I609" s="39" t="n">
        <v>0.0870432207711849</v>
      </c>
      <c r="J609" s="39" t="n">
        <v>0.103158496061735</v>
      </c>
      <c r="K609" s="38" t="n">
        <f aca="false">E609*Scorecard!$E$18+F609*Scorecard!$E$19+G609*Scorecard!$E$20+H609*Scorecard!$E$21+I609*Scorecard!$E$22+J609*Scorecard!$E$23</f>
        <v>3.43770125548164</v>
      </c>
      <c r="M609" s="0" t="str">
        <f aca="false">IF(AND(T609&gt;=U609,T609&gt;=V609),"A. Distribution",IF(U609&gt;=V609,"B. Manufacturing","C. Prof. services"))</f>
        <v>A. Distribution</v>
      </c>
      <c r="N609" s="39" t="n">
        <v>0.177713712532914</v>
      </c>
      <c r="O609" s="39" t="n">
        <v>0.206862983558907</v>
      </c>
      <c r="P609" s="39" t="n">
        <v>0.117610167039526</v>
      </c>
      <c r="Q609" s="39" t="n">
        <v>0.190291136187675</v>
      </c>
      <c r="R609" s="39" t="n">
        <v>0.188913592426478</v>
      </c>
      <c r="S609" s="39" t="n">
        <v>0.118608408254501</v>
      </c>
      <c r="T609" s="38" t="n">
        <f aca="false">N609*Scorecard!$C$18+O609*Scorecard!$C$19+P609*Scorecard!$C$20+Q609*Scorecard!$C$21+R609*Scorecard!$C$22+S609*Scorecard!$C$23</f>
        <v>3.93487412516968</v>
      </c>
      <c r="U609" s="38" t="n">
        <f aca="false">N609*Scorecard!$D$18+O609*Scorecard!$D$19+P609*Scorecard!$D$20+Q609*Scorecard!$D$21+R609*Scorecard!$D$22+S609*Scorecard!$D$23</f>
        <v>2.71736419896878</v>
      </c>
      <c r="V609" s="38" t="n">
        <f aca="false">N609*Scorecard!$E$18+O609*Scorecard!$E$19+P609*Scorecard!$E$20+Q609*Scorecard!$E$21+R609*Scorecard!$E$22+S609*Scorecard!$E$23</f>
        <v>3.34605768808012</v>
      </c>
    </row>
    <row r="610" customFormat="false" ht="15" hidden="false" customHeight="false" outlineLevel="0" collapsed="false">
      <c r="A610" s="0" t="n">
        <v>605</v>
      </c>
      <c r="B610" s="38" t="n">
        <f aca="false">E610*Scorecard!$C$18+F610*Scorecard!$C$19+G610*Scorecard!$C$20+H610*Scorecard!$C$21+I610*Scorecard!$C$22+J610*Scorecard!$C$23</f>
        <v>3.5973914242782</v>
      </c>
      <c r="C610" s="38" t="n">
        <f aca="false">E610*Scorecard!$D$18+F610*Scorecard!$D$19+G610*Scorecard!$D$20+H610*Scorecard!$D$21+I610*Scorecard!$D$22+J610*Scorecard!$D$23</f>
        <v>3.43769737790176</v>
      </c>
      <c r="D610" s="0" t="str">
        <f aca="false">IF(AND(B610&gt;=C610,B610&gt;=K610),"A. Distribution",IF(C610&gt;=K610,"B. Manufacturing","C. Prof. services"))</f>
        <v>A. Distribution</v>
      </c>
      <c r="E610" s="39" t="n">
        <v>0.692837860878228</v>
      </c>
      <c r="F610" s="39" t="n">
        <v>0.01439356435662</v>
      </c>
      <c r="G610" s="39" t="n">
        <v>0.0215201351615234</v>
      </c>
      <c r="H610" s="39" t="n">
        <v>0.00229944179046825</v>
      </c>
      <c r="I610" s="39" t="n">
        <v>0.0883846685072615</v>
      </c>
      <c r="J610" s="39" t="n">
        <v>0.180564329305899</v>
      </c>
      <c r="K610" s="38" t="n">
        <f aca="false">E610*Scorecard!$E$18+F610*Scorecard!$E$19+G610*Scorecard!$E$20+H610*Scorecard!$E$21+I610*Scorecard!$E$22+J610*Scorecard!$E$23</f>
        <v>3.57859408858226</v>
      </c>
      <c r="M610" s="0" t="str">
        <f aca="false">IF(AND(T610&gt;=U610,T610&gt;=V610),"A. Distribution",IF(U610&gt;=V610,"B. Manufacturing","C. Prof. services"))</f>
        <v>A. Distribution</v>
      </c>
      <c r="N610" s="39" t="n">
        <v>0.171040727814601</v>
      </c>
      <c r="O610" s="39" t="n">
        <v>0.302120958349291</v>
      </c>
      <c r="P610" s="39" t="n">
        <v>0.152275332418571</v>
      </c>
      <c r="Q610" s="39" t="n">
        <v>0.227946229712299</v>
      </c>
      <c r="R610" s="39" t="n">
        <v>0.106435368258753</v>
      </c>
      <c r="S610" s="39" t="n">
        <v>0.0401813834464855</v>
      </c>
      <c r="T610" s="38" t="n">
        <f aca="false">N610*Scorecard!$C$18+O610*Scorecard!$C$19+P610*Scorecard!$C$20+Q610*Scorecard!$C$21+R610*Scorecard!$C$22+S610*Scorecard!$C$23</f>
        <v>4.1834645435543</v>
      </c>
      <c r="U610" s="38" t="n">
        <f aca="false">N610*Scorecard!$D$18+O610*Scorecard!$D$19+P610*Scorecard!$D$20+Q610*Scorecard!$D$21+R610*Scorecard!$D$22+S610*Scorecard!$D$23</f>
        <v>2.69458291853022</v>
      </c>
      <c r="V610" s="38" t="n">
        <f aca="false">N610*Scorecard!$E$18+O610*Scorecard!$E$19+P610*Scorecard!$E$20+Q610*Scorecard!$E$21+R610*Scorecard!$E$22+S610*Scorecard!$E$23</f>
        <v>3.32145795013786</v>
      </c>
    </row>
    <row r="611" customFormat="false" ht="15" hidden="false" customHeight="false" outlineLevel="0" collapsed="false">
      <c r="A611" s="0" t="n">
        <v>606</v>
      </c>
      <c r="B611" s="38" t="n">
        <f aca="false">E611*Scorecard!$C$18+F611*Scorecard!$C$19+G611*Scorecard!$C$20+H611*Scorecard!$C$21+I611*Scorecard!$C$22+J611*Scorecard!$C$23</f>
        <v>3.68818441977465</v>
      </c>
      <c r="C611" s="38" t="n">
        <f aca="false">E611*Scorecard!$D$18+F611*Scorecard!$D$19+G611*Scorecard!$D$20+H611*Scorecard!$D$21+I611*Scorecard!$D$22+J611*Scorecard!$D$23</f>
        <v>2.67225109827265</v>
      </c>
      <c r="D611" s="0" t="str">
        <f aca="false">IF(AND(B611&gt;=C611,B611&gt;=K611),"A. Distribution",IF(C611&gt;=K611,"B. Manufacturing","C. Prof. services"))</f>
        <v>A. Distribution</v>
      </c>
      <c r="E611" s="39" t="n">
        <v>0.240065701244412</v>
      </c>
      <c r="F611" s="39" t="n">
        <v>0.146208802321657</v>
      </c>
      <c r="G611" s="39" t="n">
        <v>0.15084813343127</v>
      </c>
      <c r="H611" s="39" t="n">
        <v>0.112409446617769</v>
      </c>
      <c r="I611" s="39" t="n">
        <v>0.137148867121292</v>
      </c>
      <c r="J611" s="39" t="n">
        <v>0.213319049263601</v>
      </c>
      <c r="K611" s="38" t="n">
        <f aca="false">E611*Scorecard!$E$18+F611*Scorecard!$E$19+G611*Scorecard!$E$20+H611*Scorecard!$E$21+I611*Scorecard!$E$22+J611*Scorecard!$E$23</f>
        <v>3.54649360268851</v>
      </c>
      <c r="M611" s="0" t="str">
        <f aca="false">IF(AND(T611&gt;=U611,T611&gt;=V611),"A. Distribution",IF(U611&gt;=V611,"B. Manufacturing","C. Prof. services"))</f>
        <v>A. Distribution</v>
      </c>
      <c r="N611" s="39" t="n">
        <v>0.184041564263244</v>
      </c>
      <c r="O611" s="39" t="n">
        <v>0.198150003302767</v>
      </c>
      <c r="P611" s="39" t="n">
        <v>0.222360021920592</v>
      </c>
      <c r="Q611" s="39" t="n">
        <v>0.0401747482023778</v>
      </c>
      <c r="R611" s="39" t="n">
        <v>0.11691165402793</v>
      </c>
      <c r="S611" s="39" t="n">
        <v>0.238362008283089</v>
      </c>
      <c r="T611" s="38" t="n">
        <f aca="false">N611*Scorecard!$C$18+O611*Scorecard!$C$19+P611*Scorecard!$C$20+Q611*Scorecard!$C$21+R611*Scorecard!$C$22+S611*Scorecard!$C$23</f>
        <v>3.70232103096244</v>
      </c>
      <c r="U611" s="38" t="n">
        <f aca="false">N611*Scorecard!$D$18+O611*Scorecard!$D$19+P611*Scorecard!$D$20+Q611*Scorecard!$D$21+R611*Scorecard!$D$22+S611*Scorecard!$D$23</f>
        <v>2.5257994379969</v>
      </c>
      <c r="V611" s="38" t="n">
        <f aca="false">N611*Scorecard!$E$18+O611*Scorecard!$E$19+P611*Scorecard!$E$20+Q611*Scorecard!$E$21+R611*Scorecard!$E$22+S611*Scorecard!$E$23</f>
        <v>3.5822912864847</v>
      </c>
    </row>
    <row r="612" customFormat="false" ht="15" hidden="false" customHeight="false" outlineLevel="0" collapsed="false">
      <c r="A612" s="0" t="n">
        <v>607</v>
      </c>
      <c r="B612" s="38" t="n">
        <f aca="false">E612*Scorecard!$C$18+F612*Scorecard!$C$19+G612*Scorecard!$C$20+H612*Scorecard!$C$21+I612*Scorecard!$C$22+J612*Scorecard!$C$23</f>
        <v>3.86011263779123</v>
      </c>
      <c r="C612" s="38" t="n">
        <f aca="false">E612*Scorecard!$D$18+F612*Scorecard!$D$19+G612*Scorecard!$D$20+H612*Scorecard!$D$21+I612*Scorecard!$D$22+J612*Scorecard!$D$23</f>
        <v>2.81997380205937</v>
      </c>
      <c r="D612" s="0" t="str">
        <f aca="false">IF(AND(B612&gt;=C612,B612&gt;=K612),"A. Distribution",IF(C612&gt;=K612,"B. Manufacturing","C. Prof. services"))</f>
        <v>A. Distribution</v>
      </c>
      <c r="E612" s="39" t="n">
        <v>0.358359462929298</v>
      </c>
      <c r="F612" s="39" t="n">
        <v>0.178967696235017</v>
      </c>
      <c r="G612" s="39" t="n">
        <v>0.13412778693714</v>
      </c>
      <c r="H612" s="39" t="n">
        <v>0.182613931309507</v>
      </c>
      <c r="I612" s="39" t="n">
        <v>0.0107277347156877</v>
      </c>
      <c r="J612" s="39" t="n">
        <v>0.13520338787335</v>
      </c>
      <c r="K612" s="38" t="n">
        <f aca="false">E612*Scorecard!$E$18+F612*Scorecard!$E$19+G612*Scorecard!$E$20+H612*Scorecard!$E$21+I612*Scorecard!$E$22+J612*Scorecard!$E$23</f>
        <v>3.59687223013054</v>
      </c>
      <c r="M612" s="0" t="str">
        <f aca="false">IF(AND(T612&gt;=U612,T612&gt;=V612),"A. Distribution",IF(U612&gt;=V612,"B. Manufacturing","C. Prof. services"))</f>
        <v>A. Distribution</v>
      </c>
      <c r="N612" s="39" t="n">
        <v>0.0962905447173021</v>
      </c>
      <c r="O612" s="39" t="n">
        <v>0.177401420407784</v>
      </c>
      <c r="P612" s="39" t="n">
        <v>0.35629351340086</v>
      </c>
      <c r="Q612" s="39" t="n">
        <v>0.224742345712178</v>
      </c>
      <c r="R612" s="39" t="n">
        <v>0.0533573175614117</v>
      </c>
      <c r="S612" s="39" t="n">
        <v>0.0919148582004647</v>
      </c>
      <c r="T612" s="38" t="n">
        <f aca="false">N612*Scorecard!$C$18+O612*Scorecard!$C$19+P612*Scorecard!$C$20+Q612*Scorecard!$C$21+R612*Scorecard!$C$22+S612*Scorecard!$C$23</f>
        <v>3.96162472738187</v>
      </c>
      <c r="U612" s="38" t="n">
        <f aca="false">N612*Scorecard!$D$18+O612*Scorecard!$D$19+P612*Scorecard!$D$20+Q612*Scorecard!$D$21+R612*Scorecard!$D$22+S612*Scorecard!$D$23</f>
        <v>2.3796878264925</v>
      </c>
      <c r="V612" s="38" t="n">
        <f aca="false">N612*Scorecard!$E$18+O612*Scorecard!$E$19+P612*Scorecard!$E$20+Q612*Scorecard!$E$21+R612*Scorecard!$E$22+S612*Scorecard!$E$23</f>
        <v>3.62330486772783</v>
      </c>
    </row>
    <row r="613" customFormat="false" ht="15" hidden="false" customHeight="false" outlineLevel="0" collapsed="false">
      <c r="A613" s="0" t="n">
        <v>608</v>
      </c>
      <c r="B613" s="38" t="n">
        <f aca="false">E613*Scorecard!$C$18+F613*Scorecard!$C$19+G613*Scorecard!$C$20+H613*Scorecard!$C$21+I613*Scorecard!$C$22+J613*Scorecard!$C$23</f>
        <v>3.81012278025173</v>
      </c>
      <c r="C613" s="38" t="n">
        <f aca="false">E613*Scorecard!$D$18+F613*Scorecard!$D$19+G613*Scorecard!$D$20+H613*Scorecard!$D$21+I613*Scorecard!$D$22+J613*Scorecard!$D$23</f>
        <v>3.15561825959062</v>
      </c>
      <c r="D613" s="0" t="str">
        <f aca="false">IF(AND(B613&gt;=C613,B613&gt;=K613),"A. Distribution",IF(C613&gt;=K613,"B. Manufacturing","C. Prof. services"))</f>
        <v>A. Distribution</v>
      </c>
      <c r="E613" s="39" t="n">
        <v>0.504015802410913</v>
      </c>
      <c r="F613" s="39" t="n">
        <v>0.0141756396394564</v>
      </c>
      <c r="G613" s="39" t="n">
        <v>0.0756401844859796</v>
      </c>
      <c r="H613" s="39" t="n">
        <v>0.279407101963761</v>
      </c>
      <c r="I613" s="39" t="n">
        <v>0.0600208822709822</v>
      </c>
      <c r="J613" s="39" t="n">
        <v>0.066740389228908</v>
      </c>
      <c r="K613" s="38" t="n">
        <f aca="false">E613*Scorecard!$E$18+F613*Scorecard!$E$19+G613*Scorecard!$E$20+H613*Scorecard!$E$21+I613*Scorecard!$E$22+J613*Scorecard!$E$23</f>
        <v>3.57299236840231</v>
      </c>
      <c r="M613" s="0" t="str">
        <f aca="false">IF(AND(T613&gt;=U613,T613&gt;=V613),"A. Distribution",IF(U613&gt;=V613,"B. Manufacturing","C. Prof. services"))</f>
        <v>A. Distribution</v>
      </c>
      <c r="N613" s="39" t="n">
        <v>0.277008283381514</v>
      </c>
      <c r="O613" s="39" t="n">
        <v>0.252596402085345</v>
      </c>
      <c r="P613" s="39" t="n">
        <v>0.115807481376582</v>
      </c>
      <c r="Q613" s="39" t="n">
        <v>0.158974584216161</v>
      </c>
      <c r="R613" s="39" t="n">
        <v>0.158458130642431</v>
      </c>
      <c r="S613" s="39" t="n">
        <v>0.0371551182979671</v>
      </c>
      <c r="T613" s="38" t="n">
        <f aca="false">N613*Scorecard!$C$18+O613*Scorecard!$C$19+P613*Scorecard!$C$20+Q613*Scorecard!$C$21+R613*Scorecard!$C$22+S613*Scorecard!$C$23</f>
        <v>4.13891645990525</v>
      </c>
      <c r="U613" s="38" t="n">
        <f aca="false">N613*Scorecard!$D$18+O613*Scorecard!$D$19+P613*Scorecard!$D$20+Q613*Scorecard!$D$21+R613*Scorecard!$D$22+S613*Scorecard!$D$23</f>
        <v>2.93346757145005</v>
      </c>
      <c r="V613" s="38" t="n">
        <f aca="false">N613*Scorecard!$E$18+O613*Scorecard!$E$19+P613*Scorecard!$E$20+Q613*Scorecard!$E$21+R613*Scorecard!$E$22+S613*Scorecard!$E$23</f>
        <v>3.26201620786579</v>
      </c>
    </row>
    <row r="614" customFormat="false" ht="15" hidden="false" customHeight="false" outlineLevel="0" collapsed="false">
      <c r="A614" s="0" t="n">
        <v>609</v>
      </c>
      <c r="B614" s="38" t="n">
        <f aca="false">E614*Scorecard!$C$18+F614*Scorecard!$C$19+G614*Scorecard!$C$20+H614*Scorecard!$C$21+I614*Scorecard!$C$22+J614*Scorecard!$C$23</f>
        <v>4.23627749591411</v>
      </c>
      <c r="C614" s="38" t="n">
        <f aca="false">E614*Scorecard!$D$18+F614*Scorecard!$D$19+G614*Scorecard!$D$20+H614*Scorecard!$D$21+I614*Scorecard!$D$22+J614*Scorecard!$D$23</f>
        <v>3.08116987438664</v>
      </c>
      <c r="D614" s="0" t="str">
        <f aca="false">IF(AND(B614&gt;=C614,B614&gt;=K614),"A. Distribution",IF(C614&gt;=K614,"B. Manufacturing","C. Prof. services"))</f>
        <v>A. Distribution</v>
      </c>
      <c r="E614" s="39" t="n">
        <v>0.356735882609085</v>
      </c>
      <c r="F614" s="39" t="n">
        <v>0.34720733469117</v>
      </c>
      <c r="G614" s="39" t="n">
        <v>0.0268662778229599</v>
      </c>
      <c r="H614" s="39" t="n">
        <v>0.114684902491796</v>
      </c>
      <c r="I614" s="39" t="n">
        <v>0.119539951975575</v>
      </c>
      <c r="J614" s="39" t="n">
        <v>0.0349656504094135</v>
      </c>
      <c r="K614" s="38" t="n">
        <f aca="false">E614*Scorecard!$E$18+F614*Scorecard!$E$19+G614*Scorecard!$E$20+H614*Scorecard!$E$21+I614*Scorecard!$E$22+J614*Scorecard!$E$23</f>
        <v>3.1873090684159</v>
      </c>
      <c r="M614" s="0" t="str">
        <f aca="false">IF(AND(T614&gt;=U614,T614&gt;=V614),"A. Distribution",IF(U614&gt;=V614,"B. Manufacturing","C. Prof. services"))</f>
        <v>A. Distribution</v>
      </c>
      <c r="N614" s="39" t="n">
        <v>0.173568722268327</v>
      </c>
      <c r="O614" s="39" t="n">
        <v>0.217368349208521</v>
      </c>
      <c r="P614" s="39" t="n">
        <v>0.188786451962259</v>
      </c>
      <c r="Q614" s="39" t="n">
        <v>0.19944875820755</v>
      </c>
      <c r="R614" s="39" t="n">
        <v>0.123217406728692</v>
      </c>
      <c r="S614" s="39" t="n">
        <v>0.0976103116246504</v>
      </c>
      <c r="T614" s="38" t="n">
        <f aca="false">N614*Scorecard!$C$18+O614*Scorecard!$C$19+P614*Scorecard!$C$20+Q614*Scorecard!$C$21+R614*Scorecard!$C$22+S614*Scorecard!$C$23</f>
        <v>3.98672173282031</v>
      </c>
      <c r="U614" s="38" t="n">
        <f aca="false">N614*Scorecard!$D$18+O614*Scorecard!$D$19+P614*Scorecard!$D$20+Q614*Scorecard!$D$21+R614*Scorecard!$D$22+S614*Scorecard!$D$23</f>
        <v>2.64012631112438</v>
      </c>
      <c r="V614" s="38" t="n">
        <f aca="false">N614*Scorecard!$E$18+O614*Scorecard!$E$19+P614*Scorecard!$E$20+Q614*Scorecard!$E$21+R614*Scorecard!$E$22+S614*Scorecard!$E$23</f>
        <v>3.43157342707149</v>
      </c>
    </row>
    <row r="615" customFormat="false" ht="15" hidden="false" customHeight="false" outlineLevel="0" collapsed="false">
      <c r="A615" s="0" t="n">
        <v>610</v>
      </c>
      <c r="B615" s="38" t="n">
        <f aca="false">E615*Scorecard!$C$18+F615*Scorecard!$C$19+G615*Scorecard!$C$20+H615*Scorecard!$C$21+I615*Scorecard!$C$22+J615*Scorecard!$C$23</f>
        <v>3.03232988417106</v>
      </c>
      <c r="C615" s="38" t="n">
        <f aca="false">E615*Scorecard!$D$18+F615*Scorecard!$D$19+G615*Scorecard!$D$20+H615*Scorecard!$D$21+I615*Scorecard!$D$22+J615*Scorecard!$D$23</f>
        <v>2.19415924688535</v>
      </c>
      <c r="D615" s="0" t="str">
        <f aca="false">IF(AND(B615&gt;=C615,B615&gt;=K615),"A. Distribution",IF(C615&gt;=K615,"B. Manufacturing","C. Prof. services"))</f>
        <v>C. Prof. services</v>
      </c>
      <c r="E615" s="39" t="n">
        <v>0.100801969236249</v>
      </c>
      <c r="F615" s="39" t="n">
        <v>0.0102540937312551</v>
      </c>
      <c r="G615" s="39" t="n">
        <v>0.103618847977888</v>
      </c>
      <c r="H615" s="39" t="n">
        <v>0.183927463357922</v>
      </c>
      <c r="I615" s="39" t="n">
        <v>0.126391199322618</v>
      </c>
      <c r="J615" s="39" t="n">
        <v>0.475006426374067</v>
      </c>
      <c r="K615" s="38" t="n">
        <f aca="false">E615*Scorecard!$E$18+F615*Scorecard!$E$19+G615*Scorecard!$E$20+H615*Scorecard!$E$21+I615*Scorecard!$E$22+J615*Scorecard!$E$23</f>
        <v>3.90402986330291</v>
      </c>
      <c r="M615" s="0" t="str">
        <f aca="false">IF(AND(T615&gt;=U615,T615&gt;=V615),"A. Distribution",IF(U615&gt;=V615,"B. Manufacturing","C. Prof. services"))</f>
        <v>A. Distribution</v>
      </c>
      <c r="N615" s="39" t="n">
        <v>0.237377910376444</v>
      </c>
      <c r="O615" s="39" t="n">
        <v>0.314650291893844</v>
      </c>
      <c r="P615" s="39" t="n">
        <v>0.0948894625701208</v>
      </c>
      <c r="Q615" s="39" t="n">
        <v>0.162150761076321</v>
      </c>
      <c r="R615" s="39" t="n">
        <v>0.0940790617831605</v>
      </c>
      <c r="S615" s="39" t="n">
        <v>0.0968525123001098</v>
      </c>
      <c r="T615" s="38" t="n">
        <f aca="false">N615*Scorecard!$C$18+O615*Scorecard!$C$19+P615*Scorecard!$C$20+Q615*Scorecard!$C$21+R615*Scorecard!$C$22+S615*Scorecard!$C$23</f>
        <v>4.08441512150472</v>
      </c>
      <c r="U615" s="38" t="n">
        <f aca="false">N615*Scorecard!$D$18+O615*Scorecard!$D$19+P615*Scorecard!$D$20+Q615*Scorecard!$D$21+R615*Scorecard!$D$22+S615*Scorecard!$D$23</f>
        <v>2.77140269158715</v>
      </c>
      <c r="V615" s="38" t="n">
        <f aca="false">N615*Scorecard!$E$18+O615*Scorecard!$E$19+P615*Scorecard!$E$20+Q615*Scorecard!$E$21+R615*Scorecard!$E$22+S615*Scorecard!$E$23</f>
        <v>3.34376149398403</v>
      </c>
    </row>
    <row r="616" customFormat="false" ht="15" hidden="false" customHeight="false" outlineLevel="0" collapsed="false">
      <c r="A616" s="0" t="n">
        <v>611</v>
      </c>
      <c r="B616" s="38" t="n">
        <f aca="false">E616*Scorecard!$C$18+F616*Scorecard!$C$19+G616*Scorecard!$C$20+H616*Scorecard!$C$21+I616*Scorecard!$C$22+J616*Scorecard!$C$23</f>
        <v>3.48726032584676</v>
      </c>
      <c r="C616" s="38" t="n">
        <f aca="false">E616*Scorecard!$D$18+F616*Scorecard!$D$19+G616*Scorecard!$D$20+H616*Scorecard!$D$21+I616*Scorecard!$D$22+J616*Scorecard!$D$23</f>
        <v>2.6900362742027</v>
      </c>
      <c r="D616" s="0" t="str">
        <f aca="false">IF(AND(B616&gt;=C616,B616&gt;=K616),"A. Distribution",IF(C616&gt;=K616,"B. Manufacturing","C. Prof. services"))</f>
        <v>C. Prof. services</v>
      </c>
      <c r="E616" s="39" t="n">
        <v>0.351817574717487</v>
      </c>
      <c r="F616" s="39" t="n">
        <v>0.187706474431769</v>
      </c>
      <c r="G616" s="39" t="n">
        <v>0.0824541379610086</v>
      </c>
      <c r="H616" s="39" t="n">
        <v>0.00965882236671734</v>
      </c>
      <c r="I616" s="39" t="n">
        <v>0.0327834367962648</v>
      </c>
      <c r="J616" s="39" t="n">
        <v>0.335579553726753</v>
      </c>
      <c r="K616" s="38" t="n">
        <f aca="false">E616*Scorecard!$E$18+F616*Scorecard!$E$19+G616*Scorecard!$E$20+H616*Scorecard!$E$21+I616*Scorecard!$E$22+J616*Scorecard!$E$23</f>
        <v>3.70969395793509</v>
      </c>
      <c r="M616" s="0" t="str">
        <f aca="false">IF(AND(T616&gt;=U616,T616&gt;=V616),"A. Distribution",IF(U616&gt;=V616,"B. Manufacturing","C. Prof. services"))</f>
        <v>A. Distribution</v>
      </c>
      <c r="N616" s="39" t="n">
        <v>0.122847531954679</v>
      </c>
      <c r="O616" s="39" t="n">
        <v>0.350099612791663</v>
      </c>
      <c r="P616" s="39" t="n">
        <v>0.154504083127621</v>
      </c>
      <c r="Q616" s="39" t="n">
        <v>0.249386422006089</v>
      </c>
      <c r="R616" s="39" t="n">
        <v>0.0867265495525636</v>
      </c>
      <c r="S616" s="39" t="n">
        <v>0.0364358005673839</v>
      </c>
      <c r="T616" s="38" t="n">
        <f aca="false">N616*Scorecard!$C$18+O616*Scorecard!$C$19+P616*Scorecard!$C$20+Q616*Scorecard!$C$21+R616*Scorecard!$C$22+S616*Scorecard!$C$23</f>
        <v>4.24049344657469</v>
      </c>
      <c r="U616" s="38" t="n">
        <f aca="false">N616*Scorecard!$D$18+O616*Scorecard!$D$19+P616*Scorecard!$D$20+Q616*Scorecard!$D$21+R616*Scorecard!$D$22+S616*Scorecard!$D$23</f>
        <v>2.60435369475432</v>
      </c>
      <c r="V616" s="38" t="n">
        <f aca="false">N616*Scorecard!$E$18+O616*Scorecard!$E$19+P616*Scorecard!$E$20+Q616*Scorecard!$E$21+R616*Scorecard!$E$22+S616*Scorecard!$E$23</f>
        <v>3.31216332624298</v>
      </c>
    </row>
    <row r="617" customFormat="false" ht="15" hidden="false" customHeight="false" outlineLevel="0" collapsed="false">
      <c r="A617" s="0" t="n">
        <v>612</v>
      </c>
      <c r="B617" s="38" t="n">
        <f aca="false">E617*Scorecard!$C$18+F617*Scorecard!$C$19+G617*Scorecard!$C$20+H617*Scorecard!$C$21+I617*Scorecard!$C$22+J617*Scorecard!$C$23</f>
        <v>3.31953009539183</v>
      </c>
      <c r="C617" s="38" t="n">
        <f aca="false">E617*Scorecard!$D$18+F617*Scorecard!$D$19+G617*Scorecard!$D$20+H617*Scorecard!$D$21+I617*Scorecard!$D$22+J617*Scorecard!$D$23</f>
        <v>2.25608086879728</v>
      </c>
      <c r="D617" s="0" t="str">
        <f aca="false">IF(AND(B617&gt;=C617,B617&gt;=K617),"A. Distribution",IF(C617&gt;=K617,"B. Manufacturing","C. Prof. services"))</f>
        <v>C. Prof. services</v>
      </c>
      <c r="E617" s="39" t="n">
        <v>0.0148084624561582</v>
      </c>
      <c r="F617" s="39" t="n">
        <v>0.00785861579275747</v>
      </c>
      <c r="G617" s="39" t="n">
        <v>0.0933771031035934</v>
      </c>
      <c r="H617" s="39" t="n">
        <v>0.346780525216218</v>
      </c>
      <c r="I617" s="39" t="n">
        <v>0.212288397596179</v>
      </c>
      <c r="J617" s="39" t="n">
        <v>0.324886895835094</v>
      </c>
      <c r="K617" s="38" t="n">
        <f aca="false">E617*Scorecard!$E$18+F617*Scorecard!$E$19+G617*Scorecard!$E$20+H617*Scorecard!$E$21+I617*Scorecard!$E$22+J617*Scorecard!$E$23</f>
        <v>3.67840029117217</v>
      </c>
      <c r="M617" s="0" t="str">
        <f aca="false">IF(AND(T617&gt;=U617,T617&gt;=V617),"A. Distribution",IF(U617&gt;=V617,"B. Manufacturing","C. Prof. services"))</f>
        <v>A. Distribution</v>
      </c>
      <c r="N617" s="39" t="n">
        <v>0.146016965617823</v>
      </c>
      <c r="O617" s="39" t="n">
        <v>0.174651319714163</v>
      </c>
      <c r="P617" s="39" t="n">
        <v>0.364479111419684</v>
      </c>
      <c r="Q617" s="39" t="n">
        <v>0.128557250569274</v>
      </c>
      <c r="R617" s="39" t="n">
        <v>0.0684072642771594</v>
      </c>
      <c r="S617" s="39" t="n">
        <v>0.117888088401898</v>
      </c>
      <c r="T617" s="38" t="n">
        <f aca="false">N617*Scorecard!$C$18+O617*Scorecard!$C$19+P617*Scorecard!$C$20+Q617*Scorecard!$C$21+R617*Scorecard!$C$22+S617*Scorecard!$C$23</f>
        <v>3.9132997929191</v>
      </c>
      <c r="U617" s="38" t="n">
        <f aca="false">N617*Scorecard!$D$18+O617*Scorecard!$D$19+P617*Scorecard!$D$20+Q617*Scorecard!$D$21+R617*Scorecard!$D$22+S617*Scorecard!$D$23</f>
        <v>2.45781091371364</v>
      </c>
      <c r="V617" s="38" t="n">
        <f aca="false">N617*Scorecard!$E$18+O617*Scorecard!$E$19+P617*Scorecard!$E$20+Q617*Scorecard!$E$21+R617*Scorecard!$E$22+S617*Scorecard!$E$23</f>
        <v>3.62109186435704</v>
      </c>
    </row>
    <row r="618" customFormat="false" ht="15" hidden="false" customHeight="false" outlineLevel="0" collapsed="false">
      <c r="A618" s="0" t="n">
        <v>613</v>
      </c>
      <c r="B618" s="38" t="n">
        <f aca="false">E618*Scorecard!$C$18+F618*Scorecard!$C$19+G618*Scorecard!$C$20+H618*Scorecard!$C$21+I618*Scorecard!$C$22+J618*Scorecard!$C$23</f>
        <v>3.54627819985339</v>
      </c>
      <c r="C618" s="38" t="n">
        <f aca="false">E618*Scorecard!$D$18+F618*Scorecard!$D$19+G618*Scorecard!$D$20+H618*Scorecard!$D$21+I618*Scorecard!$D$22+J618*Scorecard!$D$23</f>
        <v>2.35469503667031</v>
      </c>
      <c r="D618" s="0" t="str">
        <f aca="false">IF(AND(B618&gt;=C618,B618&gt;=K618),"A. Distribution",IF(C618&gt;=K618,"B. Manufacturing","C. Prof. services"))</f>
        <v>C. Prof. services</v>
      </c>
      <c r="E618" s="39" t="n">
        <v>0.0944863938666667</v>
      </c>
      <c r="F618" s="39" t="n">
        <v>0.140444975287138</v>
      </c>
      <c r="G618" s="39" t="n">
        <v>0.115346727732982</v>
      </c>
      <c r="H618" s="39" t="n">
        <v>0.254152488518783</v>
      </c>
      <c r="I618" s="39" t="n">
        <v>0.115971570538881</v>
      </c>
      <c r="J618" s="39" t="n">
        <v>0.27959784405555</v>
      </c>
      <c r="K618" s="38" t="n">
        <f aca="false">E618*Scorecard!$E$18+F618*Scorecard!$E$19+G618*Scorecard!$E$20+H618*Scorecard!$E$21+I618*Scorecard!$E$22+J618*Scorecard!$E$23</f>
        <v>3.64824831637884</v>
      </c>
      <c r="M618" s="0" t="str">
        <f aca="false">IF(AND(T618&gt;=U618,T618&gt;=V618),"A. Distribution",IF(U618&gt;=V618,"B. Manufacturing","C. Prof. services"))</f>
        <v>A. Distribution</v>
      </c>
      <c r="N618" s="39" t="n">
        <v>0.26329090495798</v>
      </c>
      <c r="O618" s="39" t="n">
        <v>0.106187071221587</v>
      </c>
      <c r="P618" s="39" t="n">
        <v>0.22190298871519</v>
      </c>
      <c r="Q618" s="39" t="n">
        <v>0.197277490987204</v>
      </c>
      <c r="R618" s="39" t="n">
        <v>0.164126614611667</v>
      </c>
      <c r="S618" s="39" t="n">
        <v>0.0472149295063716</v>
      </c>
      <c r="T618" s="38" t="n">
        <f aca="false">N618*Scorecard!$C$18+O618*Scorecard!$C$19+P618*Scorecard!$C$20+Q618*Scorecard!$C$21+R618*Scorecard!$C$22+S618*Scorecard!$C$23</f>
        <v>3.96936166997567</v>
      </c>
      <c r="U618" s="38" t="n">
        <f aca="false">N618*Scorecard!$D$18+O618*Scorecard!$D$19+P618*Scorecard!$D$20+Q618*Scorecard!$D$21+R618*Scorecard!$D$22+S618*Scorecard!$D$23</f>
        <v>2.84186503404206</v>
      </c>
      <c r="V618" s="38" t="n">
        <f aca="false">N618*Scorecard!$E$18+O618*Scorecard!$E$19+P618*Scorecard!$E$20+Q618*Scorecard!$E$21+R618*Scorecard!$E$22+S618*Scorecard!$E$23</f>
        <v>3.42694954497743</v>
      </c>
    </row>
    <row r="619" customFormat="false" ht="15" hidden="false" customHeight="false" outlineLevel="0" collapsed="false">
      <c r="A619" s="0" t="n">
        <v>614</v>
      </c>
      <c r="B619" s="38" t="n">
        <f aca="false">E619*Scorecard!$C$18+F619*Scorecard!$C$19+G619*Scorecard!$C$20+H619*Scorecard!$C$21+I619*Scorecard!$C$22+J619*Scorecard!$C$23</f>
        <v>3.89248376852208</v>
      </c>
      <c r="C619" s="38" t="n">
        <f aca="false">E619*Scorecard!$D$18+F619*Scorecard!$D$19+G619*Scorecard!$D$20+H619*Scorecard!$D$21+I619*Scorecard!$D$22+J619*Scorecard!$D$23</f>
        <v>3.07696738231077</v>
      </c>
      <c r="D619" s="0" t="str">
        <f aca="false">IF(AND(B619&gt;=C619,B619&gt;=K619),"A. Distribution",IF(C619&gt;=K619,"B. Manufacturing","C. Prof. services"))</f>
        <v>A. Distribution</v>
      </c>
      <c r="E619" s="39" t="n">
        <v>0.0488733298813159</v>
      </c>
      <c r="F619" s="39" t="n">
        <v>0.0414896919770282</v>
      </c>
      <c r="G619" s="39" t="n">
        <v>0.0753608891433327</v>
      </c>
      <c r="H619" s="39" t="n">
        <v>0.0246771936056145</v>
      </c>
      <c r="I619" s="39" t="n">
        <v>0.738387365653901</v>
      </c>
      <c r="J619" s="39" t="n">
        <v>0.0712115297388079</v>
      </c>
      <c r="K619" s="38" t="n">
        <f aca="false">E619*Scorecard!$E$18+F619*Scorecard!$E$19+G619*Scorecard!$E$20+H619*Scorecard!$E$21+I619*Scorecard!$E$22+J619*Scorecard!$E$23</f>
        <v>2.72283003718563</v>
      </c>
      <c r="M619" s="0" t="str">
        <f aca="false">IF(AND(T619&gt;=U619,T619&gt;=V619),"A. Distribution",IF(U619&gt;=V619,"B. Manufacturing","C. Prof. services"))</f>
        <v>A. Distribution</v>
      </c>
      <c r="N619" s="39" t="n">
        <v>0.183118974917588</v>
      </c>
      <c r="O619" s="39" t="n">
        <v>0.197315432493135</v>
      </c>
      <c r="P619" s="39" t="n">
        <v>0.265632978690649</v>
      </c>
      <c r="Q619" s="39" t="n">
        <v>0.0912000823677813</v>
      </c>
      <c r="R619" s="39" t="n">
        <v>0.19046238917331</v>
      </c>
      <c r="S619" s="39" t="n">
        <v>0.072270142357536</v>
      </c>
      <c r="T619" s="38" t="n">
        <f aca="false">N619*Scorecard!$C$18+O619*Scorecard!$C$19+P619*Scorecard!$C$20+Q619*Scorecard!$C$21+R619*Scorecard!$C$22+S619*Scorecard!$C$23</f>
        <v>4.02824625402605</v>
      </c>
      <c r="U619" s="38" t="n">
        <f aca="false">N619*Scorecard!$D$18+O619*Scorecard!$D$19+P619*Scorecard!$D$20+Q619*Scorecard!$D$21+R619*Scorecard!$D$22+S619*Scorecard!$D$23</f>
        <v>2.71951496017209</v>
      </c>
      <c r="V619" s="38" t="n">
        <f aca="false">N619*Scorecard!$E$18+O619*Scorecard!$E$19+P619*Scorecard!$E$20+Q619*Scorecard!$E$21+R619*Scorecard!$E$22+S619*Scorecard!$E$23</f>
        <v>3.36142814633085</v>
      </c>
    </row>
    <row r="620" customFormat="false" ht="15" hidden="false" customHeight="false" outlineLevel="0" collapsed="false">
      <c r="A620" s="0" t="n">
        <v>615</v>
      </c>
      <c r="B620" s="38" t="n">
        <f aca="false">E620*Scorecard!$C$18+F620*Scorecard!$C$19+G620*Scorecard!$C$20+H620*Scorecard!$C$21+I620*Scorecard!$C$22+J620*Scorecard!$C$23</f>
        <v>3.82206918152486</v>
      </c>
      <c r="C620" s="38" t="n">
        <f aca="false">E620*Scorecard!$D$18+F620*Scorecard!$D$19+G620*Scorecard!$D$20+H620*Scorecard!$D$21+I620*Scorecard!$D$22+J620*Scorecard!$D$23</f>
        <v>2.82206598383208</v>
      </c>
      <c r="D620" s="0" t="str">
        <f aca="false">IF(AND(B620&gt;=C620,B620&gt;=K620),"A. Distribution",IF(C620&gt;=K620,"B. Manufacturing","C. Prof. services"))</f>
        <v>A. Distribution</v>
      </c>
      <c r="E620" s="39" t="n">
        <v>0.177517255354932</v>
      </c>
      <c r="F620" s="39" t="n">
        <v>0.172327992679065</v>
      </c>
      <c r="G620" s="39" t="n">
        <v>0.00583948035798878</v>
      </c>
      <c r="H620" s="39" t="n">
        <v>0.190475894618125</v>
      </c>
      <c r="I620" s="39" t="n">
        <v>0.296098059811238</v>
      </c>
      <c r="J620" s="39" t="n">
        <v>0.157741317178652</v>
      </c>
      <c r="K620" s="38" t="n">
        <f aca="false">E620*Scorecard!$E$18+F620*Scorecard!$E$19+G620*Scorecard!$E$20+H620*Scorecard!$E$21+I620*Scorecard!$E$22+J620*Scorecard!$E$23</f>
        <v>3.22830134126964</v>
      </c>
      <c r="M620" s="0" t="str">
        <f aca="false">IF(AND(T620&gt;=U620,T620&gt;=V620),"A. Distribution",IF(U620&gt;=V620,"B. Manufacturing","C. Prof. services"))</f>
        <v>A. Distribution</v>
      </c>
      <c r="N620" s="39" t="n">
        <v>0.259799492649155</v>
      </c>
      <c r="O620" s="39" t="n">
        <v>0.30869692584248</v>
      </c>
      <c r="P620" s="39" t="n">
        <v>0.0987151395405604</v>
      </c>
      <c r="Q620" s="39" t="n">
        <v>0.0688073380651053</v>
      </c>
      <c r="R620" s="39" t="n">
        <v>0.0802366361852615</v>
      </c>
      <c r="S620" s="39" t="n">
        <v>0.183744467717438</v>
      </c>
      <c r="T620" s="38" t="n">
        <f aca="false">N620*Scorecard!$C$18+O620*Scorecard!$C$19+P620*Scorecard!$C$20+Q620*Scorecard!$C$21+R620*Scorecard!$C$22+S620*Scorecard!$C$23</f>
        <v>3.912935496762</v>
      </c>
      <c r="U620" s="38" t="n">
        <f aca="false">N620*Scorecard!$D$18+O620*Scorecard!$D$19+P620*Scorecard!$D$20+Q620*Scorecard!$D$21+R620*Scorecard!$D$22+S620*Scorecard!$D$23</f>
        <v>2.72443096101046</v>
      </c>
      <c r="V620" s="38" t="n">
        <f aca="false">N620*Scorecard!$E$18+O620*Scorecard!$E$19+P620*Scorecard!$E$20+Q620*Scorecard!$E$21+R620*Scorecard!$E$22+S620*Scorecard!$E$23</f>
        <v>3.4367149885224</v>
      </c>
    </row>
    <row r="621" customFormat="false" ht="15" hidden="false" customHeight="false" outlineLevel="0" collapsed="false">
      <c r="A621" s="0" t="n">
        <v>616</v>
      </c>
      <c r="B621" s="38" t="n">
        <f aca="false">E621*Scorecard!$C$18+F621*Scorecard!$C$19+G621*Scorecard!$C$20+H621*Scorecard!$C$21+I621*Scorecard!$C$22+J621*Scorecard!$C$23</f>
        <v>3.87836264823139</v>
      </c>
      <c r="C621" s="38" t="n">
        <f aca="false">E621*Scorecard!$D$18+F621*Scorecard!$D$19+G621*Scorecard!$D$20+H621*Scorecard!$D$21+I621*Scorecard!$D$22+J621*Scorecard!$D$23</f>
        <v>2.54323644803409</v>
      </c>
      <c r="D621" s="0" t="str">
        <f aca="false">IF(AND(B621&gt;=C621,B621&gt;=K621),"A. Distribution",IF(C621&gt;=K621,"B. Manufacturing","C. Prof. services"))</f>
        <v>A. Distribution</v>
      </c>
      <c r="E621" s="39" t="n">
        <v>0.191056932303589</v>
      </c>
      <c r="F621" s="39" t="n">
        <v>0.161387360319904</v>
      </c>
      <c r="G621" s="39" t="n">
        <v>0.336845567698391</v>
      </c>
      <c r="H621" s="39" t="n">
        <v>0.103725875242084</v>
      </c>
      <c r="I621" s="39" t="n">
        <v>0.0787298425207689</v>
      </c>
      <c r="J621" s="39" t="n">
        <v>0.128254421915263</v>
      </c>
      <c r="K621" s="38" t="n">
        <f aca="false">E621*Scorecard!$E$18+F621*Scorecard!$E$19+G621*Scorecard!$E$20+H621*Scorecard!$E$21+I621*Scorecard!$E$22+J621*Scorecard!$E$23</f>
        <v>3.61052812552903</v>
      </c>
      <c r="M621" s="0" t="str">
        <f aca="false">IF(AND(T621&gt;=U621,T621&gt;=V621),"A. Distribution",IF(U621&gt;=V621,"B. Manufacturing","C. Prof. services"))</f>
        <v>A. Distribution</v>
      </c>
      <c r="N621" s="39" t="n">
        <v>0.200937376356695</v>
      </c>
      <c r="O621" s="39" t="n">
        <v>0.168100286372355</v>
      </c>
      <c r="P621" s="39" t="n">
        <v>0.219553190947607</v>
      </c>
      <c r="Q621" s="39" t="n">
        <v>0.255983962284604</v>
      </c>
      <c r="R621" s="39" t="n">
        <v>0.0560047942646155</v>
      </c>
      <c r="S621" s="39" t="n">
        <v>0.0994203897741247</v>
      </c>
      <c r="T621" s="38" t="n">
        <f aca="false">N621*Scorecard!$C$18+O621*Scorecard!$C$19+P621*Scorecard!$C$20+Q621*Scorecard!$C$21+R621*Scorecard!$C$22+S621*Scorecard!$C$23</f>
        <v>3.92554447138424</v>
      </c>
      <c r="U621" s="38" t="n">
        <f aca="false">N621*Scorecard!$D$18+O621*Scorecard!$D$19+P621*Scorecard!$D$20+Q621*Scorecard!$D$21+R621*Scorecard!$D$22+S621*Scorecard!$D$23</f>
        <v>2.59540292210713</v>
      </c>
      <c r="V621" s="38" t="n">
        <f aca="false">N621*Scorecard!$E$18+O621*Scorecard!$E$19+P621*Scorecard!$E$20+Q621*Scorecard!$E$21+R621*Scorecard!$E$22+S621*Scorecard!$E$23</f>
        <v>3.57122203479939</v>
      </c>
    </row>
    <row r="622" customFormat="false" ht="15" hidden="false" customHeight="false" outlineLevel="0" collapsed="false">
      <c r="A622" s="0" t="n">
        <v>617</v>
      </c>
      <c r="B622" s="38" t="n">
        <f aca="false">E622*Scorecard!$C$18+F622*Scorecard!$C$19+G622*Scorecard!$C$20+H622*Scorecard!$C$21+I622*Scorecard!$C$22+J622*Scorecard!$C$23</f>
        <v>2.93475604141625</v>
      </c>
      <c r="C622" s="38" t="n">
        <f aca="false">E622*Scorecard!$D$18+F622*Scorecard!$D$19+G622*Scorecard!$D$20+H622*Scorecard!$D$21+I622*Scorecard!$D$22+J622*Scorecard!$D$23</f>
        <v>2.03665933684665</v>
      </c>
      <c r="D622" s="0" t="str">
        <f aca="false">IF(AND(B622&gt;=C622,B622&gt;=K622),"A. Distribution",IF(C622&gt;=K622,"B. Manufacturing","C. Prof. services"))</f>
        <v>C. Prof. services</v>
      </c>
      <c r="E622" s="39" t="n">
        <v>0.112950920941913</v>
      </c>
      <c r="F622" s="39" t="n">
        <v>0.0909268588533695</v>
      </c>
      <c r="G622" s="39" t="n">
        <v>0.0954803275554073</v>
      </c>
      <c r="H622" s="39" t="n">
        <v>0.130247374207836</v>
      </c>
      <c r="I622" s="39" t="n">
        <v>0.0038604576330486</v>
      </c>
      <c r="J622" s="39" t="n">
        <v>0.566534060808426</v>
      </c>
      <c r="K622" s="38" t="n">
        <f aca="false">E622*Scorecard!$E$18+F622*Scorecard!$E$19+G622*Scorecard!$E$20+H622*Scorecard!$E$21+I622*Scorecard!$E$22+J622*Scorecard!$E$23</f>
        <v>4.06906096989265</v>
      </c>
      <c r="M622" s="0" t="str">
        <f aca="false">IF(AND(T622&gt;=U622,T622&gt;=V622),"A. Distribution",IF(U622&gt;=V622,"B. Manufacturing","C. Prof. services"))</f>
        <v>A. Distribution</v>
      </c>
      <c r="N622" s="39" t="n">
        <v>0.0920112390072351</v>
      </c>
      <c r="O622" s="39" t="n">
        <v>0.357803354024956</v>
      </c>
      <c r="P622" s="39" t="n">
        <v>0.148428105304792</v>
      </c>
      <c r="Q622" s="39" t="n">
        <v>0.190255194701177</v>
      </c>
      <c r="R622" s="39" t="n">
        <v>0.158321621185717</v>
      </c>
      <c r="S622" s="39" t="n">
        <v>0.0531804857761229</v>
      </c>
      <c r="T622" s="38" t="n">
        <f aca="false">N622*Scorecard!$C$18+O622*Scorecard!$C$19+P622*Scorecard!$C$20+Q622*Scorecard!$C$21+R622*Scorecard!$C$22+S622*Scorecard!$C$23</f>
        <v>4.22355498824755</v>
      </c>
      <c r="U622" s="38" t="n">
        <f aca="false">N622*Scorecard!$D$18+O622*Scorecard!$D$19+P622*Scorecard!$D$20+Q622*Scorecard!$D$21+R622*Scorecard!$D$22+S622*Scorecard!$D$23</f>
        <v>2.61584632958342</v>
      </c>
      <c r="V622" s="38" t="n">
        <f aca="false">N622*Scorecard!$E$18+O622*Scorecard!$E$19+P622*Scorecard!$E$20+Q622*Scorecard!$E$21+R622*Scorecard!$E$22+S622*Scorecard!$E$23</f>
        <v>3.22675751219996</v>
      </c>
    </row>
    <row r="623" customFormat="false" ht="15" hidden="false" customHeight="false" outlineLevel="0" collapsed="false">
      <c r="A623" s="0" t="n">
        <v>618</v>
      </c>
      <c r="B623" s="38" t="n">
        <f aca="false">E623*Scorecard!$C$18+F623*Scorecard!$C$19+G623*Scorecard!$C$20+H623*Scorecard!$C$21+I623*Scorecard!$C$22+J623*Scorecard!$C$23</f>
        <v>3.21643083403654</v>
      </c>
      <c r="C623" s="38" t="n">
        <f aca="false">E623*Scorecard!$D$18+F623*Scorecard!$D$19+G623*Scorecard!$D$20+H623*Scorecard!$D$21+I623*Scorecard!$D$22+J623*Scorecard!$D$23</f>
        <v>2.17957832852561</v>
      </c>
      <c r="D623" s="0" t="str">
        <f aca="false">IF(AND(B623&gt;=C623,B623&gt;=K623),"A. Distribution",IF(C623&gt;=K623,"B. Manufacturing","C. Prof. services"))</f>
        <v>C. Prof. services</v>
      </c>
      <c r="E623" s="39" t="n">
        <v>0.0759905147565345</v>
      </c>
      <c r="F623" s="39" t="n">
        <v>0.0977376711476962</v>
      </c>
      <c r="G623" s="39" t="n">
        <v>0.192845366107101</v>
      </c>
      <c r="H623" s="39" t="n">
        <v>0.0724310875203689</v>
      </c>
      <c r="I623" s="39" t="n">
        <v>0.127294704564747</v>
      </c>
      <c r="J623" s="39" t="n">
        <v>0.433700655903552</v>
      </c>
      <c r="K623" s="38" t="n">
        <f aca="false">E623*Scorecard!$E$18+F623*Scorecard!$E$19+G623*Scorecard!$E$20+H623*Scorecard!$E$21+I623*Scorecard!$E$22+J623*Scorecard!$E$23</f>
        <v>3.82616515205479</v>
      </c>
      <c r="M623" s="0" t="str">
        <f aca="false">IF(AND(T623&gt;=U623,T623&gt;=V623),"A. Distribution",IF(U623&gt;=V623,"B. Manufacturing","C. Prof. services"))</f>
        <v>A. Distribution</v>
      </c>
      <c r="N623" s="39" t="n">
        <v>0.357994018463434</v>
      </c>
      <c r="O623" s="39" t="n">
        <v>0.0615648861727675</v>
      </c>
      <c r="P623" s="39" t="n">
        <v>0.145717438709111</v>
      </c>
      <c r="Q623" s="39" t="n">
        <v>0.167781687117116</v>
      </c>
      <c r="R623" s="39" t="n">
        <v>0.157270164633347</v>
      </c>
      <c r="S623" s="39" t="n">
        <v>0.109671804904225</v>
      </c>
      <c r="T623" s="38" t="n">
        <f aca="false">N623*Scorecard!$C$18+O623*Scorecard!$C$19+P623*Scorecard!$C$20+Q623*Scorecard!$C$21+R623*Scorecard!$C$22+S623*Scorecard!$C$23</f>
        <v>3.79540051703903</v>
      </c>
      <c r="U623" s="38" t="n">
        <f aca="false">N623*Scorecard!$D$18+O623*Scorecard!$D$19+P623*Scorecard!$D$20+Q623*Scorecard!$D$21+R623*Scorecard!$D$22+S623*Scorecard!$D$23</f>
        <v>2.960847850178</v>
      </c>
      <c r="V623" s="38" t="n">
        <f aca="false">N623*Scorecard!$E$18+O623*Scorecard!$E$19+P623*Scorecard!$E$20+Q623*Scorecard!$E$21+R623*Scorecard!$E$22+S623*Scorecard!$E$23</f>
        <v>3.48524360118033</v>
      </c>
    </row>
    <row r="624" customFormat="false" ht="15" hidden="false" customHeight="false" outlineLevel="0" collapsed="false">
      <c r="A624" s="0" t="n">
        <v>619</v>
      </c>
      <c r="B624" s="38" t="n">
        <f aca="false">E624*Scorecard!$C$18+F624*Scorecard!$C$19+G624*Scorecard!$C$20+H624*Scorecard!$C$21+I624*Scorecard!$C$22+J624*Scorecard!$C$23</f>
        <v>4.22878459786673</v>
      </c>
      <c r="C624" s="38" t="n">
        <f aca="false">E624*Scorecard!$D$18+F624*Scorecard!$D$19+G624*Scorecard!$D$20+H624*Scorecard!$D$21+I624*Scorecard!$D$22+J624*Scorecard!$D$23</f>
        <v>2.68899478276216</v>
      </c>
      <c r="D624" s="0" t="str">
        <f aca="false">IF(AND(B624&gt;=C624,B624&gt;=K624),"A. Distribution",IF(C624&gt;=K624,"B. Manufacturing","C. Prof. services"))</f>
        <v>A. Distribution</v>
      </c>
      <c r="E624" s="39" t="n">
        <v>0.161074310831499</v>
      </c>
      <c r="F624" s="39" t="n">
        <v>0.330126935418935</v>
      </c>
      <c r="G624" s="39" t="n">
        <v>0.226904961982357</v>
      </c>
      <c r="H624" s="39" t="n">
        <v>0.113160928498242</v>
      </c>
      <c r="I624" s="39" t="n">
        <v>0.130624340939524</v>
      </c>
      <c r="J624" s="39" t="n">
        <v>0.0381085223294431</v>
      </c>
      <c r="K624" s="38" t="n">
        <f aca="false">E624*Scorecard!$E$18+F624*Scorecard!$E$19+G624*Scorecard!$E$20+H624*Scorecard!$E$21+I624*Scorecard!$E$22+J624*Scorecard!$E$23</f>
        <v>3.28915361204292</v>
      </c>
      <c r="M624" s="0" t="str">
        <f aca="false">IF(AND(T624&gt;=U624,T624&gt;=V624),"A. Distribution",IF(U624&gt;=V624,"B. Manufacturing","C. Prof. services"))</f>
        <v>A. Distribution</v>
      </c>
      <c r="N624" s="39" t="n">
        <v>0.218363996123171</v>
      </c>
      <c r="O624" s="39" t="n">
        <v>0.124611740732167</v>
      </c>
      <c r="P624" s="39" t="n">
        <v>0.280040126537351</v>
      </c>
      <c r="Q624" s="39" t="n">
        <v>0.10023030657103</v>
      </c>
      <c r="R624" s="39" t="n">
        <v>0.102616434004764</v>
      </c>
      <c r="S624" s="39" t="n">
        <v>0.174137396031517</v>
      </c>
      <c r="T624" s="38" t="n">
        <f aca="false">N624*Scorecard!$C$18+O624*Scorecard!$C$19+P624*Scorecard!$C$20+Q624*Scorecard!$C$21+R624*Scorecard!$C$22+S624*Scorecard!$C$23</f>
        <v>3.74800533398392</v>
      </c>
      <c r="U624" s="38" t="n">
        <f aca="false">N624*Scorecard!$D$18+O624*Scorecard!$D$19+P624*Scorecard!$D$20+Q624*Scorecard!$D$21+R624*Scorecard!$D$22+S624*Scorecard!$D$23</f>
        <v>2.58688800041427</v>
      </c>
      <c r="V624" s="38" t="n">
        <f aca="false">N624*Scorecard!$E$18+O624*Scorecard!$E$19+P624*Scorecard!$E$20+Q624*Scorecard!$E$21+R624*Scorecard!$E$22+S624*Scorecard!$E$23</f>
        <v>3.62510985458821</v>
      </c>
    </row>
    <row r="625" customFormat="false" ht="15" hidden="false" customHeight="false" outlineLevel="0" collapsed="false">
      <c r="A625" s="0" t="n">
        <v>620</v>
      </c>
      <c r="B625" s="38" t="n">
        <f aca="false">E625*Scorecard!$C$18+F625*Scorecard!$C$19+G625*Scorecard!$C$20+H625*Scorecard!$C$21+I625*Scorecard!$C$22+J625*Scorecard!$C$23</f>
        <v>3.21037446411209</v>
      </c>
      <c r="C625" s="38" t="n">
        <f aca="false">E625*Scorecard!$D$18+F625*Scorecard!$D$19+G625*Scorecard!$D$20+H625*Scorecard!$D$21+I625*Scorecard!$D$22+J625*Scorecard!$D$23</f>
        <v>2.35056949426383</v>
      </c>
      <c r="D625" s="0" t="str">
        <f aca="false">IF(AND(B625&gt;=C625,B625&gt;=K625),"A. Distribution",IF(C625&gt;=K625,"B. Manufacturing","C. Prof. services"))</f>
        <v>C. Prof. services</v>
      </c>
      <c r="E625" s="39" t="n">
        <v>0.162528858817761</v>
      </c>
      <c r="F625" s="39" t="n">
        <v>0.122481570720363</v>
      </c>
      <c r="G625" s="39" t="n">
        <v>0.100624350417709</v>
      </c>
      <c r="H625" s="39" t="n">
        <v>0.0405242021570079</v>
      </c>
      <c r="I625" s="39" t="n">
        <v>0.12649517656746</v>
      </c>
      <c r="J625" s="39" t="n">
        <v>0.447345841319699</v>
      </c>
      <c r="K625" s="38" t="n">
        <f aca="false">E625*Scorecard!$E$18+F625*Scorecard!$E$19+G625*Scorecard!$E$20+H625*Scorecard!$E$21+I625*Scorecard!$E$22+J625*Scorecard!$E$23</f>
        <v>3.7719078119665</v>
      </c>
      <c r="M625" s="0" t="str">
        <f aca="false">IF(AND(T625&gt;=U625,T625&gt;=V625),"A. Distribution",IF(U625&gt;=V625,"B. Manufacturing","C. Prof. services"))</f>
        <v>A. Distribution</v>
      </c>
      <c r="N625" s="39" t="n">
        <v>0.256337766274945</v>
      </c>
      <c r="O625" s="39" t="n">
        <v>0.081439569087068</v>
      </c>
      <c r="P625" s="39" t="n">
        <v>0.128744782340091</v>
      </c>
      <c r="Q625" s="39" t="n">
        <v>0.125675863372811</v>
      </c>
      <c r="R625" s="39" t="n">
        <v>0.229329926529338</v>
      </c>
      <c r="S625" s="39" t="n">
        <v>0.178472092395747</v>
      </c>
      <c r="T625" s="38" t="n">
        <f aca="false">N625*Scorecard!$C$18+O625*Scorecard!$C$19+P625*Scorecard!$C$20+Q625*Scorecard!$C$21+R625*Scorecard!$C$22+S625*Scorecard!$C$23</f>
        <v>3.69037320451302</v>
      </c>
      <c r="U625" s="38" t="n">
        <f aca="false">N625*Scorecard!$D$18+O625*Scorecard!$D$19+P625*Scorecard!$D$20+Q625*Scorecard!$D$21+R625*Scorecard!$D$22+S625*Scorecard!$D$23</f>
        <v>2.81506470069086</v>
      </c>
      <c r="V625" s="38" t="n">
        <f aca="false">N625*Scorecard!$E$18+O625*Scorecard!$E$19+P625*Scorecard!$E$20+Q625*Scorecard!$E$21+R625*Scorecard!$E$22+S625*Scorecard!$E$23</f>
        <v>3.44038310739632</v>
      </c>
    </row>
    <row r="626" customFormat="false" ht="15" hidden="false" customHeight="false" outlineLevel="0" collapsed="false">
      <c r="A626" s="0" t="n">
        <v>621</v>
      </c>
      <c r="B626" s="38" t="n">
        <f aca="false">E626*Scorecard!$C$18+F626*Scorecard!$C$19+G626*Scorecard!$C$20+H626*Scorecard!$C$21+I626*Scorecard!$C$22+J626*Scorecard!$C$23</f>
        <v>3.09028443406736</v>
      </c>
      <c r="C626" s="38" t="n">
        <f aca="false">E626*Scorecard!$D$18+F626*Scorecard!$D$19+G626*Scorecard!$D$20+H626*Scorecard!$D$21+I626*Scorecard!$D$22+J626*Scorecard!$D$23</f>
        <v>1.98600211600673</v>
      </c>
      <c r="D626" s="0" t="str">
        <f aca="false">IF(AND(B626&gt;=C626,B626&gt;=K626),"A. Distribution",IF(C626&gt;=K626,"B. Manufacturing","C. Prof. services"))</f>
        <v>C. Prof. services</v>
      </c>
      <c r="E626" s="39" t="n">
        <v>0.0545208065309461</v>
      </c>
      <c r="F626" s="39" t="n">
        <v>0.20148946217408</v>
      </c>
      <c r="G626" s="39" t="n">
        <v>0.0819894886059987</v>
      </c>
      <c r="H626" s="39" t="n">
        <v>0.105210710980746</v>
      </c>
      <c r="I626" s="39" t="n">
        <v>0.00904392535543956</v>
      </c>
      <c r="J626" s="39" t="n">
        <v>0.54774560635279</v>
      </c>
      <c r="K626" s="38" t="n">
        <f aca="false">E626*Scorecard!$E$18+F626*Scorecard!$E$19+G626*Scorecard!$E$20+H626*Scorecard!$E$21+I626*Scorecard!$E$22+J626*Scorecard!$E$23</f>
        <v>3.95626286795217</v>
      </c>
      <c r="M626" s="0" t="str">
        <f aca="false">IF(AND(T626&gt;=U626,T626&gt;=V626),"A. Distribution",IF(U626&gt;=V626,"B. Manufacturing","C. Prof. services"))</f>
        <v>A. Distribution</v>
      </c>
      <c r="N626" s="39" t="n">
        <v>0.194527766829853</v>
      </c>
      <c r="O626" s="39" t="n">
        <v>0.153341009315041</v>
      </c>
      <c r="P626" s="39" t="n">
        <v>0.183259120664047</v>
      </c>
      <c r="Q626" s="39" t="n">
        <v>0.154460446915412</v>
      </c>
      <c r="R626" s="39" t="n">
        <v>0.128624289307583</v>
      </c>
      <c r="S626" s="39" t="n">
        <v>0.185787366968064</v>
      </c>
      <c r="T626" s="38" t="n">
        <f aca="false">N626*Scorecard!$C$18+O626*Scorecard!$C$19+P626*Scorecard!$C$20+Q626*Scorecard!$C$21+R626*Scorecard!$C$22+S626*Scorecard!$C$23</f>
        <v>3.74950506515216</v>
      </c>
      <c r="U626" s="38" t="n">
        <f aca="false">N626*Scorecard!$D$18+O626*Scorecard!$D$19+P626*Scorecard!$D$20+Q626*Scorecard!$D$21+R626*Scorecard!$D$22+S626*Scorecard!$D$23</f>
        <v>2.59858204894008</v>
      </c>
      <c r="V626" s="38" t="n">
        <f aca="false">N626*Scorecard!$E$18+O626*Scorecard!$E$19+P626*Scorecard!$E$20+Q626*Scorecard!$E$21+R626*Scorecard!$E$22+S626*Scorecard!$E$23</f>
        <v>3.54742480843382</v>
      </c>
    </row>
    <row r="627" customFormat="false" ht="15" hidden="false" customHeight="false" outlineLevel="0" collapsed="false">
      <c r="A627" s="0" t="n">
        <v>622</v>
      </c>
      <c r="B627" s="38" t="n">
        <f aca="false">E627*Scorecard!$C$18+F627*Scorecard!$C$19+G627*Scorecard!$C$20+H627*Scorecard!$C$21+I627*Scorecard!$C$22+J627*Scorecard!$C$23</f>
        <v>3.42682964944046</v>
      </c>
      <c r="C627" s="38" t="n">
        <f aca="false">E627*Scorecard!$D$18+F627*Scorecard!$D$19+G627*Scorecard!$D$20+H627*Scorecard!$D$21+I627*Scorecard!$D$22+J627*Scorecard!$D$23</f>
        <v>2.08934784479278</v>
      </c>
      <c r="D627" s="0" t="str">
        <f aca="false">IF(AND(B627&gt;=C627,B627&gt;=K627),"A. Distribution",IF(C627&gt;=K627,"B. Manufacturing","C. Prof. services"))</f>
        <v>C. Prof. services</v>
      </c>
      <c r="E627" s="39" t="n">
        <v>0.0282501475047648</v>
      </c>
      <c r="F627" s="39" t="n">
        <v>0.170131981574667</v>
      </c>
      <c r="G627" s="39" t="n">
        <v>0.176304451629264</v>
      </c>
      <c r="H627" s="39" t="n">
        <v>0.225428646192793</v>
      </c>
      <c r="I627" s="39" t="n">
        <v>0.04151269805991</v>
      </c>
      <c r="J627" s="39" t="n">
        <v>0.358372075038601</v>
      </c>
      <c r="K627" s="38" t="n">
        <f aca="false">E627*Scorecard!$E$18+F627*Scorecard!$E$19+G627*Scorecard!$E$20+H627*Scorecard!$E$21+I627*Scorecard!$E$22+J627*Scorecard!$E$23</f>
        <v>3.81876064828636</v>
      </c>
      <c r="M627" s="0" t="str">
        <f aca="false">IF(AND(T627&gt;=U627,T627&gt;=V627),"A. Distribution",IF(U627&gt;=V627,"B. Manufacturing","C. Prof. services"))</f>
        <v>A. Distribution</v>
      </c>
      <c r="N627" s="39" t="n">
        <v>0.176758979880987</v>
      </c>
      <c r="O627" s="39" t="n">
        <v>0.14101575999935</v>
      </c>
      <c r="P627" s="39" t="n">
        <v>0.187903382208431</v>
      </c>
      <c r="Q627" s="39" t="n">
        <v>0.175062204110933</v>
      </c>
      <c r="R627" s="39" t="n">
        <v>0.267012524929528</v>
      </c>
      <c r="S627" s="39" t="n">
        <v>0.0522471488707718</v>
      </c>
      <c r="T627" s="38" t="n">
        <f aca="false">N627*Scorecard!$C$18+O627*Scorecard!$C$19+P627*Scorecard!$C$20+Q627*Scorecard!$C$21+R627*Scorecard!$C$22+S627*Scorecard!$C$23</f>
        <v>4.00346699914784</v>
      </c>
      <c r="U627" s="38" t="n">
        <f aca="false">N627*Scorecard!$D$18+O627*Scorecard!$D$19+P627*Scorecard!$D$20+Q627*Scorecard!$D$21+R627*Scorecard!$D$22+S627*Scorecard!$D$23</f>
        <v>2.81340426402647</v>
      </c>
      <c r="V627" s="38" t="n">
        <f aca="false">N627*Scorecard!$E$18+O627*Scorecard!$E$19+P627*Scorecard!$E$20+Q627*Scorecard!$E$21+R627*Scorecard!$E$22+S627*Scorecard!$E$23</f>
        <v>3.2668829097564</v>
      </c>
    </row>
    <row r="628" customFormat="false" ht="15" hidden="false" customHeight="false" outlineLevel="0" collapsed="false">
      <c r="A628" s="0" t="n">
        <v>623</v>
      </c>
      <c r="B628" s="38" t="n">
        <f aca="false">E628*Scorecard!$C$18+F628*Scorecard!$C$19+G628*Scorecard!$C$20+H628*Scorecard!$C$21+I628*Scorecard!$C$22+J628*Scorecard!$C$23</f>
        <v>4.35312839237515</v>
      </c>
      <c r="C628" s="38" t="n">
        <f aca="false">E628*Scorecard!$D$18+F628*Scorecard!$D$19+G628*Scorecard!$D$20+H628*Scorecard!$D$21+I628*Scorecard!$D$22+J628*Scorecard!$D$23</f>
        <v>2.93157293368017</v>
      </c>
      <c r="D628" s="0" t="str">
        <f aca="false">IF(AND(B628&gt;=C628,B628&gt;=K628),"A. Distribution",IF(C628&gt;=K628,"B. Manufacturing","C. Prof. services"))</f>
        <v>A. Distribution</v>
      </c>
      <c r="E628" s="39" t="n">
        <v>0.310392208731849</v>
      </c>
      <c r="F628" s="39" t="n">
        <v>0.396962328269969</v>
      </c>
      <c r="G628" s="39" t="n">
        <v>0.107970289821067</v>
      </c>
      <c r="H628" s="39" t="n">
        <v>0.143974281187781</v>
      </c>
      <c r="I628" s="39" t="n">
        <v>0.0390007749062395</v>
      </c>
      <c r="J628" s="39" t="n">
        <v>0.00170011708309433</v>
      </c>
      <c r="K628" s="38" t="n">
        <f aca="false">E628*Scorecard!$E$18+F628*Scorecard!$E$19+G628*Scorecard!$E$20+H628*Scorecard!$E$21+I628*Scorecard!$E$22+J628*Scorecard!$E$23</f>
        <v>3.25902491968002</v>
      </c>
      <c r="M628" s="0" t="str">
        <f aca="false">IF(AND(T628&gt;=U628,T628&gt;=V628),"A. Distribution",IF(U628&gt;=V628,"B. Manufacturing","C. Prof. services"))</f>
        <v>A. Distribution</v>
      </c>
      <c r="N628" s="39" t="n">
        <v>0.195732419705154</v>
      </c>
      <c r="O628" s="39" t="n">
        <v>0.198191141602632</v>
      </c>
      <c r="P628" s="39" t="n">
        <v>0.213389445065676</v>
      </c>
      <c r="Q628" s="39" t="n">
        <v>0.106159227865038</v>
      </c>
      <c r="R628" s="39" t="n">
        <v>0.161212197645191</v>
      </c>
      <c r="S628" s="39" t="n">
        <v>0.125315568116309</v>
      </c>
      <c r="T628" s="38" t="n">
        <f aca="false">N628*Scorecard!$C$18+O628*Scorecard!$C$19+P628*Scorecard!$C$20+Q628*Scorecard!$C$21+R628*Scorecard!$C$22+S628*Scorecard!$C$23</f>
        <v>3.92040656214871</v>
      </c>
      <c r="U628" s="38" t="n">
        <f aca="false">N628*Scorecard!$D$18+O628*Scorecard!$D$19+P628*Scorecard!$D$20+Q628*Scorecard!$D$21+R628*Scorecard!$D$22+S628*Scorecard!$D$23</f>
        <v>2.68435020668291</v>
      </c>
      <c r="V628" s="38" t="n">
        <f aca="false">N628*Scorecard!$E$18+O628*Scorecard!$E$19+P628*Scorecard!$E$20+Q628*Scorecard!$E$21+R628*Scorecard!$E$22+S628*Scorecard!$E$23</f>
        <v>3.42445581788351</v>
      </c>
    </row>
    <row r="629" customFormat="false" ht="15" hidden="false" customHeight="false" outlineLevel="0" collapsed="false">
      <c r="A629" s="0" t="n">
        <v>624</v>
      </c>
      <c r="B629" s="38" t="n">
        <f aca="false">E629*Scorecard!$C$18+F629*Scorecard!$C$19+G629*Scorecard!$C$20+H629*Scorecard!$C$21+I629*Scorecard!$C$22+J629*Scorecard!$C$23</f>
        <v>3.88149233722966</v>
      </c>
      <c r="C629" s="38" t="n">
        <f aca="false">E629*Scorecard!$D$18+F629*Scorecard!$D$19+G629*Scorecard!$D$20+H629*Scorecard!$D$21+I629*Scorecard!$D$22+J629*Scorecard!$D$23</f>
        <v>2.95083942228841</v>
      </c>
      <c r="D629" s="0" t="str">
        <f aca="false">IF(AND(B629&gt;=C629,B629&gt;=K629),"A. Distribution",IF(C629&gt;=K629,"B. Manufacturing","C. Prof. services"))</f>
        <v>A. Distribution</v>
      </c>
      <c r="E629" s="39" t="n">
        <v>0.342658916397834</v>
      </c>
      <c r="F629" s="39" t="n">
        <v>0.00572287652967012</v>
      </c>
      <c r="G629" s="39" t="n">
        <v>0.10348542587364</v>
      </c>
      <c r="H629" s="39" t="n">
        <v>0.411427901874794</v>
      </c>
      <c r="I629" s="39" t="n">
        <v>0.110510897722599</v>
      </c>
      <c r="J629" s="39" t="n">
        <v>0.0261939816014641</v>
      </c>
      <c r="K629" s="38" t="n">
        <f aca="false">E629*Scorecard!$E$18+F629*Scorecard!$E$19+G629*Scorecard!$E$20+H629*Scorecard!$E$21+I629*Scorecard!$E$22+J629*Scorecard!$E$23</f>
        <v>3.51616967418717</v>
      </c>
      <c r="M629" s="0" t="str">
        <f aca="false">IF(AND(T629&gt;=U629,T629&gt;=V629),"A. Distribution",IF(U629&gt;=V629,"B. Manufacturing","C. Prof. services"))</f>
        <v>A. Distribution</v>
      </c>
      <c r="N629" s="39" t="n">
        <v>0.210229970047375</v>
      </c>
      <c r="O629" s="39" t="n">
        <v>0.265805456420625</v>
      </c>
      <c r="P629" s="39" t="n">
        <v>0.230289803927516</v>
      </c>
      <c r="Q629" s="39" t="n">
        <v>0.12383250900074</v>
      </c>
      <c r="R629" s="39" t="n">
        <v>0.0912214227286418</v>
      </c>
      <c r="S629" s="39" t="n">
        <v>0.0786208378751015</v>
      </c>
      <c r="T629" s="38" t="n">
        <f aca="false">N629*Scorecard!$C$18+O629*Scorecard!$C$19+P629*Scorecard!$C$20+Q629*Scorecard!$C$21+R629*Scorecard!$C$22+S629*Scorecard!$C$23</f>
        <v>4.07834206951931</v>
      </c>
      <c r="U629" s="38" t="n">
        <f aca="false">N629*Scorecard!$D$18+O629*Scorecard!$D$19+P629*Scorecard!$D$20+Q629*Scorecard!$D$21+R629*Scorecard!$D$22+S629*Scorecard!$D$23</f>
        <v>2.68470095835534</v>
      </c>
      <c r="V629" s="38" t="n">
        <f aca="false">N629*Scorecard!$E$18+O629*Scorecard!$E$19+P629*Scorecard!$E$20+Q629*Scorecard!$E$21+R629*Scorecard!$E$22+S629*Scorecard!$E$23</f>
        <v>3.42390542603496</v>
      </c>
    </row>
    <row r="630" customFormat="false" ht="15" hidden="false" customHeight="false" outlineLevel="0" collapsed="false">
      <c r="A630" s="0" t="n">
        <v>625</v>
      </c>
      <c r="B630" s="38" t="n">
        <f aca="false">E630*Scorecard!$C$18+F630*Scorecard!$C$19+G630*Scorecard!$C$20+H630*Scorecard!$C$21+I630*Scorecard!$C$22+J630*Scorecard!$C$23</f>
        <v>3.66920580861617</v>
      </c>
      <c r="C630" s="38" t="n">
        <f aca="false">E630*Scorecard!$D$18+F630*Scorecard!$D$19+G630*Scorecard!$D$20+H630*Scorecard!$D$21+I630*Scorecard!$D$22+J630*Scorecard!$D$23</f>
        <v>2.82046059404747</v>
      </c>
      <c r="D630" s="0" t="str">
        <f aca="false">IF(AND(B630&gt;=C630,B630&gt;=K630),"A. Distribution",IF(C630&gt;=K630,"B. Manufacturing","C. Prof. services"))</f>
        <v>A. Distribution</v>
      </c>
      <c r="E630" s="39" t="n">
        <v>0.2971633468404</v>
      </c>
      <c r="F630" s="39" t="n">
        <v>0.152011490856389</v>
      </c>
      <c r="G630" s="39" t="n">
        <v>0.00228864544854732</v>
      </c>
      <c r="H630" s="39" t="n">
        <v>0.182547101649665</v>
      </c>
      <c r="I630" s="39" t="n">
        <v>0.146350495660673</v>
      </c>
      <c r="J630" s="39" t="n">
        <v>0.219638919544325</v>
      </c>
      <c r="K630" s="38" t="n">
        <f aca="false">E630*Scorecard!$E$18+F630*Scorecard!$E$19+G630*Scorecard!$E$20+H630*Scorecard!$E$21+I630*Scorecard!$E$22+J630*Scorecard!$E$23</f>
        <v>3.47589139155877</v>
      </c>
      <c r="M630" s="0" t="str">
        <f aca="false">IF(AND(T630&gt;=U630,T630&gt;=V630),"A. Distribution",IF(U630&gt;=V630,"B. Manufacturing","C. Prof. services"))</f>
        <v>A. Distribution</v>
      </c>
      <c r="N630" s="39" t="n">
        <v>0.166513810331283</v>
      </c>
      <c r="O630" s="39" t="n">
        <v>0.117080989728369</v>
      </c>
      <c r="P630" s="39" t="n">
        <v>0.251353307435093</v>
      </c>
      <c r="Q630" s="39" t="n">
        <v>0.226949467578766</v>
      </c>
      <c r="R630" s="39" t="n">
        <v>0.14138118143359</v>
      </c>
      <c r="S630" s="39" t="n">
        <v>0.0967212434928995</v>
      </c>
      <c r="T630" s="38" t="n">
        <f aca="false">N630*Scorecard!$C$18+O630*Scorecard!$C$19+P630*Scorecard!$C$20+Q630*Scorecard!$C$21+R630*Scorecard!$C$22+S630*Scorecard!$C$23</f>
        <v>3.8858157081365</v>
      </c>
      <c r="U630" s="38" t="n">
        <f aca="false">N630*Scorecard!$D$18+O630*Scorecard!$D$19+P630*Scorecard!$D$20+Q630*Scorecard!$D$21+R630*Scorecard!$D$22+S630*Scorecard!$D$23</f>
        <v>2.60541768365473</v>
      </c>
      <c r="V630" s="38" t="n">
        <f aca="false">N630*Scorecard!$E$18+O630*Scorecard!$E$19+P630*Scorecard!$E$20+Q630*Scorecard!$E$21+R630*Scorecard!$E$22+S630*Scorecard!$E$23</f>
        <v>3.5152732899443</v>
      </c>
    </row>
    <row r="631" customFormat="false" ht="15" hidden="false" customHeight="false" outlineLevel="0" collapsed="false">
      <c r="A631" s="0" t="n">
        <v>626</v>
      </c>
      <c r="B631" s="38" t="n">
        <f aca="false">E631*Scorecard!$C$18+F631*Scorecard!$C$19+G631*Scorecard!$C$20+H631*Scorecard!$C$21+I631*Scorecard!$C$22+J631*Scorecard!$C$23</f>
        <v>3.82558297705179</v>
      </c>
      <c r="C631" s="38" t="n">
        <f aca="false">E631*Scorecard!$D$18+F631*Scorecard!$D$19+G631*Scorecard!$D$20+H631*Scorecard!$D$21+I631*Scorecard!$D$22+J631*Scorecard!$D$23</f>
        <v>2.78987672191198</v>
      </c>
      <c r="D631" s="0" t="str">
        <f aca="false">IF(AND(B631&gt;=C631,B631&gt;=K631),"A. Distribution",IF(C631&gt;=K631,"B. Manufacturing","C. Prof. services"))</f>
        <v>A. Distribution</v>
      </c>
      <c r="E631" s="39" t="n">
        <v>0.183723840057959</v>
      </c>
      <c r="F631" s="39" t="n">
        <v>0.0398915007068941</v>
      </c>
      <c r="G631" s="39" t="n">
        <v>0.187157707458487</v>
      </c>
      <c r="H631" s="39" t="n">
        <v>0.218287921908881</v>
      </c>
      <c r="I631" s="39" t="n">
        <v>0.282920390894069</v>
      </c>
      <c r="J631" s="39" t="n">
        <v>0.0880186389737109</v>
      </c>
      <c r="K631" s="38" t="n">
        <f aca="false">E631*Scorecard!$E$18+F631*Scorecard!$E$19+G631*Scorecard!$E$20+H631*Scorecard!$E$21+I631*Scorecard!$E$22+J631*Scorecard!$E$23</f>
        <v>3.3615202640364</v>
      </c>
      <c r="M631" s="0" t="str">
        <f aca="false">IF(AND(T631&gt;=U631,T631&gt;=V631),"A. Distribution",IF(U631&gt;=V631,"B. Manufacturing","C. Prof. services"))</f>
        <v>A. Distribution</v>
      </c>
      <c r="N631" s="39" t="n">
        <v>0.166364712685911</v>
      </c>
      <c r="O631" s="39" t="n">
        <v>0.196069439919576</v>
      </c>
      <c r="P631" s="39" t="n">
        <v>0.251876804921007</v>
      </c>
      <c r="Q631" s="39" t="n">
        <v>0.174459562599861</v>
      </c>
      <c r="R631" s="39" t="n">
        <v>0.142951266104077</v>
      </c>
      <c r="S631" s="39" t="n">
        <v>0.0682782137695691</v>
      </c>
      <c r="T631" s="38" t="n">
        <f aca="false">N631*Scorecard!$C$18+O631*Scorecard!$C$19+P631*Scorecard!$C$20+Q631*Scorecard!$C$21+R631*Scorecard!$C$22+S631*Scorecard!$C$23</f>
        <v>4.02735800640574</v>
      </c>
      <c r="U631" s="38" t="n">
        <f aca="false">N631*Scorecard!$D$18+O631*Scorecard!$D$19+P631*Scorecard!$D$20+Q631*Scorecard!$D$21+R631*Scorecard!$D$22+S631*Scorecard!$D$23</f>
        <v>2.64793922477146</v>
      </c>
      <c r="V631" s="38" t="n">
        <f aca="false">N631*Scorecard!$E$18+O631*Scorecard!$E$19+P631*Scorecard!$E$20+Q631*Scorecard!$E$21+R631*Scorecard!$E$22+S631*Scorecard!$E$23</f>
        <v>3.42125342187596</v>
      </c>
    </row>
    <row r="632" customFormat="false" ht="15" hidden="false" customHeight="false" outlineLevel="0" collapsed="false">
      <c r="A632" s="0" t="n">
        <v>627</v>
      </c>
      <c r="B632" s="38" t="n">
        <f aca="false">E632*Scorecard!$C$18+F632*Scorecard!$C$19+G632*Scorecard!$C$20+H632*Scorecard!$C$21+I632*Scorecard!$C$22+J632*Scorecard!$C$23</f>
        <v>4.10050111050555</v>
      </c>
      <c r="C632" s="38" t="n">
        <f aca="false">E632*Scorecard!$D$18+F632*Scorecard!$D$19+G632*Scorecard!$D$20+H632*Scorecard!$D$21+I632*Scorecard!$D$22+J632*Scorecard!$D$23</f>
        <v>2.67568763147936</v>
      </c>
      <c r="D632" s="0" t="str">
        <f aca="false">IF(AND(B632&gt;=C632,B632&gt;=K632),"A. Distribution",IF(C632&gt;=K632,"B. Manufacturing","C. Prof. services"))</f>
        <v>A. Distribution</v>
      </c>
      <c r="E632" s="39" t="n">
        <v>0.18627915078032</v>
      </c>
      <c r="F632" s="39" t="n">
        <v>0.244626730917718</v>
      </c>
      <c r="G632" s="39" t="n">
        <v>0.221102139386646</v>
      </c>
      <c r="H632" s="39" t="n">
        <v>0.187208001044953</v>
      </c>
      <c r="I632" s="39" t="n">
        <v>0.106284929487159</v>
      </c>
      <c r="J632" s="39" t="n">
        <v>0.0544990483832037</v>
      </c>
      <c r="K632" s="38" t="n">
        <f aca="false">E632*Scorecard!$E$18+F632*Scorecard!$E$19+G632*Scorecard!$E$20+H632*Scorecard!$E$21+I632*Scorecard!$E$22+J632*Scorecard!$E$23</f>
        <v>3.4033024347109</v>
      </c>
      <c r="M632" s="0" t="str">
        <f aca="false">IF(AND(T632&gt;=U632,T632&gt;=V632),"A. Distribution",IF(U632&gt;=V632,"B. Manufacturing","C. Prof. services"))</f>
        <v>A. Distribution</v>
      </c>
      <c r="N632" s="39" t="n">
        <v>0.307741301986974</v>
      </c>
      <c r="O632" s="39" t="n">
        <v>0.18891798627862</v>
      </c>
      <c r="P632" s="39" t="n">
        <v>0.13180467892318</v>
      </c>
      <c r="Q632" s="39" t="n">
        <v>0.179065718187744</v>
      </c>
      <c r="R632" s="39" t="n">
        <v>0.0657063001572808</v>
      </c>
      <c r="S632" s="39" t="n">
        <v>0.126764014466201</v>
      </c>
      <c r="T632" s="38" t="n">
        <f aca="false">N632*Scorecard!$C$18+O632*Scorecard!$C$19+P632*Scorecard!$C$20+Q632*Scorecard!$C$21+R632*Scorecard!$C$22+S632*Scorecard!$C$23</f>
        <v>3.89138796543408</v>
      </c>
      <c r="U632" s="38" t="n">
        <f aca="false">N632*Scorecard!$D$18+O632*Scorecard!$D$19+P632*Scorecard!$D$20+Q632*Scorecard!$D$21+R632*Scorecard!$D$22+S632*Scorecard!$D$23</f>
        <v>2.79931408569517</v>
      </c>
      <c r="V632" s="38" t="n">
        <f aca="false">N632*Scorecard!$E$18+O632*Scorecard!$E$19+P632*Scorecard!$E$20+Q632*Scorecard!$E$21+R632*Scorecard!$E$22+S632*Scorecard!$E$23</f>
        <v>3.51559462710409</v>
      </c>
    </row>
    <row r="633" customFormat="false" ht="15" hidden="false" customHeight="false" outlineLevel="0" collapsed="false">
      <c r="A633" s="0" t="n">
        <v>628</v>
      </c>
      <c r="B633" s="38" t="n">
        <f aca="false">E633*Scorecard!$C$18+F633*Scorecard!$C$19+G633*Scorecard!$C$20+H633*Scorecard!$C$21+I633*Scorecard!$C$22+J633*Scorecard!$C$23</f>
        <v>3.87486894697823</v>
      </c>
      <c r="C633" s="38" t="n">
        <f aca="false">E633*Scorecard!$D$18+F633*Scorecard!$D$19+G633*Scorecard!$D$20+H633*Scorecard!$D$21+I633*Scorecard!$D$22+J633*Scorecard!$D$23</f>
        <v>2.78659076766339</v>
      </c>
      <c r="D633" s="0" t="str">
        <f aca="false">IF(AND(B633&gt;=C633,B633&gt;=K633),"A. Distribution",IF(C633&gt;=K633,"B. Manufacturing","C. Prof. services"))</f>
        <v>A. Distribution</v>
      </c>
      <c r="E633" s="39" t="n">
        <v>0.135098375203261</v>
      </c>
      <c r="F633" s="39" t="n">
        <v>0.193919730676263</v>
      </c>
      <c r="G633" s="39" t="n">
        <v>0.0914323932465301</v>
      </c>
      <c r="H633" s="39" t="n">
        <v>0.0845818874380891</v>
      </c>
      <c r="I633" s="39" t="n">
        <v>0.345422401802572</v>
      </c>
      <c r="J633" s="39" t="n">
        <v>0.149545211633285</v>
      </c>
      <c r="K633" s="38" t="n">
        <f aca="false">E633*Scorecard!$E$18+F633*Scorecard!$E$19+G633*Scorecard!$E$20+H633*Scorecard!$E$21+I633*Scorecard!$E$22+J633*Scorecard!$E$23</f>
        <v>3.17202806255141</v>
      </c>
      <c r="M633" s="0" t="str">
        <f aca="false">IF(AND(T633&gt;=U633,T633&gt;=V633),"A. Distribution",IF(U633&gt;=V633,"B. Manufacturing","C. Prof. services"))</f>
        <v>A. Distribution</v>
      </c>
      <c r="N633" s="39" t="n">
        <v>0.190621925550587</v>
      </c>
      <c r="O633" s="39" t="n">
        <v>0.126828146329948</v>
      </c>
      <c r="P633" s="39" t="n">
        <v>0.134392220454985</v>
      </c>
      <c r="Q633" s="39" t="n">
        <v>0.183340331933959</v>
      </c>
      <c r="R633" s="39" t="n">
        <v>0.28604162038154</v>
      </c>
      <c r="S633" s="39" t="n">
        <v>0.0787757553489812</v>
      </c>
      <c r="T633" s="38" t="n">
        <f aca="false">N633*Scorecard!$C$18+O633*Scorecard!$C$19+P633*Scorecard!$C$20+Q633*Scorecard!$C$21+R633*Scorecard!$C$22+S633*Scorecard!$C$23</f>
        <v>3.93421718823533</v>
      </c>
      <c r="U633" s="38" t="n">
        <f aca="false">N633*Scorecard!$D$18+O633*Scorecard!$D$19+P633*Scorecard!$D$20+Q633*Scorecard!$D$21+R633*Scorecard!$D$22+S633*Scorecard!$D$23</f>
        <v>2.84846332750199</v>
      </c>
      <c r="V633" s="38" t="n">
        <f aca="false">N633*Scorecard!$E$18+O633*Scorecard!$E$19+P633*Scorecard!$E$20+Q633*Scorecard!$E$21+R633*Scorecard!$E$22+S633*Scorecard!$E$23</f>
        <v>3.25575250105632</v>
      </c>
    </row>
    <row r="634" customFormat="false" ht="15" hidden="false" customHeight="false" outlineLevel="0" collapsed="false">
      <c r="A634" s="0" t="n">
        <v>629</v>
      </c>
      <c r="B634" s="38" t="n">
        <f aca="false">E634*Scorecard!$C$18+F634*Scorecard!$C$19+G634*Scorecard!$C$20+H634*Scorecard!$C$21+I634*Scorecard!$C$22+J634*Scorecard!$C$23</f>
        <v>3.43291522530762</v>
      </c>
      <c r="C634" s="38" t="n">
        <f aca="false">E634*Scorecard!$D$18+F634*Scorecard!$D$19+G634*Scorecard!$D$20+H634*Scorecard!$D$21+I634*Scorecard!$D$22+J634*Scorecard!$D$23</f>
        <v>2.43576974412394</v>
      </c>
      <c r="D634" s="0" t="str">
        <f aca="false">IF(AND(B634&gt;=C634,B634&gt;=K634),"A. Distribution",IF(C634&gt;=K634,"B. Manufacturing","C. Prof. services"))</f>
        <v>C. Prof. services</v>
      </c>
      <c r="E634" s="39" t="n">
        <v>0.127930093918201</v>
      </c>
      <c r="F634" s="39" t="n">
        <v>0.107347991286624</v>
      </c>
      <c r="G634" s="39" t="n">
        <v>0.095684653092369</v>
      </c>
      <c r="H634" s="39" t="n">
        <v>0.173172670128121</v>
      </c>
      <c r="I634" s="39" t="n">
        <v>0.173113484128994</v>
      </c>
      <c r="J634" s="39" t="n">
        <v>0.322751107445692</v>
      </c>
      <c r="K634" s="38" t="n">
        <f aca="false">E634*Scorecard!$E$18+F634*Scorecard!$E$19+G634*Scorecard!$E$20+H634*Scorecard!$E$21+I634*Scorecard!$E$22+J634*Scorecard!$E$23</f>
        <v>3.62391594308791</v>
      </c>
      <c r="M634" s="0" t="str">
        <f aca="false">IF(AND(T634&gt;=U634,T634&gt;=V634),"A. Distribution",IF(U634&gt;=V634,"B. Manufacturing","C. Prof. services"))</f>
        <v>A. Distribution</v>
      </c>
      <c r="N634" s="39" t="n">
        <v>0.0867600520118911</v>
      </c>
      <c r="O634" s="39" t="n">
        <v>0.177747522169183</v>
      </c>
      <c r="P634" s="39" t="n">
        <v>0.265865252235457</v>
      </c>
      <c r="Q634" s="39" t="n">
        <v>0.158024818516947</v>
      </c>
      <c r="R634" s="39" t="n">
        <v>0.194051432992206</v>
      </c>
      <c r="S634" s="39" t="n">
        <v>0.117550922074316</v>
      </c>
      <c r="T634" s="38" t="n">
        <f aca="false">N634*Scorecard!$C$18+O634*Scorecard!$C$19+P634*Scorecard!$C$20+Q634*Scorecard!$C$21+R634*Scorecard!$C$22+S634*Scorecard!$C$23</f>
        <v>3.91865272659437</v>
      </c>
      <c r="U634" s="38" t="n">
        <f aca="false">N634*Scorecard!$D$18+O634*Scorecard!$D$19+P634*Scorecard!$D$20+Q634*Scorecard!$D$21+R634*Scorecard!$D$22+S634*Scorecard!$D$23</f>
        <v>2.51585766539983</v>
      </c>
      <c r="V634" s="38" t="n">
        <f aca="false">N634*Scorecard!$E$18+O634*Scorecard!$E$19+P634*Scorecard!$E$20+Q634*Scorecard!$E$21+R634*Scorecard!$E$22+S634*Scorecard!$E$23</f>
        <v>3.42780121693167</v>
      </c>
    </row>
    <row r="635" customFormat="false" ht="15" hidden="false" customHeight="false" outlineLevel="0" collapsed="false">
      <c r="A635" s="0" t="n">
        <v>630</v>
      </c>
      <c r="B635" s="38" t="n">
        <f aca="false">E635*Scorecard!$C$18+F635*Scorecard!$C$19+G635*Scorecard!$C$20+H635*Scorecard!$C$21+I635*Scorecard!$C$22+J635*Scorecard!$C$23</f>
        <v>3.85438678046185</v>
      </c>
      <c r="C635" s="38" t="n">
        <f aca="false">E635*Scorecard!$D$18+F635*Scorecard!$D$19+G635*Scorecard!$D$20+H635*Scorecard!$D$21+I635*Scorecard!$D$22+J635*Scorecard!$D$23</f>
        <v>2.2663195754782</v>
      </c>
      <c r="D635" s="0" t="str">
        <f aca="false">IF(AND(B635&gt;=C635,B635&gt;=K635),"A. Distribution",IF(C635&gt;=K635,"B. Manufacturing","C. Prof. services"))</f>
        <v>A. Distribution</v>
      </c>
      <c r="E635" s="39" t="n">
        <v>0.0494678525382747</v>
      </c>
      <c r="F635" s="39" t="n">
        <v>0.334472005655546</v>
      </c>
      <c r="G635" s="39" t="n">
        <v>0.235547545192873</v>
      </c>
      <c r="H635" s="39" t="n">
        <v>0.0869058918763308</v>
      </c>
      <c r="I635" s="39" t="n">
        <v>0.0602319796585989</v>
      </c>
      <c r="J635" s="39" t="n">
        <v>0.233374725078377</v>
      </c>
      <c r="K635" s="38" t="n">
        <f aca="false">E635*Scorecard!$E$18+F635*Scorecard!$E$19+G635*Scorecard!$E$20+H635*Scorecard!$E$21+I635*Scorecard!$E$22+J635*Scorecard!$E$23</f>
        <v>3.56330610308956</v>
      </c>
      <c r="M635" s="0" t="str">
        <f aca="false">IF(AND(T635&gt;=U635,T635&gt;=V635),"A. Distribution",IF(U635&gt;=V635,"B. Manufacturing","C. Prof. services"))</f>
        <v>A. Distribution</v>
      </c>
      <c r="N635" s="39" t="n">
        <v>0.264880062831115</v>
      </c>
      <c r="O635" s="39" t="n">
        <v>0.0969786820013392</v>
      </c>
      <c r="P635" s="39" t="n">
        <v>0.201281262168855</v>
      </c>
      <c r="Q635" s="39" t="n">
        <v>0.136287922690421</v>
      </c>
      <c r="R635" s="39" t="n">
        <v>0.135343853742916</v>
      </c>
      <c r="S635" s="39" t="n">
        <v>0.165228216565355</v>
      </c>
      <c r="T635" s="38" t="n">
        <f aca="false">N635*Scorecard!$C$18+O635*Scorecard!$C$19+P635*Scorecard!$C$20+Q635*Scorecard!$C$21+R635*Scorecard!$C$22+S635*Scorecard!$C$23</f>
        <v>3.73057078005474</v>
      </c>
      <c r="U635" s="38" t="n">
        <f aca="false">N635*Scorecard!$D$18+O635*Scorecard!$D$19+P635*Scorecard!$D$20+Q635*Scorecard!$D$21+R635*Scorecard!$D$22+S635*Scorecard!$D$23</f>
        <v>2.72499340679832</v>
      </c>
      <c r="V635" s="38" t="n">
        <f aca="false">N635*Scorecard!$E$18+O635*Scorecard!$E$19+P635*Scorecard!$E$20+Q635*Scorecard!$E$21+R635*Scorecard!$E$22+S635*Scorecard!$E$23</f>
        <v>3.56408992451667</v>
      </c>
    </row>
    <row r="636" customFormat="false" ht="15" hidden="false" customHeight="false" outlineLevel="0" collapsed="false">
      <c r="A636" s="0" t="n">
        <v>631</v>
      </c>
      <c r="B636" s="38" t="n">
        <f aca="false">E636*Scorecard!$C$18+F636*Scorecard!$C$19+G636*Scorecard!$C$20+H636*Scorecard!$C$21+I636*Scorecard!$C$22+J636*Scorecard!$C$23</f>
        <v>3.64202105406413</v>
      </c>
      <c r="C636" s="38" t="n">
        <f aca="false">E636*Scorecard!$D$18+F636*Scorecard!$D$19+G636*Scorecard!$D$20+H636*Scorecard!$D$21+I636*Scorecard!$D$22+J636*Scorecard!$D$23</f>
        <v>2.65277901888783</v>
      </c>
      <c r="D636" s="0" t="str">
        <f aca="false">IF(AND(B636&gt;=C636,B636&gt;=K636),"A. Distribution",IF(C636&gt;=K636,"B. Manufacturing","C. Prof. services"))</f>
        <v>A. Distribution</v>
      </c>
      <c r="E636" s="39" t="n">
        <v>0.153154458203561</v>
      </c>
      <c r="F636" s="39" t="n">
        <v>0.0352820057490433</v>
      </c>
      <c r="G636" s="39" t="n">
        <v>0.124003594281065</v>
      </c>
      <c r="H636" s="39" t="n">
        <v>0.258218042839147</v>
      </c>
      <c r="I636" s="39" t="n">
        <v>0.25277113442601</v>
      </c>
      <c r="J636" s="39" t="n">
        <v>0.176570764501174</v>
      </c>
      <c r="K636" s="38" t="n">
        <f aca="false">E636*Scorecard!$E$18+F636*Scorecard!$E$19+G636*Scorecard!$E$20+H636*Scorecard!$E$21+I636*Scorecard!$E$22+J636*Scorecard!$E$23</f>
        <v>3.4637808802843</v>
      </c>
      <c r="M636" s="0" t="str">
        <f aca="false">IF(AND(T636&gt;=U636,T636&gt;=V636),"A. Distribution",IF(U636&gt;=V636,"B. Manufacturing","C. Prof. services"))</f>
        <v>A. Distribution</v>
      </c>
      <c r="N636" s="39" t="n">
        <v>0.183591298821283</v>
      </c>
      <c r="O636" s="39" t="n">
        <v>0.119973192425455</v>
      </c>
      <c r="P636" s="39" t="n">
        <v>0.235089524736154</v>
      </c>
      <c r="Q636" s="39" t="n">
        <v>0.148797936536083</v>
      </c>
      <c r="R636" s="39" t="n">
        <v>0.227746446151891</v>
      </c>
      <c r="S636" s="39" t="n">
        <v>0.0848016013291342</v>
      </c>
      <c r="T636" s="38" t="n">
        <f aca="false">N636*Scorecard!$C$18+O636*Scorecard!$C$19+P636*Scorecard!$C$20+Q636*Scorecard!$C$21+R636*Scorecard!$C$22+S636*Scorecard!$C$23</f>
        <v>3.91959697206842</v>
      </c>
      <c r="U636" s="38" t="n">
        <f aca="false">N636*Scorecard!$D$18+O636*Scorecard!$D$19+P636*Scorecard!$D$20+Q636*Scorecard!$D$21+R636*Scorecard!$D$22+S636*Scorecard!$D$23</f>
        <v>2.73977252808302</v>
      </c>
      <c r="V636" s="38" t="n">
        <f aca="false">N636*Scorecard!$E$18+O636*Scorecard!$E$19+P636*Scorecard!$E$20+Q636*Scorecard!$E$21+R636*Scorecard!$E$22+S636*Scorecard!$E$23</f>
        <v>3.37893382205848</v>
      </c>
    </row>
    <row r="637" customFormat="false" ht="15" hidden="false" customHeight="false" outlineLevel="0" collapsed="false">
      <c r="A637" s="0" t="n">
        <v>632</v>
      </c>
      <c r="B637" s="38" t="n">
        <f aca="false">E637*Scorecard!$C$18+F637*Scorecard!$C$19+G637*Scorecard!$C$20+H637*Scorecard!$C$21+I637*Scorecard!$C$22+J637*Scorecard!$C$23</f>
        <v>3.88516843698384</v>
      </c>
      <c r="C637" s="38" t="n">
        <f aca="false">E637*Scorecard!$D$18+F637*Scorecard!$D$19+G637*Scorecard!$D$20+H637*Scorecard!$D$21+I637*Scorecard!$D$22+J637*Scorecard!$D$23</f>
        <v>2.82330908465443</v>
      </c>
      <c r="D637" s="0" t="str">
        <f aca="false">IF(AND(B637&gt;=C637,B637&gt;=K637),"A. Distribution",IF(C637&gt;=K637,"B. Manufacturing","C. Prof. services"))</f>
        <v>A. Distribution</v>
      </c>
      <c r="E637" s="39" t="n">
        <v>0.225267155033507</v>
      </c>
      <c r="F637" s="39" t="n">
        <v>0.178494055400181</v>
      </c>
      <c r="G637" s="39" t="n">
        <v>0.159508674165794</v>
      </c>
      <c r="H637" s="39" t="n">
        <v>0.0605393552675471</v>
      </c>
      <c r="I637" s="39" t="n">
        <v>0.241832512792769</v>
      </c>
      <c r="J637" s="39" t="n">
        <v>0.134358247340202</v>
      </c>
      <c r="K637" s="38" t="n">
        <f aca="false">E637*Scorecard!$E$18+F637*Scorecard!$E$19+G637*Scorecard!$E$20+H637*Scorecard!$E$21+I637*Scorecard!$E$22+J637*Scorecard!$E$23</f>
        <v>3.31830732011764</v>
      </c>
      <c r="M637" s="0" t="str">
        <f aca="false">IF(AND(T637&gt;=U637,T637&gt;=V637),"A. Distribution",IF(U637&gt;=V637,"B. Manufacturing","C. Prof. services"))</f>
        <v>A. Distribution</v>
      </c>
      <c r="N637" s="39" t="n">
        <v>0.17046027282606</v>
      </c>
      <c r="O637" s="39" t="n">
        <v>0.160514793579326</v>
      </c>
      <c r="P637" s="39" t="n">
        <v>0.308157891067538</v>
      </c>
      <c r="Q637" s="39" t="n">
        <v>0.0942370305413317</v>
      </c>
      <c r="R637" s="39" t="n">
        <v>0.181725212003695</v>
      </c>
      <c r="S637" s="39" t="n">
        <v>0.0849047999820491</v>
      </c>
      <c r="T637" s="38" t="n">
        <f aca="false">N637*Scorecard!$C$18+O637*Scorecard!$C$19+P637*Scorecard!$C$20+Q637*Scorecard!$C$21+R637*Scorecard!$C$22+S637*Scorecard!$C$23</f>
        <v>3.96686539324214</v>
      </c>
      <c r="U637" s="38" t="n">
        <f aca="false">N637*Scorecard!$D$18+O637*Scorecard!$D$19+P637*Scorecard!$D$20+Q637*Scorecard!$D$21+R637*Scorecard!$D$22+S637*Scorecard!$D$23</f>
        <v>2.65732556355295</v>
      </c>
      <c r="V637" s="38" t="n">
        <f aca="false">N637*Scorecard!$E$18+O637*Scorecard!$E$19+P637*Scorecard!$E$20+Q637*Scorecard!$E$21+R637*Scorecard!$E$22+S637*Scorecard!$E$23</f>
        <v>3.43163591561589</v>
      </c>
    </row>
    <row r="638" customFormat="false" ht="15" hidden="false" customHeight="false" outlineLevel="0" collapsed="false">
      <c r="A638" s="0" t="n">
        <v>633</v>
      </c>
      <c r="B638" s="38" t="n">
        <f aca="false">E638*Scorecard!$C$18+F638*Scorecard!$C$19+G638*Scorecard!$C$20+H638*Scorecard!$C$21+I638*Scorecard!$C$22+J638*Scorecard!$C$23</f>
        <v>4.07719712628061</v>
      </c>
      <c r="C638" s="38" t="n">
        <f aca="false">E638*Scorecard!$D$18+F638*Scorecard!$D$19+G638*Scorecard!$D$20+H638*Scorecard!$D$21+I638*Scorecard!$D$22+J638*Scorecard!$D$23</f>
        <v>3.04582648609311</v>
      </c>
      <c r="D638" s="0" t="str">
        <f aca="false">IF(AND(B638&gt;=C638,B638&gt;=K638),"A. Distribution",IF(C638&gt;=K638,"B. Manufacturing","C. Prof. services"))</f>
        <v>A. Distribution</v>
      </c>
      <c r="E638" s="39" t="n">
        <v>0.367109862042487</v>
      </c>
      <c r="F638" s="39" t="n">
        <v>0.28344271334746</v>
      </c>
      <c r="G638" s="39" t="n">
        <v>0.00913036360538613</v>
      </c>
      <c r="H638" s="39" t="n">
        <v>0.147345719286478</v>
      </c>
      <c r="I638" s="39" t="n">
        <v>0.112523874911403</v>
      </c>
      <c r="J638" s="39" t="n">
        <v>0.0804474668067864</v>
      </c>
      <c r="K638" s="38" t="n">
        <f aca="false">E638*Scorecard!$E$18+F638*Scorecard!$E$19+G638*Scorecard!$E$20+H638*Scorecard!$E$21+I638*Scorecard!$E$22+J638*Scorecard!$E$23</f>
        <v>3.2820994995648</v>
      </c>
      <c r="M638" s="0" t="str">
        <f aca="false">IF(AND(T638&gt;=U638,T638&gt;=V638),"A. Distribution",IF(U638&gt;=V638,"B. Manufacturing","C. Prof. services"))</f>
        <v>A. Distribution</v>
      </c>
      <c r="N638" s="39" t="n">
        <v>0.283691975070077</v>
      </c>
      <c r="O638" s="39" t="n">
        <v>0.355387093256094</v>
      </c>
      <c r="P638" s="39" t="n">
        <v>0.187402759453583</v>
      </c>
      <c r="Q638" s="39" t="n">
        <v>0.057687852995773</v>
      </c>
      <c r="R638" s="39" t="n">
        <v>0.0795510518035895</v>
      </c>
      <c r="S638" s="39" t="n">
        <v>0.0362792674208842</v>
      </c>
      <c r="T638" s="38" t="n">
        <f aca="false">N638*Scorecard!$C$18+O638*Scorecard!$C$19+P638*Scorecard!$C$20+Q638*Scorecard!$C$21+R638*Scorecard!$C$22+S638*Scorecard!$C$23</f>
        <v>4.25383594552487</v>
      </c>
      <c r="U638" s="38" t="n">
        <f aca="false">N638*Scorecard!$D$18+O638*Scorecard!$D$19+P638*Scorecard!$D$20+Q638*Scorecard!$D$21+R638*Scorecard!$D$22+S638*Scorecard!$D$23</f>
        <v>2.86707925061329</v>
      </c>
      <c r="V638" s="38" t="n">
        <f aca="false">N638*Scorecard!$E$18+O638*Scorecard!$E$19+P638*Scorecard!$E$20+Q638*Scorecard!$E$21+R638*Scorecard!$E$22+S638*Scorecard!$E$23</f>
        <v>3.30000145572021</v>
      </c>
    </row>
    <row r="639" customFormat="false" ht="15" hidden="false" customHeight="false" outlineLevel="0" collapsed="false">
      <c r="A639" s="0" t="n">
        <v>634</v>
      </c>
      <c r="B639" s="38" t="n">
        <f aca="false">E639*Scorecard!$C$18+F639*Scorecard!$C$19+G639*Scorecard!$C$20+H639*Scorecard!$C$21+I639*Scorecard!$C$22+J639*Scorecard!$C$23</f>
        <v>3.42277746013697</v>
      </c>
      <c r="C639" s="38" t="n">
        <f aca="false">E639*Scorecard!$D$18+F639*Scorecard!$D$19+G639*Scorecard!$D$20+H639*Scorecard!$D$21+I639*Scorecard!$D$22+J639*Scorecard!$D$23</f>
        <v>2.71414167162207</v>
      </c>
      <c r="D639" s="0" t="str">
        <f aca="false">IF(AND(B639&gt;=C639,B639&gt;=K639),"A. Distribution",IF(C639&gt;=K639,"B. Manufacturing","C. Prof. services"))</f>
        <v>C. Prof. services</v>
      </c>
      <c r="E639" s="39" t="n">
        <v>0.342079397088918</v>
      </c>
      <c r="F639" s="39" t="n">
        <v>0.114671621418151</v>
      </c>
      <c r="G639" s="39" t="n">
        <v>0.0671381622934349</v>
      </c>
      <c r="H639" s="39" t="n">
        <v>0.0684540967748742</v>
      </c>
      <c r="I639" s="39" t="n">
        <v>0.0791298515864156</v>
      </c>
      <c r="J639" s="39" t="n">
        <v>0.328526870838206</v>
      </c>
      <c r="K639" s="38" t="n">
        <f aca="false">E639*Scorecard!$E$18+F639*Scorecard!$E$19+G639*Scorecard!$E$20+H639*Scorecard!$E$21+I639*Scorecard!$E$22+J639*Scorecard!$E$23</f>
        <v>3.70186780624301</v>
      </c>
      <c r="M639" s="0" t="str">
        <f aca="false">IF(AND(T639&gt;=U639,T639&gt;=V639),"A. Distribution",IF(U639&gt;=V639,"B. Manufacturing","C. Prof. services"))</f>
        <v>A. Distribution</v>
      </c>
      <c r="N639" s="39" t="n">
        <v>0.18193817145724</v>
      </c>
      <c r="O639" s="39" t="n">
        <v>0.170249910928771</v>
      </c>
      <c r="P639" s="39" t="n">
        <v>0.241151819166506</v>
      </c>
      <c r="Q639" s="39" t="n">
        <v>0.241498843322425</v>
      </c>
      <c r="R639" s="39" t="n">
        <v>0.0617924777983084</v>
      </c>
      <c r="S639" s="39" t="n">
        <v>0.103368777326751</v>
      </c>
      <c r="T639" s="38" t="n">
        <f aca="false">N639*Scorecard!$C$18+O639*Scorecard!$C$19+P639*Scorecard!$C$20+Q639*Scorecard!$C$21+R639*Scorecard!$C$22+S639*Scorecard!$C$23</f>
        <v>3.92288348573256</v>
      </c>
      <c r="U639" s="38" t="n">
        <f aca="false">N639*Scorecard!$D$18+O639*Scorecard!$D$19+P639*Scorecard!$D$20+Q639*Scorecard!$D$21+R639*Scorecard!$D$22+S639*Scorecard!$D$23</f>
        <v>2.55960914562498</v>
      </c>
      <c r="V639" s="38" t="n">
        <f aca="false">N639*Scorecard!$E$18+O639*Scorecard!$E$19+P639*Scorecard!$E$20+Q639*Scorecard!$E$21+R639*Scorecard!$E$22+S639*Scorecard!$E$23</f>
        <v>3.57521753090444</v>
      </c>
    </row>
    <row r="640" customFormat="false" ht="15" hidden="false" customHeight="false" outlineLevel="0" collapsed="false">
      <c r="A640" s="0" t="n">
        <v>635</v>
      </c>
      <c r="B640" s="38" t="n">
        <f aca="false">E640*Scorecard!$C$18+F640*Scorecard!$C$19+G640*Scorecard!$C$20+H640*Scorecard!$C$21+I640*Scorecard!$C$22+J640*Scorecard!$C$23</f>
        <v>3.54619324628208</v>
      </c>
      <c r="C640" s="38" t="n">
        <f aca="false">E640*Scorecard!$D$18+F640*Scorecard!$D$19+G640*Scorecard!$D$20+H640*Scorecard!$D$21+I640*Scorecard!$D$22+J640*Scorecard!$D$23</f>
        <v>2.77262423155638</v>
      </c>
      <c r="D640" s="0" t="str">
        <f aca="false">IF(AND(B640&gt;=C640,B640&gt;=K640),"A. Distribution",IF(C640&gt;=K640,"B. Manufacturing","C. Prof. services"))</f>
        <v>C. Prof. services</v>
      </c>
      <c r="E640" s="39" t="n">
        <v>0.384305185283981</v>
      </c>
      <c r="F640" s="39" t="n">
        <v>0.0545224873193826</v>
      </c>
      <c r="G640" s="39" t="n">
        <v>0.238875955640946</v>
      </c>
      <c r="H640" s="39" t="n">
        <v>0.0274647692346059</v>
      </c>
      <c r="I640" s="39" t="n">
        <v>0.0575739658687152</v>
      </c>
      <c r="J640" s="39" t="n">
        <v>0.237257636652369</v>
      </c>
      <c r="K640" s="38" t="n">
        <f aca="false">E640*Scorecard!$E$18+F640*Scorecard!$E$19+G640*Scorecard!$E$20+H640*Scorecard!$E$21+I640*Scorecard!$E$22+J640*Scorecard!$E$23</f>
        <v>3.75635746882155</v>
      </c>
      <c r="M640" s="0" t="str">
        <f aca="false">IF(AND(T640&gt;=U640,T640&gt;=V640),"A. Distribution",IF(U640&gt;=V640,"B. Manufacturing","C. Prof. services"))</f>
        <v>A. Distribution</v>
      </c>
      <c r="N640" s="39" t="n">
        <v>0.168927715080264</v>
      </c>
      <c r="O640" s="39" t="n">
        <v>0.235619020116722</v>
      </c>
      <c r="P640" s="39" t="n">
        <v>0.192011043301246</v>
      </c>
      <c r="Q640" s="39" t="n">
        <v>0.234632030707606</v>
      </c>
      <c r="R640" s="39" t="n">
        <v>0.0984648847161098</v>
      </c>
      <c r="S640" s="39" t="n">
        <v>0.0703453060780532</v>
      </c>
      <c r="T640" s="38" t="n">
        <f aca="false">N640*Scorecard!$C$18+O640*Scorecard!$C$19+P640*Scorecard!$C$20+Q640*Scorecard!$C$21+R640*Scorecard!$C$22+S640*Scorecard!$C$23</f>
        <v>4.05608400804941</v>
      </c>
      <c r="U640" s="38" t="n">
        <f aca="false">N640*Scorecard!$D$18+O640*Scorecard!$D$19+P640*Scorecard!$D$20+Q640*Scorecard!$D$21+R640*Scorecard!$D$22+S640*Scorecard!$D$23</f>
        <v>2.63131863777138</v>
      </c>
      <c r="V640" s="38" t="n">
        <f aca="false">N640*Scorecard!$E$18+O640*Scorecard!$E$19+P640*Scorecard!$E$20+Q640*Scorecard!$E$21+R640*Scorecard!$E$22+S640*Scorecard!$E$23</f>
        <v>3.428191677213</v>
      </c>
    </row>
    <row r="641" customFormat="false" ht="15" hidden="false" customHeight="false" outlineLevel="0" collapsed="false">
      <c r="A641" s="0" t="n">
        <v>636</v>
      </c>
      <c r="B641" s="38" t="n">
        <f aca="false">E641*Scorecard!$C$18+F641*Scorecard!$C$19+G641*Scorecard!$C$20+H641*Scorecard!$C$21+I641*Scorecard!$C$22+J641*Scorecard!$C$23</f>
        <v>4.06613308581874</v>
      </c>
      <c r="C641" s="38" t="n">
        <f aca="false">E641*Scorecard!$D$18+F641*Scorecard!$D$19+G641*Scorecard!$D$20+H641*Scorecard!$D$21+I641*Scorecard!$D$22+J641*Scorecard!$D$23</f>
        <v>2.66138280596597</v>
      </c>
      <c r="D641" s="0" t="str">
        <f aca="false">IF(AND(B641&gt;=C641,B641&gt;=K641),"A. Distribution",IF(C641&gt;=K641,"B. Manufacturing","C. Prof. services"))</f>
        <v>A. Distribution</v>
      </c>
      <c r="E641" s="39" t="n">
        <v>0.149793858701412</v>
      </c>
      <c r="F641" s="39" t="n">
        <v>0.15329886864067</v>
      </c>
      <c r="G641" s="39" t="n">
        <v>0.18655082761657</v>
      </c>
      <c r="H641" s="39" t="n">
        <v>0.355000019261186</v>
      </c>
      <c r="I641" s="39" t="n">
        <v>0.136912497243472</v>
      </c>
      <c r="J641" s="39" t="n">
        <v>0.0184439285366907</v>
      </c>
      <c r="K641" s="38" t="n">
        <f aca="false">E641*Scorecard!$E$18+F641*Scorecard!$E$19+G641*Scorecard!$E$20+H641*Scorecard!$E$21+I641*Scorecard!$E$22+J641*Scorecard!$E$23</f>
        <v>3.40676481932084</v>
      </c>
      <c r="M641" s="0" t="str">
        <f aca="false">IF(AND(T641&gt;=U641,T641&gt;=V641),"A. Distribution",IF(U641&gt;=V641,"B. Manufacturing","C. Prof. services"))</f>
        <v>A. Distribution</v>
      </c>
      <c r="N641" s="39" t="n">
        <v>0.197149934714162</v>
      </c>
      <c r="O641" s="39" t="n">
        <v>0.181451629624764</v>
      </c>
      <c r="P641" s="39" t="n">
        <v>0.196654820739185</v>
      </c>
      <c r="Q641" s="39" t="n">
        <v>0.066621895687992</v>
      </c>
      <c r="R641" s="39" t="n">
        <v>0.287207381092718</v>
      </c>
      <c r="S641" s="39" t="n">
        <v>0.0709143381411795</v>
      </c>
      <c r="T641" s="38" t="n">
        <f aca="false">N641*Scorecard!$C$18+O641*Scorecard!$C$19+P641*Scorecard!$C$20+Q641*Scorecard!$C$21+R641*Scorecard!$C$22+S641*Scorecard!$C$23</f>
        <v>4.0166158731597</v>
      </c>
      <c r="U641" s="38" t="n">
        <f aca="false">N641*Scorecard!$D$18+O641*Scorecard!$D$19+P641*Scorecard!$D$20+Q641*Scorecard!$D$21+R641*Scorecard!$D$22+S641*Scorecard!$D$23</f>
        <v>2.86198372910329</v>
      </c>
      <c r="V641" s="38" t="n">
        <f aca="false">N641*Scorecard!$E$18+O641*Scorecard!$E$19+P641*Scorecard!$E$20+Q641*Scorecard!$E$21+R641*Scorecard!$E$22+S641*Scorecard!$E$23</f>
        <v>3.21949269317949</v>
      </c>
    </row>
    <row r="642" customFormat="false" ht="15" hidden="false" customHeight="false" outlineLevel="0" collapsed="false">
      <c r="A642" s="0" t="n">
        <v>637</v>
      </c>
      <c r="B642" s="38" t="n">
        <f aca="false">E642*Scorecard!$C$18+F642*Scorecard!$C$19+G642*Scorecard!$C$20+H642*Scorecard!$C$21+I642*Scorecard!$C$22+J642*Scorecard!$C$23</f>
        <v>4.18779265939813</v>
      </c>
      <c r="C642" s="38" t="n">
        <f aca="false">E642*Scorecard!$D$18+F642*Scorecard!$D$19+G642*Scorecard!$D$20+H642*Scorecard!$D$21+I642*Scorecard!$D$22+J642*Scorecard!$D$23</f>
        <v>2.86253938453503</v>
      </c>
      <c r="D642" s="0" t="str">
        <f aca="false">IF(AND(B642&gt;=C642,B642&gt;=K642),"A. Distribution",IF(C642&gt;=K642,"B. Manufacturing","C. Prof. services"))</f>
        <v>A. Distribution</v>
      </c>
      <c r="E642" s="39" t="n">
        <v>0.268373223777409</v>
      </c>
      <c r="F642" s="39" t="n">
        <v>0.241726558520022</v>
      </c>
      <c r="G642" s="39" t="n">
        <v>0.280949117296089</v>
      </c>
      <c r="H642" s="39" t="n">
        <v>0.0609662813007411</v>
      </c>
      <c r="I642" s="39" t="n">
        <v>0.135075855731326</v>
      </c>
      <c r="J642" s="39" t="n">
        <v>0.0129089633744136</v>
      </c>
      <c r="K642" s="38" t="n">
        <f aca="false">E642*Scorecard!$E$18+F642*Scorecard!$E$19+G642*Scorecard!$E$20+H642*Scorecard!$E$21+I642*Scorecard!$E$22+J642*Scorecard!$E$23</f>
        <v>3.33823205043836</v>
      </c>
      <c r="M642" s="0" t="str">
        <f aca="false">IF(AND(T642&gt;=U642,T642&gt;=V642),"A. Distribution",IF(U642&gt;=V642,"B. Manufacturing","C. Prof. services"))</f>
        <v>A. Distribution</v>
      </c>
      <c r="N642" s="39" t="n">
        <v>0.111755058040269</v>
      </c>
      <c r="O642" s="39" t="n">
        <v>0.163472212053588</v>
      </c>
      <c r="P642" s="39" t="n">
        <v>0.173516337411133</v>
      </c>
      <c r="Q642" s="39" t="n">
        <v>0.283507312607602</v>
      </c>
      <c r="R642" s="39" t="n">
        <v>0.203477557095025</v>
      </c>
      <c r="S642" s="39" t="n">
        <v>0.0642715227923834</v>
      </c>
      <c r="T642" s="38" t="n">
        <f aca="false">N642*Scorecard!$C$18+O642*Scorecard!$C$19+P642*Scorecard!$C$20+Q642*Scorecard!$C$21+R642*Scorecard!$C$22+S642*Scorecard!$C$23</f>
        <v>3.99540863432445</v>
      </c>
      <c r="U642" s="38" t="n">
        <f aca="false">N642*Scorecard!$D$18+O642*Scorecard!$D$19+P642*Scorecard!$D$20+Q642*Scorecard!$D$21+R642*Scorecard!$D$22+S642*Scorecard!$D$23</f>
        <v>2.63474996795576</v>
      </c>
      <c r="V642" s="38" t="n">
        <f aca="false">N642*Scorecard!$E$18+O642*Scorecard!$E$19+P642*Scorecard!$E$20+Q642*Scorecard!$E$21+R642*Scorecard!$E$22+S642*Scorecard!$E$23</f>
        <v>3.34897616813668</v>
      </c>
    </row>
    <row r="643" customFormat="false" ht="15" hidden="false" customHeight="false" outlineLevel="0" collapsed="false">
      <c r="A643" s="0" t="n">
        <v>638</v>
      </c>
      <c r="B643" s="38" t="n">
        <f aca="false">E643*Scorecard!$C$18+F643*Scorecard!$C$19+G643*Scorecard!$C$20+H643*Scorecard!$C$21+I643*Scorecard!$C$22+J643*Scorecard!$C$23</f>
        <v>2.92644798130919</v>
      </c>
      <c r="C643" s="38" t="n">
        <f aca="false">E643*Scorecard!$D$18+F643*Scorecard!$D$19+G643*Scorecard!$D$20+H643*Scorecard!$D$21+I643*Scorecard!$D$22+J643*Scorecard!$D$23</f>
        <v>1.98552865254371</v>
      </c>
      <c r="D643" s="0" t="str">
        <f aca="false">IF(AND(B643&gt;=C643,B643&gt;=K643),"A. Distribution",IF(C643&gt;=K643,"B. Manufacturing","C. Prof. services"))</f>
        <v>C. Prof. services</v>
      </c>
      <c r="E643" s="39" t="n">
        <v>0.0452209781043631</v>
      </c>
      <c r="F643" s="39" t="n">
        <v>0.0749097026814858</v>
      </c>
      <c r="G643" s="39" t="n">
        <v>0.0579745216874714</v>
      </c>
      <c r="H643" s="39" t="n">
        <v>0.203850373295356</v>
      </c>
      <c r="I643" s="39" t="n">
        <v>0.0566113853924451</v>
      </c>
      <c r="J643" s="39" t="n">
        <v>0.561433038838879</v>
      </c>
      <c r="K643" s="38" t="n">
        <f aca="false">E643*Scorecard!$E$18+F643*Scorecard!$E$19+G643*Scorecard!$E$20+H643*Scorecard!$E$21+I643*Scorecard!$E$22+J643*Scorecard!$E$23</f>
        <v>4.00752889614156</v>
      </c>
      <c r="M643" s="0" t="str">
        <f aca="false">IF(AND(T643&gt;=U643,T643&gt;=V643),"A. Distribution",IF(U643&gt;=V643,"B. Manufacturing","C. Prof. services"))</f>
        <v>A. Distribution</v>
      </c>
      <c r="N643" s="39" t="n">
        <v>0.26203533228814</v>
      </c>
      <c r="O643" s="39" t="n">
        <v>0.240785759413418</v>
      </c>
      <c r="P643" s="39" t="n">
        <v>0.0911081203085436</v>
      </c>
      <c r="Q643" s="39" t="n">
        <v>0.255181264657192</v>
      </c>
      <c r="R643" s="39" t="n">
        <v>0.080087159573792</v>
      </c>
      <c r="S643" s="39" t="n">
        <v>0.0708023637589146</v>
      </c>
      <c r="T643" s="38" t="n">
        <f aca="false">N643*Scorecard!$C$18+O643*Scorecard!$C$19+P643*Scorecard!$C$20+Q643*Scorecard!$C$21+R643*Scorecard!$C$22+S643*Scorecard!$C$23</f>
        <v>4.05064712994782</v>
      </c>
      <c r="U643" s="38" t="n">
        <f aca="false">N643*Scorecard!$D$18+O643*Scorecard!$D$19+P643*Scorecard!$D$20+Q643*Scorecard!$D$21+R643*Scorecard!$D$22+S643*Scorecard!$D$23</f>
        <v>2.80371773375879</v>
      </c>
      <c r="V643" s="38" t="n">
        <f aca="false">N643*Scorecard!$E$18+O643*Scorecard!$E$19+P643*Scorecard!$E$20+Q643*Scorecard!$E$21+R643*Scorecard!$E$22+S643*Scorecard!$E$23</f>
        <v>3.39959898107059</v>
      </c>
    </row>
    <row r="644" customFormat="false" ht="15" hidden="false" customHeight="false" outlineLevel="0" collapsed="false">
      <c r="A644" s="0" t="n">
        <v>639</v>
      </c>
      <c r="B644" s="38" t="n">
        <f aca="false">E644*Scorecard!$C$18+F644*Scorecard!$C$19+G644*Scorecard!$C$20+H644*Scorecard!$C$21+I644*Scorecard!$C$22+J644*Scorecard!$C$23</f>
        <v>2.90052740204192</v>
      </c>
      <c r="C644" s="38" t="n">
        <f aca="false">E644*Scorecard!$D$18+F644*Scorecard!$D$19+G644*Scorecard!$D$20+H644*Scorecard!$D$21+I644*Scorecard!$D$22+J644*Scorecard!$D$23</f>
        <v>2.02949880879414</v>
      </c>
      <c r="D644" s="0" t="str">
        <f aca="false">IF(AND(B644&gt;=C644,B644&gt;=K644),"A. Distribution",IF(C644&gt;=K644,"B. Manufacturing","C. Prof. services"))</f>
        <v>C. Prof. services</v>
      </c>
      <c r="E644" s="39" t="n">
        <v>0.0615563554085663</v>
      </c>
      <c r="F644" s="39" t="n">
        <v>0.115555067474149</v>
      </c>
      <c r="G644" s="39" t="n">
        <v>0.0120438863215839</v>
      </c>
      <c r="H644" s="39" t="n">
        <v>0.136000421333278</v>
      </c>
      <c r="I644" s="39" t="n">
        <v>0.0771285798796657</v>
      </c>
      <c r="J644" s="39" t="n">
        <v>0.597715689582758</v>
      </c>
      <c r="K644" s="38" t="n">
        <f aca="false">E644*Scorecard!$E$18+F644*Scorecard!$E$19+G644*Scorecard!$E$20+H644*Scorecard!$E$21+I644*Scorecard!$E$22+J644*Scorecard!$E$23</f>
        <v>3.95691039966399</v>
      </c>
      <c r="M644" s="0" t="str">
        <f aca="false">IF(AND(T644&gt;=U644,T644&gt;=V644),"A. Distribution",IF(U644&gt;=V644,"B. Manufacturing","C. Prof. services"))</f>
        <v>A. Distribution</v>
      </c>
      <c r="N644" s="39" t="n">
        <v>0.295423781653364</v>
      </c>
      <c r="O644" s="39" t="n">
        <v>0.0823683342946443</v>
      </c>
      <c r="P644" s="39" t="n">
        <v>0.171802863853497</v>
      </c>
      <c r="Q644" s="39" t="n">
        <v>0.153637911591208</v>
      </c>
      <c r="R644" s="39" t="n">
        <v>0.212612157877651</v>
      </c>
      <c r="S644" s="39" t="n">
        <v>0.0841549507296355</v>
      </c>
      <c r="T644" s="38" t="n">
        <f aca="false">N644*Scorecard!$C$18+O644*Scorecard!$C$19+P644*Scorecard!$C$20+Q644*Scorecard!$C$21+R644*Scorecard!$C$22+S644*Scorecard!$C$23</f>
        <v>3.8737852359499</v>
      </c>
      <c r="U644" s="38" t="n">
        <f aca="false">N644*Scorecard!$D$18+O644*Scorecard!$D$19+P644*Scorecard!$D$20+Q644*Scorecard!$D$21+R644*Scorecard!$D$22+S644*Scorecard!$D$23</f>
        <v>2.92768189445133</v>
      </c>
      <c r="V644" s="38" t="n">
        <f aca="false">N644*Scorecard!$E$18+O644*Scorecard!$E$19+P644*Scorecard!$E$20+Q644*Scorecard!$E$21+R644*Scorecard!$E$22+S644*Scorecard!$E$23</f>
        <v>3.39128906154546</v>
      </c>
    </row>
    <row r="645" customFormat="false" ht="15" hidden="false" customHeight="false" outlineLevel="0" collapsed="false">
      <c r="A645" s="0" t="n">
        <v>640</v>
      </c>
      <c r="B645" s="38" t="n">
        <f aca="false">E645*Scorecard!$C$18+F645*Scorecard!$C$19+G645*Scorecard!$C$20+H645*Scorecard!$C$21+I645*Scorecard!$C$22+J645*Scorecard!$C$23</f>
        <v>3.60032086187782</v>
      </c>
      <c r="C645" s="38" t="n">
        <f aca="false">E645*Scorecard!$D$18+F645*Scorecard!$D$19+G645*Scorecard!$D$20+H645*Scorecard!$D$21+I645*Scorecard!$D$22+J645*Scorecard!$D$23</f>
        <v>3.07944687161095</v>
      </c>
      <c r="D645" s="0" t="str">
        <f aca="false">IF(AND(B645&gt;=C645,B645&gt;=K645),"A. Distribution",IF(C645&gt;=K645,"B. Manufacturing","C. Prof. services"))</f>
        <v>A. Distribution</v>
      </c>
      <c r="E645" s="39" t="n">
        <v>0.413469943017299</v>
      </c>
      <c r="F645" s="39" t="n">
        <v>0.0445478374078749</v>
      </c>
      <c r="G645" s="39" t="n">
        <v>0.0593921452352435</v>
      </c>
      <c r="H645" s="39" t="n">
        <v>0.0503117631187896</v>
      </c>
      <c r="I645" s="39" t="n">
        <v>0.229473467945984</v>
      </c>
      <c r="J645" s="39" t="n">
        <v>0.202804843274809</v>
      </c>
      <c r="K645" s="38" t="n">
        <f aca="false">E645*Scorecard!$E$18+F645*Scorecard!$E$19+G645*Scorecard!$E$20+H645*Scorecard!$E$21+I645*Scorecard!$E$22+J645*Scorecard!$E$23</f>
        <v>3.44249497075882</v>
      </c>
      <c r="M645" s="0" t="str">
        <f aca="false">IF(AND(T645&gt;=U645,T645&gt;=V645),"A. Distribution",IF(U645&gt;=V645,"B. Manufacturing","C. Prof. services"))</f>
        <v>A. Distribution</v>
      </c>
      <c r="N645" s="39" t="n">
        <v>0.080175458664026</v>
      </c>
      <c r="O645" s="39" t="n">
        <v>0.357510596391984</v>
      </c>
      <c r="P645" s="39" t="n">
        <v>0.177631988667798</v>
      </c>
      <c r="Q645" s="39" t="n">
        <v>0.151427026507239</v>
      </c>
      <c r="R645" s="39" t="n">
        <v>0.0595993959546219</v>
      </c>
      <c r="S645" s="39" t="n">
        <v>0.173655533814331</v>
      </c>
      <c r="T645" s="38" t="n">
        <f aca="false">N645*Scorecard!$C$18+O645*Scorecard!$C$19+P645*Scorecard!$C$20+Q645*Scorecard!$C$21+R645*Scorecard!$C$22+S645*Scorecard!$C$23</f>
        <v>3.98744614904164</v>
      </c>
      <c r="U645" s="38" t="n">
        <f aca="false">N645*Scorecard!$D$18+O645*Scorecard!$D$19+P645*Scorecard!$D$20+Q645*Scorecard!$D$21+R645*Scorecard!$D$22+S645*Scorecard!$D$23</f>
        <v>2.38853130973363</v>
      </c>
      <c r="V645" s="38" t="n">
        <f aca="false">N645*Scorecard!$E$18+O645*Scorecard!$E$19+P645*Scorecard!$E$20+Q645*Scorecard!$E$21+R645*Scorecard!$E$22+S645*Scorecard!$E$23</f>
        <v>3.47050298159736</v>
      </c>
    </row>
    <row r="646" customFormat="false" ht="15" hidden="false" customHeight="false" outlineLevel="0" collapsed="false">
      <c r="A646" s="0" t="n">
        <v>641</v>
      </c>
      <c r="B646" s="38" t="n">
        <f aca="false">E646*Scorecard!$C$18+F646*Scorecard!$C$19+G646*Scorecard!$C$20+H646*Scorecard!$C$21+I646*Scorecard!$C$22+J646*Scorecard!$C$23</f>
        <v>3.87373494665078</v>
      </c>
      <c r="C646" s="38" t="n">
        <f aca="false">E646*Scorecard!$D$18+F646*Scorecard!$D$19+G646*Scorecard!$D$20+H646*Scorecard!$D$21+I646*Scorecard!$D$22+J646*Scorecard!$D$23</f>
        <v>3.27647026633673</v>
      </c>
      <c r="D646" s="0" t="str">
        <f aca="false">IF(AND(B646&gt;=C646,B646&gt;=K646),"A. Distribution",IF(C646&gt;=K646,"B. Manufacturing","C. Prof. services"))</f>
        <v>A. Distribution</v>
      </c>
      <c r="E646" s="39" t="n">
        <v>0.515352884646466</v>
      </c>
      <c r="F646" s="39" t="n">
        <v>0.0288529683486381</v>
      </c>
      <c r="G646" s="39" t="n">
        <v>0.160308509827978</v>
      </c>
      <c r="H646" s="39" t="n">
        <v>0.0756203124856856</v>
      </c>
      <c r="I646" s="39" t="n">
        <v>0.167068390100159</v>
      </c>
      <c r="J646" s="39" t="n">
        <v>0.0527969345910733</v>
      </c>
      <c r="K646" s="38" t="n">
        <f aca="false">E646*Scorecard!$E$18+F646*Scorecard!$E$19+G646*Scorecard!$E$20+H646*Scorecard!$E$21+I646*Scorecard!$E$22+J646*Scorecard!$E$23</f>
        <v>3.43104420449392</v>
      </c>
      <c r="M646" s="0" t="str">
        <f aca="false">IF(AND(T646&gt;=U646,T646&gt;=V646),"A. Distribution",IF(U646&gt;=V646,"B. Manufacturing","C. Prof. services"))</f>
        <v>A. Distribution</v>
      </c>
      <c r="N646" s="39" t="n">
        <v>0.177630126669428</v>
      </c>
      <c r="O646" s="39" t="n">
        <v>0.159457722145391</v>
      </c>
      <c r="P646" s="39" t="n">
        <v>0.33490384446385</v>
      </c>
      <c r="Q646" s="39" t="n">
        <v>0.0778047966015345</v>
      </c>
      <c r="R646" s="39" t="n">
        <v>0.187609911313587</v>
      </c>
      <c r="S646" s="39" t="n">
        <v>0.0625935988062101</v>
      </c>
      <c r="T646" s="38" t="n">
        <f aca="false">N646*Scorecard!$C$18+O646*Scorecard!$C$19+P646*Scorecard!$C$20+Q646*Scorecard!$C$21+R646*Scorecard!$C$22+S646*Scorecard!$C$23</f>
        <v>4.01162566258968</v>
      </c>
      <c r="U646" s="38" t="n">
        <f aca="false">N646*Scorecard!$D$18+O646*Scorecard!$D$19+P646*Scorecard!$D$20+Q646*Scorecard!$D$21+R646*Scorecard!$D$22+S646*Scorecard!$D$23</f>
        <v>2.68547146354944</v>
      </c>
      <c r="V646" s="38" t="n">
        <f aca="false">N646*Scorecard!$E$18+O646*Scorecard!$E$19+P646*Scorecard!$E$20+Q646*Scorecard!$E$21+R646*Scorecard!$E$22+S646*Scorecard!$E$23</f>
        <v>3.41372558831703</v>
      </c>
    </row>
    <row r="647" customFormat="false" ht="15" hidden="false" customHeight="false" outlineLevel="0" collapsed="false">
      <c r="A647" s="0" t="n">
        <v>642</v>
      </c>
      <c r="B647" s="38" t="n">
        <f aca="false">E647*Scorecard!$C$18+F647*Scorecard!$C$19+G647*Scorecard!$C$20+H647*Scorecard!$C$21+I647*Scorecard!$C$22+J647*Scorecard!$C$23</f>
        <v>3.88825992526264</v>
      </c>
      <c r="C647" s="38" t="n">
        <f aca="false">E647*Scorecard!$D$18+F647*Scorecard!$D$19+G647*Scorecard!$D$20+H647*Scorecard!$D$21+I647*Scorecard!$D$22+J647*Scorecard!$D$23</f>
        <v>2.54887996317276</v>
      </c>
      <c r="D647" s="0" t="str">
        <f aca="false">IF(AND(B647&gt;=C647,B647&gt;=K647),"A. Distribution",IF(C647&gt;=K647,"B. Manufacturing","C. Prof. services"))</f>
        <v>A. Distribution</v>
      </c>
      <c r="E647" s="39" t="n">
        <v>0.0142106519407942</v>
      </c>
      <c r="F647" s="39" t="n">
        <v>0.0519752866674289</v>
      </c>
      <c r="G647" s="39" t="n">
        <v>0.0971301240735131</v>
      </c>
      <c r="H647" s="39" t="n">
        <v>0.502979968259982</v>
      </c>
      <c r="I647" s="39" t="n">
        <v>0.27951494540621</v>
      </c>
      <c r="J647" s="39" t="n">
        <v>0.0541890236520728</v>
      </c>
      <c r="K647" s="38" t="n">
        <f aca="false">E647*Scorecard!$E$18+F647*Scorecard!$E$19+G647*Scorecard!$E$20+H647*Scorecard!$E$21+I647*Scorecard!$E$22+J647*Scorecard!$E$23</f>
        <v>3.32747684810013</v>
      </c>
      <c r="M647" s="0" t="str">
        <f aca="false">IF(AND(T647&gt;=U647,T647&gt;=V647),"A. Distribution",IF(U647&gt;=V647,"B. Manufacturing","C. Prof. services"))</f>
        <v>A. Distribution</v>
      </c>
      <c r="N647" s="39" t="n">
        <v>0.181234973787997</v>
      </c>
      <c r="O647" s="39" t="n">
        <v>0.200633912263918</v>
      </c>
      <c r="P647" s="39" t="n">
        <v>0.121055918532225</v>
      </c>
      <c r="Q647" s="39" t="n">
        <v>0.197018705052131</v>
      </c>
      <c r="R647" s="39" t="n">
        <v>0.111062270261761</v>
      </c>
      <c r="S647" s="39" t="n">
        <v>0.188994220101969</v>
      </c>
      <c r="T647" s="38" t="n">
        <f aca="false">N647*Scorecard!$C$18+O647*Scorecard!$C$19+P647*Scorecard!$C$20+Q647*Scorecard!$C$21+R647*Scorecard!$C$22+S647*Scorecard!$C$23</f>
        <v>3.78686581998784</v>
      </c>
      <c r="U647" s="38" t="n">
        <f aca="false">N647*Scorecard!$D$18+O647*Scorecard!$D$19+P647*Scorecard!$D$20+Q647*Scorecard!$D$21+R647*Scorecard!$D$22+S647*Scorecard!$D$23</f>
        <v>2.58416278649063</v>
      </c>
      <c r="V647" s="38" t="n">
        <f aca="false">N647*Scorecard!$E$18+O647*Scorecard!$E$19+P647*Scorecard!$E$20+Q647*Scorecard!$E$21+R647*Scorecard!$E$22+S647*Scorecard!$E$23</f>
        <v>3.51449068132606</v>
      </c>
    </row>
    <row r="648" customFormat="false" ht="15" hidden="false" customHeight="false" outlineLevel="0" collapsed="false">
      <c r="A648" s="0" t="n">
        <v>643</v>
      </c>
      <c r="B648" s="38" t="n">
        <f aca="false">E648*Scorecard!$C$18+F648*Scorecard!$C$19+G648*Scorecard!$C$20+H648*Scorecard!$C$21+I648*Scorecard!$C$22+J648*Scorecard!$C$23</f>
        <v>3.54657826429033</v>
      </c>
      <c r="C648" s="38" t="n">
        <f aca="false">E648*Scorecard!$D$18+F648*Scorecard!$D$19+G648*Scorecard!$D$20+H648*Scorecard!$D$21+I648*Scorecard!$D$22+J648*Scorecard!$D$23</f>
        <v>2.80887386278409</v>
      </c>
      <c r="D648" s="0" t="str">
        <f aca="false">IF(AND(B648&gt;=C648,B648&gt;=K648),"A. Distribution",IF(C648&gt;=K648,"B. Manufacturing","C. Prof. services"))</f>
        <v>A. Distribution</v>
      </c>
      <c r="E648" s="39" t="n">
        <v>0.179627815129211</v>
      </c>
      <c r="F648" s="39" t="n">
        <v>0.111719608584422</v>
      </c>
      <c r="G648" s="39" t="n">
        <v>0.00695507692914274</v>
      </c>
      <c r="H648" s="39" t="n">
        <v>0.0472476421612998</v>
      </c>
      <c r="I648" s="39" t="n">
        <v>0.38163553433833</v>
      </c>
      <c r="J648" s="39" t="n">
        <v>0.272814322857595</v>
      </c>
      <c r="K648" s="38" t="n">
        <f aca="false">E648*Scorecard!$E$18+F648*Scorecard!$E$19+G648*Scorecard!$E$20+H648*Scorecard!$E$21+I648*Scorecard!$E$22+J648*Scorecard!$E$23</f>
        <v>3.26151610962513</v>
      </c>
      <c r="M648" s="0" t="str">
        <f aca="false">IF(AND(T648&gt;=U648,T648&gt;=V648),"A. Distribution",IF(U648&gt;=V648,"B. Manufacturing","C. Prof. services"))</f>
        <v>A. Distribution</v>
      </c>
      <c r="N648" s="39" t="n">
        <v>0.278893885529749</v>
      </c>
      <c r="O648" s="39" t="n">
        <v>0.189571163759123</v>
      </c>
      <c r="P648" s="39" t="n">
        <v>0.189004420283434</v>
      </c>
      <c r="Q648" s="39" t="n">
        <v>0.0678513178661736</v>
      </c>
      <c r="R648" s="39" t="n">
        <v>0.217364632525053</v>
      </c>
      <c r="S648" s="39" t="n">
        <v>0.0573145800364663</v>
      </c>
      <c r="T648" s="38" t="n">
        <f aca="false">N648*Scorecard!$C$18+O648*Scorecard!$C$19+P648*Scorecard!$C$20+Q648*Scorecard!$C$21+R648*Scorecard!$C$22+S648*Scorecard!$C$23</f>
        <v>4.04523949461323</v>
      </c>
      <c r="U648" s="38" t="n">
        <f aca="false">N648*Scorecard!$D$18+O648*Scorecard!$D$19+P648*Scorecard!$D$20+Q648*Scorecard!$D$21+R648*Scorecard!$D$22+S648*Scorecard!$D$23</f>
        <v>2.94571830547964</v>
      </c>
      <c r="V648" s="38" t="n">
        <f aca="false">N648*Scorecard!$E$18+O648*Scorecard!$E$19+P648*Scorecard!$E$20+Q648*Scorecard!$E$21+R648*Scorecard!$E$22+S648*Scorecard!$E$23</f>
        <v>3.27811939572297</v>
      </c>
    </row>
    <row r="649" customFormat="false" ht="15" hidden="false" customHeight="false" outlineLevel="0" collapsed="false">
      <c r="A649" s="0" t="n">
        <v>644</v>
      </c>
      <c r="B649" s="38" t="n">
        <f aca="false">E649*Scorecard!$C$18+F649*Scorecard!$C$19+G649*Scorecard!$C$20+H649*Scorecard!$C$21+I649*Scorecard!$C$22+J649*Scorecard!$C$23</f>
        <v>3.45787208007614</v>
      </c>
      <c r="C649" s="38" t="n">
        <f aca="false">E649*Scorecard!$D$18+F649*Scorecard!$D$19+G649*Scorecard!$D$20+H649*Scorecard!$D$21+I649*Scorecard!$D$22+J649*Scorecard!$D$23</f>
        <v>2.12799543306126</v>
      </c>
      <c r="D649" s="0" t="str">
        <f aca="false">IF(AND(B649&gt;=C649,B649&gt;=K649),"A. Distribution",IF(C649&gt;=K649,"B. Manufacturing","C. Prof. services"))</f>
        <v>C. Prof. services</v>
      </c>
      <c r="E649" s="39" t="n">
        <v>0.0632522473863332</v>
      </c>
      <c r="F649" s="39" t="n">
        <v>0.141278008953119</v>
      </c>
      <c r="G649" s="39" t="n">
        <v>0.229446307912407</v>
      </c>
      <c r="H649" s="39" t="n">
        <v>0.220455932720516</v>
      </c>
      <c r="I649" s="39" t="n">
        <v>0.018280826024027</v>
      </c>
      <c r="J649" s="39" t="n">
        <v>0.327286677003598</v>
      </c>
      <c r="K649" s="38" t="n">
        <f aca="false">E649*Scorecard!$E$18+F649*Scorecard!$E$19+G649*Scorecard!$E$20+H649*Scorecard!$E$21+I649*Scorecard!$E$22+J649*Scorecard!$E$23</f>
        <v>3.86055647484216</v>
      </c>
      <c r="M649" s="0" t="str">
        <f aca="false">IF(AND(T649&gt;=U649,T649&gt;=V649),"A. Distribution",IF(U649&gt;=V649,"B. Manufacturing","C. Prof. services"))</f>
        <v>A. Distribution</v>
      </c>
      <c r="N649" s="39" t="n">
        <v>0.168121061168361</v>
      </c>
      <c r="O649" s="39" t="n">
        <v>0.310328602529581</v>
      </c>
      <c r="P649" s="39" t="n">
        <v>0.251256201823653</v>
      </c>
      <c r="Q649" s="39" t="n">
        <v>0.0700854552497874</v>
      </c>
      <c r="R649" s="39" t="n">
        <v>0.1133104367756</v>
      </c>
      <c r="S649" s="39" t="n">
        <v>0.0868982424530178</v>
      </c>
      <c r="T649" s="38" t="n">
        <f aca="false">N649*Scorecard!$C$18+O649*Scorecard!$C$19+P649*Scorecard!$C$20+Q649*Scorecard!$C$21+R649*Scorecard!$C$22+S649*Scorecard!$C$23</f>
        <v>4.11548247141302</v>
      </c>
      <c r="U649" s="38" t="n">
        <f aca="false">N649*Scorecard!$D$18+O649*Scorecard!$D$19+P649*Scorecard!$D$20+Q649*Scorecard!$D$21+R649*Scorecard!$D$22+S649*Scorecard!$D$23</f>
        <v>2.63269389078555</v>
      </c>
      <c r="V649" s="38" t="n">
        <f aca="false">N649*Scorecard!$E$18+O649*Scorecard!$E$19+P649*Scorecard!$E$20+Q649*Scorecard!$E$21+R649*Scorecard!$E$22+S649*Scorecard!$E$23</f>
        <v>3.37663841118373</v>
      </c>
    </row>
    <row r="650" customFormat="false" ht="15" hidden="false" customHeight="false" outlineLevel="0" collapsed="false">
      <c r="A650" s="0" t="n">
        <v>645</v>
      </c>
      <c r="B650" s="38" t="n">
        <f aca="false">E650*Scorecard!$C$18+F650*Scorecard!$C$19+G650*Scorecard!$C$20+H650*Scorecard!$C$21+I650*Scorecard!$C$22+J650*Scorecard!$C$23</f>
        <v>4.17946098211295</v>
      </c>
      <c r="C650" s="38" t="n">
        <f aca="false">E650*Scorecard!$D$18+F650*Scorecard!$D$19+G650*Scorecard!$D$20+H650*Scorecard!$D$21+I650*Scorecard!$D$22+J650*Scorecard!$D$23</f>
        <v>2.78704225204416</v>
      </c>
      <c r="D650" s="0" t="str">
        <f aca="false">IF(AND(B650&gt;=C650,B650&gt;=K650),"A. Distribution",IF(C650&gt;=K650,"B. Manufacturing","C. Prof. services"))</f>
        <v>A. Distribution</v>
      </c>
      <c r="E650" s="39" t="n">
        <v>0.0502028601965431</v>
      </c>
      <c r="F650" s="39" t="n">
        <v>0.37590606918539</v>
      </c>
      <c r="G650" s="39" t="n">
        <v>0.0308028630945572</v>
      </c>
      <c r="H650" s="39" t="n">
        <v>0.0651835639701283</v>
      </c>
      <c r="I650" s="39" t="n">
        <v>0.385209196442396</v>
      </c>
      <c r="J650" s="39" t="n">
        <v>0.0926954471109855</v>
      </c>
      <c r="K650" s="38" t="n">
        <f aca="false">E650*Scorecard!$E$18+F650*Scorecard!$E$19+G650*Scorecard!$E$20+H650*Scorecard!$E$21+I650*Scorecard!$E$22+J650*Scorecard!$E$23</f>
        <v>2.90853325309367</v>
      </c>
      <c r="M650" s="0" t="str">
        <f aca="false">IF(AND(T650&gt;=U650,T650&gt;=V650),"A. Distribution",IF(U650&gt;=V650,"B. Manufacturing","C. Prof. services"))</f>
        <v>A. Distribution</v>
      </c>
      <c r="N650" s="39" t="n">
        <v>0.252925377204496</v>
      </c>
      <c r="O650" s="39" t="n">
        <v>0.237447938161207</v>
      </c>
      <c r="P650" s="39" t="n">
        <v>0.185311227694368</v>
      </c>
      <c r="Q650" s="39" t="n">
        <v>0.134832942781204</v>
      </c>
      <c r="R650" s="39" t="n">
        <v>0.107626235921154</v>
      </c>
      <c r="S650" s="39" t="n">
        <v>0.0818562782375722</v>
      </c>
      <c r="T650" s="38" t="n">
        <f aca="false">N650*Scorecard!$C$18+O650*Scorecard!$C$19+P650*Scorecard!$C$20+Q650*Scorecard!$C$21+R650*Scorecard!$C$22+S650*Scorecard!$C$23</f>
        <v>4.03890049092661</v>
      </c>
      <c r="U650" s="38" t="n">
        <f aca="false">N650*Scorecard!$D$18+O650*Scorecard!$D$19+P650*Scorecard!$D$20+Q650*Scorecard!$D$21+R650*Scorecard!$D$22+S650*Scorecard!$D$23</f>
        <v>2.7795333353866</v>
      </c>
      <c r="V650" s="38" t="n">
        <f aca="false">N650*Scorecard!$E$18+O650*Scorecard!$E$19+P650*Scorecard!$E$20+Q650*Scorecard!$E$21+R650*Scorecard!$E$22+S650*Scorecard!$E$23</f>
        <v>3.40713465425678</v>
      </c>
    </row>
    <row r="651" customFormat="false" ht="15" hidden="false" customHeight="false" outlineLevel="0" collapsed="false">
      <c r="A651" s="0" t="n">
        <v>646</v>
      </c>
      <c r="B651" s="38" t="n">
        <f aca="false">E651*Scorecard!$C$18+F651*Scorecard!$C$19+G651*Scorecard!$C$20+H651*Scorecard!$C$21+I651*Scorecard!$C$22+J651*Scorecard!$C$23</f>
        <v>4.10558035577289</v>
      </c>
      <c r="C651" s="38" t="n">
        <f aca="false">E651*Scorecard!$D$18+F651*Scorecard!$D$19+G651*Scorecard!$D$20+H651*Scorecard!$D$21+I651*Scorecard!$D$22+J651*Scorecard!$D$23</f>
        <v>2.62860567762997</v>
      </c>
      <c r="D651" s="0" t="str">
        <f aca="false">IF(AND(B651&gt;=C651,B651&gt;=K651),"A. Distribution",IF(C651&gt;=K651,"B. Manufacturing","C. Prof. services"))</f>
        <v>A. Distribution</v>
      </c>
      <c r="E651" s="39" t="n">
        <v>0.0464140910874726</v>
      </c>
      <c r="F651" s="39" t="n">
        <v>0.391977733611396</v>
      </c>
      <c r="G651" s="39" t="n">
        <v>0.0251752508051337</v>
      </c>
      <c r="H651" s="39" t="n">
        <v>0.137009539176893</v>
      </c>
      <c r="I651" s="39" t="n">
        <v>0.265469344292701</v>
      </c>
      <c r="J651" s="39" t="n">
        <v>0.133954041026404</v>
      </c>
      <c r="K651" s="38" t="n">
        <f aca="false">E651*Scorecard!$E$18+F651*Scorecard!$E$19+G651*Scorecard!$E$20+H651*Scorecard!$E$21+I651*Scorecard!$E$22+J651*Scorecard!$E$23</f>
        <v>3.08792244902517</v>
      </c>
      <c r="M651" s="0" t="str">
        <f aca="false">IF(AND(T651&gt;=U651,T651&gt;=V651),"A. Distribution",IF(U651&gt;=V651,"B. Manufacturing","C. Prof. services"))</f>
        <v>A. Distribution</v>
      </c>
      <c r="N651" s="39" t="n">
        <v>0.145896972400094</v>
      </c>
      <c r="O651" s="39" t="n">
        <v>0.223231582071332</v>
      </c>
      <c r="P651" s="39" t="n">
        <v>0.19997178750346</v>
      </c>
      <c r="Q651" s="39" t="n">
        <v>0.191148150904501</v>
      </c>
      <c r="R651" s="39" t="n">
        <v>0.188641045387906</v>
      </c>
      <c r="S651" s="39" t="n">
        <v>0.0511104617327082</v>
      </c>
      <c r="T651" s="38" t="n">
        <f aca="false">N651*Scorecard!$C$18+O651*Scorecard!$C$19+P651*Scorecard!$C$20+Q651*Scorecard!$C$21+R651*Scorecard!$C$22+S651*Scorecard!$C$23</f>
        <v>4.08870073624306</v>
      </c>
      <c r="U651" s="38" t="n">
        <f aca="false">N651*Scorecard!$D$18+O651*Scorecard!$D$19+P651*Scorecard!$D$20+Q651*Scorecard!$D$21+R651*Scorecard!$D$22+S651*Scorecard!$D$23</f>
        <v>2.69529697039234</v>
      </c>
      <c r="V651" s="38" t="n">
        <f aca="false">N651*Scorecard!$E$18+O651*Scorecard!$E$19+P651*Scorecard!$E$20+Q651*Scorecard!$E$21+R651*Scorecard!$E$22+S651*Scorecard!$E$23</f>
        <v>3.30882371190393</v>
      </c>
    </row>
    <row r="652" customFormat="false" ht="15" hidden="false" customHeight="false" outlineLevel="0" collapsed="false">
      <c r="A652" s="0" t="n">
        <v>647</v>
      </c>
      <c r="B652" s="38" t="n">
        <f aca="false">E652*Scorecard!$C$18+F652*Scorecard!$C$19+G652*Scorecard!$C$20+H652*Scorecard!$C$21+I652*Scorecard!$C$22+J652*Scorecard!$C$23</f>
        <v>3.60261288631435</v>
      </c>
      <c r="C652" s="38" t="n">
        <f aca="false">E652*Scorecard!$D$18+F652*Scorecard!$D$19+G652*Scorecard!$D$20+H652*Scorecard!$D$21+I652*Scorecard!$D$22+J652*Scorecard!$D$23</f>
        <v>2.47010251382347</v>
      </c>
      <c r="D652" s="0" t="str">
        <f aca="false">IF(AND(B652&gt;=C652,B652&gt;=K652),"A. Distribution",IF(C652&gt;=K652,"B. Manufacturing","C. Prof. services"))</f>
        <v>C. Prof. services</v>
      </c>
      <c r="E652" s="39" t="n">
        <v>0.114627442382121</v>
      </c>
      <c r="F652" s="39" t="n">
        <v>0.00512392843108563</v>
      </c>
      <c r="G652" s="39" t="n">
        <v>0.255097707759137</v>
      </c>
      <c r="H652" s="39" t="n">
        <v>0.252084848814421</v>
      </c>
      <c r="I652" s="39" t="n">
        <v>0.189993230403948</v>
      </c>
      <c r="J652" s="39" t="n">
        <v>0.183072842209288</v>
      </c>
      <c r="K652" s="38" t="n">
        <f aca="false">E652*Scorecard!$E$18+F652*Scorecard!$E$19+G652*Scorecard!$E$20+H652*Scorecard!$E$21+I652*Scorecard!$E$22+J652*Scorecard!$E$23</f>
        <v>3.62898488950545</v>
      </c>
      <c r="M652" s="0" t="str">
        <f aca="false">IF(AND(T652&gt;=U652,T652&gt;=V652),"A. Distribution",IF(U652&gt;=V652,"B. Manufacturing","C. Prof. services"))</f>
        <v>A. Distribution</v>
      </c>
      <c r="N652" s="39" t="n">
        <v>0.0935499505326566</v>
      </c>
      <c r="O652" s="39" t="n">
        <v>0.195711069857201</v>
      </c>
      <c r="P652" s="39" t="n">
        <v>0.295521902731291</v>
      </c>
      <c r="Q652" s="39" t="n">
        <v>0.171299551556973</v>
      </c>
      <c r="R652" s="39" t="n">
        <v>0.167876086831487</v>
      </c>
      <c r="S652" s="39" t="n">
        <v>0.0760414384903919</v>
      </c>
      <c r="T652" s="38" t="n">
        <f aca="false">N652*Scorecard!$C$18+O652*Scorecard!$C$19+P652*Scorecard!$C$20+Q652*Scorecard!$C$21+R652*Scorecard!$C$22+S652*Scorecard!$C$23</f>
        <v>4.01765974214211</v>
      </c>
      <c r="U652" s="38" t="n">
        <f aca="false">N652*Scorecard!$D$18+O652*Scorecard!$D$19+P652*Scorecard!$D$20+Q652*Scorecard!$D$21+R652*Scorecard!$D$22+S652*Scorecard!$D$23</f>
        <v>2.52884827868229</v>
      </c>
      <c r="V652" s="38" t="n">
        <f aca="false">N652*Scorecard!$E$18+O652*Scorecard!$E$19+P652*Scorecard!$E$20+Q652*Scorecard!$E$21+R652*Scorecard!$E$22+S652*Scorecard!$E$23</f>
        <v>3.42146218183147</v>
      </c>
    </row>
    <row r="653" customFormat="false" ht="15" hidden="false" customHeight="false" outlineLevel="0" collapsed="false">
      <c r="A653" s="0" t="n">
        <v>648</v>
      </c>
      <c r="B653" s="38" t="n">
        <f aca="false">E653*Scorecard!$C$18+F653*Scorecard!$C$19+G653*Scorecard!$C$20+H653*Scorecard!$C$21+I653*Scorecard!$C$22+J653*Scorecard!$C$23</f>
        <v>3.11819833219123</v>
      </c>
      <c r="C653" s="38" t="n">
        <f aca="false">E653*Scorecard!$D$18+F653*Scorecard!$D$19+G653*Scorecard!$D$20+H653*Scorecard!$D$21+I653*Scorecard!$D$22+J653*Scorecard!$D$23</f>
        <v>2.24138282978045</v>
      </c>
      <c r="D653" s="0" t="str">
        <f aca="false">IF(AND(B653&gt;=C653,B653&gt;=K653),"A. Distribution",IF(C653&gt;=K653,"B. Manufacturing","C. Prof. services"))</f>
        <v>C. Prof. services</v>
      </c>
      <c r="E653" s="39" t="n">
        <v>0.1686289098223</v>
      </c>
      <c r="F653" s="39" t="n">
        <v>0.0220113237990331</v>
      </c>
      <c r="G653" s="39" t="n">
        <v>0.0647796926253734</v>
      </c>
      <c r="H653" s="39" t="n">
        <v>0.3058071728131</v>
      </c>
      <c r="I653" s="39" t="n">
        <v>0.0101111917009568</v>
      </c>
      <c r="J653" s="39" t="n">
        <v>0.428661709239237</v>
      </c>
      <c r="K653" s="38" t="n">
        <f aca="false">E653*Scorecard!$E$18+F653*Scorecard!$E$19+G653*Scorecard!$E$20+H653*Scorecard!$E$21+I653*Scorecard!$E$22+J653*Scorecard!$E$23</f>
        <v>3.98682921296852</v>
      </c>
      <c r="M653" s="0" t="str">
        <f aca="false">IF(AND(T653&gt;=U653,T653&gt;=V653),"A. Distribution",IF(U653&gt;=V653,"B. Manufacturing","C. Prof. services"))</f>
        <v>C. Prof. services</v>
      </c>
      <c r="N653" s="39" t="n">
        <v>0.167073096264857</v>
      </c>
      <c r="O653" s="39" t="n">
        <v>0.0644399780864088</v>
      </c>
      <c r="P653" s="39" t="n">
        <v>0.176610921779065</v>
      </c>
      <c r="Q653" s="39" t="n">
        <v>0.135570814709205</v>
      </c>
      <c r="R653" s="39" t="n">
        <v>0.164595177277171</v>
      </c>
      <c r="S653" s="39" t="n">
        <v>0.291710011883294</v>
      </c>
      <c r="T653" s="38" t="n">
        <f aca="false">N653*Scorecard!$C$18+O653*Scorecard!$C$19+P653*Scorecard!$C$20+Q653*Scorecard!$C$21+R653*Scorecard!$C$22+S653*Scorecard!$C$23</f>
        <v>3.45299835991962</v>
      </c>
      <c r="U653" s="38" t="n">
        <f aca="false">N653*Scorecard!$D$18+O653*Scorecard!$D$19+P653*Scorecard!$D$20+Q653*Scorecard!$D$21+R653*Scorecard!$D$22+S653*Scorecard!$D$23</f>
        <v>2.48540849744253</v>
      </c>
      <c r="V653" s="38" t="n">
        <f aca="false">N653*Scorecard!$E$18+O653*Scorecard!$E$19+P653*Scorecard!$E$20+Q653*Scorecard!$E$21+R653*Scorecard!$E$22+S653*Scorecard!$E$23</f>
        <v>3.66661302764298</v>
      </c>
    </row>
    <row r="654" customFormat="false" ht="15" hidden="false" customHeight="false" outlineLevel="0" collapsed="false">
      <c r="A654" s="0" t="n">
        <v>649</v>
      </c>
      <c r="B654" s="38" t="n">
        <f aca="false">E654*Scorecard!$C$18+F654*Scorecard!$C$19+G654*Scorecard!$C$20+H654*Scorecard!$C$21+I654*Scorecard!$C$22+J654*Scorecard!$C$23</f>
        <v>3.71433814827665</v>
      </c>
      <c r="C654" s="38" t="n">
        <f aca="false">E654*Scorecard!$D$18+F654*Scorecard!$D$19+G654*Scorecard!$D$20+H654*Scorecard!$D$21+I654*Scorecard!$D$22+J654*Scorecard!$D$23</f>
        <v>2.70942801159925</v>
      </c>
      <c r="D654" s="0" t="str">
        <f aca="false">IF(AND(B654&gt;=C654,B654&gt;=K654),"A. Distribution",IF(C654&gt;=K654,"B. Manufacturing","C. Prof. services"))</f>
        <v>A. Distribution</v>
      </c>
      <c r="E654" s="39" t="n">
        <v>0.316081248117784</v>
      </c>
      <c r="F654" s="39" t="n">
        <v>0.0928381222310233</v>
      </c>
      <c r="G654" s="39" t="n">
        <v>0.144295497304135</v>
      </c>
      <c r="H654" s="39" t="n">
        <v>0.266703891524328</v>
      </c>
      <c r="I654" s="39" t="n">
        <v>0.0178885757794352</v>
      </c>
      <c r="J654" s="39" t="n">
        <v>0.162192665043295</v>
      </c>
      <c r="K654" s="38" t="n">
        <f aca="false">E654*Scorecard!$E$18+F654*Scorecard!$E$19+G654*Scorecard!$E$20+H654*Scorecard!$E$21+I654*Scorecard!$E$22+J654*Scorecard!$E$23</f>
        <v>3.69502805889919</v>
      </c>
      <c r="M654" s="0" t="str">
        <f aca="false">IF(AND(T654&gt;=U654,T654&gt;=V654),"A. Distribution",IF(U654&gt;=V654,"B. Manufacturing","C. Prof. services"))</f>
        <v>A. Distribution</v>
      </c>
      <c r="N654" s="39" t="n">
        <v>0.0753113713979339</v>
      </c>
      <c r="O654" s="39" t="n">
        <v>0.278479924221803</v>
      </c>
      <c r="P654" s="39" t="n">
        <v>0.300835525073056</v>
      </c>
      <c r="Q654" s="39" t="n">
        <v>0.116322417581686</v>
      </c>
      <c r="R654" s="39" t="n">
        <v>0.151030878796436</v>
      </c>
      <c r="S654" s="39" t="n">
        <v>0.0780198829290857</v>
      </c>
      <c r="T654" s="38" t="n">
        <f aca="false">N654*Scorecard!$C$18+O654*Scorecard!$C$19+P654*Scorecard!$C$20+Q654*Scorecard!$C$21+R654*Scorecard!$C$22+S654*Scorecard!$C$23</f>
        <v>4.10385984271777</v>
      </c>
      <c r="U654" s="38" t="n">
        <f aca="false">N654*Scorecard!$D$18+O654*Scorecard!$D$19+P654*Scorecard!$D$20+Q654*Scorecard!$D$21+R654*Scorecard!$D$22+S654*Scorecard!$D$23</f>
        <v>2.49628100454399</v>
      </c>
      <c r="V654" s="38" t="n">
        <f aca="false">N654*Scorecard!$E$18+O654*Scorecard!$E$19+P654*Scorecard!$E$20+Q654*Scorecard!$E$21+R654*Scorecard!$E$22+S654*Scorecard!$E$23</f>
        <v>3.37868490894685</v>
      </c>
    </row>
    <row r="655" customFormat="false" ht="15" hidden="false" customHeight="false" outlineLevel="0" collapsed="false">
      <c r="A655" s="0" t="n">
        <v>650</v>
      </c>
      <c r="B655" s="38" t="n">
        <f aca="false">E655*Scorecard!$C$18+F655*Scorecard!$C$19+G655*Scorecard!$C$20+H655*Scorecard!$C$21+I655*Scorecard!$C$22+J655*Scorecard!$C$23</f>
        <v>3.73790654761984</v>
      </c>
      <c r="C655" s="38" t="n">
        <f aca="false">E655*Scorecard!$D$18+F655*Scorecard!$D$19+G655*Scorecard!$D$20+H655*Scorecard!$D$21+I655*Scorecard!$D$22+J655*Scorecard!$D$23</f>
        <v>2.37033547107963</v>
      </c>
      <c r="D655" s="0" t="str">
        <f aca="false">IF(AND(B655&gt;=C655,B655&gt;=K655),"A. Distribution",IF(C655&gt;=K655,"B. Manufacturing","C. Prof. services"))</f>
        <v>A. Distribution</v>
      </c>
      <c r="E655" s="39" t="n">
        <v>0.0964808876589472</v>
      </c>
      <c r="F655" s="39" t="n">
        <v>0.16472364582079</v>
      </c>
      <c r="G655" s="39" t="n">
        <v>0.180759198699421</v>
      </c>
      <c r="H655" s="39" t="n">
        <v>0.28870967176839</v>
      </c>
      <c r="I655" s="39" t="n">
        <v>0.0753454347340398</v>
      </c>
      <c r="J655" s="39" t="n">
        <v>0.193981161318412</v>
      </c>
      <c r="K655" s="38" t="n">
        <f aca="false">E655*Scorecard!$E$18+F655*Scorecard!$E$19+G655*Scorecard!$E$20+H655*Scorecard!$E$21+I655*Scorecard!$E$22+J655*Scorecard!$E$23</f>
        <v>3.63182832854977</v>
      </c>
      <c r="M655" s="0" t="str">
        <f aca="false">IF(AND(T655&gt;=U655,T655&gt;=V655),"A. Distribution",IF(U655&gt;=V655,"B. Manufacturing","C. Prof. services"))</f>
        <v>A. Distribution</v>
      </c>
      <c r="N655" s="39" t="n">
        <v>0.212129510047737</v>
      </c>
      <c r="O655" s="39" t="n">
        <v>0.260499274765837</v>
      </c>
      <c r="P655" s="39" t="n">
        <v>0.100164314431958</v>
      </c>
      <c r="Q655" s="39" t="n">
        <v>0.150062578984786</v>
      </c>
      <c r="R655" s="39" t="n">
        <v>0.224607190873296</v>
      </c>
      <c r="S655" s="39" t="n">
        <v>0.0525371308963867</v>
      </c>
      <c r="T655" s="38" t="n">
        <f aca="false">N655*Scorecard!$C$18+O655*Scorecard!$C$19+P655*Scorecard!$C$20+Q655*Scorecard!$C$21+R655*Scorecard!$C$22+S655*Scorecard!$C$23</f>
        <v>4.12222448845465</v>
      </c>
      <c r="U655" s="38" t="n">
        <f aca="false">N655*Scorecard!$D$18+O655*Scorecard!$D$19+P655*Scorecard!$D$20+Q655*Scorecard!$D$21+R655*Scorecard!$D$22+S655*Scorecard!$D$23</f>
        <v>2.88428444013845</v>
      </c>
      <c r="V655" s="38" t="n">
        <f aca="false">N655*Scorecard!$E$18+O655*Scorecard!$E$19+P655*Scorecard!$E$20+Q655*Scorecard!$E$21+R655*Scorecard!$E$22+S655*Scorecard!$E$23</f>
        <v>3.18536362673437</v>
      </c>
    </row>
    <row r="656" customFormat="false" ht="15" hidden="false" customHeight="false" outlineLevel="0" collapsed="false">
      <c r="A656" s="0" t="n">
        <v>651</v>
      </c>
      <c r="B656" s="38" t="n">
        <f aca="false">E656*Scorecard!$C$18+F656*Scorecard!$C$19+G656*Scorecard!$C$20+H656*Scorecard!$C$21+I656*Scorecard!$C$22+J656*Scorecard!$C$23</f>
        <v>3.32299042474565</v>
      </c>
      <c r="C656" s="38" t="n">
        <f aca="false">E656*Scorecard!$D$18+F656*Scorecard!$D$19+G656*Scorecard!$D$20+H656*Scorecard!$D$21+I656*Scorecard!$D$22+J656*Scorecard!$D$23</f>
        <v>2.20072780505024</v>
      </c>
      <c r="D656" s="0" t="str">
        <f aca="false">IF(AND(B656&gt;=C656,B656&gt;=K656),"A. Distribution",IF(C656&gt;=K656,"B. Manufacturing","C. Prof. services"))</f>
        <v>C. Prof. services</v>
      </c>
      <c r="E656" s="39" t="n">
        <v>0.0496289700338798</v>
      </c>
      <c r="F656" s="39" t="n">
        <v>0.132618609545785</v>
      </c>
      <c r="G656" s="39" t="n">
        <v>0.17248305019369</v>
      </c>
      <c r="H656" s="39" t="n">
        <v>0.0974214738310695</v>
      </c>
      <c r="I656" s="39" t="n">
        <v>0.150274689378885</v>
      </c>
      <c r="J656" s="39" t="n">
        <v>0.397573207016692</v>
      </c>
      <c r="K656" s="38" t="n">
        <f aca="false">E656*Scorecard!$E$18+F656*Scorecard!$E$19+G656*Scorecard!$E$20+H656*Scorecard!$E$21+I656*Scorecard!$E$22+J656*Scorecard!$E$23</f>
        <v>3.73311040452644</v>
      </c>
      <c r="M656" s="0" t="str">
        <f aca="false">IF(AND(T656&gt;=U656,T656&gt;=V656),"A. Distribution",IF(U656&gt;=V656,"B. Manufacturing","C. Prof. services"))</f>
        <v>A. Distribution</v>
      </c>
      <c r="N656" s="39" t="n">
        <v>0.0580931063866144</v>
      </c>
      <c r="O656" s="39" t="n">
        <v>0.133701287073976</v>
      </c>
      <c r="P656" s="39" t="n">
        <v>0.127202001340397</v>
      </c>
      <c r="Q656" s="39" t="n">
        <v>0.094283252960892</v>
      </c>
      <c r="R656" s="39" t="n">
        <v>0.316202281238873</v>
      </c>
      <c r="S656" s="39" t="n">
        <v>0.270518070999247</v>
      </c>
      <c r="T656" s="38" t="n">
        <f aca="false">N656*Scorecard!$C$18+O656*Scorecard!$C$19+P656*Scorecard!$C$20+Q656*Scorecard!$C$21+R656*Scorecard!$C$22+S656*Scorecard!$C$23</f>
        <v>3.57784196126476</v>
      </c>
      <c r="U656" s="38" t="n">
        <f aca="false">N656*Scorecard!$D$18+O656*Scorecard!$D$19+P656*Scorecard!$D$20+Q656*Scorecard!$D$21+R656*Scorecard!$D$22+S656*Scorecard!$D$23</f>
        <v>2.50226876518764</v>
      </c>
      <c r="V656" s="38" t="n">
        <f aca="false">N656*Scorecard!$E$18+O656*Scorecard!$E$19+P656*Scorecard!$E$20+Q656*Scorecard!$E$21+R656*Scorecard!$E$22+S656*Scorecard!$E$23</f>
        <v>3.38853143485369</v>
      </c>
    </row>
    <row r="657" customFormat="false" ht="15" hidden="false" customHeight="false" outlineLevel="0" collapsed="false">
      <c r="A657" s="0" t="n">
        <v>652</v>
      </c>
      <c r="B657" s="38" t="n">
        <f aca="false">E657*Scorecard!$C$18+F657*Scorecard!$C$19+G657*Scorecard!$C$20+H657*Scorecard!$C$21+I657*Scorecard!$C$22+J657*Scorecard!$C$23</f>
        <v>3.87474815069141</v>
      </c>
      <c r="C657" s="38" t="n">
        <f aca="false">E657*Scorecard!$D$18+F657*Scorecard!$D$19+G657*Scorecard!$D$20+H657*Scorecard!$D$21+I657*Scorecard!$D$22+J657*Scorecard!$D$23</f>
        <v>2.50907551946517</v>
      </c>
      <c r="D657" s="0" t="str">
        <f aca="false">IF(AND(B657&gt;=C657,B657&gt;=K657),"A. Distribution",IF(C657&gt;=K657,"B. Manufacturing","C. Prof. services"))</f>
        <v>A. Distribution</v>
      </c>
      <c r="E657" s="39" t="n">
        <v>0.135352936652293</v>
      </c>
      <c r="F657" s="39" t="n">
        <v>0.0863598563703571</v>
      </c>
      <c r="G657" s="39" t="n">
        <v>0.281810607885421</v>
      </c>
      <c r="H657" s="39" t="n">
        <v>0.30616081191556</v>
      </c>
      <c r="I657" s="39" t="n">
        <v>0.10643796307899</v>
      </c>
      <c r="J657" s="39" t="n">
        <v>0.0838778240973782</v>
      </c>
      <c r="K657" s="38" t="n">
        <f aca="false">E657*Scorecard!$E$18+F657*Scorecard!$E$19+G657*Scorecard!$E$20+H657*Scorecard!$E$21+I657*Scorecard!$E$22+J657*Scorecard!$E$23</f>
        <v>3.59348836209408</v>
      </c>
      <c r="M657" s="0" t="str">
        <f aca="false">IF(AND(T657&gt;=U657,T657&gt;=V657),"A. Distribution",IF(U657&gt;=V657,"B. Manufacturing","C. Prof. services"))</f>
        <v>A. Distribution</v>
      </c>
      <c r="N657" s="39" t="n">
        <v>0.303196094471051</v>
      </c>
      <c r="O657" s="39" t="n">
        <v>0.151780607275655</v>
      </c>
      <c r="P657" s="39" t="n">
        <v>0.308062204084581</v>
      </c>
      <c r="Q657" s="39" t="n">
        <v>0.0361173871460081</v>
      </c>
      <c r="R657" s="39" t="n">
        <v>0.0733689260875648</v>
      </c>
      <c r="S657" s="39" t="n">
        <v>0.12747478093514</v>
      </c>
      <c r="T657" s="38" t="n">
        <f aca="false">N657*Scorecard!$C$18+O657*Scorecard!$C$19+P657*Scorecard!$C$20+Q657*Scorecard!$C$21+R657*Scorecard!$C$22+S657*Scorecard!$C$23</f>
        <v>3.86859674008441</v>
      </c>
      <c r="U657" s="38" t="n">
        <f aca="false">N657*Scorecard!$D$18+O657*Scorecard!$D$19+P657*Scorecard!$D$20+Q657*Scorecard!$D$21+R657*Scorecard!$D$22+S657*Scorecard!$D$23</f>
        <v>2.73852295917465</v>
      </c>
      <c r="V657" s="38" t="n">
        <f aca="false">N657*Scorecard!$E$18+O657*Scorecard!$E$19+P657*Scorecard!$E$20+Q657*Scorecard!$E$21+R657*Scorecard!$E$22+S657*Scorecard!$E$23</f>
        <v>3.59660095066186</v>
      </c>
    </row>
    <row r="658" customFormat="false" ht="15" hidden="false" customHeight="false" outlineLevel="0" collapsed="false">
      <c r="A658" s="0" t="n">
        <v>653</v>
      </c>
      <c r="B658" s="38" t="n">
        <f aca="false">E658*Scorecard!$C$18+F658*Scorecard!$C$19+G658*Scorecard!$C$20+H658*Scorecard!$C$21+I658*Scorecard!$C$22+J658*Scorecard!$C$23</f>
        <v>4.13996991678504</v>
      </c>
      <c r="C658" s="38" t="n">
        <f aca="false">E658*Scorecard!$D$18+F658*Scorecard!$D$19+G658*Scorecard!$D$20+H658*Scorecard!$D$21+I658*Scorecard!$D$22+J658*Scorecard!$D$23</f>
        <v>2.87653227576372</v>
      </c>
      <c r="D658" s="0" t="str">
        <f aca="false">IF(AND(B658&gt;=C658,B658&gt;=K658),"A. Distribution",IF(C658&gt;=K658,"B. Manufacturing","C. Prof. services"))</f>
        <v>A. Distribution</v>
      </c>
      <c r="E658" s="39" t="n">
        <v>0.209564033977204</v>
      </c>
      <c r="F658" s="39" t="n">
        <v>0.338282572894499</v>
      </c>
      <c r="G658" s="39" t="n">
        <v>0.0694458743418868</v>
      </c>
      <c r="H658" s="39" t="n">
        <v>0.0749440637723743</v>
      </c>
      <c r="I658" s="39" t="n">
        <v>0.221057370275562</v>
      </c>
      <c r="J658" s="39" t="n">
        <v>0.0867060847384743</v>
      </c>
      <c r="K658" s="38" t="n">
        <f aca="false">E658*Scorecard!$E$18+F658*Scorecard!$E$19+G658*Scorecard!$E$20+H658*Scorecard!$E$21+I658*Scorecard!$E$22+J658*Scorecard!$E$23</f>
        <v>3.14123321739021</v>
      </c>
      <c r="M658" s="0" t="str">
        <f aca="false">IF(AND(T658&gt;=U658,T658&gt;=V658),"A. Distribution",IF(U658&gt;=V658,"B. Manufacturing","C. Prof. services"))</f>
        <v>A. Distribution</v>
      </c>
      <c r="N658" s="39" t="n">
        <v>0.156224426107165</v>
      </c>
      <c r="O658" s="39" t="n">
        <v>0.118454670902449</v>
      </c>
      <c r="P658" s="39" t="n">
        <v>0.231270411167534</v>
      </c>
      <c r="Q658" s="39" t="n">
        <v>0.176322699138718</v>
      </c>
      <c r="R658" s="39" t="n">
        <v>0.184537364811612</v>
      </c>
      <c r="S658" s="39" t="n">
        <v>0.133190427872523</v>
      </c>
      <c r="T658" s="38" t="n">
        <f aca="false">N658*Scorecard!$C$18+O658*Scorecard!$C$19+P658*Scorecard!$C$20+Q658*Scorecard!$C$21+R658*Scorecard!$C$22+S658*Scorecard!$C$23</f>
        <v>3.82053218600238</v>
      </c>
      <c r="U658" s="38" t="n">
        <f aca="false">N658*Scorecard!$D$18+O658*Scorecard!$D$19+P658*Scorecard!$D$20+Q658*Scorecard!$D$21+R658*Scorecard!$D$22+S658*Scorecard!$D$23</f>
        <v>2.609835457936</v>
      </c>
      <c r="V658" s="38" t="n">
        <f aca="false">N658*Scorecard!$E$18+O658*Scorecard!$E$19+P658*Scorecard!$E$20+Q658*Scorecard!$E$21+R658*Scorecard!$E$22+S658*Scorecard!$E$23</f>
        <v>3.48164083153053</v>
      </c>
    </row>
    <row r="659" customFormat="false" ht="15" hidden="false" customHeight="false" outlineLevel="0" collapsed="false">
      <c r="A659" s="0" t="n">
        <v>654</v>
      </c>
      <c r="B659" s="38" t="n">
        <f aca="false">E659*Scorecard!$C$18+F659*Scorecard!$C$19+G659*Scorecard!$C$20+H659*Scorecard!$C$21+I659*Scorecard!$C$22+J659*Scorecard!$C$23</f>
        <v>4.25183093097935</v>
      </c>
      <c r="C659" s="38" t="n">
        <f aca="false">E659*Scorecard!$D$18+F659*Scorecard!$D$19+G659*Scorecard!$D$20+H659*Scorecard!$D$21+I659*Scorecard!$D$22+J659*Scorecard!$D$23</f>
        <v>2.79164894353328</v>
      </c>
      <c r="D659" s="0" t="str">
        <f aca="false">IF(AND(B659&gt;=C659,B659&gt;=K659),"A. Distribution",IF(C659&gt;=K659,"B. Manufacturing","C. Prof. services"))</f>
        <v>A. Distribution</v>
      </c>
      <c r="E659" s="39" t="n">
        <v>0.240817764190664</v>
      </c>
      <c r="F659" s="39" t="n">
        <v>0.358851198264084</v>
      </c>
      <c r="G659" s="39" t="n">
        <v>0.0480303714984775</v>
      </c>
      <c r="H659" s="39" t="n">
        <v>0.291932649091398</v>
      </c>
      <c r="I659" s="39" t="n">
        <v>0.0322530808816951</v>
      </c>
      <c r="J659" s="39" t="n">
        <v>0.0281149360736818</v>
      </c>
      <c r="K659" s="38" t="n">
        <f aca="false">E659*Scorecard!$E$18+F659*Scorecard!$E$19+G659*Scorecard!$E$20+H659*Scorecard!$E$21+I659*Scorecard!$E$22+J659*Scorecard!$E$23</f>
        <v>3.31543106296522</v>
      </c>
      <c r="M659" s="0" t="str">
        <f aca="false">IF(AND(T659&gt;=U659,T659&gt;=V659),"A. Distribution",IF(U659&gt;=V659,"B. Manufacturing","C. Prof. services"))</f>
        <v>A. Distribution</v>
      </c>
      <c r="N659" s="39" t="n">
        <v>0.211680217938856</v>
      </c>
      <c r="O659" s="39" t="n">
        <v>0.177089923563119</v>
      </c>
      <c r="P659" s="39" t="n">
        <v>0.190657164959124</v>
      </c>
      <c r="Q659" s="39" t="n">
        <v>0.198900396106052</v>
      </c>
      <c r="R659" s="39" t="n">
        <v>0.15619998889601</v>
      </c>
      <c r="S659" s="39" t="n">
        <v>0.0654723085368394</v>
      </c>
      <c r="T659" s="38" t="n">
        <f aca="false">N659*Scorecard!$C$18+O659*Scorecard!$C$19+P659*Scorecard!$C$20+Q659*Scorecard!$C$21+R659*Scorecard!$C$22+S659*Scorecard!$C$23</f>
        <v>4.00771855073104</v>
      </c>
      <c r="U659" s="38" t="n">
        <f aca="false">N659*Scorecard!$D$18+O659*Scorecard!$D$19+P659*Scorecard!$D$20+Q659*Scorecard!$D$21+R659*Scorecard!$D$22+S659*Scorecard!$D$23</f>
        <v>2.75578247571606</v>
      </c>
      <c r="V659" s="38" t="n">
        <f aca="false">N659*Scorecard!$E$18+O659*Scorecard!$E$19+P659*Scorecard!$E$20+Q659*Scorecard!$E$21+R659*Scorecard!$E$22+S659*Scorecard!$E$23</f>
        <v>3.38980552158507</v>
      </c>
    </row>
    <row r="660" customFormat="false" ht="15" hidden="false" customHeight="false" outlineLevel="0" collapsed="false">
      <c r="A660" s="0" t="n">
        <v>655</v>
      </c>
      <c r="B660" s="38" t="n">
        <f aca="false">E660*Scorecard!$C$18+F660*Scorecard!$C$19+G660*Scorecard!$C$20+H660*Scorecard!$C$21+I660*Scorecard!$C$22+J660*Scorecard!$C$23</f>
        <v>4.04640466047693</v>
      </c>
      <c r="C660" s="38" t="n">
        <f aca="false">E660*Scorecard!$D$18+F660*Scorecard!$D$19+G660*Scorecard!$D$20+H660*Scorecard!$D$21+I660*Scorecard!$D$22+J660*Scorecard!$D$23</f>
        <v>3.12466370265255</v>
      </c>
      <c r="D660" s="0" t="str">
        <f aca="false">IF(AND(B660&gt;=C660,B660&gt;=K660),"A. Distribution",IF(C660&gt;=K660,"B. Manufacturing","C. Prof. services"))</f>
        <v>A. Distribution</v>
      </c>
      <c r="E660" s="39" t="n">
        <v>0.344101666497932</v>
      </c>
      <c r="F660" s="39" t="n">
        <v>0.192595626527332</v>
      </c>
      <c r="G660" s="39" t="n">
        <v>0.00448020569184415</v>
      </c>
      <c r="H660" s="39" t="n">
        <v>0.187500493700007</v>
      </c>
      <c r="I660" s="39" t="n">
        <v>0.222141574664165</v>
      </c>
      <c r="J660" s="39" t="n">
        <v>0.0491804329187198</v>
      </c>
      <c r="K660" s="38" t="n">
        <f aca="false">E660*Scorecard!$E$18+F660*Scorecard!$E$19+G660*Scorecard!$E$20+H660*Scorecard!$E$21+I660*Scorecard!$E$22+J660*Scorecard!$E$23</f>
        <v>3.19073685341553</v>
      </c>
      <c r="M660" s="0" t="str">
        <f aca="false">IF(AND(T660&gt;=U660,T660&gt;=V660),"A. Distribution",IF(U660&gt;=V660,"B. Manufacturing","C. Prof. services"))</f>
        <v>A. Distribution</v>
      </c>
      <c r="N660" s="39" t="n">
        <v>0.118460162171944</v>
      </c>
      <c r="O660" s="39" t="n">
        <v>0.166028281543904</v>
      </c>
      <c r="P660" s="39" t="n">
        <v>0.271414556822683</v>
      </c>
      <c r="Q660" s="39" t="n">
        <v>0.159977814518974</v>
      </c>
      <c r="R660" s="39" t="n">
        <v>0.221108179220641</v>
      </c>
      <c r="S660" s="39" t="n">
        <v>0.0630110057218541</v>
      </c>
      <c r="T660" s="38" t="n">
        <f aca="false">N660*Scorecard!$C$18+O660*Scorecard!$C$19+P660*Scorecard!$C$20+Q660*Scorecard!$C$21+R660*Scorecard!$C$22+S660*Scorecard!$C$23</f>
        <v>4.01325778269678</v>
      </c>
      <c r="U660" s="38" t="n">
        <f aca="false">N660*Scorecard!$D$18+O660*Scorecard!$D$19+P660*Scorecard!$D$20+Q660*Scorecard!$D$21+R660*Scorecard!$D$22+S660*Scorecard!$D$23</f>
        <v>2.63770382514509</v>
      </c>
      <c r="V660" s="38" t="n">
        <f aca="false">N660*Scorecard!$E$18+O660*Scorecard!$E$19+P660*Scorecard!$E$20+Q660*Scorecard!$E$21+R660*Scorecard!$E$22+S660*Scorecard!$E$23</f>
        <v>3.3529563389241</v>
      </c>
    </row>
    <row r="661" customFormat="false" ht="15" hidden="false" customHeight="false" outlineLevel="0" collapsed="false">
      <c r="A661" s="0" t="n">
        <v>656</v>
      </c>
      <c r="B661" s="38" t="n">
        <f aca="false">E661*Scorecard!$C$18+F661*Scorecard!$C$19+G661*Scorecard!$C$20+H661*Scorecard!$C$21+I661*Scorecard!$C$22+J661*Scorecard!$C$23</f>
        <v>3.89873927648913</v>
      </c>
      <c r="C661" s="38" t="n">
        <f aca="false">E661*Scorecard!$D$18+F661*Scorecard!$D$19+G661*Scorecard!$D$20+H661*Scorecard!$D$21+I661*Scorecard!$D$22+J661*Scorecard!$D$23</f>
        <v>2.93579591161896</v>
      </c>
      <c r="D661" s="0" t="str">
        <f aca="false">IF(AND(B661&gt;=C661,B661&gt;=K661),"A. Distribution",IF(C661&gt;=K661,"B. Manufacturing","C. Prof. services"))</f>
        <v>A. Distribution</v>
      </c>
      <c r="E661" s="39" t="n">
        <v>0.0378249660083153</v>
      </c>
      <c r="F661" s="39" t="n">
        <v>0.015898068467226</v>
      </c>
      <c r="G661" s="39" t="n">
        <v>0.101083055870616</v>
      </c>
      <c r="H661" s="39" t="n">
        <v>0.181952874531421</v>
      </c>
      <c r="I661" s="39" t="n">
        <v>0.615982825842095</v>
      </c>
      <c r="J661" s="39" t="n">
        <v>0.047258209280327</v>
      </c>
      <c r="K661" s="38" t="n">
        <f aca="false">E661*Scorecard!$E$18+F661*Scorecard!$E$19+G661*Scorecard!$E$20+H661*Scorecard!$E$21+I661*Scorecard!$E$22+J661*Scorecard!$E$23</f>
        <v>2.89954082334146</v>
      </c>
      <c r="M661" s="0" t="str">
        <f aca="false">IF(AND(T661&gt;=U661,T661&gt;=V661),"A. Distribution",IF(U661&gt;=V661,"B. Manufacturing","C. Prof. services"))</f>
        <v>A. Distribution</v>
      </c>
      <c r="N661" s="39" t="n">
        <v>0.175270950484841</v>
      </c>
      <c r="O661" s="39" t="n">
        <v>0.186048204381124</v>
      </c>
      <c r="P661" s="39" t="n">
        <v>0.22715450580977</v>
      </c>
      <c r="Q661" s="39" t="n">
        <v>0.101690364970585</v>
      </c>
      <c r="R661" s="39" t="n">
        <v>0.158558039497604</v>
      </c>
      <c r="S661" s="39" t="n">
        <v>0.151277934856076</v>
      </c>
      <c r="T661" s="38" t="n">
        <f aca="false">N661*Scorecard!$C$18+O661*Scorecard!$C$19+P661*Scorecard!$C$20+Q661*Scorecard!$C$21+R661*Scorecard!$C$22+S661*Scorecard!$C$23</f>
        <v>3.85846319935787</v>
      </c>
      <c r="U661" s="38" t="n">
        <f aca="false">N661*Scorecard!$D$18+O661*Scorecard!$D$19+P661*Scorecard!$D$20+Q661*Scorecard!$D$21+R661*Scorecard!$D$22+S661*Scorecard!$D$23</f>
        <v>2.61869028342514</v>
      </c>
      <c r="V661" s="38" t="n">
        <f aca="false">N661*Scorecard!$E$18+O661*Scorecard!$E$19+P661*Scorecard!$E$20+Q661*Scorecard!$E$21+R661*Scorecard!$E$22+S661*Scorecard!$E$23</f>
        <v>3.46806896471547</v>
      </c>
    </row>
    <row r="662" customFormat="false" ht="15" hidden="false" customHeight="false" outlineLevel="0" collapsed="false">
      <c r="A662" s="0" t="n">
        <v>657</v>
      </c>
      <c r="B662" s="38" t="n">
        <f aca="false">E662*Scorecard!$C$18+F662*Scorecard!$C$19+G662*Scorecard!$C$20+H662*Scorecard!$C$21+I662*Scorecard!$C$22+J662*Scorecard!$C$23</f>
        <v>4.02574767107614</v>
      </c>
      <c r="C662" s="38" t="n">
        <f aca="false">E662*Scorecard!$D$18+F662*Scorecard!$D$19+G662*Scorecard!$D$20+H662*Scorecard!$D$21+I662*Scorecard!$D$22+J662*Scorecard!$D$23</f>
        <v>2.75140370727452</v>
      </c>
      <c r="D662" s="0" t="str">
        <f aca="false">IF(AND(B662&gt;=C662,B662&gt;=K662),"A. Distribution",IF(C662&gt;=K662,"B. Manufacturing","C. Prof. services"))</f>
        <v>A. Distribution</v>
      </c>
      <c r="E662" s="39" t="n">
        <v>0.228174313034325</v>
      </c>
      <c r="F662" s="39" t="n">
        <v>0.118393446679883</v>
      </c>
      <c r="G662" s="39" t="n">
        <v>0.213025086841988</v>
      </c>
      <c r="H662" s="39" t="n">
        <v>0.309955762692482</v>
      </c>
      <c r="I662" s="39" t="n">
        <v>0.109987150112226</v>
      </c>
      <c r="J662" s="39" t="n">
        <v>0.0204642406390969</v>
      </c>
      <c r="K662" s="38" t="n">
        <f aca="false">E662*Scorecard!$E$18+F662*Scorecard!$E$19+G662*Scorecard!$E$20+H662*Scorecard!$E$21+I662*Scorecard!$E$22+J662*Scorecard!$E$23</f>
        <v>3.46992068302276</v>
      </c>
      <c r="M662" s="0" t="str">
        <f aca="false">IF(AND(T662&gt;=U662,T662&gt;=V662),"A. Distribution",IF(U662&gt;=V662,"B. Manufacturing","C. Prof. services"))</f>
        <v>A. Distribution</v>
      </c>
      <c r="N662" s="39" t="n">
        <v>0.188964194176501</v>
      </c>
      <c r="O662" s="39" t="n">
        <v>0.133916603032668</v>
      </c>
      <c r="P662" s="39" t="n">
        <v>0.320890816926215</v>
      </c>
      <c r="Q662" s="39" t="n">
        <v>0.199000625430069</v>
      </c>
      <c r="R662" s="39" t="n">
        <v>0.0680267804458489</v>
      </c>
      <c r="S662" s="39" t="n">
        <v>0.0892009799886985</v>
      </c>
      <c r="T662" s="38" t="n">
        <f aca="false">N662*Scorecard!$C$18+O662*Scorecard!$C$19+P662*Scorecard!$C$20+Q662*Scorecard!$C$21+R662*Scorecard!$C$22+S662*Scorecard!$C$23</f>
        <v>3.91890088374551</v>
      </c>
      <c r="U662" s="38" t="n">
        <f aca="false">N662*Scorecard!$D$18+O662*Scorecard!$D$19+P662*Scorecard!$D$20+Q662*Scorecard!$D$21+R662*Scorecard!$D$22+S662*Scorecard!$D$23</f>
        <v>2.55755006015898</v>
      </c>
      <c r="V662" s="38" t="n">
        <f aca="false">N662*Scorecard!$E$18+O662*Scorecard!$E$19+P662*Scorecard!$E$20+Q662*Scorecard!$E$21+R662*Scorecard!$E$22+S662*Scorecard!$E$23</f>
        <v>3.6115635403791</v>
      </c>
    </row>
    <row r="663" customFormat="false" ht="15" hidden="false" customHeight="false" outlineLevel="0" collapsed="false">
      <c r="A663" s="0" t="n">
        <v>658</v>
      </c>
      <c r="B663" s="38" t="n">
        <f aca="false">E663*Scorecard!$C$18+F663*Scorecard!$C$19+G663*Scorecard!$C$20+H663*Scorecard!$C$21+I663*Scorecard!$C$22+J663*Scorecard!$C$23</f>
        <v>4.04497919225696</v>
      </c>
      <c r="C663" s="38" t="n">
        <f aca="false">E663*Scorecard!$D$18+F663*Scorecard!$D$19+G663*Scorecard!$D$20+H663*Scorecard!$D$21+I663*Scorecard!$D$22+J663*Scorecard!$D$23</f>
        <v>2.7086234709294</v>
      </c>
      <c r="D663" s="0" t="str">
        <f aca="false">IF(AND(B663&gt;=C663,B663&gt;=K663),"A. Distribution",IF(C663&gt;=K663,"B. Manufacturing","C. Prof. services"))</f>
        <v>A. Distribution</v>
      </c>
      <c r="E663" s="39" t="n">
        <v>0.297044527715324</v>
      </c>
      <c r="F663" s="39" t="n">
        <v>0.144777245901318</v>
      </c>
      <c r="G663" s="39" t="n">
        <v>0.453990075581378</v>
      </c>
      <c r="H663" s="39" t="n">
        <v>0.0407488654546359</v>
      </c>
      <c r="I663" s="39" t="n">
        <v>0.027659988720095</v>
      </c>
      <c r="J663" s="39" t="n">
        <v>0.0357792966272498</v>
      </c>
      <c r="K663" s="38" t="n">
        <f aca="false">E663*Scorecard!$E$18+F663*Scorecard!$E$19+G663*Scorecard!$E$20+H663*Scorecard!$E$21+I663*Scorecard!$E$22+J663*Scorecard!$E$23</f>
        <v>3.63686917796284</v>
      </c>
      <c r="M663" s="0" t="str">
        <f aca="false">IF(AND(T663&gt;=U663,T663&gt;=V663),"A. Distribution",IF(U663&gt;=V663,"B. Manufacturing","C. Prof. services"))</f>
        <v>A. Distribution</v>
      </c>
      <c r="N663" s="39" t="n">
        <v>0.34255437297294</v>
      </c>
      <c r="O663" s="39" t="n">
        <v>0.209887537349521</v>
      </c>
      <c r="P663" s="39" t="n">
        <v>0.172422931085962</v>
      </c>
      <c r="Q663" s="39" t="n">
        <v>0.075136868420015</v>
      </c>
      <c r="R663" s="39" t="n">
        <v>0.075030226188338</v>
      </c>
      <c r="S663" s="39" t="n">
        <v>0.124968063983225</v>
      </c>
      <c r="T663" s="38" t="n">
        <f aca="false">N663*Scorecard!$C$18+O663*Scorecard!$C$19+P663*Scorecard!$C$20+Q663*Scorecard!$C$21+R663*Scorecard!$C$22+S663*Scorecard!$C$23</f>
        <v>3.92435278293163</v>
      </c>
      <c r="U663" s="38" t="n">
        <f aca="false">N663*Scorecard!$D$18+O663*Scorecard!$D$19+P663*Scorecard!$D$20+Q663*Scorecard!$D$21+R663*Scorecard!$D$22+S663*Scorecard!$D$23</f>
        <v>2.86381651624312</v>
      </c>
      <c r="V663" s="38" t="n">
        <f aca="false">N663*Scorecard!$E$18+O663*Scorecard!$E$19+P663*Scorecard!$E$20+Q663*Scorecard!$E$21+R663*Scorecard!$E$22+S663*Scorecard!$E$23</f>
        <v>3.49067516166331</v>
      </c>
    </row>
    <row r="664" customFormat="false" ht="15" hidden="false" customHeight="false" outlineLevel="0" collapsed="false">
      <c r="A664" s="0" t="n">
        <v>659</v>
      </c>
      <c r="B664" s="38" t="n">
        <f aca="false">E664*Scorecard!$C$18+F664*Scorecard!$C$19+G664*Scorecard!$C$20+H664*Scorecard!$C$21+I664*Scorecard!$C$22+J664*Scorecard!$C$23</f>
        <v>4.04208620993872</v>
      </c>
      <c r="C664" s="38" t="n">
        <f aca="false">E664*Scorecard!$D$18+F664*Scorecard!$D$19+G664*Scorecard!$D$20+H664*Scorecard!$D$21+I664*Scorecard!$D$22+J664*Scorecard!$D$23</f>
        <v>3.27436271699065</v>
      </c>
      <c r="D664" s="0" t="str">
        <f aca="false">IF(AND(B664&gt;=C664,B664&gt;=K664),"A. Distribution",IF(C664&gt;=K664,"B. Manufacturing","C. Prof. services"))</f>
        <v>A. Distribution</v>
      </c>
      <c r="E664" s="39" t="n">
        <v>0.501344460508721</v>
      </c>
      <c r="F664" s="39" t="n">
        <v>0.225482879788664</v>
      </c>
      <c r="G664" s="39" t="n">
        <v>0.0374970669874271</v>
      </c>
      <c r="H664" s="39" t="n">
        <v>0.0451031934376083</v>
      </c>
      <c r="I664" s="39" t="n">
        <v>0.121429676291618</v>
      </c>
      <c r="J664" s="39" t="n">
        <v>0.0691427229859614</v>
      </c>
      <c r="K664" s="38" t="n">
        <f aca="false">E664*Scorecard!$E$18+F664*Scorecard!$E$19+G664*Scorecard!$E$20+H664*Scorecard!$E$21+I664*Scorecard!$E$22+J664*Scorecard!$E$23</f>
        <v>3.29721381848205</v>
      </c>
      <c r="M664" s="0" t="str">
        <f aca="false">IF(AND(T664&gt;=U664,T664&gt;=V664),"A. Distribution",IF(U664&gt;=V664,"B. Manufacturing","C. Prof. services"))</f>
        <v>A. Distribution</v>
      </c>
      <c r="N664" s="39" t="n">
        <v>0.136523544639963</v>
      </c>
      <c r="O664" s="39" t="n">
        <v>0.233110370828683</v>
      </c>
      <c r="P664" s="39" t="n">
        <v>0.195961935142055</v>
      </c>
      <c r="Q664" s="39" t="n">
        <v>0.170613309036589</v>
      </c>
      <c r="R664" s="39" t="n">
        <v>0.137599902796305</v>
      </c>
      <c r="S664" s="39" t="n">
        <v>0.126190937556406</v>
      </c>
      <c r="T664" s="38" t="n">
        <f aca="false">N664*Scorecard!$C$18+O664*Scorecard!$C$19+P664*Scorecard!$C$20+Q664*Scorecard!$C$21+R664*Scorecard!$C$22+S664*Scorecard!$C$23</f>
        <v>3.95138377687022</v>
      </c>
      <c r="U664" s="38" t="n">
        <f aca="false">N664*Scorecard!$D$18+O664*Scorecard!$D$19+P664*Scorecard!$D$20+Q664*Scorecard!$D$21+R664*Scorecard!$D$22+S664*Scorecard!$D$23</f>
        <v>2.56997027870265</v>
      </c>
      <c r="V664" s="38" t="n">
        <f aca="false">N664*Scorecard!$E$18+O664*Scorecard!$E$19+P664*Scorecard!$E$20+Q664*Scorecard!$E$21+R664*Scorecard!$E$22+S664*Scorecard!$E$23</f>
        <v>3.43102810360487</v>
      </c>
    </row>
    <row r="665" customFormat="false" ht="15" hidden="false" customHeight="false" outlineLevel="0" collapsed="false">
      <c r="A665" s="0" t="n">
        <v>660</v>
      </c>
      <c r="B665" s="38" t="n">
        <f aca="false">E665*Scorecard!$C$18+F665*Scorecard!$C$19+G665*Scorecard!$C$20+H665*Scorecard!$C$21+I665*Scorecard!$C$22+J665*Scorecard!$C$23</f>
        <v>3.41535087701266</v>
      </c>
      <c r="C665" s="38" t="n">
        <f aca="false">E665*Scorecard!$D$18+F665*Scorecard!$D$19+G665*Scorecard!$D$20+H665*Scorecard!$D$21+I665*Scorecard!$D$22+J665*Scorecard!$D$23</f>
        <v>2.30762227183879</v>
      </c>
      <c r="D665" s="0" t="str">
        <f aca="false">IF(AND(B665&gt;=C665,B665&gt;=K665),"A. Distribution",IF(C665&gt;=K665,"B. Manufacturing","C. Prof. services"))</f>
        <v>C. Prof. services</v>
      </c>
      <c r="E665" s="39" t="n">
        <v>0.0384302236882121</v>
      </c>
      <c r="F665" s="39" t="n">
        <v>0.0453716341399168</v>
      </c>
      <c r="G665" s="39" t="n">
        <v>0.239670489683129</v>
      </c>
      <c r="H665" s="39" t="n">
        <v>0.128953463890959</v>
      </c>
      <c r="I665" s="39" t="n">
        <v>0.241053935037128</v>
      </c>
      <c r="J665" s="39" t="n">
        <v>0.306520253560656</v>
      </c>
      <c r="K665" s="38" t="n">
        <f aca="false">E665*Scorecard!$E$18+F665*Scorecard!$E$19+G665*Scorecard!$E$20+H665*Scorecard!$E$21+I665*Scorecard!$E$22+J665*Scorecard!$E$23</f>
        <v>3.63586479141213</v>
      </c>
      <c r="M665" s="0" t="str">
        <f aca="false">IF(AND(T665&gt;=U665,T665&gt;=V665),"A. Distribution",IF(U665&gt;=V665,"B. Manufacturing","C. Prof. services"))</f>
        <v>A. Distribution</v>
      </c>
      <c r="N665" s="39" t="n">
        <v>0.215838825198353</v>
      </c>
      <c r="O665" s="39" t="n">
        <v>0.138469868341915</v>
      </c>
      <c r="P665" s="39" t="n">
        <v>0.208140227798731</v>
      </c>
      <c r="Q665" s="39" t="n">
        <v>0.203480350434517</v>
      </c>
      <c r="R665" s="39" t="n">
        <v>0.127203114661571</v>
      </c>
      <c r="S665" s="39" t="n">
        <v>0.106867613564913</v>
      </c>
      <c r="T665" s="38" t="n">
        <f aca="false">N665*Scorecard!$C$18+O665*Scorecard!$C$19+P665*Scorecard!$C$20+Q665*Scorecard!$C$21+R665*Scorecard!$C$22+S665*Scorecard!$C$23</f>
        <v>3.88548051153501</v>
      </c>
      <c r="U665" s="38" t="n">
        <f aca="false">N665*Scorecard!$D$18+O665*Scorecard!$D$19+P665*Scorecard!$D$20+Q665*Scorecard!$D$21+R665*Scorecard!$D$22+S665*Scorecard!$D$23</f>
        <v>2.68571444825576</v>
      </c>
      <c r="V665" s="38" t="n">
        <f aca="false">N665*Scorecard!$E$18+O665*Scorecard!$E$19+P665*Scorecard!$E$20+Q665*Scorecard!$E$21+R665*Scorecard!$E$22+S665*Scorecard!$E$23</f>
        <v>3.50142208012289</v>
      </c>
    </row>
    <row r="666" customFormat="false" ht="15" hidden="false" customHeight="false" outlineLevel="0" collapsed="false">
      <c r="A666" s="0" t="n">
        <v>661</v>
      </c>
      <c r="B666" s="38" t="n">
        <f aca="false">E666*Scorecard!$C$18+F666*Scorecard!$C$19+G666*Scorecard!$C$20+H666*Scorecard!$C$21+I666*Scorecard!$C$22+J666*Scorecard!$C$23</f>
        <v>3.28415716037024</v>
      </c>
      <c r="C666" s="38" t="n">
        <f aca="false">E666*Scorecard!$D$18+F666*Scorecard!$D$19+G666*Scorecard!$D$20+H666*Scorecard!$D$21+I666*Scorecard!$D$22+J666*Scorecard!$D$23</f>
        <v>2.36972513300561</v>
      </c>
      <c r="D666" s="0" t="str">
        <f aca="false">IF(AND(B666&gt;=C666,B666&gt;=K666),"A. Distribution",IF(C666&gt;=K666,"B. Manufacturing","C. Prof. services"))</f>
        <v>C. Prof. services</v>
      </c>
      <c r="E666" s="39" t="n">
        <v>0.184810062840802</v>
      </c>
      <c r="F666" s="39" t="n">
        <v>0.1709412540282</v>
      </c>
      <c r="G666" s="39" t="n">
        <v>0.0275925759647097</v>
      </c>
      <c r="H666" s="39" t="n">
        <v>0.124904427088863</v>
      </c>
      <c r="I666" s="39" t="n">
        <v>0.0625077975803491</v>
      </c>
      <c r="J666" s="39" t="n">
        <v>0.429243882497077</v>
      </c>
      <c r="K666" s="38" t="n">
        <f aca="false">E666*Scorecard!$E$18+F666*Scorecard!$E$19+G666*Scorecard!$E$20+H666*Scorecard!$E$21+I666*Scorecard!$E$22+J666*Scorecard!$E$23</f>
        <v>3.77283568368377</v>
      </c>
      <c r="M666" s="0" t="str">
        <f aca="false">IF(AND(T666&gt;=U666,T666&gt;=V666),"A. Distribution",IF(U666&gt;=V666,"B. Manufacturing","C. Prof. services"))</f>
        <v>A. Distribution</v>
      </c>
      <c r="N666" s="39" t="n">
        <v>0.128058324547774</v>
      </c>
      <c r="O666" s="39" t="n">
        <v>0.204786629004537</v>
      </c>
      <c r="P666" s="39" t="n">
        <v>0.109334926749288</v>
      </c>
      <c r="Q666" s="39" t="n">
        <v>0.124124607383471</v>
      </c>
      <c r="R666" s="39" t="n">
        <v>0.150359507665828</v>
      </c>
      <c r="S666" s="39" t="n">
        <v>0.283336004649103</v>
      </c>
      <c r="T666" s="38" t="n">
        <f aca="false">N666*Scorecard!$C$18+O666*Scorecard!$C$19+P666*Scorecard!$C$20+Q666*Scorecard!$C$21+R666*Scorecard!$C$22+S666*Scorecard!$C$23</f>
        <v>3.61445873093772</v>
      </c>
      <c r="U666" s="38" t="n">
        <f aca="false">N666*Scorecard!$D$18+O666*Scorecard!$D$19+P666*Scorecard!$D$20+Q666*Scorecard!$D$21+R666*Scorecard!$D$22+S666*Scorecard!$D$23</f>
        <v>2.46268840068138</v>
      </c>
      <c r="V666" s="38" t="n">
        <f aca="false">N666*Scorecard!$E$18+O666*Scorecard!$E$19+P666*Scorecard!$E$20+Q666*Scorecard!$E$21+R666*Scorecard!$E$22+S666*Scorecard!$E$23</f>
        <v>3.54163085623641</v>
      </c>
    </row>
    <row r="667" customFormat="false" ht="15" hidden="false" customHeight="false" outlineLevel="0" collapsed="false">
      <c r="A667" s="0" t="n">
        <v>662</v>
      </c>
      <c r="B667" s="38" t="n">
        <f aca="false">E667*Scorecard!$C$18+F667*Scorecard!$C$19+G667*Scorecard!$C$20+H667*Scorecard!$C$21+I667*Scorecard!$C$22+J667*Scorecard!$C$23</f>
        <v>3.81161640987342</v>
      </c>
      <c r="C667" s="38" t="n">
        <f aca="false">E667*Scorecard!$D$18+F667*Scorecard!$D$19+G667*Scorecard!$D$20+H667*Scorecard!$D$21+I667*Scorecard!$D$22+J667*Scorecard!$D$23</f>
        <v>2.32555963263603</v>
      </c>
      <c r="D667" s="0" t="str">
        <f aca="false">IF(AND(B667&gt;=C667,B667&gt;=K667),"A. Distribution",IF(C667&gt;=K667,"B. Manufacturing","C. Prof. services"))</f>
        <v>A. Distribution</v>
      </c>
      <c r="E667" s="39" t="n">
        <v>0.0363300826132335</v>
      </c>
      <c r="F667" s="39" t="n">
        <v>0.0451045040012449</v>
      </c>
      <c r="G667" s="39" t="n">
        <v>0.283066728741157</v>
      </c>
      <c r="H667" s="39" t="n">
        <v>0.432792572440641</v>
      </c>
      <c r="I667" s="39" t="n">
        <v>0.110737304489167</v>
      </c>
      <c r="J667" s="39" t="n">
        <v>0.0919688077145569</v>
      </c>
      <c r="K667" s="38" t="n">
        <f aca="false">E667*Scorecard!$E$18+F667*Scorecard!$E$19+G667*Scorecard!$E$20+H667*Scorecard!$E$21+I667*Scorecard!$E$22+J667*Scorecard!$E$23</f>
        <v>3.64777877612449</v>
      </c>
      <c r="M667" s="0" t="str">
        <f aca="false">IF(AND(T667&gt;=U667,T667&gt;=V667),"A. Distribution",IF(U667&gt;=V667,"B. Manufacturing","C. Prof. services"))</f>
        <v>A. Distribution</v>
      </c>
      <c r="N667" s="39" t="n">
        <v>0.155714963120579</v>
      </c>
      <c r="O667" s="39" t="n">
        <v>0.212693306755373</v>
      </c>
      <c r="P667" s="39" t="n">
        <v>0.144060706287843</v>
      </c>
      <c r="Q667" s="39" t="n">
        <v>0.142604096096423</v>
      </c>
      <c r="R667" s="39" t="n">
        <v>0.198127868787289</v>
      </c>
      <c r="S667" s="39" t="n">
        <v>0.146799058952493</v>
      </c>
      <c r="T667" s="38" t="n">
        <f aca="false">N667*Scorecard!$C$18+O667*Scorecard!$C$19+P667*Scorecard!$C$20+Q667*Scorecard!$C$21+R667*Scorecard!$C$22+S667*Scorecard!$C$23</f>
        <v>3.89122766209794</v>
      </c>
      <c r="U667" s="38" t="n">
        <f aca="false">N667*Scorecard!$D$18+O667*Scorecard!$D$19+P667*Scorecard!$D$20+Q667*Scorecard!$D$21+R667*Scorecard!$D$22+S667*Scorecard!$D$23</f>
        <v>2.66019502538719</v>
      </c>
      <c r="V667" s="38" t="n">
        <f aca="false">N667*Scorecard!$E$18+O667*Scorecard!$E$19+P667*Scorecard!$E$20+Q667*Scorecard!$E$21+R667*Scorecard!$E$22+S667*Scorecard!$E$23</f>
        <v>3.36442255742875</v>
      </c>
    </row>
    <row r="668" customFormat="false" ht="15" hidden="false" customHeight="false" outlineLevel="0" collapsed="false">
      <c r="A668" s="0" t="n">
        <v>663</v>
      </c>
      <c r="B668" s="38" t="n">
        <f aca="false">E668*Scorecard!$C$18+F668*Scorecard!$C$19+G668*Scorecard!$C$20+H668*Scorecard!$C$21+I668*Scorecard!$C$22+J668*Scorecard!$C$23</f>
        <v>4.01524174874275</v>
      </c>
      <c r="C668" s="38" t="n">
        <f aca="false">E668*Scorecard!$D$18+F668*Scorecard!$D$19+G668*Scorecard!$D$20+H668*Scorecard!$D$21+I668*Scorecard!$D$22+J668*Scorecard!$D$23</f>
        <v>2.49335792118972</v>
      </c>
      <c r="D668" s="0" t="str">
        <f aca="false">IF(AND(B668&gt;=C668,B668&gt;=K668),"A. Distribution",IF(C668&gt;=K668,"B. Manufacturing","C. Prof. services"))</f>
        <v>A. Distribution</v>
      </c>
      <c r="E668" s="39" t="n">
        <v>0.0739935262025802</v>
      </c>
      <c r="F668" s="39" t="n">
        <v>0.320768596253233</v>
      </c>
      <c r="G668" s="39" t="n">
        <v>0.151267158683071</v>
      </c>
      <c r="H668" s="39" t="n">
        <v>0.166587218238875</v>
      </c>
      <c r="I668" s="39" t="n">
        <v>0.146565362804857</v>
      </c>
      <c r="J668" s="39" t="n">
        <v>0.140818137817385</v>
      </c>
      <c r="K668" s="38" t="n">
        <f aca="false">E668*Scorecard!$E$18+F668*Scorecard!$E$19+G668*Scorecard!$E$20+H668*Scorecard!$E$21+I668*Scorecard!$E$22+J668*Scorecard!$E$23</f>
        <v>3.35119259153361</v>
      </c>
      <c r="M668" s="0" t="str">
        <f aca="false">IF(AND(T668&gt;=U668,T668&gt;=V668),"A. Distribution",IF(U668&gt;=V668,"B. Manufacturing","C. Prof. services"))</f>
        <v>A. Distribution</v>
      </c>
      <c r="N668" s="39" t="n">
        <v>0.213509017513842</v>
      </c>
      <c r="O668" s="39" t="n">
        <v>0.189741960900035</v>
      </c>
      <c r="P668" s="39" t="n">
        <v>0.0642551172844829</v>
      </c>
      <c r="Q668" s="39" t="n">
        <v>0.359571586928064</v>
      </c>
      <c r="R668" s="39" t="n">
        <v>0.148013528232265</v>
      </c>
      <c r="S668" s="39" t="n">
        <v>0.0249087891413102</v>
      </c>
      <c r="T668" s="38" t="n">
        <f aca="false">N668*Scorecard!$C$18+O668*Scorecard!$C$19+P668*Scorecard!$C$20+Q668*Scorecard!$C$21+R668*Scorecard!$C$22+S668*Scorecard!$C$23</f>
        <v>4.08403838335128</v>
      </c>
      <c r="U668" s="38" t="n">
        <f aca="false">N668*Scorecard!$D$18+O668*Scorecard!$D$19+P668*Scorecard!$D$20+Q668*Scorecard!$D$21+R668*Scorecard!$D$22+S668*Scorecard!$D$23</f>
        <v>2.82251244527622</v>
      </c>
      <c r="V668" s="38" t="n">
        <f aca="false">N668*Scorecard!$E$18+O668*Scorecard!$E$19+P668*Scorecard!$E$20+Q668*Scorecard!$E$21+R668*Scorecard!$E$22+S668*Scorecard!$E$23</f>
        <v>3.31457760186028</v>
      </c>
    </row>
    <row r="669" customFormat="false" ht="15" hidden="false" customHeight="false" outlineLevel="0" collapsed="false">
      <c r="A669" s="0" t="n">
        <v>664</v>
      </c>
      <c r="B669" s="38" t="n">
        <f aca="false">E669*Scorecard!$C$18+F669*Scorecard!$C$19+G669*Scorecard!$C$20+H669*Scorecard!$C$21+I669*Scorecard!$C$22+J669*Scorecard!$C$23</f>
        <v>4.18806500965469</v>
      </c>
      <c r="C669" s="38" t="n">
        <f aca="false">E669*Scorecard!$D$18+F669*Scorecard!$D$19+G669*Scorecard!$D$20+H669*Scorecard!$D$21+I669*Scorecard!$D$22+J669*Scorecard!$D$23</f>
        <v>2.66186357264491</v>
      </c>
      <c r="D669" s="0" t="str">
        <f aca="false">IF(AND(B669&gt;=C669,B669&gt;=K669),"A. Distribution",IF(C669&gt;=K669,"B. Manufacturing","C. Prof. services"))</f>
        <v>A. Distribution</v>
      </c>
      <c r="E669" s="39" t="n">
        <v>0.022243713528191</v>
      </c>
      <c r="F669" s="39" t="n">
        <v>0.281700931695213</v>
      </c>
      <c r="G669" s="39" t="n">
        <v>0.0893013815647594</v>
      </c>
      <c r="H669" s="39" t="n">
        <v>0.272944327756137</v>
      </c>
      <c r="I669" s="39" t="n">
        <v>0.302589578152205</v>
      </c>
      <c r="J669" s="39" t="n">
        <v>0.031220067303495</v>
      </c>
      <c r="K669" s="38" t="n">
        <f aca="false">E669*Scorecard!$E$18+F669*Scorecard!$E$19+G669*Scorecard!$E$20+H669*Scorecard!$E$21+I669*Scorecard!$E$22+J669*Scorecard!$E$23</f>
        <v>3.07413825684398</v>
      </c>
      <c r="M669" s="0" t="str">
        <f aca="false">IF(AND(T669&gt;=U669,T669&gt;=V669),"A. Distribution",IF(U669&gt;=V669,"B. Manufacturing","C. Prof. services"))</f>
        <v>A. Distribution</v>
      </c>
      <c r="N669" s="39" t="n">
        <v>0.353349835301973</v>
      </c>
      <c r="O669" s="39" t="n">
        <v>0.0916689703113434</v>
      </c>
      <c r="P669" s="39" t="n">
        <v>0.35357271395909</v>
      </c>
      <c r="Q669" s="39" t="n">
        <v>0.0719446800880442</v>
      </c>
      <c r="R669" s="39" t="n">
        <v>0.0797571194498365</v>
      </c>
      <c r="S669" s="39" t="n">
        <v>0.0497066808897124</v>
      </c>
      <c r="T669" s="38" t="n">
        <f aca="false">N669*Scorecard!$C$18+O669*Scorecard!$C$19+P669*Scorecard!$C$20+Q669*Scorecard!$C$21+R669*Scorecard!$C$22+S669*Scorecard!$C$23</f>
        <v>3.95613420942542</v>
      </c>
      <c r="U669" s="38" t="n">
        <f aca="false">N669*Scorecard!$D$18+O669*Scorecard!$D$19+P669*Scorecard!$D$20+Q669*Scorecard!$D$21+R669*Scorecard!$D$22+S669*Scorecard!$D$23</f>
        <v>2.86602484029141</v>
      </c>
      <c r="V669" s="38" t="n">
        <f aca="false">N669*Scorecard!$E$18+O669*Scorecard!$E$19+P669*Scorecard!$E$20+Q669*Scorecard!$E$21+R669*Scorecard!$E$22+S669*Scorecard!$E$23</f>
        <v>3.58213312409778</v>
      </c>
    </row>
    <row r="670" customFormat="false" ht="15" hidden="false" customHeight="false" outlineLevel="0" collapsed="false">
      <c r="A670" s="0" t="n">
        <v>665</v>
      </c>
      <c r="B670" s="38" t="n">
        <f aca="false">E670*Scorecard!$C$18+F670*Scorecard!$C$19+G670*Scorecard!$C$20+H670*Scorecard!$C$21+I670*Scorecard!$C$22+J670*Scorecard!$C$23</f>
        <v>4.04912486054388</v>
      </c>
      <c r="C670" s="38" t="n">
        <f aca="false">E670*Scorecard!$D$18+F670*Scorecard!$D$19+G670*Scorecard!$D$20+H670*Scorecard!$D$21+I670*Scorecard!$D$22+J670*Scorecard!$D$23</f>
        <v>2.56544663412488</v>
      </c>
      <c r="D670" s="0" t="str">
        <f aca="false">IF(AND(B670&gt;=C670,B670&gt;=K670),"A. Distribution",IF(C670&gt;=K670,"B. Manufacturing","C. Prof. services"))</f>
        <v>A. Distribution</v>
      </c>
      <c r="E670" s="39" t="n">
        <v>0.106250238217667</v>
      </c>
      <c r="F670" s="39" t="n">
        <v>0.244666037544307</v>
      </c>
      <c r="G670" s="39" t="n">
        <v>0.0654070038973965</v>
      </c>
      <c r="H670" s="39" t="n">
        <v>0.40960529437096</v>
      </c>
      <c r="I670" s="39" t="n">
        <v>0.102633687199932</v>
      </c>
      <c r="J670" s="39" t="n">
        <v>0.0714377387697375</v>
      </c>
      <c r="K670" s="38" t="n">
        <f aca="false">E670*Scorecard!$E$18+F670*Scorecard!$E$19+G670*Scorecard!$E$20+H670*Scorecard!$E$21+I670*Scorecard!$E$22+J670*Scorecard!$E$23</f>
        <v>3.38508399849193</v>
      </c>
      <c r="M670" s="0" t="str">
        <f aca="false">IF(AND(T670&gt;=U670,T670&gt;=V670),"A. Distribution",IF(U670&gt;=V670,"B. Manufacturing","C. Prof. services"))</f>
        <v>A. Distribution</v>
      </c>
      <c r="N670" s="39" t="n">
        <v>0.152951253082869</v>
      </c>
      <c r="O670" s="39" t="n">
        <v>0.306338111756009</v>
      </c>
      <c r="P670" s="39" t="n">
        <v>0.11777955864614</v>
      </c>
      <c r="Q670" s="39" t="n">
        <v>0.173802947274372</v>
      </c>
      <c r="R670" s="39" t="n">
        <v>0.156176514917996</v>
      </c>
      <c r="S670" s="39" t="n">
        <v>0.0929516143226128</v>
      </c>
      <c r="T670" s="38" t="n">
        <f aca="false">N670*Scorecard!$C$18+O670*Scorecard!$C$19+P670*Scorecard!$C$20+Q670*Scorecard!$C$21+R670*Scorecard!$C$22+S670*Scorecard!$C$23</f>
        <v>4.08942755119357</v>
      </c>
      <c r="U670" s="38" t="n">
        <f aca="false">N670*Scorecard!$D$18+O670*Scorecard!$D$19+P670*Scorecard!$D$20+Q670*Scorecard!$D$21+R670*Scorecard!$D$22+S670*Scorecard!$D$23</f>
        <v>2.68432650922738</v>
      </c>
      <c r="V670" s="38" t="n">
        <f aca="false">N670*Scorecard!$E$18+O670*Scorecard!$E$19+P670*Scorecard!$E$20+Q670*Scorecard!$E$21+R670*Scorecard!$E$22+S670*Scorecard!$E$23</f>
        <v>3.28665193052581</v>
      </c>
    </row>
    <row r="671" customFormat="false" ht="15" hidden="false" customHeight="false" outlineLevel="0" collapsed="false">
      <c r="A671" s="0" t="n">
        <v>666</v>
      </c>
      <c r="B671" s="38" t="n">
        <f aca="false">E671*Scorecard!$C$18+F671*Scorecard!$C$19+G671*Scorecard!$C$20+H671*Scorecard!$C$21+I671*Scorecard!$C$22+J671*Scorecard!$C$23</f>
        <v>3.77665681083639</v>
      </c>
      <c r="C671" s="38" t="n">
        <f aca="false">E671*Scorecard!$D$18+F671*Scorecard!$D$19+G671*Scorecard!$D$20+H671*Scorecard!$D$21+I671*Scorecard!$D$22+J671*Scorecard!$D$23</f>
        <v>2.46214809944083</v>
      </c>
      <c r="D671" s="0" t="str">
        <f aca="false">IF(AND(B671&gt;=C671,B671&gt;=K671),"A. Distribution",IF(C671&gt;=K671,"B. Manufacturing","C. Prof. services"))</f>
        <v>A. Distribution</v>
      </c>
      <c r="E671" s="39" t="n">
        <v>0.0890815918186948</v>
      </c>
      <c r="F671" s="39" t="n">
        <v>0.0128969822496546</v>
      </c>
      <c r="G671" s="39" t="n">
        <v>0.0600991805079761</v>
      </c>
      <c r="H671" s="39" t="n">
        <v>0.670871418827928</v>
      </c>
      <c r="I671" s="39" t="n">
        <v>0.0886501721324675</v>
      </c>
      <c r="J671" s="39" t="n">
        <v>0.0784006544632792</v>
      </c>
      <c r="K671" s="38" t="n">
        <f aca="false">E671*Scorecard!$E$18+F671*Scorecard!$E$19+G671*Scorecard!$E$20+H671*Scorecard!$E$21+I671*Scorecard!$E$22+J671*Scorecard!$E$23</f>
        <v>3.6120631896303</v>
      </c>
      <c r="M671" s="0" t="str">
        <f aca="false">IF(AND(T671&gt;=U671,T671&gt;=V671),"A. Distribution",IF(U671&gt;=V671,"B. Manufacturing","C. Prof. services"))</f>
        <v>A. Distribution</v>
      </c>
      <c r="N671" s="39" t="n">
        <v>0.260962149163158</v>
      </c>
      <c r="O671" s="39" t="n">
        <v>0.184930461187526</v>
      </c>
      <c r="P671" s="39" t="n">
        <v>0.190765841361935</v>
      </c>
      <c r="Q671" s="39" t="n">
        <v>0.179665421006218</v>
      </c>
      <c r="R671" s="39" t="n">
        <v>0.101957773555079</v>
      </c>
      <c r="S671" s="39" t="n">
        <v>0.0817183537260842</v>
      </c>
      <c r="T671" s="38" t="n">
        <f aca="false">N671*Scorecard!$C$18+O671*Scorecard!$C$19+P671*Scorecard!$C$20+Q671*Scorecard!$C$21+R671*Scorecard!$C$22+S671*Scorecard!$C$23</f>
        <v>3.98118289066265</v>
      </c>
      <c r="U671" s="38" t="n">
        <f aca="false">N671*Scorecard!$D$18+O671*Scorecard!$D$19+P671*Scorecard!$D$20+Q671*Scorecard!$D$21+R671*Scorecard!$D$22+S671*Scorecard!$D$23</f>
        <v>2.77358404553068</v>
      </c>
      <c r="V671" s="38" t="n">
        <f aca="false">N671*Scorecard!$E$18+O671*Scorecard!$E$19+P671*Scorecard!$E$20+Q671*Scorecard!$E$21+R671*Scorecard!$E$22+S671*Scorecard!$E$23</f>
        <v>3.46061165367242</v>
      </c>
    </row>
    <row r="672" customFormat="false" ht="15" hidden="false" customHeight="false" outlineLevel="0" collapsed="false">
      <c r="A672" s="0" t="n">
        <v>667</v>
      </c>
      <c r="B672" s="38" t="n">
        <f aca="false">E672*Scorecard!$C$18+F672*Scorecard!$C$19+G672*Scorecard!$C$20+H672*Scorecard!$C$21+I672*Scorecard!$C$22+J672*Scorecard!$C$23</f>
        <v>4.0641608221396</v>
      </c>
      <c r="C672" s="38" t="n">
        <f aca="false">E672*Scorecard!$D$18+F672*Scorecard!$D$19+G672*Scorecard!$D$20+H672*Scorecard!$D$21+I672*Scorecard!$D$22+J672*Scorecard!$D$23</f>
        <v>2.79802968712039</v>
      </c>
      <c r="D672" s="0" t="str">
        <f aca="false">IF(AND(B672&gt;=C672,B672&gt;=K672),"A. Distribution",IF(C672&gt;=K672,"B. Manufacturing","C. Prof. services"))</f>
        <v>A. Distribution</v>
      </c>
      <c r="E672" s="39" t="n">
        <v>0.272655194920234</v>
      </c>
      <c r="F672" s="39" t="n">
        <v>0.259544961059126</v>
      </c>
      <c r="G672" s="39" t="n">
        <v>0.037416046487683</v>
      </c>
      <c r="H672" s="39" t="n">
        <v>0.324699663497774</v>
      </c>
      <c r="I672" s="39" t="n">
        <v>0.0364306569277651</v>
      </c>
      <c r="J672" s="39" t="n">
        <v>0.0692534771074172</v>
      </c>
      <c r="K672" s="38" t="n">
        <f aca="false">E672*Scorecard!$E$18+F672*Scorecard!$E$19+G672*Scorecard!$E$20+H672*Scorecard!$E$21+I672*Scorecard!$E$22+J672*Scorecard!$E$23</f>
        <v>3.42111402410419</v>
      </c>
      <c r="M672" s="0" t="str">
        <f aca="false">IF(AND(T672&gt;=U672,T672&gt;=V672),"A. Distribution",IF(U672&gt;=V672,"B. Manufacturing","C. Prof. services"))</f>
        <v>A. Distribution</v>
      </c>
      <c r="N672" s="39" t="n">
        <v>0.20355624772774</v>
      </c>
      <c r="O672" s="39" t="n">
        <v>0.257314089272702</v>
      </c>
      <c r="P672" s="39" t="n">
        <v>0.168261808694771</v>
      </c>
      <c r="Q672" s="39" t="n">
        <v>0.129687711286921</v>
      </c>
      <c r="R672" s="39" t="n">
        <v>0.162775223079057</v>
      </c>
      <c r="S672" s="39" t="n">
        <v>0.0784049199388087</v>
      </c>
      <c r="T672" s="38" t="n">
        <f aca="false">N672*Scorecard!$C$18+O672*Scorecard!$C$19+P672*Scorecard!$C$20+Q672*Scorecard!$C$21+R672*Scorecard!$C$22+S672*Scorecard!$C$23</f>
        <v>4.07018744838304</v>
      </c>
      <c r="U672" s="38" t="n">
        <f aca="false">N672*Scorecard!$D$18+O672*Scorecard!$D$19+P672*Scorecard!$D$20+Q672*Scorecard!$D$21+R672*Scorecard!$D$22+S672*Scorecard!$D$23</f>
        <v>2.76392088864461</v>
      </c>
      <c r="V672" s="38" t="n">
        <f aca="false">N672*Scorecard!$E$18+O672*Scorecard!$E$19+P672*Scorecard!$E$20+Q672*Scorecard!$E$21+R672*Scorecard!$E$22+S672*Scorecard!$E$23</f>
        <v>3.3161112478166</v>
      </c>
    </row>
    <row r="673" customFormat="false" ht="15" hidden="false" customHeight="false" outlineLevel="0" collapsed="false">
      <c r="A673" s="0" t="n">
        <v>668</v>
      </c>
      <c r="B673" s="38" t="n">
        <f aca="false">E673*Scorecard!$C$18+F673*Scorecard!$C$19+G673*Scorecard!$C$20+H673*Scorecard!$C$21+I673*Scorecard!$C$22+J673*Scorecard!$C$23</f>
        <v>3.54959164649227</v>
      </c>
      <c r="C673" s="38" t="n">
        <f aca="false">E673*Scorecard!$D$18+F673*Scorecard!$D$19+G673*Scorecard!$D$20+H673*Scorecard!$D$21+I673*Scorecard!$D$22+J673*Scorecard!$D$23</f>
        <v>2.21070278952926</v>
      </c>
      <c r="D673" s="0" t="str">
        <f aca="false">IF(AND(B673&gt;=C673,B673&gt;=K673),"A. Distribution",IF(C673&gt;=K673,"B. Manufacturing","C. Prof. services"))</f>
        <v>C. Prof. services</v>
      </c>
      <c r="E673" s="39" t="n">
        <v>0.0089626451174422</v>
      </c>
      <c r="F673" s="39" t="n">
        <v>0.232526152993526</v>
      </c>
      <c r="G673" s="39" t="n">
        <v>0.190895116198191</v>
      </c>
      <c r="H673" s="39" t="n">
        <v>0.0658828676655426</v>
      </c>
      <c r="I673" s="39" t="n">
        <v>0.164175214522154</v>
      </c>
      <c r="J673" s="39" t="n">
        <v>0.337558003503144</v>
      </c>
      <c r="K673" s="38" t="n">
        <f aca="false">E673*Scorecard!$E$18+F673*Scorecard!$E$19+G673*Scorecard!$E$20+H673*Scorecard!$E$21+I673*Scorecard!$E$22+J673*Scorecard!$E$23</f>
        <v>3.59115219302085</v>
      </c>
      <c r="M673" s="0" t="str">
        <f aca="false">IF(AND(T673&gt;=U673,T673&gt;=V673),"A. Distribution",IF(U673&gt;=V673,"B. Manufacturing","C. Prof. services"))</f>
        <v>A. Distribution</v>
      </c>
      <c r="N673" s="39" t="n">
        <v>0.171101544916722</v>
      </c>
      <c r="O673" s="39" t="n">
        <v>0.312422908318466</v>
      </c>
      <c r="P673" s="39" t="n">
        <v>0.248792664918221</v>
      </c>
      <c r="Q673" s="39" t="n">
        <v>0.142036449448088</v>
      </c>
      <c r="R673" s="39" t="n">
        <v>0.0969784347479685</v>
      </c>
      <c r="S673" s="39" t="n">
        <v>0.028667997650535</v>
      </c>
      <c r="T673" s="38" t="n">
        <f aca="false">N673*Scorecard!$C$18+O673*Scorecard!$C$19+P673*Scorecard!$C$20+Q673*Scorecard!$C$21+R673*Scorecard!$C$22+S673*Scorecard!$C$23</f>
        <v>4.2260452115422</v>
      </c>
      <c r="U673" s="38" t="n">
        <f aca="false">N673*Scorecard!$D$18+O673*Scorecard!$D$19+P673*Scorecard!$D$20+Q673*Scorecard!$D$21+R673*Scorecard!$D$22+S673*Scorecard!$D$23</f>
        <v>2.66820290244544</v>
      </c>
      <c r="V673" s="38" t="n">
        <f aca="false">N673*Scorecard!$E$18+O673*Scorecard!$E$19+P673*Scorecard!$E$20+Q673*Scorecard!$E$21+R673*Scorecard!$E$22+S673*Scorecard!$E$23</f>
        <v>3.34721659384456</v>
      </c>
    </row>
    <row r="674" customFormat="false" ht="15" hidden="false" customHeight="false" outlineLevel="0" collapsed="false">
      <c r="A674" s="0" t="n">
        <v>669</v>
      </c>
      <c r="B674" s="38" t="n">
        <f aca="false">E674*Scorecard!$C$18+F674*Scorecard!$C$19+G674*Scorecard!$C$20+H674*Scorecard!$C$21+I674*Scorecard!$C$22+J674*Scorecard!$C$23</f>
        <v>3.21309408305621</v>
      </c>
      <c r="C674" s="38" t="n">
        <f aca="false">E674*Scorecard!$D$18+F674*Scorecard!$D$19+G674*Scorecard!$D$20+H674*Scorecard!$D$21+I674*Scorecard!$D$22+J674*Scorecard!$D$23</f>
        <v>2.18629155371868</v>
      </c>
      <c r="D674" s="0" t="str">
        <f aca="false">IF(AND(B674&gt;=C674,B674&gt;=K674),"A. Distribution",IF(C674&gt;=K674,"B. Manufacturing","C. Prof. services"))</f>
        <v>C. Prof. services</v>
      </c>
      <c r="E674" s="39" t="n">
        <v>0.0957738637310538</v>
      </c>
      <c r="F674" s="39" t="n">
        <v>0.242072092645688</v>
      </c>
      <c r="G674" s="39" t="n">
        <v>0.0561665654161519</v>
      </c>
      <c r="H674" s="39" t="n">
        <v>0.00800606837294391</v>
      </c>
      <c r="I674" s="39" t="n">
        <v>0.0877684214952248</v>
      </c>
      <c r="J674" s="39" t="n">
        <v>0.510212988338937</v>
      </c>
      <c r="K674" s="38" t="n">
        <f aca="false">E674*Scorecard!$E$18+F674*Scorecard!$E$19+G674*Scorecard!$E$20+H674*Scorecard!$E$21+I674*Scorecard!$E$22+J674*Scorecard!$E$23</f>
        <v>3.7689399905111</v>
      </c>
      <c r="M674" s="0" t="str">
        <f aca="false">IF(AND(T674&gt;=U674,T674&gt;=V674),"A. Distribution",IF(U674&gt;=V674,"B. Manufacturing","C. Prof. services"))</f>
        <v>A. Distribution</v>
      </c>
      <c r="N674" s="39" t="n">
        <v>0.301460129006941</v>
      </c>
      <c r="O674" s="39" t="n">
        <v>0.178336673677443</v>
      </c>
      <c r="P674" s="39" t="n">
        <v>0.121431482872233</v>
      </c>
      <c r="Q674" s="39" t="n">
        <v>0.116749394806359</v>
      </c>
      <c r="R674" s="39" t="n">
        <v>0.210390337414372</v>
      </c>
      <c r="S674" s="39" t="n">
        <v>0.0716319822226513</v>
      </c>
      <c r="T674" s="38" t="n">
        <f aca="false">N674*Scorecard!$C$18+O674*Scorecard!$C$19+P674*Scorecard!$C$20+Q674*Scorecard!$C$21+R674*Scorecard!$C$22+S674*Scorecard!$C$23</f>
        <v>3.99828963283378</v>
      </c>
      <c r="U674" s="38" t="n">
        <f aca="false">N674*Scorecard!$D$18+O674*Scorecard!$D$19+P674*Scorecard!$D$20+Q674*Scorecard!$D$21+R674*Scorecard!$D$22+S674*Scorecard!$D$23</f>
        <v>2.98325896487441</v>
      </c>
      <c r="V674" s="38" t="n">
        <f aca="false">N674*Scorecard!$E$18+O674*Scorecard!$E$19+P674*Scorecard!$E$20+Q674*Scorecard!$E$21+R674*Scorecard!$E$22+S674*Scorecard!$E$23</f>
        <v>3.28305556688951</v>
      </c>
    </row>
    <row r="675" customFormat="false" ht="15" hidden="false" customHeight="false" outlineLevel="0" collapsed="false">
      <c r="A675" s="0" t="n">
        <v>670</v>
      </c>
      <c r="B675" s="38" t="n">
        <f aca="false">E675*Scorecard!$C$18+F675*Scorecard!$C$19+G675*Scorecard!$C$20+H675*Scorecard!$C$21+I675*Scorecard!$C$22+J675*Scorecard!$C$23</f>
        <v>3.60112097296563</v>
      </c>
      <c r="C675" s="38" t="n">
        <f aca="false">E675*Scorecard!$D$18+F675*Scorecard!$D$19+G675*Scorecard!$D$20+H675*Scorecard!$D$21+I675*Scorecard!$D$22+J675*Scorecard!$D$23</f>
        <v>2.45218930682346</v>
      </c>
      <c r="D675" s="0" t="str">
        <f aca="false">IF(AND(B675&gt;=C675,B675&gt;=K675),"A. Distribution",IF(C675&gt;=K675,"B. Manufacturing","C. Prof. services"))</f>
        <v>C. Prof. services</v>
      </c>
      <c r="E675" s="39" t="n">
        <v>0.125617820615482</v>
      </c>
      <c r="F675" s="39" t="n">
        <v>0.0832147853522096</v>
      </c>
      <c r="G675" s="39" t="n">
        <v>0.140399756079655</v>
      </c>
      <c r="H675" s="39" t="n">
        <v>0.298291342372966</v>
      </c>
      <c r="I675" s="39" t="n">
        <v>0.132542647627884</v>
      </c>
      <c r="J675" s="39" t="n">
        <v>0.219933647951803</v>
      </c>
      <c r="K675" s="38" t="n">
        <f aca="false">E675*Scorecard!$E$18+F675*Scorecard!$E$19+G675*Scorecard!$E$20+H675*Scorecard!$E$21+I675*Scorecard!$E$22+J675*Scorecard!$E$23</f>
        <v>3.62920874215294</v>
      </c>
      <c r="M675" s="0" t="str">
        <f aca="false">IF(AND(T675&gt;=U675,T675&gt;=V675),"A. Distribution",IF(U675&gt;=V675,"B. Manufacturing","C. Prof. services"))</f>
        <v>A. Distribution</v>
      </c>
      <c r="N675" s="39" t="n">
        <v>0.212377036040226</v>
      </c>
      <c r="O675" s="39" t="n">
        <v>0.145799339789078</v>
      </c>
      <c r="P675" s="39" t="n">
        <v>0.183682635639621</v>
      </c>
      <c r="Q675" s="39" t="n">
        <v>0.140876251716209</v>
      </c>
      <c r="R675" s="39" t="n">
        <v>0.186265192384598</v>
      </c>
      <c r="S675" s="39" t="n">
        <v>0.130999544430269</v>
      </c>
      <c r="T675" s="38" t="n">
        <f aca="false">N675*Scorecard!$C$18+O675*Scorecard!$C$19+P675*Scorecard!$C$20+Q675*Scorecard!$C$21+R675*Scorecard!$C$22+S675*Scorecard!$C$23</f>
        <v>3.851569685501</v>
      </c>
      <c r="U675" s="38" t="n">
        <f aca="false">N675*Scorecard!$D$18+O675*Scorecard!$D$19+P675*Scorecard!$D$20+Q675*Scorecard!$D$21+R675*Scorecard!$D$22+S675*Scorecard!$D$23</f>
        <v>2.73097750030246</v>
      </c>
      <c r="V675" s="38" t="n">
        <f aca="false">N675*Scorecard!$E$18+O675*Scorecard!$E$19+P675*Scorecard!$E$20+Q675*Scorecard!$E$21+R675*Scorecard!$E$22+S675*Scorecard!$E$23</f>
        <v>3.42849467906519</v>
      </c>
    </row>
    <row r="676" customFormat="false" ht="15" hidden="false" customHeight="false" outlineLevel="0" collapsed="false">
      <c r="A676" s="0" t="n">
        <v>671</v>
      </c>
      <c r="B676" s="38" t="n">
        <f aca="false">E676*Scorecard!$C$18+F676*Scorecard!$C$19+G676*Scorecard!$C$20+H676*Scorecard!$C$21+I676*Scorecard!$C$22+J676*Scorecard!$C$23</f>
        <v>2.92097641323406</v>
      </c>
      <c r="C676" s="38" t="n">
        <f aca="false">E676*Scorecard!$D$18+F676*Scorecard!$D$19+G676*Scorecard!$D$20+H676*Scorecard!$D$21+I676*Scorecard!$D$22+J676*Scorecard!$D$23</f>
        <v>2.09609000238206</v>
      </c>
      <c r="D676" s="0" t="str">
        <f aca="false">IF(AND(B676&gt;=C676,B676&gt;=K676),"A. Distribution",IF(C676&gt;=K676,"B. Manufacturing","C. Prof. services"))</f>
        <v>C. Prof. services</v>
      </c>
      <c r="E676" s="39" t="n">
        <v>0.0738374036669523</v>
      </c>
      <c r="F676" s="39" t="n">
        <v>0.00521637348510372</v>
      </c>
      <c r="G676" s="39" t="n">
        <v>0.0616090341368611</v>
      </c>
      <c r="H676" s="39" t="n">
        <v>0.22646732226057</v>
      </c>
      <c r="I676" s="39" t="n">
        <v>0.105914963148745</v>
      </c>
      <c r="J676" s="39" t="n">
        <v>0.526954903301768</v>
      </c>
      <c r="K676" s="38" t="n">
        <f aca="false">E676*Scorecard!$E$18+F676*Scorecard!$E$19+G676*Scorecard!$E$20+H676*Scorecard!$E$21+I676*Scorecard!$E$22+J676*Scorecard!$E$23</f>
        <v>3.96972255026207</v>
      </c>
      <c r="M676" s="0" t="str">
        <f aca="false">IF(AND(T676&gt;=U676,T676&gt;=V676),"A. Distribution",IF(U676&gt;=V676,"B. Manufacturing","C. Prof. services"))</f>
        <v>A. Distribution</v>
      </c>
      <c r="N676" s="39" t="n">
        <v>0.219939037283418</v>
      </c>
      <c r="O676" s="39" t="n">
        <v>0.14420668541493</v>
      </c>
      <c r="P676" s="39" t="n">
        <v>0.342642407308717</v>
      </c>
      <c r="Q676" s="39" t="n">
        <v>0.131691910275197</v>
      </c>
      <c r="R676" s="39" t="n">
        <v>0.0395386791652172</v>
      </c>
      <c r="S676" s="39" t="n">
        <v>0.121981280552521</v>
      </c>
      <c r="T676" s="38" t="n">
        <f aca="false">N676*Scorecard!$C$18+O676*Scorecard!$C$19+P676*Scorecard!$C$20+Q676*Scorecard!$C$21+R676*Scorecard!$C$22+S676*Scorecard!$C$23</f>
        <v>3.86839604839349</v>
      </c>
      <c r="U676" s="38" t="n">
        <f aca="false">N676*Scorecard!$D$18+O676*Scorecard!$D$19+P676*Scorecard!$D$20+Q676*Scorecard!$D$21+R676*Scorecard!$D$22+S676*Scorecard!$D$23</f>
        <v>2.55162843712767</v>
      </c>
      <c r="V676" s="38" t="n">
        <f aca="false">N676*Scorecard!$E$18+O676*Scorecard!$E$19+P676*Scorecard!$E$20+Q676*Scorecard!$E$21+R676*Scorecard!$E$22+S676*Scorecard!$E$23</f>
        <v>3.66966148983326</v>
      </c>
    </row>
    <row r="677" customFormat="false" ht="15" hidden="false" customHeight="false" outlineLevel="0" collapsed="false">
      <c r="A677" s="0" t="n">
        <v>672</v>
      </c>
      <c r="B677" s="38" t="n">
        <f aca="false">E677*Scorecard!$C$18+F677*Scorecard!$C$19+G677*Scorecard!$C$20+H677*Scorecard!$C$21+I677*Scorecard!$C$22+J677*Scorecard!$C$23</f>
        <v>3.92359182393598</v>
      </c>
      <c r="C677" s="38" t="n">
        <f aca="false">E677*Scorecard!$D$18+F677*Scorecard!$D$19+G677*Scorecard!$D$20+H677*Scorecard!$D$21+I677*Scorecard!$D$22+J677*Scorecard!$D$23</f>
        <v>2.50596336637369</v>
      </c>
      <c r="D677" s="0" t="str">
        <f aca="false">IF(AND(B677&gt;=C677,B677&gt;=K677),"A. Distribution",IF(C677&gt;=K677,"B. Manufacturing","C. Prof. services"))</f>
        <v>A. Distribution</v>
      </c>
      <c r="E677" s="39" t="n">
        <v>0.145168909154608</v>
      </c>
      <c r="F677" s="39" t="n">
        <v>0.23896779701963</v>
      </c>
      <c r="G677" s="39" t="n">
        <v>0.263498787269834</v>
      </c>
      <c r="H677" s="39" t="n">
        <v>0.112254377714264</v>
      </c>
      <c r="I677" s="39" t="n">
        <v>0.0942974513792282</v>
      </c>
      <c r="J677" s="39" t="n">
        <v>0.145812677462437</v>
      </c>
      <c r="K677" s="38" t="n">
        <f aca="false">E677*Scorecard!$E$18+F677*Scorecard!$E$19+G677*Scorecard!$E$20+H677*Scorecard!$E$21+I677*Scorecard!$E$22+J677*Scorecard!$E$23</f>
        <v>3.52077420886515</v>
      </c>
      <c r="M677" s="0" t="str">
        <f aca="false">IF(AND(T677&gt;=U677,T677&gt;=V677),"A. Distribution",IF(U677&gt;=V677,"B. Manufacturing","C. Prof. services"))</f>
        <v>A. Distribution</v>
      </c>
      <c r="N677" s="39" t="n">
        <v>0.310308365414248</v>
      </c>
      <c r="O677" s="39" t="n">
        <v>0.233173307037781</v>
      </c>
      <c r="P677" s="39" t="n">
        <v>0.138751691707524</v>
      </c>
      <c r="Q677" s="39" t="n">
        <v>0.07982270091208</v>
      </c>
      <c r="R677" s="39" t="n">
        <v>0.173511799621731</v>
      </c>
      <c r="S677" s="39" t="n">
        <v>0.0644321353066363</v>
      </c>
      <c r="T677" s="38" t="n">
        <f aca="false">N677*Scorecard!$C$18+O677*Scorecard!$C$19+P677*Scorecard!$C$20+Q677*Scorecard!$C$21+R677*Scorecard!$C$22+S677*Scorecard!$C$23</f>
        <v>4.07079443662427</v>
      </c>
      <c r="U677" s="38" t="n">
        <f aca="false">N677*Scorecard!$D$18+O677*Scorecard!$D$19+P677*Scorecard!$D$20+Q677*Scorecard!$D$21+R677*Scorecard!$D$22+S677*Scorecard!$D$23</f>
        <v>2.97385250682838</v>
      </c>
      <c r="V677" s="38" t="n">
        <f aca="false">N677*Scorecard!$E$18+O677*Scorecard!$E$19+P677*Scorecard!$E$20+Q677*Scorecard!$E$21+R677*Scorecard!$E$22+S677*Scorecard!$E$23</f>
        <v>3.28302211047187</v>
      </c>
    </row>
    <row r="678" customFormat="false" ht="15" hidden="false" customHeight="false" outlineLevel="0" collapsed="false">
      <c r="A678" s="0" t="n">
        <v>673</v>
      </c>
      <c r="B678" s="38" t="n">
        <f aca="false">E678*Scorecard!$C$18+F678*Scorecard!$C$19+G678*Scorecard!$C$20+H678*Scorecard!$C$21+I678*Scorecard!$C$22+J678*Scorecard!$C$23</f>
        <v>3.81238320911317</v>
      </c>
      <c r="C678" s="38" t="n">
        <f aca="false">E678*Scorecard!$D$18+F678*Scorecard!$D$19+G678*Scorecard!$D$20+H678*Scorecard!$D$21+I678*Scorecard!$D$22+J678*Scorecard!$D$23</f>
        <v>2.69553191233662</v>
      </c>
      <c r="D678" s="0" t="str">
        <f aca="false">IF(AND(B678&gt;=C678,B678&gt;=K678),"A. Distribution",IF(C678&gt;=K678,"B. Manufacturing","C. Prof. services"))</f>
        <v>A. Distribution</v>
      </c>
      <c r="E678" s="39" t="n">
        <v>0.275880282425368</v>
      </c>
      <c r="F678" s="39" t="n">
        <v>0.218292276367823</v>
      </c>
      <c r="G678" s="39" t="n">
        <v>0.206326262433527</v>
      </c>
      <c r="H678" s="39" t="n">
        <v>0.027457047221483</v>
      </c>
      <c r="I678" s="39" t="n">
        <v>0.0816436230457772</v>
      </c>
      <c r="J678" s="39" t="n">
        <v>0.190400508506022</v>
      </c>
      <c r="K678" s="38" t="n">
        <f aca="false">E678*Scorecard!$E$18+F678*Scorecard!$E$19+G678*Scorecard!$E$20+H678*Scorecard!$E$21+I678*Scorecard!$E$22+J678*Scorecard!$E$23</f>
        <v>3.55125362005702</v>
      </c>
      <c r="M678" s="0" t="str">
        <f aca="false">IF(AND(T678&gt;=U678,T678&gt;=V678),"A. Distribution",IF(U678&gt;=V678,"B. Manufacturing","C. Prof. services"))</f>
        <v>A. Distribution</v>
      </c>
      <c r="N678" s="39" t="n">
        <v>0.265842072556552</v>
      </c>
      <c r="O678" s="39" t="n">
        <v>0.160395209921608</v>
      </c>
      <c r="P678" s="39" t="n">
        <v>0.152236180211725</v>
      </c>
      <c r="Q678" s="39" t="n">
        <v>0.29892323155347</v>
      </c>
      <c r="R678" s="39" t="n">
        <v>0.036587119754769</v>
      </c>
      <c r="S678" s="39" t="n">
        <v>0.086016186001876</v>
      </c>
      <c r="T678" s="38" t="n">
        <f aca="false">N678*Scorecard!$C$18+O678*Scorecard!$C$19+P678*Scorecard!$C$20+Q678*Scorecard!$C$21+R678*Scorecard!$C$22+S678*Scorecard!$C$23</f>
        <v>3.93481008248165</v>
      </c>
      <c r="U678" s="38" t="n">
        <f aca="false">N678*Scorecard!$D$18+O678*Scorecard!$D$19+P678*Scorecard!$D$20+Q678*Scorecard!$D$21+R678*Scorecard!$D$22+S678*Scorecard!$D$23</f>
        <v>2.71600656241666</v>
      </c>
      <c r="V678" s="38" t="n">
        <f aca="false">N678*Scorecard!$E$18+O678*Scorecard!$E$19+P678*Scorecard!$E$20+Q678*Scorecard!$E$21+R678*Scorecard!$E$22+S678*Scorecard!$E$23</f>
        <v>3.55959741411905</v>
      </c>
    </row>
    <row r="679" customFormat="false" ht="15" hidden="false" customHeight="false" outlineLevel="0" collapsed="false">
      <c r="A679" s="0" t="n">
        <v>674</v>
      </c>
      <c r="B679" s="38" t="n">
        <f aca="false">E679*Scorecard!$C$18+F679*Scorecard!$C$19+G679*Scorecard!$C$20+H679*Scorecard!$C$21+I679*Scorecard!$C$22+J679*Scorecard!$C$23</f>
        <v>4.43223534178793</v>
      </c>
      <c r="C679" s="38" t="n">
        <f aca="false">E679*Scorecard!$D$18+F679*Scorecard!$D$19+G679*Scorecard!$D$20+H679*Scorecard!$D$21+I679*Scorecard!$D$22+J679*Scorecard!$D$23</f>
        <v>2.66326207631998</v>
      </c>
      <c r="D679" s="0" t="str">
        <f aca="false">IF(AND(B679&gt;=C679,B679&gt;=K679),"A. Distribution",IF(C679&gt;=K679,"B. Manufacturing","C. Prof. services"))</f>
        <v>A. Distribution</v>
      </c>
      <c r="E679" s="39" t="n">
        <v>0.162575651795016</v>
      </c>
      <c r="F679" s="39" t="n">
        <v>0.629820824040038</v>
      </c>
      <c r="G679" s="39" t="n">
        <v>0.0148128390945601</v>
      </c>
      <c r="H679" s="39" t="n">
        <v>0.0926168168606247</v>
      </c>
      <c r="I679" s="39" t="n">
        <v>0.0128972223979125</v>
      </c>
      <c r="J679" s="39" t="n">
        <v>0.0872766458118487</v>
      </c>
      <c r="K679" s="38" t="n">
        <f aca="false">E679*Scorecard!$E$18+F679*Scorecard!$E$19+G679*Scorecard!$E$20+H679*Scorecard!$E$21+I679*Scorecard!$E$22+J679*Scorecard!$E$23</f>
        <v>3.15766278560979</v>
      </c>
      <c r="M679" s="0" t="str">
        <f aca="false">IF(AND(T679&gt;=U679,T679&gt;=V679),"A. Distribution",IF(U679&gt;=V679,"B. Manufacturing","C. Prof. services"))</f>
        <v>A. Distribution</v>
      </c>
      <c r="N679" s="39" t="n">
        <v>0.0984912974913862</v>
      </c>
      <c r="O679" s="39" t="n">
        <v>0.3742062701634</v>
      </c>
      <c r="P679" s="39" t="n">
        <v>0.112172965032743</v>
      </c>
      <c r="Q679" s="39" t="n">
        <v>0.200063662793634</v>
      </c>
      <c r="R679" s="39" t="n">
        <v>0.186660324307669</v>
      </c>
      <c r="S679" s="39" t="n">
        <v>0.0284054802111697</v>
      </c>
      <c r="T679" s="38" t="n">
        <f aca="false">N679*Scorecard!$C$18+O679*Scorecard!$C$19+P679*Scorecard!$C$20+Q679*Scorecard!$C$21+R679*Scorecard!$C$22+S679*Scorecard!$C$23</f>
        <v>4.28793078434622</v>
      </c>
      <c r="U679" s="38" t="n">
        <f aca="false">N679*Scorecard!$D$18+O679*Scorecard!$D$19+P679*Scorecard!$D$20+Q679*Scorecard!$D$21+R679*Scorecard!$D$22+S679*Scorecard!$D$23</f>
        <v>2.69068643311751</v>
      </c>
      <c r="V679" s="38" t="n">
        <f aca="false">N679*Scorecard!$E$18+O679*Scorecard!$E$19+P679*Scorecard!$E$20+Q679*Scorecard!$E$21+R679*Scorecard!$E$22+S679*Scorecard!$E$23</f>
        <v>3.14108140875723</v>
      </c>
    </row>
    <row r="680" customFormat="false" ht="15" hidden="false" customHeight="false" outlineLevel="0" collapsed="false">
      <c r="A680" s="0" t="n">
        <v>675</v>
      </c>
      <c r="B680" s="38" t="n">
        <f aca="false">E680*Scorecard!$C$18+F680*Scorecard!$C$19+G680*Scorecard!$C$20+H680*Scorecard!$C$21+I680*Scorecard!$C$22+J680*Scorecard!$C$23</f>
        <v>4.44227911532711</v>
      </c>
      <c r="C680" s="38" t="n">
        <f aca="false">E680*Scorecard!$D$18+F680*Scorecard!$D$19+G680*Scorecard!$D$20+H680*Scorecard!$D$21+I680*Scorecard!$D$22+J680*Scorecard!$D$23</f>
        <v>2.47530837599312</v>
      </c>
      <c r="D680" s="0" t="str">
        <f aca="false">IF(AND(B680&gt;=C680,B680&gt;=K680),"A. Distribution",IF(C680&gt;=K680,"B. Manufacturing","C. Prof. services"))</f>
        <v>A. Distribution</v>
      </c>
      <c r="E680" s="39" t="n">
        <v>0.00183122346792868</v>
      </c>
      <c r="F680" s="39" t="n">
        <v>0.563009412476918</v>
      </c>
      <c r="G680" s="39" t="n">
        <v>0.13743058172836</v>
      </c>
      <c r="H680" s="39" t="n">
        <v>0.120051236722093</v>
      </c>
      <c r="I680" s="39" t="n">
        <v>0.123853704141832</v>
      </c>
      <c r="J680" s="39" t="n">
        <v>0.0538238414628682</v>
      </c>
      <c r="K680" s="38" t="n">
        <f aca="false">E680*Scorecard!$E$18+F680*Scorecard!$E$19+G680*Scorecard!$E$20+H680*Scorecard!$E$21+I680*Scorecard!$E$22+J680*Scorecard!$E$23</f>
        <v>3.1072718625884</v>
      </c>
      <c r="M680" s="0" t="str">
        <f aca="false">IF(AND(T680&gt;=U680,T680&gt;=V680),"A. Distribution",IF(U680&gt;=V680,"B. Manufacturing","C. Prof. services"))</f>
        <v>A. Distribution</v>
      </c>
      <c r="N680" s="39" t="n">
        <v>0.229796728297793</v>
      </c>
      <c r="O680" s="39" t="n">
        <v>0.155554597526968</v>
      </c>
      <c r="P680" s="39" t="n">
        <v>0.24793211703164</v>
      </c>
      <c r="Q680" s="39" t="n">
        <v>0.106316813929462</v>
      </c>
      <c r="R680" s="39" t="n">
        <v>0.17377652121556</v>
      </c>
      <c r="S680" s="39" t="n">
        <v>0.0866232219985776</v>
      </c>
      <c r="T680" s="38" t="n">
        <f aca="false">N680*Scorecard!$C$18+O680*Scorecard!$C$19+P680*Scorecard!$C$20+Q680*Scorecard!$C$21+R680*Scorecard!$C$22+S680*Scorecard!$C$23</f>
        <v>3.95240281694544</v>
      </c>
      <c r="U680" s="38" t="n">
        <f aca="false">N680*Scorecard!$D$18+O680*Scorecard!$D$19+P680*Scorecard!$D$20+Q680*Scorecard!$D$21+R680*Scorecard!$D$22+S680*Scorecard!$D$23</f>
        <v>2.76682804335667</v>
      </c>
      <c r="V680" s="38" t="n">
        <f aca="false">N680*Scorecard!$E$18+O680*Scorecard!$E$19+P680*Scorecard!$E$20+Q680*Scorecard!$E$21+R680*Scorecard!$E$22+S680*Scorecard!$E$23</f>
        <v>3.41805348482372</v>
      </c>
    </row>
    <row r="681" customFormat="false" ht="15" hidden="false" customHeight="false" outlineLevel="0" collapsed="false">
      <c r="A681" s="0" t="n">
        <v>676</v>
      </c>
      <c r="B681" s="38" t="n">
        <f aca="false">E681*Scorecard!$C$18+F681*Scorecard!$C$19+G681*Scorecard!$C$20+H681*Scorecard!$C$21+I681*Scorecard!$C$22+J681*Scorecard!$C$23</f>
        <v>3.72167057638456</v>
      </c>
      <c r="C681" s="38" t="n">
        <f aca="false">E681*Scorecard!$D$18+F681*Scorecard!$D$19+G681*Scorecard!$D$20+H681*Scorecard!$D$21+I681*Scorecard!$D$22+J681*Scorecard!$D$23</f>
        <v>2.38862784512291</v>
      </c>
      <c r="D681" s="0" t="str">
        <f aca="false">IF(AND(B681&gt;=C681,B681&gt;=K681),"A. Distribution",IF(C681&gt;=K681,"B. Manufacturing","C. Prof. services"))</f>
        <v>A. Distribution</v>
      </c>
      <c r="E681" s="39" t="n">
        <v>0.0693137322258276</v>
      </c>
      <c r="F681" s="39" t="n">
        <v>0.381309760679388</v>
      </c>
      <c r="G681" s="39" t="n">
        <v>0.0516920540633319</v>
      </c>
      <c r="H681" s="39" t="n">
        <v>0.0187289257321661</v>
      </c>
      <c r="I681" s="39" t="n">
        <v>0.152927449423386</v>
      </c>
      <c r="J681" s="39" t="n">
        <v>0.3260280778759</v>
      </c>
      <c r="K681" s="38" t="n">
        <f aca="false">E681*Scorecard!$E$18+F681*Scorecard!$E$19+G681*Scorecard!$E$20+H681*Scorecard!$E$21+I681*Scorecard!$E$22+J681*Scorecard!$E$23</f>
        <v>3.41152263832875</v>
      </c>
      <c r="M681" s="0" t="str">
        <f aca="false">IF(AND(T681&gt;=U681,T681&gt;=V681),"A. Distribution",IF(U681&gt;=V681,"B. Manufacturing","C. Prof. services"))</f>
        <v>A. Distribution</v>
      </c>
      <c r="N681" s="39" t="n">
        <v>0.224062272534424</v>
      </c>
      <c r="O681" s="39" t="n">
        <v>0.239832337329799</v>
      </c>
      <c r="P681" s="39" t="n">
        <v>0.174540350570635</v>
      </c>
      <c r="Q681" s="39" t="n">
        <v>0.116394441221787</v>
      </c>
      <c r="R681" s="39" t="n">
        <v>0.180642235222988</v>
      </c>
      <c r="S681" s="39" t="n">
        <v>0.064528363120368</v>
      </c>
      <c r="T681" s="38" t="n">
        <f aca="false">N681*Scorecard!$C$18+O681*Scorecard!$C$19+P681*Scorecard!$C$20+Q681*Scorecard!$C$21+R681*Scorecard!$C$22+S681*Scorecard!$C$23</f>
        <v>4.0802448051919</v>
      </c>
      <c r="U681" s="38" t="n">
        <f aca="false">N681*Scorecard!$D$18+O681*Scorecard!$D$19+P681*Scorecard!$D$20+Q681*Scorecard!$D$21+R681*Scorecard!$D$22+S681*Scorecard!$D$23</f>
        <v>2.82302424542191</v>
      </c>
      <c r="V681" s="38" t="n">
        <f aca="false">N681*Scorecard!$E$18+O681*Scorecard!$E$19+P681*Scorecard!$E$20+Q681*Scorecard!$E$21+R681*Scorecard!$E$22+S681*Scorecard!$E$23</f>
        <v>3.29438691703328</v>
      </c>
    </row>
    <row r="682" customFormat="false" ht="15" hidden="false" customHeight="false" outlineLevel="0" collapsed="false">
      <c r="A682" s="0" t="n">
        <v>677</v>
      </c>
      <c r="B682" s="38" t="n">
        <f aca="false">E682*Scorecard!$C$18+F682*Scorecard!$C$19+G682*Scorecard!$C$20+H682*Scorecard!$C$21+I682*Scorecard!$C$22+J682*Scorecard!$C$23</f>
        <v>4.27476874689975</v>
      </c>
      <c r="C682" s="38" t="n">
        <f aca="false">E682*Scorecard!$D$18+F682*Scorecard!$D$19+G682*Scorecard!$D$20+H682*Scorecard!$D$21+I682*Scorecard!$D$22+J682*Scorecard!$D$23</f>
        <v>2.36474989600344</v>
      </c>
      <c r="D682" s="0" t="str">
        <f aca="false">IF(AND(B682&gt;=C682,B682&gt;=K682),"A. Distribution",IF(C682&gt;=K682,"B. Manufacturing","C. Prof. services"))</f>
        <v>A. Distribution</v>
      </c>
      <c r="E682" s="39" t="n">
        <v>0.017834678793029</v>
      </c>
      <c r="F682" s="39" t="n">
        <v>0.334303022456294</v>
      </c>
      <c r="G682" s="39" t="n">
        <v>0.150395505881442</v>
      </c>
      <c r="H682" s="39" t="n">
        <v>0.4865635623525</v>
      </c>
      <c r="I682" s="39" t="n">
        <v>0.00806579181244459</v>
      </c>
      <c r="J682" s="39" t="n">
        <v>0.0028374387042907</v>
      </c>
      <c r="K682" s="38" t="n">
        <f aca="false">E682*Scorecard!$E$18+F682*Scorecard!$E$19+G682*Scorecard!$E$20+H682*Scorecard!$E$21+I682*Scorecard!$E$22+J682*Scorecard!$E$23</f>
        <v>3.42028308042457</v>
      </c>
      <c r="M682" s="0" t="str">
        <f aca="false">IF(AND(T682&gt;=U682,T682&gt;=V682),"A. Distribution",IF(U682&gt;=V682,"B. Manufacturing","C. Prof. services"))</f>
        <v>A. Distribution</v>
      </c>
      <c r="N682" s="39" t="n">
        <v>0.157623335730667</v>
      </c>
      <c r="O682" s="39" t="n">
        <v>0.304523228972899</v>
      </c>
      <c r="P682" s="39" t="n">
        <v>0.171434517523282</v>
      </c>
      <c r="Q682" s="39" t="n">
        <v>0.17633526432613</v>
      </c>
      <c r="R682" s="39" t="n">
        <v>0.0893400492405648</v>
      </c>
      <c r="S682" s="39" t="n">
        <v>0.100743604206457</v>
      </c>
      <c r="T682" s="38" t="n">
        <f aca="false">N682*Scorecard!$C$18+O682*Scorecard!$C$19+P682*Scorecard!$C$20+Q682*Scorecard!$C$21+R682*Scorecard!$C$22+S682*Scorecard!$C$23</f>
        <v>4.07138072356087</v>
      </c>
      <c r="U682" s="38" t="n">
        <f aca="false">N682*Scorecard!$D$18+O682*Scorecard!$D$19+P682*Scorecard!$D$20+Q682*Scorecard!$D$21+R682*Scorecard!$D$22+S682*Scorecard!$D$23</f>
        <v>2.6005491745182</v>
      </c>
      <c r="V682" s="38" t="n">
        <f aca="false">N682*Scorecard!$E$18+O682*Scorecard!$E$19+P682*Scorecard!$E$20+Q682*Scorecard!$E$21+R682*Scorecard!$E$22+S682*Scorecard!$E$23</f>
        <v>3.40094950549498</v>
      </c>
    </row>
    <row r="683" customFormat="false" ht="15" hidden="false" customHeight="false" outlineLevel="0" collapsed="false">
      <c r="A683" s="0" t="n">
        <v>678</v>
      </c>
      <c r="B683" s="38" t="n">
        <f aca="false">E683*Scorecard!$C$18+F683*Scorecard!$C$19+G683*Scorecard!$C$20+H683*Scorecard!$C$21+I683*Scorecard!$C$22+J683*Scorecard!$C$23</f>
        <v>3.86692609730307</v>
      </c>
      <c r="C683" s="38" t="n">
        <f aca="false">E683*Scorecard!$D$18+F683*Scorecard!$D$19+G683*Scorecard!$D$20+H683*Scorecard!$D$21+I683*Scorecard!$D$22+J683*Scorecard!$D$23</f>
        <v>2.40700503712735</v>
      </c>
      <c r="D683" s="0" t="str">
        <f aca="false">IF(AND(B683&gt;=C683,B683&gt;=K683),"A. Distribution",IF(C683&gt;=K683,"B. Manufacturing","C. Prof. services"))</f>
        <v>A. Distribution</v>
      </c>
      <c r="E683" s="39" t="n">
        <v>0.0759420922240758</v>
      </c>
      <c r="F683" s="39" t="n">
        <v>0.00836061819475421</v>
      </c>
      <c r="G683" s="39" t="n">
        <v>0.403293710757857</v>
      </c>
      <c r="H683" s="39" t="n">
        <v>0.329220684769488</v>
      </c>
      <c r="I683" s="39" t="n">
        <v>0.133251067309924</v>
      </c>
      <c r="J683" s="39" t="n">
        <v>0.0499318267439012</v>
      </c>
      <c r="K683" s="38" t="n">
        <f aca="false">E683*Scorecard!$E$18+F683*Scorecard!$E$19+G683*Scorecard!$E$20+H683*Scorecard!$E$21+I683*Scorecard!$E$22+J683*Scorecard!$E$23</f>
        <v>3.64723075646865</v>
      </c>
      <c r="M683" s="0" t="str">
        <f aca="false">IF(AND(T683&gt;=U683,T683&gt;=V683),"A. Distribution",IF(U683&gt;=V683,"B. Manufacturing","C. Prof. services"))</f>
        <v>C. Prof. services</v>
      </c>
      <c r="N683" s="39" t="n">
        <v>0.223727184486754</v>
      </c>
      <c r="O683" s="39" t="n">
        <v>0.206703431039173</v>
      </c>
      <c r="P683" s="39" t="n">
        <v>0.0995581742046074</v>
      </c>
      <c r="Q683" s="39" t="n">
        <v>0.104524913637538</v>
      </c>
      <c r="R683" s="39" t="n">
        <v>0.0567918575996033</v>
      </c>
      <c r="S683" s="39" t="n">
        <v>0.308694439032324</v>
      </c>
      <c r="T683" s="38" t="n">
        <f aca="false">N683*Scorecard!$C$18+O683*Scorecard!$C$19+P683*Scorecard!$C$20+Q683*Scorecard!$C$21+R683*Scorecard!$C$22+S683*Scorecard!$C$23</f>
        <v>3.56008959877728</v>
      </c>
      <c r="U683" s="38" t="n">
        <f aca="false">N683*Scorecard!$D$18+O683*Scorecard!$D$19+P683*Scorecard!$D$20+Q683*Scorecard!$D$21+R683*Scorecard!$D$22+S683*Scorecard!$D$23</f>
        <v>2.51411203534104</v>
      </c>
      <c r="V683" s="38" t="n">
        <f aca="false">N683*Scorecard!$E$18+O683*Scorecard!$E$19+P683*Scorecard!$E$20+Q683*Scorecard!$E$21+R683*Scorecard!$E$22+S683*Scorecard!$E$23</f>
        <v>3.66654405179862</v>
      </c>
    </row>
    <row r="684" customFormat="false" ht="15" hidden="false" customHeight="false" outlineLevel="0" collapsed="false">
      <c r="A684" s="0" t="n">
        <v>679</v>
      </c>
      <c r="B684" s="38" t="n">
        <f aca="false">E684*Scorecard!$C$18+F684*Scorecard!$C$19+G684*Scorecard!$C$20+H684*Scorecard!$C$21+I684*Scorecard!$C$22+J684*Scorecard!$C$23</f>
        <v>3.73088827700356</v>
      </c>
      <c r="C684" s="38" t="n">
        <f aca="false">E684*Scorecard!$D$18+F684*Scorecard!$D$19+G684*Scorecard!$D$20+H684*Scorecard!$D$21+I684*Scorecard!$D$22+J684*Scorecard!$D$23</f>
        <v>2.56407803746867</v>
      </c>
      <c r="D684" s="0" t="str">
        <f aca="false">IF(AND(B684&gt;=C684,B684&gt;=K684),"A. Distribution",IF(C684&gt;=K684,"B. Manufacturing","C. Prof. services"))</f>
        <v>A. Distribution</v>
      </c>
      <c r="E684" s="39" t="n">
        <v>0.13477687497602</v>
      </c>
      <c r="F684" s="39" t="n">
        <v>0.136729206476167</v>
      </c>
      <c r="G684" s="39" t="n">
        <v>0.267921660586061</v>
      </c>
      <c r="H684" s="39" t="n">
        <v>0.0350725135685019</v>
      </c>
      <c r="I684" s="39" t="n">
        <v>0.229879221721618</v>
      </c>
      <c r="J684" s="39" t="n">
        <v>0.195620522671632</v>
      </c>
      <c r="K684" s="38" t="n">
        <f aca="false">E684*Scorecard!$E$18+F684*Scorecard!$E$19+G684*Scorecard!$E$20+H684*Scorecard!$E$21+I684*Scorecard!$E$22+J684*Scorecard!$E$23</f>
        <v>3.47236219082461</v>
      </c>
      <c r="M684" s="0" t="str">
        <f aca="false">IF(AND(T684&gt;=U684,T684&gt;=V684),"A. Distribution",IF(U684&gt;=V684,"B. Manufacturing","C. Prof. services"))</f>
        <v>A. Distribution</v>
      </c>
      <c r="N684" s="39" t="n">
        <v>0.182059287225127</v>
      </c>
      <c r="O684" s="39" t="n">
        <v>0.192245498423325</v>
      </c>
      <c r="P684" s="39" t="n">
        <v>0.274744625639727</v>
      </c>
      <c r="Q684" s="39" t="n">
        <v>0.160857259589442</v>
      </c>
      <c r="R684" s="39" t="n">
        <v>0.117664336310302</v>
      </c>
      <c r="S684" s="39" t="n">
        <v>0.0724289928120771</v>
      </c>
      <c r="T684" s="38" t="n">
        <f aca="false">N684*Scorecard!$C$18+O684*Scorecard!$C$19+P684*Scorecard!$C$20+Q684*Scorecard!$C$21+R684*Scorecard!$C$22+S684*Scorecard!$C$23</f>
        <v>4.01543809623044</v>
      </c>
      <c r="U684" s="38" t="n">
        <f aca="false">N684*Scorecard!$D$18+O684*Scorecard!$D$19+P684*Scorecard!$D$20+Q684*Scorecard!$D$21+R684*Scorecard!$D$22+S684*Scorecard!$D$23</f>
        <v>2.63790247441962</v>
      </c>
      <c r="V684" s="38" t="n">
        <f aca="false">N684*Scorecard!$E$18+O684*Scorecard!$E$19+P684*Scorecard!$E$20+Q684*Scorecard!$E$21+R684*Scorecard!$E$22+S684*Scorecard!$E$23</f>
        <v>3.46664744306162</v>
      </c>
    </row>
    <row r="685" customFormat="false" ht="15" hidden="false" customHeight="false" outlineLevel="0" collapsed="false">
      <c r="A685" s="0" t="n">
        <v>680</v>
      </c>
      <c r="B685" s="38" t="n">
        <f aca="false">E685*Scorecard!$C$18+F685*Scorecard!$C$19+G685*Scorecard!$C$20+H685*Scorecard!$C$21+I685*Scorecard!$C$22+J685*Scorecard!$C$23</f>
        <v>2.92046007824704</v>
      </c>
      <c r="C685" s="38" t="n">
        <f aca="false">E685*Scorecard!$D$18+F685*Scorecard!$D$19+G685*Scorecard!$D$20+H685*Scorecard!$D$21+I685*Scorecard!$D$22+J685*Scorecard!$D$23</f>
        <v>2.36423220511492</v>
      </c>
      <c r="D685" s="0" t="str">
        <f aca="false">IF(AND(B685&gt;=C685,B685&gt;=K685),"A. Distribution",IF(C685&gt;=K685,"B. Manufacturing","C. Prof. services"))</f>
        <v>C. Prof. services</v>
      </c>
      <c r="E685" s="39" t="n">
        <v>0.159467824223026</v>
      </c>
      <c r="F685" s="39" t="n">
        <v>0.0147335832021661</v>
      </c>
      <c r="G685" s="39" t="n">
        <v>0.0347976346877069</v>
      </c>
      <c r="H685" s="39" t="n">
        <v>0.0313517155937314</v>
      </c>
      <c r="I685" s="39" t="n">
        <v>0.220603151102357</v>
      </c>
      <c r="J685" s="39" t="n">
        <v>0.539046091191013</v>
      </c>
      <c r="K685" s="38" t="n">
        <f aca="false">E685*Scorecard!$E$18+F685*Scorecard!$E$19+G685*Scorecard!$E$20+H685*Scorecard!$E$21+I685*Scorecard!$E$22+J685*Scorecard!$E$23</f>
        <v>3.79424268218844</v>
      </c>
      <c r="M685" s="0" t="str">
        <f aca="false">IF(AND(T685&gt;=U685,T685&gt;=V685),"A. Distribution",IF(U685&gt;=V685,"B. Manufacturing","C. Prof. services"))</f>
        <v>A. Distribution</v>
      </c>
      <c r="N685" s="39" t="n">
        <v>0.121028860434042</v>
      </c>
      <c r="O685" s="39" t="n">
        <v>0.235976610776113</v>
      </c>
      <c r="P685" s="39" t="n">
        <v>0.239427991727329</v>
      </c>
      <c r="Q685" s="39" t="n">
        <v>0.145556115840352</v>
      </c>
      <c r="R685" s="39" t="n">
        <v>0.134075017044177</v>
      </c>
      <c r="S685" s="39" t="n">
        <v>0.123935404177987</v>
      </c>
      <c r="T685" s="38" t="n">
        <f aca="false">N685*Scorecard!$C$18+O685*Scorecard!$C$19+P685*Scorecard!$C$20+Q685*Scorecard!$C$21+R685*Scorecard!$C$22+S685*Scorecard!$C$23</f>
        <v>3.96270502902073</v>
      </c>
      <c r="U685" s="38" t="n">
        <f aca="false">N685*Scorecard!$D$18+O685*Scorecard!$D$19+P685*Scorecard!$D$20+Q685*Scorecard!$D$21+R685*Scorecard!$D$22+S685*Scorecard!$D$23</f>
        <v>2.52924256630613</v>
      </c>
      <c r="V685" s="38" t="n">
        <f aca="false">N685*Scorecard!$E$18+O685*Scorecard!$E$19+P685*Scorecard!$E$20+Q685*Scorecard!$E$21+R685*Scorecard!$E$22+S685*Scorecard!$E$23</f>
        <v>3.44829185291038</v>
      </c>
    </row>
    <row r="686" customFormat="false" ht="15" hidden="false" customHeight="false" outlineLevel="0" collapsed="false">
      <c r="A686" s="0" t="n">
        <v>681</v>
      </c>
      <c r="B686" s="38" t="n">
        <f aca="false">E686*Scorecard!$C$18+F686*Scorecard!$C$19+G686*Scorecard!$C$20+H686*Scorecard!$C$21+I686*Scorecard!$C$22+J686*Scorecard!$C$23</f>
        <v>3.99405146394885</v>
      </c>
      <c r="C686" s="38" t="n">
        <f aca="false">E686*Scorecard!$D$18+F686*Scorecard!$D$19+G686*Scorecard!$D$20+H686*Scorecard!$D$21+I686*Scorecard!$D$22+J686*Scorecard!$D$23</f>
        <v>3.06488139611703</v>
      </c>
      <c r="D686" s="0" t="str">
        <f aca="false">IF(AND(B686&gt;=C686,B686&gt;=K686),"A. Distribution",IF(C686&gt;=K686,"B. Manufacturing","C. Prof. services"))</f>
        <v>A. Distribution</v>
      </c>
      <c r="E686" s="39" t="n">
        <v>0.143733990660246</v>
      </c>
      <c r="F686" s="39" t="n">
        <v>0.035905882947147</v>
      </c>
      <c r="G686" s="39" t="n">
        <v>0.125953617193244</v>
      </c>
      <c r="H686" s="39" t="n">
        <v>0.151792375614114</v>
      </c>
      <c r="I686" s="39" t="n">
        <v>0.535634751915978</v>
      </c>
      <c r="J686" s="39" t="n">
        <v>0.00697938166927225</v>
      </c>
      <c r="K686" s="38" t="n">
        <f aca="false">E686*Scorecard!$E$18+F686*Scorecard!$E$19+G686*Scorecard!$E$20+H686*Scorecard!$E$21+I686*Scorecard!$E$22+J686*Scorecard!$E$23</f>
        <v>2.94631009885153</v>
      </c>
      <c r="M686" s="0" t="str">
        <f aca="false">IF(AND(T686&gt;=U686,T686&gt;=V686),"A. Distribution",IF(U686&gt;=V686,"B. Manufacturing","C. Prof. services"))</f>
        <v>A. Distribution</v>
      </c>
      <c r="N686" s="39" t="n">
        <v>0.10759485976</v>
      </c>
      <c r="O686" s="39" t="n">
        <v>0.201381213039725</v>
      </c>
      <c r="P686" s="39" t="n">
        <v>0.31986198848137</v>
      </c>
      <c r="Q686" s="39" t="n">
        <v>0.093095607293512</v>
      </c>
      <c r="R686" s="39" t="n">
        <v>0.114797571856386</v>
      </c>
      <c r="S686" s="39" t="n">
        <v>0.163268759569006</v>
      </c>
      <c r="T686" s="38" t="n">
        <f aca="false">N686*Scorecard!$C$18+O686*Scorecard!$C$19+P686*Scorecard!$C$20+Q686*Scorecard!$C$21+R686*Scorecard!$C$22+S686*Scorecard!$C$23</f>
        <v>3.85617414362937</v>
      </c>
      <c r="U686" s="38" t="n">
        <f aca="false">N686*Scorecard!$D$18+O686*Scorecard!$D$19+P686*Scorecard!$D$20+Q686*Scorecard!$D$21+R686*Scorecard!$D$22+S686*Scorecard!$D$23</f>
        <v>2.42302983591354</v>
      </c>
      <c r="V686" s="38" t="n">
        <f aca="false">N686*Scorecard!$E$18+O686*Scorecard!$E$19+P686*Scorecard!$E$20+Q686*Scorecard!$E$21+R686*Scorecard!$E$22+S686*Scorecard!$E$23</f>
        <v>3.56531977567255</v>
      </c>
    </row>
    <row r="687" customFormat="false" ht="15" hidden="false" customHeight="false" outlineLevel="0" collapsed="false">
      <c r="A687" s="0" t="n">
        <v>682</v>
      </c>
      <c r="B687" s="38" t="n">
        <f aca="false">E687*Scorecard!$C$18+F687*Scorecard!$C$19+G687*Scorecard!$C$20+H687*Scorecard!$C$21+I687*Scorecard!$C$22+J687*Scorecard!$C$23</f>
        <v>4.22774852232714</v>
      </c>
      <c r="C687" s="38" t="n">
        <f aca="false">E687*Scorecard!$D$18+F687*Scorecard!$D$19+G687*Scorecard!$D$20+H687*Scorecard!$D$21+I687*Scorecard!$D$22+J687*Scorecard!$D$23</f>
        <v>2.81557923612685</v>
      </c>
      <c r="D687" s="0" t="str">
        <f aca="false">IF(AND(B687&gt;=C687,B687&gt;=K687),"A. Distribution",IF(C687&gt;=K687,"B. Manufacturing","C. Prof. services"))</f>
        <v>A. Distribution</v>
      </c>
      <c r="E687" s="39" t="n">
        <v>0.170295871428033</v>
      </c>
      <c r="F687" s="39" t="n">
        <v>0.456007707140599</v>
      </c>
      <c r="G687" s="39" t="n">
        <v>0.011476049343644</v>
      </c>
      <c r="H687" s="39" t="n">
        <v>0.0603173077781335</v>
      </c>
      <c r="I687" s="39" t="n">
        <v>0.197859337444662</v>
      </c>
      <c r="J687" s="39" t="n">
        <v>0.104043726864928</v>
      </c>
      <c r="K687" s="38" t="n">
        <f aca="false">E687*Scorecard!$E$18+F687*Scorecard!$E$19+G687*Scorecard!$E$20+H687*Scorecard!$E$21+I687*Scorecard!$E$22+J687*Scorecard!$E$23</f>
        <v>3.07225358706505</v>
      </c>
      <c r="M687" s="0" t="str">
        <f aca="false">IF(AND(T687&gt;=U687,T687&gt;=V687),"A. Distribution",IF(U687&gt;=V687,"B. Manufacturing","C. Prof. services"))</f>
        <v>A. Distribution</v>
      </c>
      <c r="N687" s="39" t="n">
        <v>0.190819577386428</v>
      </c>
      <c r="O687" s="39" t="n">
        <v>0.260822482797183</v>
      </c>
      <c r="P687" s="39" t="n">
        <v>0.221665656092733</v>
      </c>
      <c r="Q687" s="39" t="n">
        <v>0.173988767404256</v>
      </c>
      <c r="R687" s="39" t="n">
        <v>0.0972503322362169</v>
      </c>
      <c r="S687" s="39" t="n">
        <v>0.0554531840831823</v>
      </c>
      <c r="T687" s="38" t="n">
        <f aca="false">N687*Scorecard!$C$18+O687*Scorecard!$C$19+P687*Scorecard!$C$20+Q687*Scorecard!$C$21+R687*Scorecard!$C$22+S687*Scorecard!$C$23</f>
        <v>4.11584843497192</v>
      </c>
      <c r="U687" s="38" t="n">
        <f aca="false">N687*Scorecard!$D$18+O687*Scorecard!$D$19+P687*Scorecard!$D$20+Q687*Scorecard!$D$21+R687*Scorecard!$D$22+S687*Scorecard!$D$23</f>
        <v>2.67706872385063</v>
      </c>
      <c r="V687" s="38" t="n">
        <f aca="false">N687*Scorecard!$E$18+O687*Scorecard!$E$19+P687*Scorecard!$E$20+Q687*Scorecard!$E$21+R687*Scorecard!$E$22+S687*Scorecard!$E$23</f>
        <v>3.40153024971777</v>
      </c>
    </row>
    <row r="688" customFormat="false" ht="15" hidden="false" customHeight="false" outlineLevel="0" collapsed="false">
      <c r="A688" s="0" t="n">
        <v>683</v>
      </c>
      <c r="B688" s="38" t="n">
        <f aca="false">E688*Scorecard!$C$18+F688*Scorecard!$C$19+G688*Scorecard!$C$20+H688*Scorecard!$C$21+I688*Scorecard!$C$22+J688*Scorecard!$C$23</f>
        <v>3.57145859818978</v>
      </c>
      <c r="C688" s="38" t="n">
        <f aca="false">E688*Scorecard!$D$18+F688*Scorecard!$D$19+G688*Scorecard!$D$20+H688*Scorecard!$D$21+I688*Scorecard!$D$22+J688*Scorecard!$D$23</f>
        <v>2.49043466989135</v>
      </c>
      <c r="D688" s="0" t="str">
        <f aca="false">IF(AND(B688&gt;=C688,B688&gt;=K688),"A. Distribution",IF(C688&gt;=K688,"B. Manufacturing","C. Prof. services"))</f>
        <v>A. Distribution</v>
      </c>
      <c r="E688" s="39" t="n">
        <v>0.124211657672271</v>
      </c>
      <c r="F688" s="39" t="n">
        <v>0.120321581421902</v>
      </c>
      <c r="G688" s="39" t="n">
        <v>0.199839164975866</v>
      </c>
      <c r="H688" s="39" t="n">
        <v>0.0758595731745868</v>
      </c>
      <c r="I688" s="39" t="n">
        <v>0.21440976441166</v>
      </c>
      <c r="J688" s="39" t="n">
        <v>0.265358258343715</v>
      </c>
      <c r="K688" s="38" t="n">
        <f aca="false">E688*Scorecard!$E$18+F688*Scorecard!$E$19+G688*Scorecard!$E$20+H688*Scorecard!$E$21+I688*Scorecard!$E$22+J688*Scorecard!$E$23</f>
        <v>3.54457012253944</v>
      </c>
      <c r="M688" s="0" t="str">
        <f aca="false">IF(AND(T688&gt;=U688,T688&gt;=V688),"A. Distribution",IF(U688&gt;=V688,"B. Manufacturing","C. Prof. services"))</f>
        <v>A. Distribution</v>
      </c>
      <c r="N688" s="39" t="n">
        <v>0.273156067380064</v>
      </c>
      <c r="O688" s="39" t="n">
        <v>0.111679684729364</v>
      </c>
      <c r="P688" s="39" t="n">
        <v>0.192539497533078</v>
      </c>
      <c r="Q688" s="39" t="n">
        <v>0.195513773592982</v>
      </c>
      <c r="R688" s="39" t="n">
        <v>0.13632550019562</v>
      </c>
      <c r="S688" s="39" t="n">
        <v>0.0907854765688923</v>
      </c>
      <c r="T688" s="38" t="n">
        <f aca="false">N688*Scorecard!$C$18+O688*Scorecard!$C$19+P688*Scorecard!$C$20+Q688*Scorecard!$C$21+R688*Scorecard!$C$22+S688*Scorecard!$C$23</f>
        <v>3.88711118889796</v>
      </c>
      <c r="U688" s="38" t="n">
        <f aca="false">N688*Scorecard!$D$18+O688*Scorecard!$D$19+P688*Scorecard!$D$20+Q688*Scorecard!$D$21+R688*Scorecard!$D$22+S688*Scorecard!$D$23</f>
        <v>2.80536760269664</v>
      </c>
      <c r="V688" s="38" t="n">
        <f aca="false">N688*Scorecard!$E$18+O688*Scorecard!$E$19+P688*Scorecard!$E$20+Q688*Scorecard!$E$21+R688*Scorecard!$E$22+S688*Scorecard!$E$23</f>
        <v>3.48414925458773</v>
      </c>
    </row>
    <row r="689" customFormat="false" ht="15" hidden="false" customHeight="false" outlineLevel="0" collapsed="false">
      <c r="A689" s="0" t="n">
        <v>684</v>
      </c>
      <c r="B689" s="38" t="n">
        <f aca="false">E689*Scorecard!$C$18+F689*Scorecard!$C$19+G689*Scorecard!$C$20+H689*Scorecard!$C$21+I689*Scorecard!$C$22+J689*Scorecard!$C$23</f>
        <v>3.54991544839444</v>
      </c>
      <c r="C689" s="38" t="n">
        <f aca="false">E689*Scorecard!$D$18+F689*Scorecard!$D$19+G689*Scorecard!$D$20+H689*Scorecard!$D$21+I689*Scorecard!$D$22+J689*Scorecard!$D$23</f>
        <v>2.40745262930862</v>
      </c>
      <c r="D689" s="0" t="str">
        <f aca="false">IF(AND(B689&gt;=C689,B689&gt;=K689),"A. Distribution",IF(C689&gt;=K689,"B. Manufacturing","C. Prof. services"))</f>
        <v>C. Prof. services</v>
      </c>
      <c r="E689" s="39" t="n">
        <v>0.163889769120309</v>
      </c>
      <c r="F689" s="39" t="n">
        <v>0.0654195777441409</v>
      </c>
      <c r="G689" s="39" t="n">
        <v>0.390160237557189</v>
      </c>
      <c r="H689" s="39" t="n">
        <v>0.00604556119334151</v>
      </c>
      <c r="I689" s="39" t="n">
        <v>0.123637586344075</v>
      </c>
      <c r="J689" s="39" t="n">
        <v>0.250847268040944</v>
      </c>
      <c r="K689" s="38" t="n">
        <f aca="false">E689*Scorecard!$E$18+F689*Scorecard!$E$19+G689*Scorecard!$E$20+H689*Scorecard!$E$21+I689*Scorecard!$E$22+J689*Scorecard!$E$23</f>
        <v>3.75723088247954</v>
      </c>
      <c r="M689" s="0" t="str">
        <f aca="false">IF(AND(T689&gt;=U689,T689&gt;=V689),"A. Distribution",IF(U689&gt;=V689,"B. Manufacturing","C. Prof. services"))</f>
        <v>A. Distribution</v>
      </c>
      <c r="N689" s="39" t="n">
        <v>0.212540634135623</v>
      </c>
      <c r="O689" s="39" t="n">
        <v>0.164099628846427</v>
      </c>
      <c r="P689" s="39" t="n">
        <v>0.19794279539477</v>
      </c>
      <c r="Q689" s="39" t="n">
        <v>0.232871679891739</v>
      </c>
      <c r="R689" s="39" t="n">
        <v>0.151305213332443</v>
      </c>
      <c r="S689" s="39" t="n">
        <v>0.0412400483989988</v>
      </c>
      <c r="T689" s="38" t="n">
        <f aca="false">N689*Scorecard!$C$18+O689*Scorecard!$C$19+P689*Scorecard!$C$20+Q689*Scorecard!$C$21+R689*Scorecard!$C$22+S689*Scorecard!$C$23</f>
        <v>4.03946327048877</v>
      </c>
      <c r="U689" s="38" t="n">
        <f aca="false">N689*Scorecard!$D$18+O689*Scorecard!$D$19+P689*Scorecard!$D$20+Q689*Scorecard!$D$21+R689*Scorecard!$D$22+S689*Scorecard!$D$23</f>
        <v>2.76615964214149</v>
      </c>
      <c r="V689" s="38" t="n">
        <f aca="false">N689*Scorecard!$E$18+O689*Scorecard!$E$19+P689*Scorecard!$E$20+Q689*Scorecard!$E$21+R689*Scorecard!$E$22+S689*Scorecard!$E$23</f>
        <v>3.38983495357408</v>
      </c>
    </row>
    <row r="690" customFormat="false" ht="15" hidden="false" customHeight="false" outlineLevel="0" collapsed="false">
      <c r="A690" s="0" t="n">
        <v>685</v>
      </c>
      <c r="B690" s="38" t="n">
        <f aca="false">E690*Scorecard!$C$18+F690*Scorecard!$C$19+G690*Scorecard!$C$20+H690*Scorecard!$C$21+I690*Scorecard!$C$22+J690*Scorecard!$C$23</f>
        <v>4.05448207072809</v>
      </c>
      <c r="C690" s="38" t="n">
        <f aca="false">E690*Scorecard!$D$18+F690*Scorecard!$D$19+G690*Scorecard!$D$20+H690*Scorecard!$D$21+I690*Scorecard!$D$22+J690*Scorecard!$D$23</f>
        <v>3.13982167182346</v>
      </c>
      <c r="D690" s="0" t="str">
        <f aca="false">IF(AND(B690&gt;=C690,B690&gt;=K690),"A. Distribution",IF(C690&gt;=K690,"B. Manufacturing","C. Prof. services"))</f>
        <v>A. Distribution</v>
      </c>
      <c r="E690" s="39" t="n">
        <v>0.110600090465359</v>
      </c>
      <c r="F690" s="39" t="n">
        <v>0.0930231565088286</v>
      </c>
      <c r="G690" s="39" t="n">
        <v>0.0299065492583518</v>
      </c>
      <c r="H690" s="39" t="n">
        <v>0.135832884480947</v>
      </c>
      <c r="I690" s="39" t="n">
        <v>0.623124675015979</v>
      </c>
      <c r="J690" s="39" t="n">
        <v>0.00751264427053538</v>
      </c>
      <c r="K690" s="38" t="n">
        <f aca="false">E690*Scorecard!$E$18+F690*Scorecard!$E$19+G690*Scorecard!$E$20+H690*Scorecard!$E$21+I690*Scorecard!$E$22+J690*Scorecard!$E$23</f>
        <v>2.75426516835518</v>
      </c>
      <c r="M690" s="0" t="str">
        <f aca="false">IF(AND(T690&gt;=U690,T690&gt;=V690),"A. Distribution",IF(U690&gt;=V690,"B. Manufacturing","C. Prof. services"))</f>
        <v>A. Distribution</v>
      </c>
      <c r="N690" s="39" t="n">
        <v>0.138144319276709</v>
      </c>
      <c r="O690" s="39" t="n">
        <v>0.167163336296003</v>
      </c>
      <c r="P690" s="39" t="n">
        <v>0.249627588452727</v>
      </c>
      <c r="Q690" s="39" t="n">
        <v>0.125112444357591</v>
      </c>
      <c r="R690" s="39" t="n">
        <v>0.10588822730415</v>
      </c>
      <c r="S690" s="39" t="n">
        <v>0.214064084312821</v>
      </c>
      <c r="T690" s="38" t="n">
        <f aca="false">N690*Scorecard!$C$18+O690*Scorecard!$C$19+P690*Scorecard!$C$20+Q690*Scorecard!$C$21+R690*Scorecard!$C$22+S690*Scorecard!$C$23</f>
        <v>3.71446306693046</v>
      </c>
      <c r="U690" s="38" t="n">
        <f aca="false">N690*Scorecard!$D$18+O690*Scorecard!$D$19+P690*Scorecard!$D$20+Q690*Scorecard!$D$21+R690*Scorecard!$D$22+S690*Scorecard!$D$23</f>
        <v>2.43879323859031</v>
      </c>
      <c r="V690" s="38" t="n">
        <f aca="false">N690*Scorecard!$E$18+O690*Scorecard!$E$19+P690*Scorecard!$E$20+Q690*Scorecard!$E$21+R690*Scorecard!$E$22+S690*Scorecard!$E$23</f>
        <v>3.62072464783776</v>
      </c>
    </row>
    <row r="691" customFormat="false" ht="15" hidden="false" customHeight="false" outlineLevel="0" collapsed="false">
      <c r="A691" s="0" t="n">
        <v>686</v>
      </c>
      <c r="B691" s="38" t="n">
        <f aca="false">E691*Scorecard!$C$18+F691*Scorecard!$C$19+G691*Scorecard!$C$20+H691*Scorecard!$C$21+I691*Scorecard!$C$22+J691*Scorecard!$C$23</f>
        <v>4.043613140579</v>
      </c>
      <c r="C691" s="38" t="n">
        <f aca="false">E691*Scorecard!$D$18+F691*Scorecard!$D$19+G691*Scorecard!$D$20+H691*Scorecard!$D$21+I691*Scorecard!$D$22+J691*Scorecard!$D$23</f>
        <v>2.5544679605766</v>
      </c>
      <c r="D691" s="0" t="str">
        <f aca="false">IF(AND(B691&gt;=C691,B691&gt;=K691),"A. Distribution",IF(C691&gt;=K691,"B. Manufacturing","C. Prof. services"))</f>
        <v>A. Distribution</v>
      </c>
      <c r="E691" s="39" t="n">
        <v>0.00419715974556715</v>
      </c>
      <c r="F691" s="39" t="n">
        <v>0.162275576652331</v>
      </c>
      <c r="G691" s="39" t="n">
        <v>0.359526289413037</v>
      </c>
      <c r="H691" s="39" t="n">
        <v>0.0674162154726807</v>
      </c>
      <c r="I691" s="39" t="n">
        <v>0.3510540972718</v>
      </c>
      <c r="J691" s="39" t="n">
        <v>0.0555306614445845</v>
      </c>
      <c r="K691" s="38" t="n">
        <f aca="false">E691*Scorecard!$E$18+F691*Scorecard!$E$19+G691*Scorecard!$E$20+H691*Scorecard!$E$21+I691*Scorecard!$E$22+J691*Scorecard!$E$23</f>
        <v>3.22452751779301</v>
      </c>
      <c r="M691" s="0" t="str">
        <f aca="false">IF(AND(T691&gt;=U691,T691&gt;=V691),"A. Distribution",IF(U691&gt;=V691,"B. Manufacturing","C. Prof. services"))</f>
        <v>A. Distribution</v>
      </c>
      <c r="N691" s="39" t="n">
        <v>0.167149580332082</v>
      </c>
      <c r="O691" s="39" t="n">
        <v>0.234857777019607</v>
      </c>
      <c r="P691" s="39" t="n">
        <v>0.232340157531961</v>
      </c>
      <c r="Q691" s="39" t="n">
        <v>0.0509128681702187</v>
      </c>
      <c r="R691" s="39" t="n">
        <v>0.272663439743442</v>
      </c>
      <c r="S691" s="39" t="n">
        <v>0.0420761772026891</v>
      </c>
      <c r="T691" s="38" t="n">
        <f aca="false">N691*Scorecard!$C$18+O691*Scorecard!$C$19+P691*Scorecard!$C$20+Q691*Scorecard!$C$21+R691*Scorecard!$C$22+S691*Scorecard!$C$23</f>
        <v>4.13179963097233</v>
      </c>
      <c r="U691" s="38" t="n">
        <f aca="false">N691*Scorecard!$D$18+O691*Scorecard!$D$19+P691*Scorecard!$D$20+Q691*Scorecard!$D$21+R691*Scorecard!$D$22+S691*Scorecard!$D$23</f>
        <v>2.82001513219022</v>
      </c>
      <c r="V691" s="38" t="n">
        <f aca="false">N691*Scorecard!$E$18+O691*Scorecard!$E$19+P691*Scorecard!$E$20+Q691*Scorecard!$E$21+R691*Scorecard!$E$22+S691*Scorecard!$E$23</f>
        <v>3.18560954655212</v>
      </c>
    </row>
    <row r="692" customFormat="false" ht="15" hidden="false" customHeight="false" outlineLevel="0" collapsed="false">
      <c r="A692" s="0" t="n">
        <v>687</v>
      </c>
      <c r="B692" s="38" t="n">
        <f aca="false">E692*Scorecard!$C$18+F692*Scorecard!$C$19+G692*Scorecard!$C$20+H692*Scorecard!$C$21+I692*Scorecard!$C$22+J692*Scorecard!$C$23</f>
        <v>3.5639907817543</v>
      </c>
      <c r="C692" s="38" t="n">
        <f aca="false">E692*Scorecard!$D$18+F692*Scorecard!$D$19+G692*Scorecard!$D$20+H692*Scorecard!$D$21+I692*Scorecard!$D$22+J692*Scorecard!$D$23</f>
        <v>2.21677208492347</v>
      </c>
      <c r="D692" s="0" t="str">
        <f aca="false">IF(AND(B692&gt;=C692,B692&gt;=K692),"A. Distribution",IF(C692&gt;=K692,"B. Manufacturing","C. Prof. services"))</f>
        <v>C. Prof. services</v>
      </c>
      <c r="E692" s="39" t="n">
        <v>0.0839744861773047</v>
      </c>
      <c r="F692" s="39" t="n">
        <v>0.133680304259503</v>
      </c>
      <c r="G692" s="39" t="n">
        <v>0.388432096224164</v>
      </c>
      <c r="H692" s="39" t="n">
        <v>0.0351716856500219</v>
      </c>
      <c r="I692" s="39" t="n">
        <v>0.0791625715266433</v>
      </c>
      <c r="J692" s="39" t="n">
        <v>0.279578856162363</v>
      </c>
      <c r="K692" s="38" t="n">
        <f aca="false">E692*Scorecard!$E$18+F692*Scorecard!$E$19+G692*Scorecard!$E$20+H692*Scorecard!$E$21+I692*Scorecard!$E$22+J692*Scorecard!$E$23</f>
        <v>3.79455426884575</v>
      </c>
      <c r="M692" s="0" t="str">
        <f aca="false">IF(AND(T692&gt;=U692,T692&gt;=V692),"A. Distribution",IF(U692&gt;=V692,"B. Manufacturing","C. Prof. services"))</f>
        <v>A. Distribution</v>
      </c>
      <c r="N692" s="39" t="n">
        <v>0.114458507695445</v>
      </c>
      <c r="O692" s="39" t="n">
        <v>0.182149916411778</v>
      </c>
      <c r="P692" s="39" t="n">
        <v>0.154528412069251</v>
      </c>
      <c r="Q692" s="39" t="n">
        <v>0.288628021141982</v>
      </c>
      <c r="R692" s="39" t="n">
        <v>0.187037160586384</v>
      </c>
      <c r="S692" s="39" t="n">
        <v>0.0731979820951603</v>
      </c>
      <c r="T692" s="38" t="n">
        <f aca="false">N692*Scorecard!$C$18+O692*Scorecard!$C$19+P692*Scorecard!$C$20+Q692*Scorecard!$C$21+R692*Scorecard!$C$22+S692*Scorecard!$C$23</f>
        <v>3.99546460948198</v>
      </c>
      <c r="U692" s="38" t="n">
        <f aca="false">N692*Scorecard!$D$18+O692*Scorecard!$D$19+P692*Scorecard!$D$20+Q692*Scorecard!$D$21+R692*Scorecard!$D$22+S692*Scorecard!$D$23</f>
        <v>2.62522917461547</v>
      </c>
      <c r="V692" s="38" t="n">
        <f aca="false">N692*Scorecard!$E$18+O692*Scorecard!$E$19+P692*Scorecard!$E$20+Q692*Scorecard!$E$21+R692*Scorecard!$E$22+S692*Scorecard!$E$23</f>
        <v>3.35548635673186</v>
      </c>
    </row>
    <row r="693" customFormat="false" ht="15" hidden="false" customHeight="false" outlineLevel="0" collapsed="false">
      <c r="A693" s="0" t="n">
        <v>688</v>
      </c>
      <c r="B693" s="38" t="n">
        <f aca="false">E693*Scorecard!$C$18+F693*Scorecard!$C$19+G693*Scorecard!$C$20+H693*Scorecard!$C$21+I693*Scorecard!$C$22+J693*Scorecard!$C$23</f>
        <v>4.21909835620859</v>
      </c>
      <c r="C693" s="38" t="n">
        <f aca="false">E693*Scorecard!$D$18+F693*Scorecard!$D$19+G693*Scorecard!$D$20+H693*Scorecard!$D$21+I693*Scorecard!$D$22+J693*Scorecard!$D$23</f>
        <v>2.95411031194663</v>
      </c>
      <c r="D693" s="0" t="str">
        <f aca="false">IF(AND(B693&gt;=C693,B693&gt;=K693),"A. Distribution",IF(C693&gt;=K693,"B. Manufacturing","C. Prof. services"))</f>
        <v>A. Distribution</v>
      </c>
      <c r="E693" s="39" t="n">
        <v>0.314492059678226</v>
      </c>
      <c r="F693" s="39" t="n">
        <v>0.27925497529543</v>
      </c>
      <c r="G693" s="39" t="n">
        <v>0.149178239879275</v>
      </c>
      <c r="H693" s="39" t="n">
        <v>0.149561039069678</v>
      </c>
      <c r="I693" s="39" t="n">
        <v>0.0981177975171088</v>
      </c>
      <c r="J693" s="39" t="n">
        <v>0.00939588856028214</v>
      </c>
      <c r="K693" s="38" t="n">
        <f aca="false">E693*Scorecard!$E$18+F693*Scorecard!$E$19+G693*Scorecard!$E$20+H693*Scorecard!$E$21+I693*Scorecard!$E$22+J693*Scorecard!$E$23</f>
        <v>3.30117474101445</v>
      </c>
      <c r="M693" s="0" t="str">
        <f aca="false">IF(AND(T693&gt;=U693,T693&gt;=V693),"A. Distribution",IF(U693&gt;=V693,"B. Manufacturing","C. Prof. services"))</f>
        <v>A. Distribution</v>
      </c>
      <c r="N693" s="39" t="n">
        <v>0.108958541608712</v>
      </c>
      <c r="O693" s="39" t="n">
        <v>0.253520870478791</v>
      </c>
      <c r="P693" s="39" t="n">
        <v>0.192294537144779</v>
      </c>
      <c r="Q693" s="39" t="n">
        <v>0.203682737877433</v>
      </c>
      <c r="R693" s="39" t="n">
        <v>0.181711983315142</v>
      </c>
      <c r="S693" s="39" t="n">
        <v>0.0598313295751428</v>
      </c>
      <c r="T693" s="38" t="n">
        <f aca="false">N693*Scorecard!$C$18+O693*Scorecard!$C$19+P693*Scorecard!$C$20+Q693*Scorecard!$C$21+R693*Scorecard!$C$22+S693*Scorecard!$C$23</f>
        <v>4.10316334722937</v>
      </c>
      <c r="U693" s="38" t="n">
        <f aca="false">N693*Scorecard!$D$18+O693*Scorecard!$D$19+P693*Scorecard!$D$20+Q693*Scorecard!$D$21+R693*Scorecard!$D$22+S693*Scorecard!$D$23</f>
        <v>2.62667082214367</v>
      </c>
      <c r="V693" s="38" t="n">
        <f aca="false">N693*Scorecard!$E$18+O693*Scorecard!$E$19+P693*Scorecard!$E$20+Q693*Scorecard!$E$21+R693*Scorecard!$E$22+S693*Scorecard!$E$23</f>
        <v>3.30289390624988</v>
      </c>
    </row>
    <row r="694" customFormat="false" ht="15" hidden="false" customHeight="false" outlineLevel="0" collapsed="false">
      <c r="A694" s="0" t="n">
        <v>689</v>
      </c>
      <c r="B694" s="38" t="n">
        <f aca="false">E694*Scorecard!$C$18+F694*Scorecard!$C$19+G694*Scorecard!$C$20+H694*Scorecard!$C$21+I694*Scorecard!$C$22+J694*Scorecard!$C$23</f>
        <v>3.53946460267228</v>
      </c>
      <c r="C694" s="38" t="n">
        <f aca="false">E694*Scorecard!$D$18+F694*Scorecard!$D$19+G694*Scorecard!$D$20+H694*Scorecard!$D$21+I694*Scorecard!$D$22+J694*Scorecard!$D$23</f>
        <v>2.21589372961394</v>
      </c>
      <c r="D694" s="0" t="str">
        <f aca="false">IF(AND(B694&gt;=C694,B694&gt;=K694),"A. Distribution",IF(C694&gt;=K694,"B. Manufacturing","C. Prof. services"))</f>
        <v>C. Prof. services</v>
      </c>
      <c r="E694" s="39" t="n">
        <v>0.10229060337011</v>
      </c>
      <c r="F694" s="39" t="n">
        <v>0.322280790585628</v>
      </c>
      <c r="G694" s="39" t="n">
        <v>0.10875270747338</v>
      </c>
      <c r="H694" s="39" t="n">
        <v>0.0785378357043133</v>
      </c>
      <c r="I694" s="39" t="n">
        <v>0.00506750901911932</v>
      </c>
      <c r="J694" s="39" t="n">
        <v>0.38307055384745</v>
      </c>
      <c r="K694" s="38" t="n">
        <f aca="false">E694*Scorecard!$E$18+F694*Scorecard!$E$19+G694*Scorecard!$E$20+H694*Scorecard!$E$21+I694*Scorecard!$E$22+J694*Scorecard!$E$23</f>
        <v>3.7209958527609</v>
      </c>
      <c r="M694" s="0" t="str">
        <f aca="false">IF(AND(T694&gt;=U694,T694&gt;=V694),"A. Distribution",IF(U694&gt;=V694,"B. Manufacturing","C. Prof. services"))</f>
        <v>A. Distribution</v>
      </c>
      <c r="N694" s="39" t="n">
        <v>0.30174086661822</v>
      </c>
      <c r="O694" s="39" t="n">
        <v>0.131573010636231</v>
      </c>
      <c r="P694" s="39" t="n">
        <v>0.202248923171023</v>
      </c>
      <c r="Q694" s="39" t="n">
        <v>0.155067122785749</v>
      </c>
      <c r="R694" s="39" t="n">
        <v>0.165453464620674</v>
      </c>
      <c r="S694" s="39" t="n">
        <v>0.0439166121681037</v>
      </c>
      <c r="T694" s="38" t="n">
        <f aca="false">N694*Scorecard!$C$18+O694*Scorecard!$C$19+P694*Scorecard!$C$20+Q694*Scorecard!$C$21+R694*Scorecard!$C$22+S694*Scorecard!$C$23</f>
        <v>4.00280541271035</v>
      </c>
      <c r="U694" s="38" t="n">
        <f aca="false">N694*Scorecard!$D$18+O694*Scorecard!$D$19+P694*Scorecard!$D$20+Q694*Scorecard!$D$21+R694*Scorecard!$D$22+S694*Scorecard!$D$23</f>
        <v>2.92419323035037</v>
      </c>
      <c r="V694" s="38" t="n">
        <f aca="false">N694*Scorecard!$E$18+O694*Scorecard!$E$19+P694*Scorecard!$E$20+Q694*Scorecard!$E$21+R694*Scorecard!$E$22+S694*Scorecard!$E$23</f>
        <v>3.38732312448287</v>
      </c>
    </row>
    <row r="695" customFormat="false" ht="15" hidden="false" customHeight="false" outlineLevel="0" collapsed="false">
      <c r="A695" s="0" t="n">
        <v>690</v>
      </c>
      <c r="B695" s="38" t="n">
        <f aca="false">E695*Scorecard!$C$18+F695*Scorecard!$C$19+G695*Scorecard!$C$20+H695*Scorecard!$C$21+I695*Scorecard!$C$22+J695*Scorecard!$C$23</f>
        <v>3.76755779105526</v>
      </c>
      <c r="C695" s="38" t="n">
        <f aca="false">E695*Scorecard!$D$18+F695*Scorecard!$D$19+G695*Scorecard!$D$20+H695*Scorecard!$D$21+I695*Scorecard!$D$22+J695*Scorecard!$D$23</f>
        <v>2.77761943531906</v>
      </c>
      <c r="D695" s="0" t="str">
        <f aca="false">IF(AND(B695&gt;=C695,B695&gt;=K695),"A. Distribution",IF(C695&gt;=K695,"B. Manufacturing","C. Prof. services"))</f>
        <v>A. Distribution</v>
      </c>
      <c r="E695" s="39" t="n">
        <v>0.141860420450173</v>
      </c>
      <c r="F695" s="39" t="n">
        <v>0.0884682075640427</v>
      </c>
      <c r="G695" s="39" t="n">
        <v>0.201256516093788</v>
      </c>
      <c r="H695" s="39" t="n">
        <v>0.0322927246911818</v>
      </c>
      <c r="I695" s="39" t="n">
        <v>0.383101460569418</v>
      </c>
      <c r="J695" s="39" t="n">
        <v>0.153020670631397</v>
      </c>
      <c r="K695" s="38" t="n">
        <f aca="false">E695*Scorecard!$E$18+F695*Scorecard!$E$19+G695*Scorecard!$E$20+H695*Scorecard!$E$21+I695*Scorecard!$E$22+J695*Scorecard!$E$23</f>
        <v>3.25074625817733</v>
      </c>
      <c r="M695" s="0" t="str">
        <f aca="false">IF(AND(T695&gt;=U695,T695&gt;=V695),"A. Distribution",IF(U695&gt;=V695,"B. Manufacturing","C. Prof. services"))</f>
        <v>A. Distribution</v>
      </c>
      <c r="N695" s="39" t="n">
        <v>0.295831904050175</v>
      </c>
      <c r="O695" s="39" t="n">
        <v>0.129746597059866</v>
      </c>
      <c r="P695" s="39" t="n">
        <v>0.083731667430117</v>
      </c>
      <c r="Q695" s="39" t="n">
        <v>0.157850728888194</v>
      </c>
      <c r="R695" s="39" t="n">
        <v>0.310641786708702</v>
      </c>
      <c r="S695" s="39" t="n">
        <v>0.0221973158629451</v>
      </c>
      <c r="T695" s="38" t="n">
        <f aca="false">N695*Scorecard!$C$18+O695*Scorecard!$C$19+P695*Scorecard!$C$20+Q695*Scorecard!$C$21+R695*Scorecard!$C$22+S695*Scorecard!$C$23</f>
        <v>4.0445920680829</v>
      </c>
      <c r="U695" s="38" t="n">
        <f aca="false">N695*Scorecard!$D$18+O695*Scorecard!$D$19+P695*Scorecard!$D$20+Q695*Scorecard!$D$21+R695*Scorecard!$D$22+S695*Scorecard!$D$23</f>
        <v>3.11652259918173</v>
      </c>
      <c r="V695" s="38" t="n">
        <f aca="false">N695*Scorecard!$E$18+O695*Scorecard!$E$19+P695*Scorecard!$E$20+Q695*Scorecard!$E$21+R695*Scorecard!$E$22+S695*Scorecard!$E$23</f>
        <v>3.13870545874495</v>
      </c>
    </row>
    <row r="696" customFormat="false" ht="15" hidden="false" customHeight="false" outlineLevel="0" collapsed="false">
      <c r="A696" s="0" t="n">
        <v>691</v>
      </c>
      <c r="B696" s="38" t="n">
        <f aca="false">E696*Scorecard!$C$18+F696*Scorecard!$C$19+G696*Scorecard!$C$20+H696*Scorecard!$C$21+I696*Scorecard!$C$22+J696*Scorecard!$C$23</f>
        <v>3.31668241515609</v>
      </c>
      <c r="C696" s="38" t="n">
        <f aca="false">E696*Scorecard!$D$18+F696*Scorecard!$D$19+G696*Scorecard!$D$20+H696*Scorecard!$D$21+I696*Scorecard!$D$22+J696*Scorecard!$D$23</f>
        <v>3.00378055456488</v>
      </c>
      <c r="D696" s="0" t="str">
        <f aca="false">IF(AND(B696&gt;=C696,B696&gt;=K696),"A. Distribution",IF(C696&gt;=K696,"B. Manufacturing","C. Prof. services"))</f>
        <v>C. Prof. services</v>
      </c>
      <c r="E696" s="39" t="n">
        <v>0.524815895235579</v>
      </c>
      <c r="F696" s="39" t="n">
        <v>0.006398136533021</v>
      </c>
      <c r="G696" s="39" t="n">
        <v>0.0489391899279613</v>
      </c>
      <c r="H696" s="39" t="n">
        <v>0.0293566163022569</v>
      </c>
      <c r="I696" s="39" t="n">
        <v>0.068281784650924</v>
      </c>
      <c r="J696" s="39" t="n">
        <v>0.322208377350258</v>
      </c>
      <c r="K696" s="38" t="n">
        <f aca="false">E696*Scorecard!$E$18+F696*Scorecard!$E$19+G696*Scorecard!$E$20+H696*Scorecard!$E$21+I696*Scorecard!$E$22+J696*Scorecard!$E$23</f>
        <v>3.76764070346861</v>
      </c>
      <c r="M696" s="0" t="str">
        <f aca="false">IF(AND(T696&gt;=U696,T696&gt;=V696),"A. Distribution",IF(U696&gt;=V696,"B. Manufacturing","C. Prof. services"))</f>
        <v>A. Distribution</v>
      </c>
      <c r="N696" s="39" t="n">
        <v>0.122929999632608</v>
      </c>
      <c r="O696" s="39" t="n">
        <v>0.272893187587973</v>
      </c>
      <c r="P696" s="39" t="n">
        <v>0.19261110266739</v>
      </c>
      <c r="Q696" s="39" t="n">
        <v>0.0712004531077762</v>
      </c>
      <c r="R696" s="39" t="n">
        <v>0.127897275248344</v>
      </c>
      <c r="S696" s="39" t="n">
        <v>0.212467981755909</v>
      </c>
      <c r="T696" s="38" t="n">
        <f aca="false">N696*Scorecard!$C$18+O696*Scorecard!$C$19+P696*Scorecard!$C$20+Q696*Scorecard!$C$21+R696*Scorecard!$C$22+S696*Scorecard!$C$23</f>
        <v>3.83041568063927</v>
      </c>
      <c r="U696" s="38" t="n">
        <f aca="false">N696*Scorecard!$D$18+O696*Scorecard!$D$19+P696*Scorecard!$D$20+Q696*Scorecard!$D$21+R696*Scorecard!$D$22+S696*Scorecard!$D$23</f>
        <v>2.47841318252268</v>
      </c>
      <c r="V696" s="38" t="n">
        <f aca="false">N696*Scorecard!$E$18+O696*Scorecard!$E$19+P696*Scorecard!$E$20+Q696*Scorecard!$E$21+R696*Scorecard!$E$22+S696*Scorecard!$E$23</f>
        <v>3.48209321034987</v>
      </c>
    </row>
    <row r="697" customFormat="false" ht="15" hidden="false" customHeight="false" outlineLevel="0" collapsed="false">
      <c r="A697" s="0" t="n">
        <v>692</v>
      </c>
      <c r="B697" s="38" t="n">
        <f aca="false">E697*Scorecard!$C$18+F697*Scorecard!$C$19+G697*Scorecard!$C$20+H697*Scorecard!$C$21+I697*Scorecard!$C$22+J697*Scorecard!$C$23</f>
        <v>4.2200391737433</v>
      </c>
      <c r="C697" s="38" t="n">
        <f aca="false">E697*Scorecard!$D$18+F697*Scorecard!$D$19+G697*Scorecard!$D$20+H697*Scorecard!$D$21+I697*Scorecard!$D$22+J697*Scorecard!$D$23</f>
        <v>2.67825705623481</v>
      </c>
      <c r="D697" s="0" t="str">
        <f aca="false">IF(AND(B697&gt;=C697,B697&gt;=K697),"A. Distribution",IF(C697&gt;=K697,"B. Manufacturing","C. Prof. services"))</f>
        <v>A. Distribution</v>
      </c>
      <c r="E697" s="39" t="n">
        <v>0.0133450178834652</v>
      </c>
      <c r="F697" s="39" t="n">
        <v>0.332171981279049</v>
      </c>
      <c r="G697" s="39" t="n">
        <v>0.104315275704706</v>
      </c>
      <c r="H697" s="39" t="n">
        <v>0.166058144092422</v>
      </c>
      <c r="I697" s="39" t="n">
        <v>0.337525322710282</v>
      </c>
      <c r="J697" s="39" t="n">
        <v>0.0465842583300773</v>
      </c>
      <c r="K697" s="38" t="n">
        <f aca="false">E697*Scorecard!$E$18+F697*Scorecard!$E$19+G697*Scorecard!$E$20+H697*Scorecard!$E$21+I697*Scorecard!$E$22+J697*Scorecard!$E$23</f>
        <v>3.00266817567925</v>
      </c>
      <c r="M697" s="0" t="str">
        <f aca="false">IF(AND(T697&gt;=U697,T697&gt;=V697),"A. Distribution",IF(U697&gt;=V697,"B. Manufacturing","C. Prof. services"))</f>
        <v>A. Distribution</v>
      </c>
      <c r="N697" s="39" t="n">
        <v>0.220668875344805</v>
      </c>
      <c r="O697" s="39" t="n">
        <v>0.344603654956533</v>
      </c>
      <c r="P697" s="39" t="n">
        <v>0.175427980515632</v>
      </c>
      <c r="Q697" s="39" t="n">
        <v>0.0753657420473502</v>
      </c>
      <c r="R697" s="39" t="n">
        <v>0.144811172202627</v>
      </c>
      <c r="S697" s="39" t="n">
        <v>0.0391225749330533</v>
      </c>
      <c r="T697" s="38" t="n">
        <f aca="false">N697*Scorecard!$C$18+O697*Scorecard!$C$19+P697*Scorecard!$C$20+Q697*Scorecard!$C$21+R697*Scorecard!$C$22+S697*Scorecard!$C$23</f>
        <v>4.24052101051105</v>
      </c>
      <c r="U697" s="38" t="n">
        <f aca="false">N697*Scorecard!$D$18+O697*Scorecard!$D$19+P697*Scorecard!$D$20+Q697*Scorecard!$D$21+R697*Scorecard!$D$22+S697*Scorecard!$D$23</f>
        <v>2.82460598826193</v>
      </c>
      <c r="V697" s="38" t="n">
        <f aca="false">N697*Scorecard!$E$18+O697*Scorecard!$E$19+P697*Scorecard!$E$20+Q697*Scorecard!$E$21+R697*Scorecard!$E$22+S697*Scorecard!$E$23</f>
        <v>3.23127432368575</v>
      </c>
    </row>
    <row r="698" customFormat="false" ht="15" hidden="false" customHeight="false" outlineLevel="0" collapsed="false">
      <c r="A698" s="0" t="n">
        <v>693</v>
      </c>
      <c r="B698" s="38" t="n">
        <f aca="false">E698*Scorecard!$C$18+F698*Scorecard!$C$19+G698*Scorecard!$C$20+H698*Scorecard!$C$21+I698*Scorecard!$C$22+J698*Scorecard!$C$23</f>
        <v>3.40436510304181</v>
      </c>
      <c r="C698" s="38" t="n">
        <f aca="false">E698*Scorecard!$D$18+F698*Scorecard!$D$19+G698*Scorecard!$D$20+H698*Scorecard!$D$21+I698*Scorecard!$D$22+J698*Scorecard!$D$23</f>
        <v>2.80839962276133</v>
      </c>
      <c r="D698" s="0" t="str">
        <f aca="false">IF(AND(B698&gt;=C698,B698&gt;=K698),"A. Distribution",IF(C698&gt;=K698,"B. Manufacturing","C. Prof. services"))</f>
        <v>C. Prof. services</v>
      </c>
      <c r="E698" s="39" t="n">
        <v>0.282814881606571</v>
      </c>
      <c r="F698" s="39" t="n">
        <v>0.0183538707677227</v>
      </c>
      <c r="G698" s="39" t="n">
        <v>0.0129167330712584</v>
      </c>
      <c r="H698" s="39" t="n">
        <v>0.155034522842909</v>
      </c>
      <c r="I698" s="39" t="n">
        <v>0.243591285191614</v>
      </c>
      <c r="J698" s="39" t="n">
        <v>0.287288706519925</v>
      </c>
      <c r="K698" s="38" t="n">
        <f aca="false">E698*Scorecard!$E$18+F698*Scorecard!$E$19+G698*Scorecard!$E$20+H698*Scorecard!$E$21+I698*Scorecard!$E$22+J698*Scorecard!$E$23</f>
        <v>3.52359472627595</v>
      </c>
      <c r="M698" s="0" t="str">
        <f aca="false">IF(AND(T698&gt;=U698,T698&gt;=V698),"A. Distribution",IF(U698&gt;=V698,"B. Manufacturing","C. Prof. services"))</f>
        <v>A. Distribution</v>
      </c>
      <c r="N698" s="39" t="n">
        <v>0.176506418942229</v>
      </c>
      <c r="O698" s="39" t="n">
        <v>0.136379206668287</v>
      </c>
      <c r="P698" s="39" t="n">
        <v>0.245627517847154</v>
      </c>
      <c r="Q698" s="39" t="n">
        <v>0.180894179513933</v>
      </c>
      <c r="R698" s="39" t="n">
        <v>0.0991967048320782</v>
      </c>
      <c r="S698" s="39" t="n">
        <v>0.161395972196319</v>
      </c>
      <c r="T698" s="38" t="n">
        <f aca="false">N698*Scorecard!$C$18+O698*Scorecard!$C$19+P698*Scorecard!$C$20+Q698*Scorecard!$C$21+R698*Scorecard!$C$22+S698*Scorecard!$C$23</f>
        <v>3.77992467769625</v>
      </c>
      <c r="U698" s="38" t="n">
        <f aca="false">N698*Scorecard!$D$18+O698*Scorecard!$D$19+P698*Scorecard!$D$20+Q698*Scorecard!$D$21+R698*Scorecard!$D$22+S698*Scorecard!$D$23</f>
        <v>2.53381799121753</v>
      </c>
      <c r="V698" s="38" t="n">
        <f aca="false">N698*Scorecard!$E$18+O698*Scorecard!$E$19+P698*Scorecard!$E$20+Q698*Scorecard!$E$21+R698*Scorecard!$E$22+S698*Scorecard!$E$23</f>
        <v>3.60491735076013</v>
      </c>
    </row>
    <row r="699" customFormat="false" ht="15" hidden="false" customHeight="false" outlineLevel="0" collapsed="false">
      <c r="A699" s="0" t="n">
        <v>694</v>
      </c>
      <c r="B699" s="38" t="n">
        <f aca="false">E699*Scorecard!$C$18+F699*Scorecard!$C$19+G699*Scorecard!$C$20+H699*Scorecard!$C$21+I699*Scorecard!$C$22+J699*Scorecard!$C$23</f>
        <v>4.25306122522616</v>
      </c>
      <c r="C699" s="38" t="n">
        <f aca="false">E699*Scorecard!$D$18+F699*Scorecard!$D$19+G699*Scorecard!$D$20+H699*Scorecard!$D$21+I699*Scorecard!$D$22+J699*Scorecard!$D$23</f>
        <v>3.01120533227609</v>
      </c>
      <c r="D699" s="0" t="str">
        <f aca="false">IF(AND(B699&gt;=C699,B699&gt;=K699),"A. Distribution",IF(C699&gt;=K699,"B. Manufacturing","C. Prof. services"))</f>
        <v>A. Distribution</v>
      </c>
      <c r="E699" s="39" t="n">
        <v>0.349666100602774</v>
      </c>
      <c r="F699" s="39" t="n">
        <v>0.295487390322416</v>
      </c>
      <c r="G699" s="39" t="n">
        <v>0.154560948991581</v>
      </c>
      <c r="H699" s="39" t="n">
        <v>0.11326326165396</v>
      </c>
      <c r="I699" s="39" t="n">
        <v>0.0859480885555266</v>
      </c>
      <c r="J699" s="39" t="n">
        <v>0.0010742098737426</v>
      </c>
      <c r="K699" s="38" t="n">
        <f aca="false">E699*Scorecard!$E$18+F699*Scorecard!$E$19+G699*Scorecard!$E$20+H699*Scorecard!$E$21+I699*Scorecard!$E$22+J699*Scorecard!$E$23</f>
        <v>3.29217773801945</v>
      </c>
      <c r="M699" s="0" t="str">
        <f aca="false">IF(AND(T699&gt;=U699,T699&gt;=V699),"A. Distribution",IF(U699&gt;=V699,"B. Manufacturing","C. Prof. services"))</f>
        <v>A. Distribution</v>
      </c>
      <c r="N699" s="39" t="n">
        <v>0.272258149554285</v>
      </c>
      <c r="O699" s="39" t="n">
        <v>0.12606887526593</v>
      </c>
      <c r="P699" s="39" t="n">
        <v>0.184225994213141</v>
      </c>
      <c r="Q699" s="39" t="n">
        <v>0.223946063439792</v>
      </c>
      <c r="R699" s="39" t="n">
        <v>0.133330266106098</v>
      </c>
      <c r="S699" s="39" t="n">
        <v>0.0601706514207533</v>
      </c>
      <c r="T699" s="38" t="n">
        <f aca="false">N699*Scorecard!$C$18+O699*Scorecard!$C$19+P699*Scorecard!$C$20+Q699*Scorecard!$C$21+R699*Scorecard!$C$22+S699*Scorecard!$C$23</f>
        <v>3.95973852473926</v>
      </c>
      <c r="U699" s="38" t="n">
        <f aca="false">N699*Scorecard!$D$18+O699*Scorecard!$D$19+P699*Scorecard!$D$20+Q699*Scorecard!$D$21+R699*Scorecard!$D$22+S699*Scorecard!$D$23</f>
        <v>2.8307983187416</v>
      </c>
      <c r="V699" s="38" t="n">
        <f aca="false">N699*Scorecard!$E$18+O699*Scorecard!$E$19+P699*Scorecard!$E$20+Q699*Scorecard!$E$21+R699*Scorecard!$E$22+S699*Scorecard!$E$23</f>
        <v>3.44778234499146</v>
      </c>
    </row>
    <row r="700" customFormat="false" ht="15" hidden="false" customHeight="false" outlineLevel="0" collapsed="false">
      <c r="A700" s="0" t="n">
        <v>695</v>
      </c>
      <c r="B700" s="38" t="n">
        <f aca="false">E700*Scorecard!$C$18+F700*Scorecard!$C$19+G700*Scorecard!$C$20+H700*Scorecard!$C$21+I700*Scorecard!$C$22+J700*Scorecard!$C$23</f>
        <v>4.13990933960746</v>
      </c>
      <c r="C700" s="38" t="n">
        <f aca="false">E700*Scorecard!$D$18+F700*Scorecard!$D$19+G700*Scorecard!$D$20+H700*Scorecard!$D$21+I700*Scorecard!$D$22+J700*Scorecard!$D$23</f>
        <v>2.66998075752631</v>
      </c>
      <c r="D700" s="0" t="str">
        <f aca="false">IF(AND(B700&gt;=C700,B700&gt;=K700),"A. Distribution",IF(C700&gt;=K700,"B. Manufacturing","C. Prof. services"))</f>
        <v>A. Distribution</v>
      </c>
      <c r="E700" s="39" t="n">
        <v>0.188538011060415</v>
      </c>
      <c r="F700" s="39" t="n">
        <v>0.317217970460602</v>
      </c>
      <c r="G700" s="39" t="n">
        <v>0.243235147820529</v>
      </c>
      <c r="H700" s="39" t="n">
        <v>0.0695959194063592</v>
      </c>
      <c r="I700" s="39" t="n">
        <v>0.104076690542505</v>
      </c>
      <c r="J700" s="39" t="n">
        <v>0.0773362607095899</v>
      </c>
      <c r="K700" s="38" t="n">
        <f aca="false">E700*Scorecard!$E$18+F700*Scorecard!$E$19+G700*Scorecard!$E$20+H700*Scorecard!$E$21+I700*Scorecard!$E$22+J700*Scorecard!$E$23</f>
        <v>3.36896327067113</v>
      </c>
      <c r="M700" s="0" t="str">
        <f aca="false">IF(AND(T700&gt;=U700,T700&gt;=V700),"A. Distribution",IF(U700&gt;=V700,"B. Manufacturing","C. Prof. services"))</f>
        <v>A. Distribution</v>
      </c>
      <c r="N700" s="39" t="n">
        <v>0.146192500717858</v>
      </c>
      <c r="O700" s="39" t="n">
        <v>0.121433605912757</v>
      </c>
      <c r="P700" s="39" t="n">
        <v>0.236322208891857</v>
      </c>
      <c r="Q700" s="39" t="n">
        <v>0.175328145008049</v>
      </c>
      <c r="R700" s="39" t="n">
        <v>0.276754977911668</v>
      </c>
      <c r="S700" s="39" t="n">
        <v>0.043968561557811</v>
      </c>
      <c r="T700" s="38" t="n">
        <f aca="false">N700*Scorecard!$C$18+O700*Scorecard!$C$19+P700*Scorecard!$C$20+Q700*Scorecard!$C$21+R700*Scorecard!$C$22+S700*Scorecard!$C$23</f>
        <v>4.00286744833823</v>
      </c>
      <c r="U700" s="38" t="n">
        <f aca="false">N700*Scorecard!$D$18+O700*Scorecard!$D$19+P700*Scorecard!$D$20+Q700*Scorecard!$D$21+R700*Scorecard!$D$22+S700*Scorecard!$D$23</f>
        <v>2.7583898774645</v>
      </c>
      <c r="V700" s="38" t="n">
        <f aca="false">N700*Scorecard!$E$18+O700*Scorecard!$E$19+P700*Scorecard!$E$20+Q700*Scorecard!$E$21+R700*Scorecard!$E$22+S700*Scorecard!$E$23</f>
        <v>3.28511098719091</v>
      </c>
    </row>
    <row r="701" customFormat="false" ht="15" hidden="false" customHeight="false" outlineLevel="0" collapsed="false">
      <c r="A701" s="0" t="n">
        <v>696</v>
      </c>
      <c r="B701" s="38" t="n">
        <f aca="false">E701*Scorecard!$C$18+F701*Scorecard!$C$19+G701*Scorecard!$C$20+H701*Scorecard!$C$21+I701*Scorecard!$C$22+J701*Scorecard!$C$23</f>
        <v>4.36881649974318</v>
      </c>
      <c r="C701" s="38" t="n">
        <f aca="false">E701*Scorecard!$D$18+F701*Scorecard!$D$19+G701*Scorecard!$D$20+H701*Scorecard!$D$21+I701*Scorecard!$D$22+J701*Scorecard!$D$23</f>
        <v>2.98141584807497</v>
      </c>
      <c r="D701" s="0" t="str">
        <f aca="false">IF(AND(B701&gt;=C701,B701&gt;=K701),"A. Distribution",IF(C701&gt;=K701,"B. Manufacturing","C. Prof. services"))</f>
        <v>A. Distribution</v>
      </c>
      <c r="E701" s="39" t="n">
        <v>0.314112783871564</v>
      </c>
      <c r="F701" s="39" t="n">
        <v>0.420218304177744</v>
      </c>
      <c r="G701" s="39" t="n">
        <v>0.0508876994040351</v>
      </c>
      <c r="H701" s="39" t="n">
        <v>0.147671366912635</v>
      </c>
      <c r="I701" s="39" t="n">
        <v>0.0619743323429066</v>
      </c>
      <c r="J701" s="39" t="n">
        <v>0.00513551329111523</v>
      </c>
      <c r="K701" s="38" t="n">
        <f aca="false">E701*Scorecard!$E$18+F701*Scorecard!$E$19+G701*Scorecard!$E$20+H701*Scorecard!$E$21+I701*Scorecard!$E$22+J701*Scorecard!$E$23</f>
        <v>3.19158246101884</v>
      </c>
      <c r="M701" s="0" t="str">
        <f aca="false">IF(AND(T701&gt;=U701,T701&gt;=V701),"A. Distribution",IF(U701&gt;=V701,"B. Manufacturing","C. Prof. services"))</f>
        <v>A. Distribution</v>
      </c>
      <c r="N701" s="39" t="n">
        <v>0.15634091606127</v>
      </c>
      <c r="O701" s="39" t="n">
        <v>0.102999523522842</v>
      </c>
      <c r="P701" s="39" t="n">
        <v>0.248768101496297</v>
      </c>
      <c r="Q701" s="39" t="n">
        <v>0.0810262556757051</v>
      </c>
      <c r="R701" s="39" t="n">
        <v>0.356833488731105</v>
      </c>
      <c r="S701" s="39" t="n">
        <v>0.0540317145127806</v>
      </c>
      <c r="T701" s="38" t="n">
        <f aca="false">N701*Scorecard!$C$18+O701*Scorecard!$C$19+P701*Scorecard!$C$20+Q701*Scorecard!$C$21+R701*Scorecard!$C$22+S701*Scorecard!$C$23</f>
        <v>3.97365336044332</v>
      </c>
      <c r="U701" s="38" t="n">
        <f aca="false">N701*Scorecard!$D$18+O701*Scorecard!$D$19+P701*Scorecard!$D$20+Q701*Scorecard!$D$21+R701*Scorecard!$D$22+S701*Scorecard!$D$23</f>
        <v>2.84333203070085</v>
      </c>
      <c r="V701" s="38" t="n">
        <f aca="false">N701*Scorecard!$E$18+O701*Scorecard!$E$19+P701*Scorecard!$E$20+Q701*Scorecard!$E$21+R701*Scorecard!$E$22+S701*Scorecard!$E$23</f>
        <v>3.20448180415089</v>
      </c>
    </row>
    <row r="702" customFormat="false" ht="15" hidden="false" customHeight="false" outlineLevel="0" collapsed="false">
      <c r="A702" s="0" t="n">
        <v>697</v>
      </c>
      <c r="B702" s="38" t="n">
        <f aca="false">E702*Scorecard!$C$18+F702*Scorecard!$C$19+G702*Scorecard!$C$20+H702*Scorecard!$C$21+I702*Scorecard!$C$22+J702*Scorecard!$C$23</f>
        <v>4.055288051819</v>
      </c>
      <c r="C702" s="38" t="n">
        <f aca="false">E702*Scorecard!$D$18+F702*Scorecard!$D$19+G702*Scorecard!$D$20+H702*Scorecard!$D$21+I702*Scorecard!$D$22+J702*Scorecard!$D$23</f>
        <v>2.97387421422753</v>
      </c>
      <c r="D702" s="0" t="str">
        <f aca="false">IF(AND(B702&gt;=C702,B702&gt;=K702),"A. Distribution",IF(C702&gt;=K702,"B. Manufacturing","C. Prof. services"))</f>
        <v>A. Distribution</v>
      </c>
      <c r="E702" s="39" t="n">
        <v>0.110262268682609</v>
      </c>
      <c r="F702" s="39" t="n">
        <v>0.164544206141677</v>
      </c>
      <c r="G702" s="39" t="n">
        <v>0.150774865846521</v>
      </c>
      <c r="H702" s="39" t="n">
        <v>0.0108661629504768</v>
      </c>
      <c r="I702" s="39" t="n">
        <v>0.513936137739098</v>
      </c>
      <c r="J702" s="39" t="n">
        <v>0.0496163586396185</v>
      </c>
      <c r="K702" s="38" t="n">
        <f aca="false">E702*Scorecard!$E$18+F702*Scorecard!$E$19+G702*Scorecard!$E$20+H702*Scorecard!$E$21+I702*Scorecard!$E$22+J702*Scorecard!$E$23</f>
        <v>2.91284650876563</v>
      </c>
      <c r="M702" s="0" t="str">
        <f aca="false">IF(AND(T702&gt;=U702,T702&gt;=V702),"A. Distribution",IF(U702&gt;=V702,"B. Manufacturing","C. Prof. services"))</f>
        <v>A. Distribution</v>
      </c>
      <c r="N702" s="39" t="n">
        <v>0.490237054227521</v>
      </c>
      <c r="O702" s="39" t="n">
        <v>0.0498251432501492</v>
      </c>
      <c r="P702" s="39" t="n">
        <v>0.0894498660055959</v>
      </c>
      <c r="Q702" s="39" t="n">
        <v>0.0874641435787684</v>
      </c>
      <c r="R702" s="39" t="n">
        <v>0.185199414720951</v>
      </c>
      <c r="S702" s="39" t="n">
        <v>0.097824378217015</v>
      </c>
      <c r="T702" s="38" t="n">
        <f aca="false">N702*Scorecard!$C$18+O702*Scorecard!$C$19+P702*Scorecard!$C$20+Q702*Scorecard!$C$21+R702*Scorecard!$C$22+S702*Scorecard!$C$23</f>
        <v>3.80539252349676</v>
      </c>
      <c r="U702" s="38" t="n">
        <f aca="false">N702*Scorecard!$D$18+O702*Scorecard!$D$19+P702*Scorecard!$D$20+Q702*Scorecard!$D$21+R702*Scorecard!$D$22+S702*Scorecard!$D$23</f>
        <v>3.24188616420337</v>
      </c>
      <c r="V702" s="38" t="n">
        <f aca="false">N702*Scorecard!$E$18+O702*Scorecard!$E$19+P702*Scorecard!$E$20+Q702*Scorecard!$E$21+R702*Scorecard!$E$22+S702*Scorecard!$E$23</f>
        <v>3.40695251538431</v>
      </c>
    </row>
    <row r="703" customFormat="false" ht="15" hidden="false" customHeight="false" outlineLevel="0" collapsed="false">
      <c r="A703" s="0" t="n">
        <v>698</v>
      </c>
      <c r="B703" s="38" t="n">
        <f aca="false">E703*Scorecard!$C$18+F703*Scorecard!$C$19+G703*Scorecard!$C$20+H703*Scorecard!$C$21+I703*Scorecard!$C$22+J703*Scorecard!$C$23</f>
        <v>4.09807144389739</v>
      </c>
      <c r="C703" s="38" t="n">
        <f aca="false">E703*Scorecard!$D$18+F703*Scorecard!$D$19+G703*Scorecard!$D$20+H703*Scorecard!$D$21+I703*Scorecard!$D$22+J703*Scorecard!$D$23</f>
        <v>2.93818141912096</v>
      </c>
      <c r="D703" s="0" t="str">
        <f aca="false">IF(AND(B703&gt;=C703,B703&gt;=K703),"A. Distribution",IF(C703&gt;=K703,"B. Manufacturing","C. Prof. services"))</f>
        <v>A. Distribution</v>
      </c>
      <c r="E703" s="39" t="n">
        <v>0.38257294233728</v>
      </c>
      <c r="F703" s="39" t="n">
        <v>0.404153678341137</v>
      </c>
      <c r="G703" s="39" t="n">
        <v>0.0515915688257637</v>
      </c>
      <c r="H703" s="39" t="n">
        <v>0.0139803586495667</v>
      </c>
      <c r="I703" s="39" t="n">
        <v>0.0107713038169206</v>
      </c>
      <c r="J703" s="39" t="n">
        <v>0.136930148029332</v>
      </c>
      <c r="K703" s="38" t="n">
        <f aca="false">E703*Scorecard!$E$18+F703*Scorecard!$E$19+G703*Scorecard!$E$20+H703*Scorecard!$E$21+I703*Scorecard!$E$22+J703*Scorecard!$E$23</f>
        <v>3.37152082583935</v>
      </c>
      <c r="M703" s="0" t="str">
        <f aca="false">IF(AND(T703&gt;=U703,T703&gt;=V703),"A. Distribution",IF(U703&gt;=V703,"B. Manufacturing","C. Prof. services"))</f>
        <v>A. Distribution</v>
      </c>
      <c r="N703" s="39" t="n">
        <v>0.160915851191804</v>
      </c>
      <c r="O703" s="39" t="n">
        <v>0.221126713771622</v>
      </c>
      <c r="P703" s="39" t="n">
        <v>0.180684086854233</v>
      </c>
      <c r="Q703" s="39" t="n">
        <v>0.220189343462192</v>
      </c>
      <c r="R703" s="39" t="n">
        <v>0.0972025970951413</v>
      </c>
      <c r="S703" s="39" t="n">
        <v>0.119881407625008</v>
      </c>
      <c r="T703" s="38" t="n">
        <f aca="false">N703*Scorecard!$C$18+O703*Scorecard!$C$19+P703*Scorecard!$C$20+Q703*Scorecard!$C$21+R703*Scorecard!$C$22+S703*Scorecard!$C$23</f>
        <v>3.94471895332421</v>
      </c>
      <c r="U703" s="38" t="n">
        <f aca="false">N703*Scorecard!$D$18+O703*Scorecard!$D$19+P703*Scorecard!$D$20+Q703*Scorecard!$D$21+R703*Scorecard!$D$22+S703*Scorecard!$D$23</f>
        <v>2.57675745314695</v>
      </c>
      <c r="V703" s="38" t="n">
        <f aca="false">N703*Scorecard!$E$18+O703*Scorecard!$E$19+P703*Scorecard!$E$20+Q703*Scorecard!$E$21+R703*Scorecard!$E$22+S703*Scorecard!$E$23</f>
        <v>3.48111773316664</v>
      </c>
    </row>
    <row r="704" customFormat="false" ht="15" hidden="false" customHeight="false" outlineLevel="0" collapsed="false">
      <c r="A704" s="0" t="n">
        <v>699</v>
      </c>
      <c r="B704" s="38" t="n">
        <f aca="false">E704*Scorecard!$C$18+F704*Scorecard!$C$19+G704*Scorecard!$C$20+H704*Scorecard!$C$21+I704*Scorecard!$C$22+J704*Scorecard!$C$23</f>
        <v>3.11915121028944</v>
      </c>
      <c r="C704" s="38" t="n">
        <f aca="false">E704*Scorecard!$D$18+F704*Scorecard!$D$19+G704*Scorecard!$D$20+H704*Scorecard!$D$21+I704*Scorecard!$D$22+J704*Scorecard!$D$23</f>
        <v>2.38726265704623</v>
      </c>
      <c r="D704" s="0" t="str">
        <f aca="false">IF(AND(B704&gt;=C704,B704&gt;=K704),"A. Distribution",IF(C704&gt;=K704,"B. Manufacturing","C. Prof. services"))</f>
        <v>C. Prof. services</v>
      </c>
      <c r="E704" s="39" t="n">
        <v>0.228442455373498</v>
      </c>
      <c r="F704" s="39" t="n">
        <v>0.0380314430756289</v>
      </c>
      <c r="G704" s="39" t="n">
        <v>0.0191668526880085</v>
      </c>
      <c r="H704" s="39" t="n">
        <v>0.235685788318893</v>
      </c>
      <c r="I704" s="39" t="n">
        <v>0.0411014387947391</v>
      </c>
      <c r="J704" s="39" t="n">
        <v>0.437572021749233</v>
      </c>
      <c r="K704" s="38" t="n">
        <f aca="false">E704*Scorecard!$E$18+F704*Scorecard!$E$19+G704*Scorecard!$E$20+H704*Scorecard!$E$21+I704*Scorecard!$E$22+J704*Scorecard!$E$23</f>
        <v>3.91351042043519</v>
      </c>
      <c r="M704" s="0" t="str">
        <f aca="false">IF(AND(T704&gt;=U704,T704&gt;=V704),"A. Distribution",IF(U704&gt;=V704,"B. Manufacturing","C. Prof. services"))</f>
        <v>A. Distribution</v>
      </c>
      <c r="N704" s="39" t="n">
        <v>0.200356343681415</v>
      </c>
      <c r="O704" s="39" t="n">
        <v>0.181404892749497</v>
      </c>
      <c r="P704" s="39" t="n">
        <v>0.218398505174767</v>
      </c>
      <c r="Q704" s="39" t="n">
        <v>0.126976836703915</v>
      </c>
      <c r="R704" s="39" t="n">
        <v>0.188527734921887</v>
      </c>
      <c r="S704" s="39" t="n">
        <v>0.0843356867685187</v>
      </c>
      <c r="T704" s="38" t="n">
        <f aca="false">N704*Scorecard!$C$18+O704*Scorecard!$C$19+P704*Scorecard!$C$20+Q704*Scorecard!$C$21+R704*Scorecard!$C$22+S704*Scorecard!$C$23</f>
        <v>3.98296572649359</v>
      </c>
      <c r="U704" s="38" t="n">
        <f aca="false">N704*Scorecard!$D$18+O704*Scorecard!$D$19+P704*Scorecard!$D$20+Q704*Scorecard!$D$21+R704*Scorecard!$D$22+S704*Scorecard!$D$23</f>
        <v>2.74780638520009</v>
      </c>
      <c r="V704" s="38" t="n">
        <f aca="false">N704*Scorecard!$E$18+O704*Scorecard!$E$19+P704*Scorecard!$E$20+Q704*Scorecard!$E$21+R704*Scorecard!$E$22+S704*Scorecard!$E$23</f>
        <v>3.36938475802986</v>
      </c>
    </row>
    <row r="705" customFormat="false" ht="15" hidden="false" customHeight="false" outlineLevel="0" collapsed="false">
      <c r="A705" s="0" t="n">
        <v>700</v>
      </c>
      <c r="B705" s="38" t="n">
        <f aca="false">E705*Scorecard!$C$18+F705*Scorecard!$C$19+G705*Scorecard!$C$20+H705*Scorecard!$C$21+I705*Scorecard!$C$22+J705*Scorecard!$C$23</f>
        <v>3.99339738964889</v>
      </c>
      <c r="C705" s="38" t="n">
        <f aca="false">E705*Scorecard!$D$18+F705*Scorecard!$D$19+G705*Scorecard!$D$20+H705*Scorecard!$D$21+I705*Scorecard!$D$22+J705*Scorecard!$D$23</f>
        <v>2.54635301965633</v>
      </c>
      <c r="D705" s="0" t="str">
        <f aca="false">IF(AND(B705&gt;=C705,B705&gt;=K705),"A. Distribution",IF(C705&gt;=K705,"B. Manufacturing","C. Prof. services"))</f>
        <v>A. Distribution</v>
      </c>
      <c r="E705" s="39" t="n">
        <v>0.133387965919454</v>
      </c>
      <c r="F705" s="39" t="n">
        <v>0.17465160404394</v>
      </c>
      <c r="G705" s="39" t="n">
        <v>0.412029504798144</v>
      </c>
      <c r="H705" s="39" t="n">
        <v>0.0349907248619714</v>
      </c>
      <c r="I705" s="39" t="n">
        <v>0.161552873340804</v>
      </c>
      <c r="J705" s="39" t="n">
        <v>0.0833873270356871</v>
      </c>
      <c r="K705" s="38" t="n">
        <f aca="false">E705*Scorecard!$E$18+F705*Scorecard!$E$19+G705*Scorecard!$E$20+H705*Scorecard!$E$21+I705*Scorecard!$E$22+J705*Scorecard!$E$23</f>
        <v>3.48551320440119</v>
      </c>
      <c r="M705" s="0" t="str">
        <f aca="false">IF(AND(T705&gt;=U705,T705&gt;=V705),"A. Distribution",IF(U705&gt;=V705,"B. Manufacturing","C. Prof. services"))</f>
        <v>A. Distribution</v>
      </c>
      <c r="N705" s="39" t="n">
        <v>0.270877673806134</v>
      </c>
      <c r="O705" s="39" t="n">
        <v>0.179490167247676</v>
      </c>
      <c r="P705" s="39" t="n">
        <v>0.26381239486998</v>
      </c>
      <c r="Q705" s="39" t="n">
        <v>0.0928549168750224</v>
      </c>
      <c r="R705" s="39" t="n">
        <v>0.0746557255326505</v>
      </c>
      <c r="S705" s="39" t="n">
        <v>0.118309121668537</v>
      </c>
      <c r="T705" s="38" t="n">
        <f aca="false">N705*Scorecard!$C$18+O705*Scorecard!$C$19+P705*Scorecard!$C$20+Q705*Scorecard!$C$21+R705*Scorecard!$C$22+S705*Scorecard!$C$23</f>
        <v>3.91111885813398</v>
      </c>
      <c r="U705" s="38" t="n">
        <f aca="false">N705*Scorecard!$D$18+O705*Scorecard!$D$19+P705*Scorecard!$D$20+Q705*Scorecard!$D$21+R705*Scorecard!$D$22+S705*Scorecard!$D$23</f>
        <v>2.71069456180416</v>
      </c>
      <c r="V705" s="38" t="n">
        <f aca="false">N705*Scorecard!$E$18+O705*Scorecard!$E$19+P705*Scorecard!$E$20+Q705*Scorecard!$E$21+R705*Scorecard!$E$22+S705*Scorecard!$E$23</f>
        <v>3.55435064056367</v>
      </c>
    </row>
    <row r="706" customFormat="false" ht="15" hidden="false" customHeight="false" outlineLevel="0" collapsed="false">
      <c r="A706" s="0" t="n">
        <v>701</v>
      </c>
      <c r="B706" s="38" t="n">
        <f aca="false">E706*Scorecard!$C$18+F706*Scorecard!$C$19+G706*Scorecard!$C$20+H706*Scorecard!$C$21+I706*Scorecard!$C$22+J706*Scorecard!$C$23</f>
        <v>3.10437619029439</v>
      </c>
      <c r="C706" s="38" t="n">
        <f aca="false">E706*Scorecard!$D$18+F706*Scorecard!$D$19+G706*Scorecard!$D$20+H706*Scorecard!$D$21+I706*Scorecard!$D$22+J706*Scorecard!$D$23</f>
        <v>2.10778594557097</v>
      </c>
      <c r="D706" s="0" t="str">
        <f aca="false">IF(AND(B706&gt;=C706,B706&gt;=K706),"A. Distribution",IF(C706&gt;=K706,"B. Manufacturing","C. Prof. services"))</f>
        <v>C. Prof. services</v>
      </c>
      <c r="E706" s="39" t="n">
        <v>0.0175655923298815</v>
      </c>
      <c r="F706" s="39" t="n">
        <v>0.11210029295906</v>
      </c>
      <c r="G706" s="39" t="n">
        <v>0.00437294795012278</v>
      </c>
      <c r="H706" s="39" t="n">
        <v>0.232734829414377</v>
      </c>
      <c r="I706" s="39" t="n">
        <v>0.142608085585623</v>
      </c>
      <c r="J706" s="39" t="n">
        <v>0.490618251760936</v>
      </c>
      <c r="K706" s="38" t="n">
        <f aca="false">E706*Scorecard!$E$18+F706*Scorecard!$E$19+G706*Scorecard!$E$20+H706*Scorecard!$E$21+I706*Scorecard!$E$22+J706*Scorecard!$E$23</f>
        <v>3.78871278489713</v>
      </c>
      <c r="M706" s="0" t="str">
        <f aca="false">IF(AND(T706&gt;=U706,T706&gt;=V706),"A. Distribution",IF(U706&gt;=V706,"B. Manufacturing","C. Prof. services"))</f>
        <v>A. Distribution</v>
      </c>
      <c r="N706" s="39" t="n">
        <v>0.254395332729711</v>
      </c>
      <c r="O706" s="39" t="n">
        <v>0.0895053242198761</v>
      </c>
      <c r="P706" s="39" t="n">
        <v>0.186326799616681</v>
      </c>
      <c r="Q706" s="39" t="n">
        <v>0.218752788773897</v>
      </c>
      <c r="R706" s="39" t="n">
        <v>0.178723698451717</v>
      </c>
      <c r="S706" s="39" t="n">
        <v>0.0722960562081187</v>
      </c>
      <c r="T706" s="38" t="n">
        <f aca="false">N706*Scorecard!$C$18+O706*Scorecard!$C$19+P706*Scorecard!$C$20+Q706*Scorecard!$C$21+R706*Scorecard!$C$22+S706*Scorecard!$C$23</f>
        <v>3.90091789041013</v>
      </c>
      <c r="U706" s="38" t="n">
        <f aca="false">N706*Scorecard!$D$18+O706*Scorecard!$D$19+P706*Scorecard!$D$20+Q706*Scorecard!$D$21+R706*Scorecard!$D$22+S706*Scorecard!$D$23</f>
        <v>2.82822641106198</v>
      </c>
      <c r="V706" s="38" t="n">
        <f aca="false">N706*Scorecard!$E$18+O706*Scorecard!$E$19+P706*Scorecard!$E$20+Q706*Scorecard!$E$21+R706*Scorecard!$E$22+S706*Scorecard!$E$23</f>
        <v>3.43252654604592</v>
      </c>
    </row>
    <row r="707" customFormat="false" ht="15" hidden="false" customHeight="false" outlineLevel="0" collapsed="false">
      <c r="A707" s="0" t="n">
        <v>702</v>
      </c>
      <c r="B707" s="38" t="n">
        <f aca="false">E707*Scorecard!$C$18+F707*Scorecard!$C$19+G707*Scorecard!$C$20+H707*Scorecard!$C$21+I707*Scorecard!$C$22+J707*Scorecard!$C$23</f>
        <v>4.01124118846932</v>
      </c>
      <c r="C707" s="38" t="n">
        <f aca="false">E707*Scorecard!$D$18+F707*Scorecard!$D$19+G707*Scorecard!$D$20+H707*Scorecard!$D$21+I707*Scorecard!$D$22+J707*Scorecard!$D$23</f>
        <v>2.53688209271926</v>
      </c>
      <c r="D707" s="0" t="str">
        <f aca="false">IF(AND(B707&gt;=C707,B707&gt;=K707),"A. Distribution",IF(C707&gt;=K707,"B. Manufacturing","C. Prof. services"))</f>
        <v>A. Distribution</v>
      </c>
      <c r="E707" s="39" t="n">
        <v>0.102681168255221</v>
      </c>
      <c r="F707" s="39" t="n">
        <v>0.41965039106868</v>
      </c>
      <c r="G707" s="39" t="n">
        <v>0.0336717462929391</v>
      </c>
      <c r="H707" s="39" t="n">
        <v>0.125638407627471</v>
      </c>
      <c r="I707" s="39" t="n">
        <v>0.125044461293898</v>
      </c>
      <c r="J707" s="39" t="n">
        <v>0.193313825461791</v>
      </c>
      <c r="K707" s="38" t="n">
        <f aca="false">E707*Scorecard!$E$18+F707*Scorecard!$E$19+G707*Scorecard!$E$20+H707*Scorecard!$E$21+I707*Scorecard!$E$22+J707*Scorecard!$E$23</f>
        <v>3.29415378263417</v>
      </c>
      <c r="M707" s="0" t="str">
        <f aca="false">IF(AND(T707&gt;=U707,T707&gt;=V707),"A. Distribution",IF(U707&gt;=V707,"B. Manufacturing","C. Prof. services"))</f>
        <v>A. Distribution</v>
      </c>
      <c r="N707" s="39" t="n">
        <v>0.18461159539693</v>
      </c>
      <c r="O707" s="39" t="n">
        <v>0.197138157352321</v>
      </c>
      <c r="P707" s="39" t="n">
        <v>0.0855353421258892</v>
      </c>
      <c r="Q707" s="39" t="n">
        <v>0.227280344472555</v>
      </c>
      <c r="R707" s="39" t="n">
        <v>0.251418780986591</v>
      </c>
      <c r="S707" s="39" t="n">
        <v>0.054015779665714</v>
      </c>
      <c r="T707" s="38" t="n">
        <f aca="false">N707*Scorecard!$C$18+O707*Scorecard!$C$19+P707*Scorecard!$C$20+Q707*Scorecard!$C$21+R707*Scorecard!$C$22+S707*Scorecard!$C$23</f>
        <v>4.04979513849483</v>
      </c>
      <c r="U707" s="38" t="n">
        <f aca="false">N707*Scorecard!$D$18+O707*Scorecard!$D$19+P707*Scorecard!$D$20+Q707*Scorecard!$D$21+R707*Scorecard!$D$22+S707*Scorecard!$D$23</f>
        <v>2.85261386017558</v>
      </c>
      <c r="V707" s="38" t="n">
        <f aca="false">N707*Scorecard!$E$18+O707*Scorecard!$E$19+P707*Scorecard!$E$20+Q707*Scorecard!$E$21+R707*Scorecard!$E$22+S707*Scorecard!$E$23</f>
        <v>3.2056619921533</v>
      </c>
    </row>
    <row r="708" customFormat="false" ht="15" hidden="false" customHeight="false" outlineLevel="0" collapsed="false">
      <c r="A708" s="0" t="n">
        <v>703</v>
      </c>
      <c r="B708" s="38" t="n">
        <f aca="false">E708*Scorecard!$C$18+F708*Scorecard!$C$19+G708*Scorecard!$C$20+H708*Scorecard!$C$21+I708*Scorecard!$C$22+J708*Scorecard!$C$23</f>
        <v>4.1667354703786</v>
      </c>
      <c r="C708" s="38" t="n">
        <f aca="false">E708*Scorecard!$D$18+F708*Scorecard!$D$19+G708*Scorecard!$D$20+H708*Scorecard!$D$21+I708*Scorecard!$D$22+J708*Scorecard!$D$23</f>
        <v>3.25074903470878</v>
      </c>
      <c r="D708" s="0" t="str">
        <f aca="false">IF(AND(B708&gt;=C708,B708&gt;=K708),"A. Distribution",IF(C708&gt;=K708,"B. Manufacturing","C. Prof. services"))</f>
        <v>A. Distribution</v>
      </c>
      <c r="E708" s="39" t="n">
        <v>0.490674237030126</v>
      </c>
      <c r="F708" s="39" t="n">
        <v>0.267272571975187</v>
      </c>
      <c r="G708" s="39" t="n">
        <v>0.0130303610318657</v>
      </c>
      <c r="H708" s="39" t="n">
        <v>0.141109891034239</v>
      </c>
      <c r="I708" s="39" t="n">
        <v>0.0649440501718573</v>
      </c>
      <c r="J708" s="39" t="n">
        <v>0.0229688887567263</v>
      </c>
      <c r="K708" s="38" t="n">
        <f aca="false">E708*Scorecard!$E$18+F708*Scorecard!$E$19+G708*Scorecard!$E$20+H708*Scorecard!$E$21+I708*Scorecard!$E$22+J708*Scorecard!$E$23</f>
        <v>3.29224898462611</v>
      </c>
      <c r="M708" s="0" t="str">
        <f aca="false">IF(AND(T708&gt;=U708,T708&gt;=V708),"A. Distribution",IF(U708&gt;=V708,"B. Manufacturing","C. Prof. services"))</f>
        <v>A. Distribution</v>
      </c>
      <c r="N708" s="39" t="n">
        <v>0.33356242694436</v>
      </c>
      <c r="O708" s="39" t="n">
        <v>0.156469300720231</v>
      </c>
      <c r="P708" s="39" t="n">
        <v>0.12383288270001</v>
      </c>
      <c r="Q708" s="39" t="n">
        <v>0.0853031454430612</v>
      </c>
      <c r="R708" s="39" t="n">
        <v>0.263210871644851</v>
      </c>
      <c r="S708" s="39" t="n">
        <v>0.0376213725474869</v>
      </c>
      <c r="T708" s="38" t="n">
        <f aca="false">N708*Scorecard!$C$18+O708*Scorecard!$C$19+P708*Scorecard!$C$20+Q708*Scorecard!$C$21+R708*Scorecard!$C$22+S708*Scorecard!$C$23</f>
        <v>4.04525444117824</v>
      </c>
      <c r="U708" s="38" t="n">
        <f aca="false">N708*Scorecard!$D$18+O708*Scorecard!$D$19+P708*Scorecard!$D$20+Q708*Scorecard!$D$21+R708*Scorecard!$D$22+S708*Scorecard!$D$23</f>
        <v>3.1148667507579</v>
      </c>
      <c r="V708" s="38" t="n">
        <f aca="false">N708*Scorecard!$E$18+O708*Scorecard!$E$19+P708*Scorecard!$E$20+Q708*Scorecard!$E$21+R708*Scorecard!$E$22+S708*Scorecard!$E$23</f>
        <v>3.1983890888829</v>
      </c>
    </row>
    <row r="709" customFormat="false" ht="15" hidden="false" customHeight="false" outlineLevel="0" collapsed="false">
      <c r="A709" s="0" t="n">
        <v>704</v>
      </c>
      <c r="B709" s="38" t="n">
        <f aca="false">E709*Scorecard!$C$18+F709*Scorecard!$C$19+G709*Scorecard!$C$20+H709*Scorecard!$C$21+I709*Scorecard!$C$22+J709*Scorecard!$C$23</f>
        <v>3.30727938911107</v>
      </c>
      <c r="C709" s="38" t="n">
        <f aca="false">E709*Scorecard!$D$18+F709*Scorecard!$D$19+G709*Scorecard!$D$20+H709*Scorecard!$D$21+I709*Scorecard!$D$22+J709*Scorecard!$D$23</f>
        <v>2.36156889098996</v>
      </c>
      <c r="D709" s="0" t="str">
        <f aca="false">IF(AND(B709&gt;=C709,B709&gt;=K709),"A. Distribution",IF(C709&gt;=K709,"B. Manufacturing","C. Prof. services"))</f>
        <v>C. Prof. services</v>
      </c>
      <c r="E709" s="39" t="n">
        <v>0.18758319966688</v>
      </c>
      <c r="F709" s="39" t="n">
        <v>0.146688151227797</v>
      </c>
      <c r="G709" s="39" t="n">
        <v>0.00991201093841504</v>
      </c>
      <c r="H709" s="39" t="n">
        <v>0.227594771339725</v>
      </c>
      <c r="I709" s="39" t="n">
        <v>0.0283094456285977</v>
      </c>
      <c r="J709" s="39" t="n">
        <v>0.399912421198585</v>
      </c>
      <c r="K709" s="38" t="n">
        <f aca="false">E709*Scorecard!$E$18+F709*Scorecard!$E$19+G709*Scorecard!$E$20+H709*Scorecard!$E$21+I709*Scorecard!$E$22+J709*Scorecard!$E$23</f>
        <v>3.8091868472597</v>
      </c>
      <c r="M709" s="0" t="str">
        <f aca="false">IF(AND(T709&gt;=U709,T709&gt;=V709),"A. Distribution",IF(U709&gt;=V709,"B. Manufacturing","C. Prof. services"))</f>
        <v>A. Distribution</v>
      </c>
      <c r="N709" s="39" t="n">
        <v>0.149339514767961</v>
      </c>
      <c r="O709" s="39" t="n">
        <v>0.156826084874802</v>
      </c>
      <c r="P709" s="39" t="n">
        <v>0.186808501085196</v>
      </c>
      <c r="Q709" s="39" t="n">
        <v>0.10652746284525</v>
      </c>
      <c r="R709" s="39" t="n">
        <v>0.218726230143326</v>
      </c>
      <c r="S709" s="39" t="n">
        <v>0.181772206283465</v>
      </c>
      <c r="T709" s="38" t="n">
        <f aca="false">N709*Scorecard!$C$18+O709*Scorecard!$C$19+P709*Scorecard!$C$20+Q709*Scorecard!$C$21+R709*Scorecard!$C$22+S709*Scorecard!$C$23</f>
        <v>3.76981328812545</v>
      </c>
      <c r="U709" s="38" t="n">
        <f aca="false">N709*Scorecard!$D$18+O709*Scorecard!$D$19+P709*Scorecard!$D$20+Q709*Scorecard!$D$21+R709*Scorecard!$D$22+S709*Scorecard!$D$23</f>
        <v>2.61712889464222</v>
      </c>
      <c r="V709" s="38" t="n">
        <f aca="false">N709*Scorecard!$E$18+O709*Scorecard!$E$19+P709*Scorecard!$E$20+Q709*Scorecard!$E$21+R709*Scorecard!$E$22+S709*Scorecard!$E$23</f>
        <v>3.42935004675202</v>
      </c>
    </row>
    <row r="710" customFormat="false" ht="15" hidden="false" customHeight="false" outlineLevel="0" collapsed="false">
      <c r="A710" s="0" t="n">
        <v>705</v>
      </c>
      <c r="B710" s="38" t="n">
        <f aca="false">E710*Scorecard!$C$18+F710*Scorecard!$C$19+G710*Scorecard!$C$20+H710*Scorecard!$C$21+I710*Scorecard!$C$22+J710*Scorecard!$C$23</f>
        <v>3.36613493991809</v>
      </c>
      <c r="C710" s="38" t="n">
        <f aca="false">E710*Scorecard!$D$18+F710*Scorecard!$D$19+G710*Scorecard!$D$20+H710*Scorecard!$D$21+I710*Scorecard!$D$22+J710*Scorecard!$D$23</f>
        <v>2.12336038056751</v>
      </c>
      <c r="D710" s="0" t="str">
        <f aca="false">IF(AND(B710&gt;=C710,B710&gt;=K710),"A. Distribution",IF(C710&gt;=K710,"B. Manufacturing","C. Prof. services"))</f>
        <v>C. Prof. services</v>
      </c>
      <c r="E710" s="39" t="n">
        <v>0.0506772722614983</v>
      </c>
      <c r="F710" s="39" t="n">
        <v>0.151214758019379</v>
      </c>
      <c r="G710" s="39" t="n">
        <v>0.0319477664819089</v>
      </c>
      <c r="H710" s="39" t="n">
        <v>0.387261481928206</v>
      </c>
      <c r="I710" s="39" t="n">
        <v>0.00925699551844035</v>
      </c>
      <c r="J710" s="39" t="n">
        <v>0.369641725790568</v>
      </c>
      <c r="K710" s="38" t="n">
        <f aca="false">E710*Scorecard!$E$18+F710*Scorecard!$E$19+G710*Scorecard!$E$20+H710*Scorecard!$E$21+I710*Scorecard!$E$22+J710*Scorecard!$E$23</f>
        <v>3.83662487527021</v>
      </c>
      <c r="M710" s="0" t="str">
        <f aca="false">IF(AND(T710&gt;=U710,T710&gt;=V710),"A. Distribution",IF(U710&gt;=V710,"B. Manufacturing","C. Prof. services"))</f>
        <v>A. Distribution</v>
      </c>
      <c r="N710" s="39" t="n">
        <v>0.266487899001134</v>
      </c>
      <c r="O710" s="39" t="n">
        <v>0.177880343635245</v>
      </c>
      <c r="P710" s="39" t="n">
        <v>0.220810315065959</v>
      </c>
      <c r="Q710" s="39" t="n">
        <v>0.0962329181418042</v>
      </c>
      <c r="R710" s="39" t="n">
        <v>0.189253737420277</v>
      </c>
      <c r="S710" s="39" t="n">
        <v>0.0493347867355814</v>
      </c>
      <c r="T710" s="38" t="n">
        <f aca="false">N710*Scorecard!$C$18+O710*Scorecard!$C$19+P710*Scorecard!$C$20+Q710*Scorecard!$C$21+R710*Scorecard!$C$22+S710*Scorecard!$C$23</f>
        <v>4.04744616361698</v>
      </c>
      <c r="U710" s="38" t="n">
        <f aca="false">N710*Scorecard!$D$18+O710*Scorecard!$D$19+P710*Scorecard!$D$20+Q710*Scorecard!$D$21+R710*Scorecard!$D$22+S710*Scorecard!$D$23</f>
        <v>2.8892276829732</v>
      </c>
      <c r="V710" s="38" t="n">
        <f aca="false">N710*Scorecard!$E$18+O710*Scorecard!$E$19+P710*Scorecard!$E$20+Q710*Scorecard!$E$21+R710*Scorecard!$E$22+S710*Scorecard!$E$23</f>
        <v>3.33187740380476</v>
      </c>
    </row>
    <row r="711" customFormat="false" ht="15" hidden="false" customHeight="false" outlineLevel="0" collapsed="false">
      <c r="A711" s="0" t="n">
        <v>706</v>
      </c>
      <c r="B711" s="38" t="n">
        <f aca="false">E711*Scorecard!$C$18+F711*Scorecard!$C$19+G711*Scorecard!$C$20+H711*Scorecard!$C$21+I711*Scorecard!$C$22+J711*Scorecard!$C$23</f>
        <v>3.78116346830545</v>
      </c>
      <c r="C711" s="38" t="n">
        <f aca="false">E711*Scorecard!$D$18+F711*Scorecard!$D$19+G711*Scorecard!$D$20+H711*Scorecard!$D$21+I711*Scorecard!$D$22+J711*Scorecard!$D$23</f>
        <v>2.77859328169943</v>
      </c>
      <c r="D711" s="0" t="str">
        <f aca="false">IF(AND(B711&gt;=C711,B711&gt;=K711),"A. Distribution",IF(C711&gt;=K711,"B. Manufacturing","C. Prof. services"))</f>
        <v>A. Distribution</v>
      </c>
      <c r="E711" s="39" t="n">
        <v>0.0335616352944965</v>
      </c>
      <c r="F711" s="39" t="n">
        <v>0.0266647456672228</v>
      </c>
      <c r="G711" s="39" t="n">
        <v>0.155734585984579</v>
      </c>
      <c r="H711" s="39" t="n">
        <v>0.133966276199359</v>
      </c>
      <c r="I711" s="39" t="n">
        <v>0.535886868287521</v>
      </c>
      <c r="J711" s="39" t="n">
        <v>0.114185888566823</v>
      </c>
      <c r="K711" s="38" t="n">
        <f aca="false">E711*Scorecard!$E$18+F711*Scorecard!$E$19+G711*Scorecard!$E$20+H711*Scorecard!$E$21+I711*Scorecard!$E$22+J711*Scorecard!$E$23</f>
        <v>3.07145683601003</v>
      </c>
      <c r="M711" s="0" t="str">
        <f aca="false">IF(AND(T711&gt;=U711,T711&gt;=V711),"A. Distribution",IF(U711&gt;=V711,"B. Manufacturing","C. Prof. services"))</f>
        <v>A. Distribution</v>
      </c>
      <c r="N711" s="39" t="n">
        <v>0.118415107596407</v>
      </c>
      <c r="O711" s="39" t="n">
        <v>0.116977652809962</v>
      </c>
      <c r="P711" s="39" t="n">
        <v>0.221671116124973</v>
      </c>
      <c r="Q711" s="39" t="n">
        <v>0.258557628146862</v>
      </c>
      <c r="R711" s="39" t="n">
        <v>0.268331645428059</v>
      </c>
      <c r="S711" s="39" t="n">
        <v>0.0160468498937374</v>
      </c>
      <c r="T711" s="38" t="n">
        <f aca="false">N711*Scorecard!$C$18+O711*Scorecard!$C$19+P711*Scorecard!$C$20+Q711*Scorecard!$C$21+R711*Scorecard!$C$22+S711*Scorecard!$C$23</f>
        <v>4.04751705014011</v>
      </c>
      <c r="U711" s="38" t="n">
        <f aca="false">N711*Scorecard!$D$18+O711*Scorecard!$D$19+P711*Scorecard!$D$20+Q711*Scorecard!$D$21+R711*Scorecard!$D$22+S711*Scorecard!$D$23</f>
        <v>2.72688190878427</v>
      </c>
      <c r="V711" s="38" t="n">
        <f aca="false">N711*Scorecard!$E$18+O711*Scorecard!$E$19+P711*Scorecard!$E$20+Q711*Scorecard!$E$21+R711*Scorecard!$E$22+S711*Scorecard!$E$23</f>
        <v>3.27718237219923</v>
      </c>
    </row>
    <row r="712" customFormat="false" ht="15" hidden="false" customHeight="false" outlineLevel="0" collapsed="false">
      <c r="A712" s="0" t="n">
        <v>707</v>
      </c>
      <c r="B712" s="38" t="n">
        <f aca="false">E712*Scorecard!$C$18+F712*Scorecard!$C$19+G712*Scorecard!$C$20+H712*Scorecard!$C$21+I712*Scorecard!$C$22+J712*Scorecard!$C$23</f>
        <v>4.02923619009141</v>
      </c>
      <c r="C712" s="38" t="n">
        <f aca="false">E712*Scorecard!$D$18+F712*Scorecard!$D$19+G712*Scorecard!$D$20+H712*Scorecard!$D$21+I712*Scorecard!$D$22+J712*Scorecard!$D$23</f>
        <v>2.86729006092829</v>
      </c>
      <c r="D712" s="0" t="str">
        <f aca="false">IF(AND(B712&gt;=C712,B712&gt;=K712),"A. Distribution",IF(C712&gt;=K712,"B. Manufacturing","C. Prof. services"))</f>
        <v>A. Distribution</v>
      </c>
      <c r="E712" s="39" t="n">
        <v>0.0363377809528787</v>
      </c>
      <c r="F712" s="39" t="n">
        <v>0.137914109731398</v>
      </c>
      <c r="G712" s="39" t="n">
        <v>0.124551862607305</v>
      </c>
      <c r="H712" s="39" t="n">
        <v>0.124448205704825</v>
      </c>
      <c r="I712" s="39" t="n">
        <v>0.530572486343697</v>
      </c>
      <c r="J712" s="39" t="n">
        <v>0.0461755546598969</v>
      </c>
      <c r="K712" s="38" t="n">
        <f aca="false">E712*Scorecard!$E$18+F712*Scorecard!$E$19+G712*Scorecard!$E$20+H712*Scorecard!$E$21+I712*Scorecard!$E$22+J712*Scorecard!$E$23</f>
        <v>2.91504470782607</v>
      </c>
      <c r="M712" s="0" t="str">
        <f aca="false">IF(AND(T712&gt;=U712,T712&gt;=V712),"A. Distribution",IF(U712&gt;=V712,"B. Manufacturing","C. Prof. services"))</f>
        <v>A. Distribution</v>
      </c>
      <c r="N712" s="39" t="n">
        <v>0.244984164180908</v>
      </c>
      <c r="O712" s="39" t="n">
        <v>0.108084108174935</v>
      </c>
      <c r="P712" s="39" t="n">
        <v>0.400348606256278</v>
      </c>
      <c r="Q712" s="39" t="n">
        <v>0.061405224796514</v>
      </c>
      <c r="R712" s="39" t="n">
        <v>0.0482823951118361</v>
      </c>
      <c r="S712" s="39" t="n">
        <v>0.136895501479529</v>
      </c>
      <c r="T712" s="38" t="n">
        <f aca="false">N712*Scorecard!$C$18+O712*Scorecard!$C$19+P712*Scorecard!$C$20+Q712*Scorecard!$C$21+R712*Scorecard!$C$22+S712*Scorecard!$C$23</f>
        <v>3.80800766851515</v>
      </c>
      <c r="U712" s="38" t="n">
        <f aca="false">N712*Scorecard!$D$18+O712*Scorecard!$D$19+P712*Scorecard!$D$20+Q712*Scorecard!$D$21+R712*Scorecard!$D$22+S712*Scorecard!$D$23</f>
        <v>2.5668225639316</v>
      </c>
      <c r="V712" s="38" t="n">
        <f aca="false">N712*Scorecard!$E$18+O712*Scorecard!$E$19+P712*Scorecard!$E$20+Q712*Scorecard!$E$21+R712*Scorecard!$E$22+S712*Scorecard!$E$23</f>
        <v>3.71619354158044</v>
      </c>
    </row>
    <row r="713" customFormat="false" ht="15" hidden="false" customHeight="false" outlineLevel="0" collapsed="false">
      <c r="A713" s="0" t="n">
        <v>708</v>
      </c>
      <c r="B713" s="38" t="n">
        <f aca="false">E713*Scorecard!$C$18+F713*Scorecard!$C$19+G713*Scorecard!$C$20+H713*Scorecard!$C$21+I713*Scorecard!$C$22+J713*Scorecard!$C$23</f>
        <v>4.25233475642251</v>
      </c>
      <c r="C713" s="38" t="n">
        <f aca="false">E713*Scorecard!$D$18+F713*Scorecard!$D$19+G713*Scorecard!$D$20+H713*Scorecard!$D$21+I713*Scorecard!$D$22+J713*Scorecard!$D$23</f>
        <v>2.75153731191214</v>
      </c>
      <c r="D713" s="0" t="str">
        <f aca="false">IF(AND(B713&gt;=C713,B713&gt;=K713),"A. Distribution",IF(C713&gt;=K713,"B. Manufacturing","C. Prof. services"))</f>
        <v>A. Distribution</v>
      </c>
      <c r="E713" s="39" t="n">
        <v>0.106678667479524</v>
      </c>
      <c r="F713" s="39" t="n">
        <v>0.336544248836457</v>
      </c>
      <c r="G713" s="39" t="n">
        <v>0.205275050808249</v>
      </c>
      <c r="H713" s="39" t="n">
        <v>0.044504101579326</v>
      </c>
      <c r="I713" s="39" t="n">
        <v>0.27157329953816</v>
      </c>
      <c r="J713" s="39" t="n">
        <v>0.0354246317582849</v>
      </c>
      <c r="K713" s="38" t="n">
        <f aca="false">E713*Scorecard!$E$18+F713*Scorecard!$E$19+G713*Scorecard!$E$20+H713*Scorecard!$E$21+I713*Scorecard!$E$22+J713*Scorecard!$E$23</f>
        <v>3.09487447418717</v>
      </c>
      <c r="M713" s="0" t="str">
        <f aca="false">IF(AND(T713&gt;=U713,T713&gt;=V713),"A. Distribution",IF(U713&gt;=V713,"B. Manufacturing","C. Prof. services"))</f>
        <v>A. Distribution</v>
      </c>
      <c r="N713" s="39" t="n">
        <v>0.194554535393259</v>
      </c>
      <c r="O713" s="39" t="n">
        <v>0.18974737089915</v>
      </c>
      <c r="P713" s="39" t="n">
        <v>0.163884489050015</v>
      </c>
      <c r="Q713" s="39" t="n">
        <v>0.123338418856377</v>
      </c>
      <c r="R713" s="39" t="n">
        <v>0.271051106775958</v>
      </c>
      <c r="S713" s="39" t="n">
        <v>0.0574240790252408</v>
      </c>
      <c r="T713" s="38" t="n">
        <f aca="false">N713*Scorecard!$C$18+O713*Scorecard!$C$19+P713*Scorecard!$C$20+Q713*Scorecard!$C$21+R713*Scorecard!$C$22+S713*Scorecard!$C$23</f>
        <v>4.04598927024625</v>
      </c>
      <c r="U713" s="38" t="n">
        <f aca="false">N713*Scorecard!$D$18+O713*Scorecard!$D$19+P713*Scorecard!$D$20+Q713*Scorecard!$D$21+R713*Scorecard!$D$22+S713*Scorecard!$D$23</f>
        <v>2.86290824095324</v>
      </c>
      <c r="V713" s="38" t="n">
        <f aca="false">N713*Scorecard!$E$18+O713*Scorecard!$E$19+P713*Scorecard!$E$20+Q713*Scorecard!$E$21+R713*Scorecard!$E$22+S713*Scorecard!$E$23</f>
        <v>3.21250544382629</v>
      </c>
    </row>
    <row r="714" customFormat="false" ht="15" hidden="false" customHeight="false" outlineLevel="0" collapsed="false">
      <c r="A714" s="0" t="n">
        <v>709</v>
      </c>
      <c r="B714" s="38" t="n">
        <f aca="false">E714*Scorecard!$C$18+F714*Scorecard!$C$19+G714*Scorecard!$C$20+H714*Scorecard!$C$21+I714*Scorecard!$C$22+J714*Scorecard!$C$23</f>
        <v>4.2833969050576</v>
      </c>
      <c r="C714" s="38" t="n">
        <f aca="false">E714*Scorecard!$D$18+F714*Scorecard!$D$19+G714*Scorecard!$D$20+H714*Scorecard!$D$21+I714*Scorecard!$D$22+J714*Scorecard!$D$23</f>
        <v>2.7651841736689</v>
      </c>
      <c r="D714" s="0" t="str">
        <f aca="false">IF(AND(B714&gt;=C714,B714&gt;=K714),"A. Distribution",IF(C714&gt;=K714,"B. Manufacturing","C. Prof. services"))</f>
        <v>A. Distribution</v>
      </c>
      <c r="E714" s="39" t="n">
        <v>0.203049033459497</v>
      </c>
      <c r="F714" s="39" t="n">
        <v>0.362335946102922</v>
      </c>
      <c r="G714" s="39" t="n">
        <v>0.267944236361459</v>
      </c>
      <c r="H714" s="39" t="n">
        <v>0.0025782006811208</v>
      </c>
      <c r="I714" s="39" t="n">
        <v>0.132913039902203</v>
      </c>
      <c r="J714" s="39" t="n">
        <v>0.0311795434927983</v>
      </c>
      <c r="K714" s="38" t="n">
        <f aca="false">E714*Scorecard!$E$18+F714*Scorecard!$E$19+G714*Scorecard!$E$20+H714*Scorecard!$E$21+I714*Scorecard!$E$22+J714*Scorecard!$E$23</f>
        <v>3.25855288907438</v>
      </c>
      <c r="M714" s="0" t="str">
        <f aca="false">IF(AND(T714&gt;=U714,T714&gt;=V714),"A. Distribution",IF(U714&gt;=V714,"B. Manufacturing","C. Prof. services"))</f>
        <v>A. Distribution</v>
      </c>
      <c r="N714" s="39" t="n">
        <v>0.196674688227713</v>
      </c>
      <c r="O714" s="39" t="n">
        <v>0.131924295651208</v>
      </c>
      <c r="P714" s="39" t="n">
        <v>0.218197201587029</v>
      </c>
      <c r="Q714" s="39" t="n">
        <v>0.122432009873959</v>
      </c>
      <c r="R714" s="39" t="n">
        <v>0.191643796622748</v>
      </c>
      <c r="S714" s="39" t="n">
        <v>0.139128008037344</v>
      </c>
      <c r="T714" s="38" t="n">
        <f aca="false">N714*Scorecard!$C$18+O714*Scorecard!$C$19+P714*Scorecard!$C$20+Q714*Scorecard!$C$21+R714*Scorecard!$C$22+S714*Scorecard!$C$23</f>
        <v>3.82468578284694</v>
      </c>
      <c r="U714" s="38" t="n">
        <f aca="false">N714*Scorecard!$D$18+O714*Scorecard!$D$19+P714*Scorecard!$D$20+Q714*Scorecard!$D$21+R714*Scorecard!$D$22+S714*Scorecard!$D$23</f>
        <v>2.6895715606555</v>
      </c>
      <c r="V714" s="38" t="n">
        <f aca="false">N714*Scorecard!$E$18+O714*Scorecard!$E$19+P714*Scorecard!$E$20+Q714*Scorecard!$E$21+R714*Scorecard!$E$22+S714*Scorecard!$E$23</f>
        <v>3.45406470887662</v>
      </c>
    </row>
    <row r="715" customFormat="false" ht="15" hidden="false" customHeight="false" outlineLevel="0" collapsed="false">
      <c r="A715" s="0" t="n">
        <v>710</v>
      </c>
      <c r="B715" s="38" t="n">
        <f aca="false">E715*Scorecard!$C$18+F715*Scorecard!$C$19+G715*Scorecard!$C$20+H715*Scorecard!$C$21+I715*Scorecard!$C$22+J715*Scorecard!$C$23</f>
        <v>4.14204950504814</v>
      </c>
      <c r="C715" s="38" t="n">
        <f aca="false">E715*Scorecard!$D$18+F715*Scorecard!$D$19+G715*Scorecard!$D$20+H715*Scorecard!$D$21+I715*Scorecard!$D$22+J715*Scorecard!$D$23</f>
        <v>2.46317486116676</v>
      </c>
      <c r="D715" s="0" t="str">
        <f aca="false">IF(AND(B715&gt;=C715,B715&gt;=K715),"A. Distribution",IF(C715&gt;=K715,"B. Manufacturing","C. Prof. services"))</f>
        <v>A. Distribution</v>
      </c>
      <c r="E715" s="39" t="n">
        <v>0.0807464444952861</v>
      </c>
      <c r="F715" s="39" t="n">
        <v>0.286070535974764</v>
      </c>
      <c r="G715" s="39" t="n">
        <v>0.0396636025712541</v>
      </c>
      <c r="H715" s="39" t="n">
        <v>0.548716156307222</v>
      </c>
      <c r="I715" s="39" t="n">
        <v>0.00559642478689996</v>
      </c>
      <c r="J715" s="39" t="n">
        <v>0.0392068358645737</v>
      </c>
      <c r="K715" s="38" t="n">
        <f aca="false">E715*Scorecard!$E$18+F715*Scorecard!$E$19+G715*Scorecard!$E$20+H715*Scorecard!$E$21+I715*Scorecard!$E$22+J715*Scorecard!$E$23</f>
        <v>3.44845696564031</v>
      </c>
      <c r="M715" s="0" t="str">
        <f aca="false">IF(AND(T715&gt;=U715,T715&gt;=V715),"A. Distribution",IF(U715&gt;=V715,"B. Manufacturing","C. Prof. services"))</f>
        <v>A. Distribution</v>
      </c>
      <c r="N715" s="39" t="n">
        <v>0.255232077738162</v>
      </c>
      <c r="O715" s="39" t="n">
        <v>0.325871111681834</v>
      </c>
      <c r="P715" s="39" t="n">
        <v>0.104142070737464</v>
      </c>
      <c r="Q715" s="39" t="n">
        <v>0.143001031119679</v>
      </c>
      <c r="R715" s="39" t="n">
        <v>0.0807541832472073</v>
      </c>
      <c r="S715" s="39" t="n">
        <v>0.0909995254756547</v>
      </c>
      <c r="T715" s="38" t="n">
        <f aca="false">N715*Scorecard!$C$18+O715*Scorecard!$C$19+P715*Scorecard!$C$20+Q715*Scorecard!$C$21+R715*Scorecard!$C$22+S715*Scorecard!$C$23</f>
        <v>4.10797185612007</v>
      </c>
      <c r="U715" s="38" t="n">
        <f aca="false">N715*Scorecard!$D$18+O715*Scorecard!$D$19+P715*Scorecard!$D$20+Q715*Scorecard!$D$21+R715*Scorecard!$D$22+S715*Scorecard!$D$23</f>
        <v>2.79303604381163</v>
      </c>
      <c r="V715" s="38" t="n">
        <f aca="false">N715*Scorecard!$E$18+O715*Scorecard!$E$19+P715*Scorecard!$E$20+Q715*Scorecard!$E$21+R715*Scorecard!$E$22+S715*Scorecard!$E$23</f>
        <v>3.3469663347583</v>
      </c>
    </row>
    <row r="716" customFormat="false" ht="15" hidden="false" customHeight="false" outlineLevel="0" collapsed="false">
      <c r="A716" s="0" t="n">
        <v>711</v>
      </c>
      <c r="B716" s="38" t="n">
        <f aca="false">E716*Scorecard!$C$18+F716*Scorecard!$C$19+G716*Scorecard!$C$20+H716*Scorecard!$C$21+I716*Scorecard!$C$22+J716*Scorecard!$C$23</f>
        <v>3.71751360584634</v>
      </c>
      <c r="C716" s="38" t="n">
        <f aca="false">E716*Scorecard!$D$18+F716*Scorecard!$D$19+G716*Scorecard!$D$20+H716*Scorecard!$D$21+I716*Scorecard!$D$22+J716*Scorecard!$D$23</f>
        <v>2.61941732260672</v>
      </c>
      <c r="D716" s="0" t="str">
        <f aca="false">IF(AND(B716&gt;=C716,B716&gt;=K716),"A. Distribution",IF(C716&gt;=K716,"B. Manufacturing","C. Prof. services"))</f>
        <v>A. Distribution</v>
      </c>
      <c r="E716" s="39" t="n">
        <v>0.0107379488786752</v>
      </c>
      <c r="F716" s="39" t="n">
        <v>0.142533701723958</v>
      </c>
      <c r="G716" s="39" t="n">
        <v>0.0596627892593647</v>
      </c>
      <c r="H716" s="39" t="n">
        <v>0.146898428825555</v>
      </c>
      <c r="I716" s="39" t="n">
        <v>0.436002336952746</v>
      </c>
      <c r="J716" s="39" t="n">
        <v>0.204164794359701</v>
      </c>
      <c r="K716" s="38" t="n">
        <f aca="false">E716*Scorecard!$E$18+F716*Scorecard!$E$19+G716*Scorecard!$E$20+H716*Scorecard!$E$21+I716*Scorecard!$E$22+J716*Scorecard!$E$23</f>
        <v>3.1515940430232</v>
      </c>
      <c r="M716" s="0" t="str">
        <f aca="false">IF(AND(T716&gt;=U716,T716&gt;=V716),"A. Distribution",IF(U716&gt;=V716,"B. Manufacturing","C. Prof. services"))</f>
        <v>A. Distribution</v>
      </c>
      <c r="N716" s="39" t="n">
        <v>0.215403021465867</v>
      </c>
      <c r="O716" s="39" t="n">
        <v>0.212622508817941</v>
      </c>
      <c r="P716" s="39" t="n">
        <v>0.239980002060276</v>
      </c>
      <c r="Q716" s="39" t="n">
        <v>0.138481576924513</v>
      </c>
      <c r="R716" s="39" t="n">
        <v>0.106017534500162</v>
      </c>
      <c r="S716" s="39" t="n">
        <v>0.087495356231241</v>
      </c>
      <c r="T716" s="38" t="n">
        <f aca="false">N716*Scorecard!$C$18+O716*Scorecard!$C$19+P716*Scorecard!$C$20+Q716*Scorecard!$C$21+R716*Scorecard!$C$22+S716*Scorecard!$C$23</f>
        <v>4.00541631194044</v>
      </c>
      <c r="U716" s="38" t="n">
        <f aca="false">N716*Scorecard!$D$18+O716*Scorecard!$D$19+P716*Scorecard!$D$20+Q716*Scorecard!$D$21+R716*Scorecard!$D$22+S716*Scorecard!$D$23</f>
        <v>2.68656227862666</v>
      </c>
      <c r="V716" s="38" t="n">
        <f aca="false">N716*Scorecard!$E$18+O716*Scorecard!$E$19+P716*Scorecard!$E$20+Q716*Scorecard!$E$21+R716*Scorecard!$E$22+S716*Scorecard!$E$23</f>
        <v>3.45987998049191</v>
      </c>
    </row>
    <row r="717" customFormat="false" ht="15" hidden="false" customHeight="false" outlineLevel="0" collapsed="false">
      <c r="A717" s="0" t="n">
        <v>712</v>
      </c>
      <c r="B717" s="38" t="n">
        <f aca="false">E717*Scorecard!$C$18+F717*Scorecard!$C$19+G717*Scorecard!$C$20+H717*Scorecard!$C$21+I717*Scorecard!$C$22+J717*Scorecard!$C$23</f>
        <v>2.90025542010383</v>
      </c>
      <c r="C717" s="38" t="n">
        <f aca="false">E717*Scorecard!$D$18+F717*Scorecard!$D$19+G717*Scorecard!$D$20+H717*Scorecard!$D$21+I717*Scorecard!$D$22+J717*Scorecard!$D$23</f>
        <v>1.97884159253969</v>
      </c>
      <c r="D717" s="0" t="str">
        <f aca="false">IF(AND(B717&gt;=C717,B717&gt;=K717),"A. Distribution",IF(C717&gt;=K717,"B. Manufacturing","C. Prof. services"))</f>
        <v>C. Prof. services</v>
      </c>
      <c r="E717" s="39" t="n">
        <v>0.0107859668513188</v>
      </c>
      <c r="F717" s="39" t="n">
        <v>0.0012200581852688</v>
      </c>
      <c r="G717" s="39" t="n">
        <v>0.247653941694992</v>
      </c>
      <c r="H717" s="39" t="n">
        <v>0.0236859485341376</v>
      </c>
      <c r="I717" s="39" t="n">
        <v>0.167880838350221</v>
      </c>
      <c r="J717" s="39" t="n">
        <v>0.548773246384062</v>
      </c>
      <c r="K717" s="38" t="n">
        <f aca="false">E717*Scorecard!$E$18+F717*Scorecard!$E$19+G717*Scorecard!$E$20+H717*Scorecard!$E$21+I717*Scorecard!$E$22+J717*Scorecard!$E$23</f>
        <v>3.97998106603781</v>
      </c>
      <c r="M717" s="0" t="str">
        <f aca="false">IF(AND(T717&gt;=U717,T717&gt;=V717),"A. Distribution",IF(U717&gt;=V717,"B. Manufacturing","C. Prof. services"))</f>
        <v>A. Distribution</v>
      </c>
      <c r="N717" s="39" t="n">
        <v>0.440282438094805</v>
      </c>
      <c r="O717" s="39" t="n">
        <v>0.152395631737514</v>
      </c>
      <c r="P717" s="39" t="n">
        <v>0.171170631616099</v>
      </c>
      <c r="Q717" s="39" t="n">
        <v>0.0975590740384837</v>
      </c>
      <c r="R717" s="39" t="n">
        <v>0.0505600880467139</v>
      </c>
      <c r="S717" s="39" t="n">
        <v>0.0880321364663837</v>
      </c>
      <c r="T717" s="38" t="n">
        <f aca="false">N717*Scorecard!$C$18+O717*Scorecard!$C$19+P717*Scorecard!$C$20+Q717*Scorecard!$C$21+R717*Scorecard!$C$22+S717*Scorecard!$C$23</f>
        <v>3.93047045567284</v>
      </c>
      <c r="U717" s="38" t="n">
        <f aca="false">N717*Scorecard!$D$18+O717*Scorecard!$D$19+P717*Scorecard!$D$20+Q717*Scorecard!$D$21+R717*Scorecard!$D$22+S717*Scorecard!$D$23</f>
        <v>3.02348741359572</v>
      </c>
      <c r="V717" s="38" t="n">
        <f aca="false">N717*Scorecard!$E$18+O717*Scorecard!$E$19+P717*Scorecard!$E$20+Q717*Scorecard!$E$21+R717*Scorecard!$E$22+S717*Scorecard!$E$23</f>
        <v>3.52552064597884</v>
      </c>
    </row>
    <row r="718" customFormat="false" ht="15" hidden="false" customHeight="false" outlineLevel="0" collapsed="false">
      <c r="A718" s="0" t="n">
        <v>713</v>
      </c>
      <c r="B718" s="38" t="n">
        <f aca="false">E718*Scorecard!$C$18+F718*Scorecard!$C$19+G718*Scorecard!$C$20+H718*Scorecard!$C$21+I718*Scorecard!$C$22+J718*Scorecard!$C$23</f>
        <v>4.26286549096351</v>
      </c>
      <c r="C718" s="38" t="n">
        <f aca="false">E718*Scorecard!$D$18+F718*Scorecard!$D$19+G718*Scorecard!$D$20+H718*Scorecard!$D$21+I718*Scorecard!$D$22+J718*Scorecard!$D$23</f>
        <v>2.74399400045785</v>
      </c>
      <c r="D718" s="0" t="str">
        <f aca="false">IF(AND(B718&gt;=C718,B718&gt;=K718),"A. Distribution",IF(C718&gt;=K718,"B. Manufacturing","C. Prof. services"))</f>
        <v>A. Distribution</v>
      </c>
      <c r="E718" s="39" t="n">
        <v>0.247162157599355</v>
      </c>
      <c r="F718" s="39" t="n">
        <v>0.396170752673841</v>
      </c>
      <c r="G718" s="39" t="n">
        <v>0.146423784078938</v>
      </c>
      <c r="H718" s="39" t="n">
        <v>0.151028718135456</v>
      </c>
      <c r="I718" s="39" t="n">
        <v>0.0106205990372797</v>
      </c>
      <c r="J718" s="39" t="n">
        <v>0.0485939884751317</v>
      </c>
      <c r="K718" s="38" t="n">
        <f aca="false">E718*Scorecard!$E$18+F718*Scorecard!$E$19+G718*Scorecard!$E$20+H718*Scorecard!$E$21+I718*Scorecard!$E$22+J718*Scorecard!$E$23</f>
        <v>3.36002704813502</v>
      </c>
      <c r="M718" s="0" t="str">
        <f aca="false">IF(AND(T718&gt;=U718,T718&gt;=V718),"A. Distribution",IF(U718&gt;=V718,"B. Manufacturing","C. Prof. services"))</f>
        <v>A. Distribution</v>
      </c>
      <c r="N718" s="39" t="n">
        <v>0.203979665689396</v>
      </c>
      <c r="O718" s="39" t="n">
        <v>0.106035979780329</v>
      </c>
      <c r="P718" s="39" t="n">
        <v>0.270046255493048</v>
      </c>
      <c r="Q718" s="39" t="n">
        <v>0.142210035843316</v>
      </c>
      <c r="R718" s="39" t="n">
        <v>0.18749665831639</v>
      </c>
      <c r="S718" s="39" t="n">
        <v>0.0902314048775206</v>
      </c>
      <c r="T718" s="38" t="n">
        <f aca="false">N718*Scorecard!$C$18+O718*Scorecard!$C$19+P718*Scorecard!$C$20+Q718*Scorecard!$C$21+R718*Scorecard!$C$22+S718*Scorecard!$C$23</f>
        <v>3.89387308633286</v>
      </c>
      <c r="U718" s="38" t="n">
        <f aca="false">N718*Scorecard!$D$18+O718*Scorecard!$D$19+P718*Scorecard!$D$20+Q718*Scorecard!$D$21+R718*Scorecard!$D$22+S718*Scorecard!$D$23</f>
        <v>2.71533527133884</v>
      </c>
      <c r="V718" s="38" t="n">
        <f aca="false">N718*Scorecard!$E$18+O718*Scorecard!$E$19+P718*Scorecard!$E$20+Q718*Scorecard!$E$21+R718*Scorecard!$E$22+S718*Scorecard!$E$23</f>
        <v>3.45735440051392</v>
      </c>
    </row>
    <row r="719" customFormat="false" ht="15" hidden="false" customHeight="false" outlineLevel="0" collapsed="false">
      <c r="A719" s="0" t="n">
        <v>714</v>
      </c>
      <c r="B719" s="38" t="n">
        <f aca="false">E719*Scorecard!$C$18+F719*Scorecard!$C$19+G719*Scorecard!$C$20+H719*Scorecard!$C$21+I719*Scorecard!$C$22+J719*Scorecard!$C$23</f>
        <v>3.73412220984441</v>
      </c>
      <c r="C719" s="38" t="n">
        <f aca="false">E719*Scorecard!$D$18+F719*Scorecard!$D$19+G719*Scorecard!$D$20+H719*Scorecard!$D$21+I719*Scorecard!$D$22+J719*Scorecard!$D$23</f>
        <v>2.56098076417626</v>
      </c>
      <c r="D719" s="0" t="str">
        <f aca="false">IF(AND(B719&gt;=C719,B719&gt;=K719),"A. Distribution",IF(C719&gt;=K719,"B. Manufacturing","C. Prof. services"))</f>
        <v>A. Distribution</v>
      </c>
      <c r="E719" s="39" t="n">
        <v>0.0108894548391278</v>
      </c>
      <c r="F719" s="39" t="n">
        <v>0.0900198750959882</v>
      </c>
      <c r="G719" s="39" t="n">
        <v>0.263507769705816</v>
      </c>
      <c r="H719" s="39" t="n">
        <v>0.0326205119012082</v>
      </c>
      <c r="I719" s="39" t="n">
        <v>0.427208135069777</v>
      </c>
      <c r="J719" s="39" t="n">
        <v>0.175754253388082</v>
      </c>
      <c r="K719" s="38" t="n">
        <f aca="false">E719*Scorecard!$E$18+F719*Scorecard!$E$19+G719*Scorecard!$E$20+H719*Scorecard!$E$21+I719*Scorecard!$E$22+J719*Scorecard!$E$23</f>
        <v>3.25212383530626</v>
      </c>
      <c r="M719" s="0" t="str">
        <f aca="false">IF(AND(T719&gt;=U719,T719&gt;=V719),"A. Distribution",IF(U719&gt;=V719,"B. Manufacturing","C. Prof. services"))</f>
        <v>A. Distribution</v>
      </c>
      <c r="N719" s="39" t="n">
        <v>0.195414102270297</v>
      </c>
      <c r="O719" s="39" t="n">
        <v>0.17921424312279</v>
      </c>
      <c r="P719" s="39" t="n">
        <v>0.234889603915145</v>
      </c>
      <c r="Q719" s="39" t="n">
        <v>0.183623154041611</v>
      </c>
      <c r="R719" s="39" t="n">
        <v>0.119172640973808</v>
      </c>
      <c r="S719" s="39" t="n">
        <v>0.0876862556763495</v>
      </c>
      <c r="T719" s="38" t="n">
        <f aca="false">N719*Scorecard!$C$18+O719*Scorecard!$C$19+P719*Scorecard!$C$20+Q719*Scorecard!$C$21+R719*Scorecard!$C$22+S719*Scorecard!$C$23</f>
        <v>3.96836706172642</v>
      </c>
      <c r="U719" s="38" t="n">
        <f aca="false">N719*Scorecard!$D$18+O719*Scorecard!$D$19+P719*Scorecard!$D$20+Q719*Scorecard!$D$21+R719*Scorecard!$D$22+S719*Scorecard!$D$23</f>
        <v>2.65905565150165</v>
      </c>
      <c r="V719" s="38" t="n">
        <f aca="false">N719*Scorecard!$E$18+O719*Scorecard!$E$19+P719*Scorecard!$E$20+Q719*Scorecard!$E$21+R719*Scorecard!$E$22+S719*Scorecard!$E$23</f>
        <v>3.47321640015296</v>
      </c>
    </row>
    <row r="720" customFormat="false" ht="15" hidden="false" customHeight="false" outlineLevel="0" collapsed="false">
      <c r="A720" s="0" t="n">
        <v>715</v>
      </c>
      <c r="B720" s="38" t="n">
        <f aca="false">E720*Scorecard!$C$18+F720*Scorecard!$C$19+G720*Scorecard!$C$20+H720*Scorecard!$C$21+I720*Scorecard!$C$22+J720*Scorecard!$C$23</f>
        <v>4.2769829182063</v>
      </c>
      <c r="C720" s="38" t="n">
        <f aca="false">E720*Scorecard!$D$18+F720*Scorecard!$D$19+G720*Scorecard!$D$20+H720*Scorecard!$D$21+I720*Scorecard!$D$22+J720*Scorecard!$D$23</f>
        <v>2.79210844129682</v>
      </c>
      <c r="D720" s="0" t="str">
        <f aca="false">IF(AND(B720&gt;=C720,B720&gt;=K720),"A. Distribution",IF(C720&gt;=K720,"B. Manufacturing","C. Prof. services"))</f>
        <v>A. Distribution</v>
      </c>
      <c r="E720" s="39" t="n">
        <v>0.180171548404902</v>
      </c>
      <c r="F720" s="39" t="n">
        <v>0.33816661322203</v>
      </c>
      <c r="G720" s="39" t="n">
        <v>0.13497053841312</v>
      </c>
      <c r="H720" s="39" t="n">
        <v>0.181504469894205</v>
      </c>
      <c r="I720" s="39" t="n">
        <v>0.15160628512736</v>
      </c>
      <c r="J720" s="39" t="n">
        <v>0.0135805449383839</v>
      </c>
      <c r="K720" s="38" t="n">
        <f aca="false">E720*Scorecard!$E$18+F720*Scorecard!$E$19+G720*Scorecard!$E$20+H720*Scorecard!$E$21+I720*Scorecard!$E$22+J720*Scorecard!$E$23</f>
        <v>3.20040610279142</v>
      </c>
      <c r="M720" s="0" t="str">
        <f aca="false">IF(AND(T720&gt;=U720,T720&gt;=V720),"A. Distribution",IF(U720&gt;=V720,"B. Manufacturing","C. Prof. services"))</f>
        <v>A. Distribution</v>
      </c>
      <c r="N720" s="39" t="n">
        <v>0.292876910941189</v>
      </c>
      <c r="O720" s="39" t="n">
        <v>0.148912500060754</v>
      </c>
      <c r="P720" s="39" t="n">
        <v>0.155229603623196</v>
      </c>
      <c r="Q720" s="39" t="n">
        <v>0.211580197070045</v>
      </c>
      <c r="R720" s="39" t="n">
        <v>0.125095204661697</v>
      </c>
      <c r="S720" s="39" t="n">
        <v>0.0663055836431201</v>
      </c>
      <c r="T720" s="38" t="n">
        <f aca="false">N720*Scorecard!$C$18+O720*Scorecard!$C$19+P720*Scorecard!$C$20+Q720*Scorecard!$C$21+R720*Scorecard!$C$22+S720*Scorecard!$C$23</f>
        <v>3.96998930065576</v>
      </c>
      <c r="U720" s="38" t="n">
        <f aca="false">N720*Scorecard!$D$18+O720*Scorecard!$D$19+P720*Scorecard!$D$20+Q720*Scorecard!$D$21+R720*Scorecard!$D$22+S720*Scorecard!$D$23</f>
        <v>2.86695836637927</v>
      </c>
      <c r="V720" s="38" t="n">
        <f aca="false">N720*Scorecard!$E$18+O720*Scorecard!$E$19+P720*Scorecard!$E$20+Q720*Scorecard!$E$21+R720*Scorecard!$E$22+S720*Scorecard!$E$23</f>
        <v>3.43100270137599</v>
      </c>
    </row>
    <row r="721" customFormat="false" ht="15" hidden="false" customHeight="false" outlineLevel="0" collapsed="false">
      <c r="A721" s="0" t="n">
        <v>716</v>
      </c>
      <c r="B721" s="38" t="n">
        <f aca="false">E721*Scorecard!$C$18+F721*Scorecard!$C$19+G721*Scorecard!$C$20+H721*Scorecard!$C$21+I721*Scorecard!$C$22+J721*Scorecard!$C$23</f>
        <v>4.15126332830902</v>
      </c>
      <c r="C721" s="38" t="n">
        <f aca="false">E721*Scorecard!$D$18+F721*Scorecard!$D$19+G721*Scorecard!$D$20+H721*Scorecard!$D$21+I721*Scorecard!$D$22+J721*Scorecard!$D$23</f>
        <v>2.29720002159583</v>
      </c>
      <c r="D721" s="0" t="str">
        <f aca="false">IF(AND(B721&gt;=C721,B721&gt;=K721),"A. Distribution",IF(C721&gt;=K721,"B. Manufacturing","C. Prof. services"))</f>
        <v>A. Distribution</v>
      </c>
      <c r="E721" s="39" t="n">
        <v>0.0330142536958077</v>
      </c>
      <c r="F721" s="39" t="n">
        <v>0.253417266028466</v>
      </c>
      <c r="G721" s="39" t="n">
        <v>0.553057462444139</v>
      </c>
      <c r="H721" s="39" t="n">
        <v>0.0282976197876327</v>
      </c>
      <c r="I721" s="39" t="n">
        <v>0.0839862756799754</v>
      </c>
      <c r="J721" s="39" t="n">
        <v>0.0482271223639801</v>
      </c>
      <c r="K721" s="38" t="n">
        <f aca="false">E721*Scorecard!$E$18+F721*Scorecard!$E$19+G721*Scorecard!$E$20+H721*Scorecard!$E$21+I721*Scorecard!$E$22+J721*Scorecard!$E$23</f>
        <v>3.55543146410779</v>
      </c>
      <c r="M721" s="0" t="str">
        <f aca="false">IF(AND(T721&gt;=U721,T721&gt;=V721),"A. Distribution",IF(U721&gt;=V721,"B. Manufacturing","C. Prof. services"))</f>
        <v>A. Distribution</v>
      </c>
      <c r="N721" s="39" t="n">
        <v>0.263103256402452</v>
      </c>
      <c r="O721" s="39" t="n">
        <v>0.238688155300985</v>
      </c>
      <c r="P721" s="39" t="n">
        <v>0.19494490802061</v>
      </c>
      <c r="Q721" s="39" t="n">
        <v>0.151753221460657</v>
      </c>
      <c r="R721" s="39" t="n">
        <v>0.112607045651567</v>
      </c>
      <c r="S721" s="39" t="n">
        <v>0.0389034131637302</v>
      </c>
      <c r="T721" s="38" t="n">
        <f aca="false">N721*Scorecard!$C$18+O721*Scorecard!$C$19+P721*Scorecard!$C$20+Q721*Scorecard!$C$21+R721*Scorecard!$C$22+S721*Scorecard!$C$23</f>
        <v>4.12340611919241</v>
      </c>
      <c r="U721" s="38" t="n">
        <f aca="false">N721*Scorecard!$D$18+O721*Scorecard!$D$19+P721*Scorecard!$D$20+Q721*Scorecard!$D$21+R721*Scorecard!$D$22+S721*Scorecard!$D$23</f>
        <v>2.83384628078204</v>
      </c>
      <c r="V721" s="38" t="n">
        <f aca="false">N721*Scorecard!$E$18+O721*Scorecard!$E$19+P721*Scorecard!$E$20+Q721*Scorecard!$E$21+R721*Scorecard!$E$22+S721*Scorecard!$E$23</f>
        <v>3.36525097467787</v>
      </c>
    </row>
    <row r="722" customFormat="false" ht="15" hidden="false" customHeight="false" outlineLevel="0" collapsed="false">
      <c r="A722" s="0" t="n">
        <v>717</v>
      </c>
      <c r="B722" s="38" t="n">
        <f aca="false">E722*Scorecard!$C$18+F722*Scorecard!$C$19+G722*Scorecard!$C$20+H722*Scorecard!$C$21+I722*Scorecard!$C$22+J722*Scorecard!$C$23</f>
        <v>3.76002701054787</v>
      </c>
      <c r="C722" s="38" t="n">
        <f aca="false">E722*Scorecard!$D$18+F722*Scorecard!$D$19+G722*Scorecard!$D$20+H722*Scorecard!$D$21+I722*Scorecard!$D$22+J722*Scorecard!$D$23</f>
        <v>2.69200934514848</v>
      </c>
      <c r="D722" s="0" t="str">
        <f aca="false">IF(AND(B722&gt;=C722,B722&gt;=K722),"A. Distribution",IF(C722&gt;=K722,"B. Manufacturing","C. Prof. services"))</f>
        <v>A. Distribution</v>
      </c>
      <c r="E722" s="39" t="n">
        <v>0.113766091141771</v>
      </c>
      <c r="F722" s="39" t="n">
        <v>0.0860511881923636</v>
      </c>
      <c r="G722" s="39" t="n">
        <v>0.00447572915752274</v>
      </c>
      <c r="H722" s="39" t="n">
        <v>0.375912762885864</v>
      </c>
      <c r="I722" s="39" t="n">
        <v>0.281601506295985</v>
      </c>
      <c r="J722" s="39" t="n">
        <v>0.138192722326494</v>
      </c>
      <c r="K722" s="38" t="n">
        <f aca="false">E722*Scorecard!$E$18+F722*Scorecard!$E$19+G722*Scorecard!$E$20+H722*Scorecard!$E$21+I722*Scorecard!$E$22+J722*Scorecard!$E$23</f>
        <v>3.3170489679786</v>
      </c>
      <c r="M722" s="0" t="str">
        <f aca="false">IF(AND(T722&gt;=U722,T722&gt;=V722),"A. Distribution",IF(U722&gt;=V722,"B. Manufacturing","C. Prof. services"))</f>
        <v>A. Distribution</v>
      </c>
      <c r="N722" s="39" t="n">
        <v>0.289268041426111</v>
      </c>
      <c r="O722" s="39" t="n">
        <v>0.114692059207501</v>
      </c>
      <c r="P722" s="39" t="n">
        <v>0.140589158227001</v>
      </c>
      <c r="Q722" s="39" t="n">
        <v>0.151094662561544</v>
      </c>
      <c r="R722" s="39" t="n">
        <v>0.143701009904963</v>
      </c>
      <c r="S722" s="39" t="n">
        <v>0.16065506867288</v>
      </c>
      <c r="T722" s="38" t="n">
        <f aca="false">N722*Scorecard!$C$18+O722*Scorecard!$C$19+P722*Scorecard!$C$20+Q722*Scorecard!$C$21+R722*Scorecard!$C$22+S722*Scorecard!$C$23</f>
        <v>3.75387698606279</v>
      </c>
      <c r="U722" s="38" t="n">
        <f aca="false">N722*Scorecard!$D$18+O722*Scorecard!$D$19+P722*Scorecard!$D$20+Q722*Scorecard!$D$21+R722*Scorecard!$D$22+S722*Scorecard!$D$23</f>
        <v>2.80147994209665</v>
      </c>
      <c r="V722" s="38" t="n">
        <f aca="false">N722*Scorecard!$E$18+O722*Scorecard!$E$19+P722*Scorecard!$E$20+Q722*Scorecard!$E$21+R722*Scorecard!$E$22+S722*Scorecard!$E$23</f>
        <v>3.50966267153816</v>
      </c>
    </row>
    <row r="723" customFormat="false" ht="15" hidden="false" customHeight="false" outlineLevel="0" collapsed="false">
      <c r="A723" s="0" t="n">
        <v>718</v>
      </c>
      <c r="B723" s="38" t="n">
        <f aca="false">E723*Scorecard!$C$18+F723*Scorecard!$C$19+G723*Scorecard!$C$20+H723*Scorecard!$C$21+I723*Scorecard!$C$22+J723*Scorecard!$C$23</f>
        <v>4.0328927375752</v>
      </c>
      <c r="C723" s="38" t="n">
        <f aca="false">E723*Scorecard!$D$18+F723*Scorecard!$D$19+G723*Scorecard!$D$20+H723*Scorecard!$D$21+I723*Scorecard!$D$22+J723*Scorecard!$D$23</f>
        <v>2.96356799823584</v>
      </c>
      <c r="D723" s="0" t="str">
        <f aca="false">IF(AND(B723&gt;=C723,B723&gt;=K723),"A. Distribution",IF(C723&gt;=K723,"B. Manufacturing","C. Prof. services"))</f>
        <v>A. Distribution</v>
      </c>
      <c r="E723" s="39" t="n">
        <v>0.297773911309388</v>
      </c>
      <c r="F723" s="39" t="n">
        <v>0.130107713096813</v>
      </c>
      <c r="G723" s="39" t="n">
        <v>0.193984471665186</v>
      </c>
      <c r="H723" s="39" t="n">
        <v>0.153703396278289</v>
      </c>
      <c r="I723" s="39" t="n">
        <v>0.196057488500735</v>
      </c>
      <c r="J723" s="39" t="n">
        <v>0.0283730191495896</v>
      </c>
      <c r="K723" s="38" t="n">
        <f aca="false">E723*Scorecard!$E$18+F723*Scorecard!$E$19+G723*Scorecard!$E$20+H723*Scorecard!$E$21+I723*Scorecard!$E$22+J723*Scorecard!$E$23</f>
        <v>3.33272476413023</v>
      </c>
      <c r="M723" s="0" t="str">
        <f aca="false">IF(AND(T723&gt;=U723,T723&gt;=V723),"A. Distribution",IF(U723&gt;=V723,"B. Manufacturing","C. Prof. services"))</f>
        <v>A. Distribution</v>
      </c>
      <c r="N723" s="39" t="n">
        <v>0.225954885982524</v>
      </c>
      <c r="O723" s="39" t="n">
        <v>0.336049300355639</v>
      </c>
      <c r="P723" s="39" t="n">
        <v>0.0722593440872229</v>
      </c>
      <c r="Q723" s="39" t="n">
        <v>0.141090788217222</v>
      </c>
      <c r="R723" s="39" t="n">
        <v>0.138364905421266</v>
      </c>
      <c r="S723" s="39" t="n">
        <v>0.0862807759361256</v>
      </c>
      <c r="T723" s="38" t="n">
        <f aca="false">N723*Scorecard!$C$18+O723*Scorecard!$C$19+P723*Scorecard!$C$20+Q723*Scorecard!$C$21+R723*Scorecard!$C$22+S723*Scorecard!$C$23</f>
        <v>4.13014394488146</v>
      </c>
      <c r="U723" s="38" t="n">
        <f aca="false">N723*Scorecard!$D$18+O723*Scorecard!$D$19+P723*Scorecard!$D$20+Q723*Scorecard!$D$21+R723*Scorecard!$D$22+S723*Scorecard!$D$23</f>
        <v>2.81780472723693</v>
      </c>
      <c r="V723" s="38" t="n">
        <f aca="false">N723*Scorecard!$E$18+O723*Scorecard!$E$19+P723*Scorecard!$E$20+Q723*Scorecard!$E$21+R723*Scorecard!$E$22+S723*Scorecard!$E$23</f>
        <v>3.25168336886702</v>
      </c>
    </row>
    <row r="724" customFormat="false" ht="15" hidden="false" customHeight="false" outlineLevel="0" collapsed="false">
      <c r="A724" s="0" t="n">
        <v>719</v>
      </c>
      <c r="B724" s="38" t="n">
        <f aca="false">E724*Scorecard!$C$18+F724*Scorecard!$C$19+G724*Scorecard!$C$20+H724*Scorecard!$C$21+I724*Scorecard!$C$22+J724*Scorecard!$C$23</f>
        <v>4.08997942567566</v>
      </c>
      <c r="C724" s="38" t="n">
        <f aca="false">E724*Scorecard!$D$18+F724*Scorecard!$D$19+G724*Scorecard!$D$20+H724*Scorecard!$D$21+I724*Scorecard!$D$22+J724*Scorecard!$D$23</f>
        <v>3.07800510668603</v>
      </c>
      <c r="D724" s="0" t="str">
        <f aca="false">IF(AND(B724&gt;=C724,B724&gt;=K724),"A. Distribution",IF(C724&gt;=K724,"B. Manufacturing","C. Prof. services"))</f>
        <v>A. Distribution</v>
      </c>
      <c r="E724" s="39" t="n">
        <v>0.324981511148424</v>
      </c>
      <c r="F724" s="39" t="n">
        <v>0.148659404120324</v>
      </c>
      <c r="G724" s="39" t="n">
        <v>0.099649051778473</v>
      </c>
      <c r="H724" s="39" t="n">
        <v>0.209456492414944</v>
      </c>
      <c r="I724" s="39" t="n">
        <v>0.212243939519553</v>
      </c>
      <c r="J724" s="39" t="n">
        <v>0.00500960101828176</v>
      </c>
      <c r="K724" s="38" t="n">
        <f aca="false">E724*Scorecard!$E$18+F724*Scorecard!$E$19+G724*Scorecard!$E$20+H724*Scorecard!$E$21+I724*Scorecard!$E$22+J724*Scorecard!$E$23</f>
        <v>3.24004878145661</v>
      </c>
      <c r="M724" s="0" t="str">
        <f aca="false">IF(AND(T724&gt;=U724,T724&gt;=V724),"A. Distribution",IF(U724&gt;=V724,"B. Manufacturing","C. Prof. services"))</f>
        <v>A. Distribution</v>
      </c>
      <c r="N724" s="39" t="n">
        <v>0.17223034434669</v>
      </c>
      <c r="O724" s="39" t="n">
        <v>0.187126726167357</v>
      </c>
      <c r="P724" s="39" t="n">
        <v>0.233550091574702</v>
      </c>
      <c r="Q724" s="39" t="n">
        <v>0.116347143244653</v>
      </c>
      <c r="R724" s="39" t="n">
        <v>0.213054445927557</v>
      </c>
      <c r="S724" s="39" t="n">
        <v>0.0776912487390403</v>
      </c>
      <c r="T724" s="38" t="n">
        <f aca="false">N724*Scorecard!$C$18+O724*Scorecard!$C$19+P724*Scorecard!$C$20+Q724*Scorecard!$C$21+R724*Scorecard!$C$22+S724*Scorecard!$C$23</f>
        <v>4.00537993736978</v>
      </c>
      <c r="U724" s="38" t="n">
        <f aca="false">N724*Scorecard!$D$18+O724*Scorecard!$D$19+P724*Scorecard!$D$20+Q724*Scorecard!$D$21+R724*Scorecard!$D$22+S724*Scorecard!$D$23</f>
        <v>2.72684672683568</v>
      </c>
      <c r="V724" s="38" t="n">
        <f aca="false">N724*Scorecard!$E$18+O724*Scorecard!$E$19+P724*Scorecard!$E$20+Q724*Scorecard!$E$21+R724*Scorecard!$E$22+S724*Scorecard!$E$23</f>
        <v>3.33588360204409</v>
      </c>
    </row>
    <row r="725" customFormat="false" ht="15" hidden="false" customHeight="false" outlineLevel="0" collapsed="false">
      <c r="A725" s="0" t="n">
        <v>720</v>
      </c>
      <c r="B725" s="38" t="n">
        <f aca="false">E725*Scorecard!$C$18+F725*Scorecard!$C$19+G725*Scorecard!$C$20+H725*Scorecard!$C$21+I725*Scorecard!$C$22+J725*Scorecard!$C$23</f>
        <v>3.61285152256656</v>
      </c>
      <c r="C725" s="38" t="n">
        <f aca="false">E725*Scorecard!$D$18+F725*Scorecard!$D$19+G725*Scorecard!$D$20+H725*Scorecard!$D$21+I725*Scorecard!$D$22+J725*Scorecard!$D$23</f>
        <v>2.16613099911302</v>
      </c>
      <c r="D725" s="0" t="str">
        <f aca="false">IF(AND(B725&gt;=C725,B725&gt;=K725),"A. Distribution",IF(C725&gt;=K725,"B. Manufacturing","C. Prof. services"))</f>
        <v>C. Prof. services</v>
      </c>
      <c r="E725" s="39" t="n">
        <v>0.0282966392340033</v>
      </c>
      <c r="F725" s="39" t="n">
        <v>0.108705163128954</v>
      </c>
      <c r="G725" s="39" t="n">
        <v>0.27905293932381</v>
      </c>
      <c r="H725" s="39" t="n">
        <v>0.291691643341192</v>
      </c>
      <c r="I725" s="39" t="n">
        <v>0.0611776904678287</v>
      </c>
      <c r="J725" s="39" t="n">
        <v>0.231075924504212</v>
      </c>
      <c r="K725" s="38" t="n">
        <f aca="false">E725*Scorecard!$E$18+F725*Scorecard!$E$19+G725*Scorecard!$E$20+H725*Scorecard!$E$21+I725*Scorecard!$E$22+J725*Scorecard!$E$23</f>
        <v>3.77407138908429</v>
      </c>
      <c r="M725" s="0" t="str">
        <f aca="false">IF(AND(T725&gt;=U725,T725&gt;=V725),"A. Distribution",IF(U725&gt;=V725,"B. Manufacturing","C. Prof. services"))</f>
        <v>A. Distribution</v>
      </c>
      <c r="N725" s="39" t="n">
        <v>0.19683967208976</v>
      </c>
      <c r="O725" s="39" t="n">
        <v>0.262420226291653</v>
      </c>
      <c r="P725" s="39" t="n">
        <v>0.164863152801439</v>
      </c>
      <c r="Q725" s="39" t="n">
        <v>0.116584223926684</v>
      </c>
      <c r="R725" s="39" t="n">
        <v>0.16447103331872</v>
      </c>
      <c r="S725" s="39" t="n">
        <v>0.0948216915717439</v>
      </c>
      <c r="T725" s="38" t="n">
        <f aca="false">N725*Scorecard!$C$18+O725*Scorecard!$C$19+P725*Scorecard!$C$20+Q725*Scorecard!$C$21+R725*Scorecard!$C$22+S725*Scorecard!$C$23</f>
        <v>4.04441120276421</v>
      </c>
      <c r="U725" s="38" t="n">
        <f aca="false">N725*Scorecard!$D$18+O725*Scorecard!$D$19+P725*Scorecard!$D$20+Q725*Scorecard!$D$21+R725*Scorecard!$D$22+S725*Scorecard!$D$23</f>
        <v>2.74325924264932</v>
      </c>
      <c r="V725" s="38" t="n">
        <f aca="false">N725*Scorecard!$E$18+O725*Scorecard!$E$19+P725*Scorecard!$E$20+Q725*Scorecard!$E$21+R725*Scorecard!$E$22+S725*Scorecard!$E$23</f>
        <v>3.32303337986721</v>
      </c>
    </row>
    <row r="726" customFormat="false" ht="15" hidden="false" customHeight="false" outlineLevel="0" collapsed="false">
      <c r="A726" s="0" t="n">
        <v>721</v>
      </c>
      <c r="B726" s="38" t="n">
        <f aca="false">E726*Scorecard!$C$18+F726*Scorecard!$C$19+G726*Scorecard!$C$20+H726*Scorecard!$C$21+I726*Scorecard!$C$22+J726*Scorecard!$C$23</f>
        <v>3.82820263640378</v>
      </c>
      <c r="C726" s="38" t="n">
        <f aca="false">E726*Scorecard!$D$18+F726*Scorecard!$D$19+G726*Scorecard!$D$20+H726*Scorecard!$D$21+I726*Scorecard!$D$22+J726*Scorecard!$D$23</f>
        <v>2.35639635452551</v>
      </c>
      <c r="D726" s="0" t="str">
        <f aca="false">IF(AND(B726&gt;=C726,B726&gt;=K726),"A. Distribution",IF(C726&gt;=K726,"B. Manufacturing","C. Prof. services"))</f>
        <v>A. Distribution</v>
      </c>
      <c r="E726" s="39" t="n">
        <v>0.00555513350043386</v>
      </c>
      <c r="F726" s="39" t="n">
        <v>0.311911250597331</v>
      </c>
      <c r="G726" s="39" t="n">
        <v>0.156058052229528</v>
      </c>
      <c r="H726" s="39" t="n">
        <v>0.0839126091304854</v>
      </c>
      <c r="I726" s="39" t="n">
        <v>0.20545246575043</v>
      </c>
      <c r="J726" s="39" t="n">
        <v>0.237110488791791</v>
      </c>
      <c r="K726" s="38" t="n">
        <f aca="false">E726*Scorecard!$E$18+F726*Scorecard!$E$19+G726*Scorecard!$E$20+H726*Scorecard!$E$21+I726*Scorecard!$E$22+J726*Scorecard!$E$23</f>
        <v>3.37303992481841</v>
      </c>
      <c r="M726" s="0" t="str">
        <f aca="false">IF(AND(T726&gt;=U726,T726&gt;=V726),"A. Distribution",IF(U726&gt;=V726,"B. Manufacturing","C. Prof. services"))</f>
        <v>A. Distribution</v>
      </c>
      <c r="N726" s="39" t="n">
        <v>0.314107217589854</v>
      </c>
      <c r="O726" s="39" t="n">
        <v>0.173967080298986</v>
      </c>
      <c r="P726" s="39" t="n">
        <v>0.120020294885787</v>
      </c>
      <c r="Q726" s="39" t="n">
        <v>0.138687007056338</v>
      </c>
      <c r="R726" s="39" t="n">
        <v>0.158117413714856</v>
      </c>
      <c r="S726" s="39" t="n">
        <v>0.0951009864541785</v>
      </c>
      <c r="T726" s="38" t="n">
        <f aca="false">N726*Scorecard!$C$18+O726*Scorecard!$C$19+P726*Scorecard!$C$20+Q726*Scorecard!$C$21+R726*Scorecard!$C$22+S726*Scorecard!$C$23</f>
        <v>3.94360284648365</v>
      </c>
      <c r="U726" s="38" t="n">
        <f aca="false">N726*Scorecard!$D$18+O726*Scorecard!$D$19+P726*Scorecard!$D$20+Q726*Scorecard!$D$21+R726*Scorecard!$D$22+S726*Scorecard!$D$23</f>
        <v>2.93151483106929</v>
      </c>
      <c r="V726" s="38" t="n">
        <f aca="false">N726*Scorecard!$E$18+O726*Scorecard!$E$19+P726*Scorecard!$E$20+Q726*Scorecard!$E$21+R726*Scorecard!$E$22+S726*Scorecard!$E$23</f>
        <v>3.3736380351553</v>
      </c>
    </row>
    <row r="727" customFormat="false" ht="15" hidden="false" customHeight="false" outlineLevel="0" collapsed="false">
      <c r="A727" s="0" t="n">
        <v>722</v>
      </c>
      <c r="B727" s="38" t="n">
        <f aca="false">E727*Scorecard!$C$18+F727*Scorecard!$C$19+G727*Scorecard!$C$20+H727*Scorecard!$C$21+I727*Scorecard!$C$22+J727*Scorecard!$C$23</f>
        <v>4.10900938126019</v>
      </c>
      <c r="C727" s="38" t="n">
        <f aca="false">E727*Scorecard!$D$18+F727*Scorecard!$D$19+G727*Scorecard!$D$20+H727*Scorecard!$D$21+I727*Scorecard!$D$22+J727*Scorecard!$D$23</f>
        <v>2.81914535219033</v>
      </c>
      <c r="D727" s="0" t="str">
        <f aca="false">IF(AND(B727&gt;=C727,B727&gt;=K727),"A. Distribution",IF(C727&gt;=K727,"B. Manufacturing","C. Prof. services"))</f>
        <v>A. Distribution</v>
      </c>
      <c r="E727" s="39" t="n">
        <v>0.280319924265476</v>
      </c>
      <c r="F727" s="39" t="n">
        <v>0.34281932494691</v>
      </c>
      <c r="G727" s="39" t="n">
        <v>0.0561506556828609</v>
      </c>
      <c r="H727" s="39" t="n">
        <v>0.17360113047841</v>
      </c>
      <c r="I727" s="39" t="n">
        <v>0.0508097955244413</v>
      </c>
      <c r="J727" s="39" t="n">
        <v>0.0962991691019026</v>
      </c>
      <c r="K727" s="38" t="n">
        <f aca="false">E727*Scorecard!$E$18+F727*Scorecard!$E$19+G727*Scorecard!$E$20+H727*Scorecard!$E$21+I727*Scorecard!$E$22+J727*Scorecard!$E$23</f>
        <v>3.35671179168006</v>
      </c>
      <c r="M727" s="0" t="str">
        <f aca="false">IF(AND(T727&gt;=U727,T727&gt;=V727),"A. Distribution",IF(U727&gt;=V727,"B. Manufacturing","C. Prof. services"))</f>
        <v>A. Distribution</v>
      </c>
      <c r="N727" s="39" t="n">
        <v>0.129237341207246</v>
      </c>
      <c r="O727" s="39" t="n">
        <v>0.361164940573024</v>
      </c>
      <c r="P727" s="39" t="n">
        <v>0.0905546285239562</v>
      </c>
      <c r="Q727" s="39" t="n">
        <v>0.159283448639668</v>
      </c>
      <c r="R727" s="39" t="n">
        <v>0.0861023271747596</v>
      </c>
      <c r="S727" s="39" t="n">
        <v>0.173657313881347</v>
      </c>
      <c r="T727" s="38" t="n">
        <f aca="false">N727*Scorecard!$C$18+O727*Scorecard!$C$19+P727*Scorecard!$C$20+Q727*Scorecard!$C$21+R727*Scorecard!$C$22+S727*Scorecard!$C$23</f>
        <v>3.98631137882349</v>
      </c>
      <c r="U727" s="38" t="n">
        <f aca="false">N727*Scorecard!$D$18+O727*Scorecard!$D$19+P727*Scorecard!$D$20+Q727*Scorecard!$D$21+R727*Scorecard!$D$22+S727*Scorecard!$D$23</f>
        <v>2.5273674099469</v>
      </c>
      <c r="V727" s="38" t="n">
        <f aca="false">N727*Scorecard!$E$18+O727*Scorecard!$E$19+P727*Scorecard!$E$20+Q727*Scorecard!$E$21+R727*Scorecard!$E$22+S727*Scorecard!$E$23</f>
        <v>3.39486238019755</v>
      </c>
    </row>
    <row r="728" customFormat="false" ht="15" hidden="false" customHeight="false" outlineLevel="0" collapsed="false">
      <c r="A728" s="0" t="n">
        <v>723</v>
      </c>
      <c r="B728" s="38" t="n">
        <f aca="false">E728*Scorecard!$C$18+F728*Scorecard!$C$19+G728*Scorecard!$C$20+H728*Scorecard!$C$21+I728*Scorecard!$C$22+J728*Scorecard!$C$23</f>
        <v>3.98255429123724</v>
      </c>
      <c r="C728" s="38" t="n">
        <f aca="false">E728*Scorecard!$D$18+F728*Scorecard!$D$19+G728*Scorecard!$D$20+H728*Scorecard!$D$21+I728*Scorecard!$D$22+J728*Scorecard!$D$23</f>
        <v>2.56705435970481</v>
      </c>
      <c r="D728" s="0" t="str">
        <f aca="false">IF(AND(B728&gt;=C728,B728&gt;=K728),"A. Distribution",IF(C728&gt;=K728,"B. Manufacturing","C. Prof. services"))</f>
        <v>A. Distribution</v>
      </c>
      <c r="E728" s="39" t="n">
        <v>0.12311175567266</v>
      </c>
      <c r="F728" s="39" t="n">
        <v>0.0784118594716977</v>
      </c>
      <c r="G728" s="39" t="n">
        <v>0.391617395531237</v>
      </c>
      <c r="H728" s="39" t="n">
        <v>0.198717076579187</v>
      </c>
      <c r="I728" s="39" t="n">
        <v>0.17586119215242</v>
      </c>
      <c r="J728" s="39" t="n">
        <v>0.0322807205927987</v>
      </c>
      <c r="K728" s="38" t="n">
        <f aca="false">E728*Scorecard!$E$18+F728*Scorecard!$E$19+G728*Scorecard!$E$20+H728*Scorecard!$E$21+I728*Scorecard!$E$22+J728*Scorecard!$E$23</f>
        <v>3.50274613101017</v>
      </c>
      <c r="M728" s="0" t="str">
        <f aca="false">IF(AND(T728&gt;=U728,T728&gt;=V728),"A. Distribution",IF(U728&gt;=V728,"B. Manufacturing","C. Prof. services"))</f>
        <v>A. Distribution</v>
      </c>
      <c r="N728" s="39" t="n">
        <v>0.185264971536469</v>
      </c>
      <c r="O728" s="39" t="n">
        <v>0.174471254673896</v>
      </c>
      <c r="P728" s="39" t="n">
        <v>0.139690867144958</v>
      </c>
      <c r="Q728" s="39" t="n">
        <v>0.209174282972645</v>
      </c>
      <c r="R728" s="39" t="n">
        <v>0.101076992301583</v>
      </c>
      <c r="S728" s="39" t="n">
        <v>0.19032163137045</v>
      </c>
      <c r="T728" s="38" t="n">
        <f aca="false">N728*Scorecard!$C$18+O728*Scorecard!$C$19+P728*Scorecard!$C$20+Q728*Scorecard!$C$21+R728*Scorecard!$C$22+S728*Scorecard!$C$23</f>
        <v>3.7564150136972</v>
      </c>
      <c r="U728" s="38" t="n">
        <f aca="false">N728*Scorecard!$D$18+O728*Scorecard!$D$19+P728*Scorecard!$D$20+Q728*Scorecard!$D$21+R728*Scorecard!$D$22+S728*Scorecard!$D$23</f>
        <v>2.56803096206602</v>
      </c>
      <c r="V728" s="38" t="n">
        <f aca="false">N728*Scorecard!$E$18+O728*Scorecard!$E$19+P728*Scorecard!$E$20+Q728*Scorecard!$E$21+R728*Scorecard!$E$22+S728*Scorecard!$E$23</f>
        <v>3.55708136882905</v>
      </c>
    </row>
    <row r="729" customFormat="false" ht="15" hidden="false" customHeight="false" outlineLevel="0" collapsed="false">
      <c r="A729" s="0" t="n">
        <v>724</v>
      </c>
      <c r="B729" s="38" t="n">
        <f aca="false">E729*Scorecard!$C$18+F729*Scorecard!$C$19+G729*Scorecard!$C$20+H729*Scorecard!$C$21+I729*Scorecard!$C$22+J729*Scorecard!$C$23</f>
        <v>4.23793584035141</v>
      </c>
      <c r="C729" s="38" t="n">
        <f aca="false">E729*Scorecard!$D$18+F729*Scorecard!$D$19+G729*Scorecard!$D$20+H729*Scorecard!$D$21+I729*Scorecard!$D$22+J729*Scorecard!$D$23</f>
        <v>2.55765906789966</v>
      </c>
      <c r="D729" s="0" t="str">
        <f aca="false">IF(AND(B729&gt;=C729,B729&gt;=K729),"A. Distribution",IF(C729&gt;=K729,"B. Manufacturing","C. Prof. services"))</f>
        <v>A. Distribution</v>
      </c>
      <c r="E729" s="39" t="n">
        <v>0.0344962880827628</v>
      </c>
      <c r="F729" s="39" t="n">
        <v>0.284567171468434</v>
      </c>
      <c r="G729" s="39" t="n">
        <v>0.282851674705274</v>
      </c>
      <c r="H729" s="39" t="n">
        <v>0.162872672993077</v>
      </c>
      <c r="I729" s="39" t="n">
        <v>0.222056138042039</v>
      </c>
      <c r="J729" s="39" t="n">
        <v>0.0131560547084145</v>
      </c>
      <c r="K729" s="38" t="n">
        <f aca="false">E729*Scorecard!$E$18+F729*Scorecard!$E$19+G729*Scorecard!$E$20+H729*Scorecard!$E$21+I729*Scorecard!$E$22+J729*Scorecard!$E$23</f>
        <v>3.22578046898974</v>
      </c>
      <c r="M729" s="0" t="str">
        <f aca="false">IF(AND(T729&gt;=U729,T729&gt;=V729),"A. Distribution",IF(U729&gt;=V729,"B. Manufacturing","C. Prof. services"))</f>
        <v>A. Distribution</v>
      </c>
      <c r="N729" s="39" t="n">
        <v>0.14251996007516</v>
      </c>
      <c r="O729" s="39" t="n">
        <v>0.20818638244563</v>
      </c>
      <c r="P729" s="39" t="n">
        <v>0.278108687703494</v>
      </c>
      <c r="Q729" s="39" t="n">
        <v>0.193335800684558</v>
      </c>
      <c r="R729" s="39" t="n">
        <v>0.147898635671351</v>
      </c>
      <c r="S729" s="39" t="n">
        <v>0.0299505334198067</v>
      </c>
      <c r="T729" s="38" t="n">
        <f aca="false">N729*Scorecard!$C$18+O729*Scorecard!$C$19+P729*Scorecard!$C$20+Q729*Scorecard!$C$21+R729*Scorecard!$C$22+S729*Scorecard!$C$23</f>
        <v>4.1160108021137</v>
      </c>
      <c r="U729" s="38" t="n">
        <f aca="false">N729*Scorecard!$D$18+O729*Scorecard!$D$19+P729*Scorecard!$D$20+Q729*Scorecard!$D$21+R729*Scorecard!$D$22+S729*Scorecard!$D$23</f>
        <v>2.63739042366779</v>
      </c>
      <c r="V729" s="38" t="n">
        <f aca="false">N729*Scorecard!$E$18+O729*Scorecard!$E$19+P729*Scorecard!$E$20+Q729*Scorecard!$E$21+R729*Scorecard!$E$22+S729*Scorecard!$E$23</f>
        <v>3.38510740426676</v>
      </c>
    </row>
    <row r="730" customFormat="false" ht="15" hidden="false" customHeight="false" outlineLevel="0" collapsed="false">
      <c r="A730" s="0" t="n">
        <v>725</v>
      </c>
      <c r="B730" s="38" t="n">
        <f aca="false">E730*Scorecard!$C$18+F730*Scorecard!$C$19+G730*Scorecard!$C$20+H730*Scorecard!$C$21+I730*Scorecard!$C$22+J730*Scorecard!$C$23</f>
        <v>3.75923519431479</v>
      </c>
      <c r="C730" s="38" t="n">
        <f aca="false">E730*Scorecard!$D$18+F730*Scorecard!$D$19+G730*Scorecard!$D$20+H730*Scorecard!$D$21+I730*Scorecard!$D$22+J730*Scorecard!$D$23</f>
        <v>2.79974041282618</v>
      </c>
      <c r="D730" s="0" t="str">
        <f aca="false">IF(AND(B730&gt;=C730,B730&gt;=K730),"A. Distribution",IF(C730&gt;=K730,"B. Manufacturing","C. Prof. services"))</f>
        <v>A. Distribution</v>
      </c>
      <c r="E730" s="39" t="n">
        <v>0.282180671501861</v>
      </c>
      <c r="F730" s="39" t="n">
        <v>0.142669895984928</v>
      </c>
      <c r="G730" s="39" t="n">
        <v>0.190891598048793</v>
      </c>
      <c r="H730" s="39" t="n">
        <v>0.0301568258269335</v>
      </c>
      <c r="I730" s="39" t="n">
        <v>0.175336053238378</v>
      </c>
      <c r="J730" s="39" t="n">
        <v>0.178764955399106</v>
      </c>
      <c r="K730" s="38" t="n">
        <f aca="false">E730*Scorecard!$E$18+F730*Scorecard!$E$19+G730*Scorecard!$E$20+H730*Scorecard!$E$21+I730*Scorecard!$E$22+J730*Scorecard!$E$23</f>
        <v>3.47564580284524</v>
      </c>
      <c r="M730" s="0" t="str">
        <f aca="false">IF(AND(T730&gt;=U730,T730&gt;=V730),"A. Distribution",IF(U730&gt;=V730,"B. Manufacturing","C. Prof. services"))</f>
        <v>A. Distribution</v>
      </c>
      <c r="N730" s="39" t="n">
        <v>0.238428005384933</v>
      </c>
      <c r="O730" s="39" t="n">
        <v>0.190096438613024</v>
      </c>
      <c r="P730" s="39" t="n">
        <v>0.171275180499587</v>
      </c>
      <c r="Q730" s="39" t="n">
        <v>0.237696025613737</v>
      </c>
      <c r="R730" s="39" t="n">
        <v>0.0585878626399398</v>
      </c>
      <c r="S730" s="39" t="n">
        <v>0.10391648724878</v>
      </c>
      <c r="T730" s="38" t="n">
        <f aca="false">N730*Scorecard!$C$18+O730*Scorecard!$C$19+P730*Scorecard!$C$20+Q730*Scorecard!$C$21+R730*Scorecard!$C$22+S730*Scorecard!$C$23</f>
        <v>3.93750896300406</v>
      </c>
      <c r="U730" s="38" t="n">
        <f aca="false">N730*Scorecard!$D$18+O730*Scorecard!$D$19+P730*Scorecard!$D$20+Q730*Scorecard!$D$21+R730*Scorecard!$D$22+S730*Scorecard!$D$23</f>
        <v>2.67876365927301</v>
      </c>
      <c r="V730" s="38" t="n">
        <f aca="false">N730*Scorecard!$E$18+O730*Scorecard!$E$19+P730*Scorecard!$E$20+Q730*Scorecard!$E$21+R730*Scorecard!$E$22+S730*Scorecard!$E$23</f>
        <v>3.53010651297303</v>
      </c>
    </row>
    <row r="731" customFormat="false" ht="15" hidden="false" customHeight="false" outlineLevel="0" collapsed="false">
      <c r="A731" s="0" t="n">
        <v>726</v>
      </c>
      <c r="B731" s="38" t="n">
        <f aca="false">E731*Scorecard!$C$18+F731*Scorecard!$C$19+G731*Scorecard!$C$20+H731*Scorecard!$C$21+I731*Scorecard!$C$22+J731*Scorecard!$C$23</f>
        <v>3.85971859445661</v>
      </c>
      <c r="C731" s="38" t="n">
        <f aca="false">E731*Scorecard!$D$18+F731*Scorecard!$D$19+G731*Scorecard!$D$20+H731*Scorecard!$D$21+I731*Scorecard!$D$22+J731*Scorecard!$D$23</f>
        <v>2.41613380633433</v>
      </c>
      <c r="D731" s="0" t="str">
        <f aca="false">IF(AND(B731&gt;=C731,B731&gt;=K731),"A. Distribution",IF(C731&gt;=K731,"B. Manufacturing","C. Prof. services"))</f>
        <v>A. Distribution</v>
      </c>
      <c r="E731" s="39" t="n">
        <v>0.0377042632009582</v>
      </c>
      <c r="F731" s="39" t="n">
        <v>0.330395780935824</v>
      </c>
      <c r="G731" s="39" t="n">
        <v>0.0378591792476444</v>
      </c>
      <c r="H731" s="39" t="n">
        <v>0.210735768254735</v>
      </c>
      <c r="I731" s="39" t="n">
        <v>0.160833443254872</v>
      </c>
      <c r="J731" s="39" t="n">
        <v>0.222471565105967</v>
      </c>
      <c r="K731" s="38" t="n">
        <f aca="false">E731*Scorecard!$E$18+F731*Scorecard!$E$19+G731*Scorecard!$E$20+H731*Scorecard!$E$21+I731*Scorecard!$E$22+J731*Scorecard!$E$23</f>
        <v>3.36043489365921</v>
      </c>
      <c r="M731" s="0" t="str">
        <f aca="false">IF(AND(T731&gt;=U731,T731&gt;=V731),"A. Distribution",IF(U731&gt;=V731,"B. Manufacturing","C. Prof. services"))</f>
        <v>A. Distribution</v>
      </c>
      <c r="N731" s="39" t="n">
        <v>0.0527128950756625</v>
      </c>
      <c r="O731" s="39" t="n">
        <v>0.234472345693946</v>
      </c>
      <c r="P731" s="39" t="n">
        <v>0.263510014813969</v>
      </c>
      <c r="Q731" s="39" t="n">
        <v>0.1510923551738</v>
      </c>
      <c r="R731" s="39" t="n">
        <v>0.111326483465862</v>
      </c>
      <c r="S731" s="39" t="n">
        <v>0.18688590577676</v>
      </c>
      <c r="T731" s="38" t="n">
        <f aca="false">N731*Scorecard!$C$18+O731*Scorecard!$C$19+P731*Scorecard!$C$20+Q731*Scorecard!$C$21+R731*Scorecard!$C$22+S731*Scorecard!$C$23</f>
        <v>3.8401880960285</v>
      </c>
      <c r="U731" s="38" t="n">
        <f aca="false">N731*Scorecard!$D$18+O731*Scorecard!$D$19+P731*Scorecard!$D$20+Q731*Scorecard!$D$21+R731*Scorecard!$D$22+S731*Scorecard!$D$23</f>
        <v>2.33003219104153</v>
      </c>
      <c r="V731" s="38" t="n">
        <f aca="false">N731*Scorecard!$E$18+O731*Scorecard!$E$19+P731*Scorecard!$E$20+Q731*Scorecard!$E$21+R731*Scorecard!$E$22+S731*Scorecard!$E$23</f>
        <v>3.55182752297946</v>
      </c>
    </row>
    <row r="732" customFormat="false" ht="15" hidden="false" customHeight="false" outlineLevel="0" collapsed="false">
      <c r="A732" s="0" t="n">
        <v>727</v>
      </c>
      <c r="B732" s="38" t="n">
        <f aca="false">E732*Scorecard!$C$18+F732*Scorecard!$C$19+G732*Scorecard!$C$20+H732*Scorecard!$C$21+I732*Scorecard!$C$22+J732*Scorecard!$C$23</f>
        <v>3.68198751355298</v>
      </c>
      <c r="C732" s="38" t="n">
        <f aca="false">E732*Scorecard!$D$18+F732*Scorecard!$D$19+G732*Scorecard!$D$20+H732*Scorecard!$D$21+I732*Scorecard!$D$22+J732*Scorecard!$D$23</f>
        <v>2.64810535659617</v>
      </c>
      <c r="D732" s="0" t="str">
        <f aca="false">IF(AND(B732&gt;=C732,B732&gt;=K732),"A. Distribution",IF(C732&gt;=K732,"B. Manufacturing","C. Prof. services"))</f>
        <v>A. Distribution</v>
      </c>
      <c r="E732" s="39" t="n">
        <v>0.157916770975657</v>
      </c>
      <c r="F732" s="39" t="n">
        <v>0.0587036766725279</v>
      </c>
      <c r="G732" s="39" t="n">
        <v>0.0488634732873879</v>
      </c>
      <c r="H732" s="39" t="n">
        <v>0.369484228729472</v>
      </c>
      <c r="I732" s="39" t="n">
        <v>0.202919153886505</v>
      </c>
      <c r="J732" s="39" t="n">
        <v>0.16211269644845</v>
      </c>
      <c r="K732" s="38" t="n">
        <f aca="false">E732*Scorecard!$E$18+F732*Scorecard!$E$19+G732*Scorecard!$E$20+H732*Scorecard!$E$21+I732*Scorecard!$E$22+J732*Scorecard!$E$23</f>
        <v>3.47286781919428</v>
      </c>
      <c r="M732" s="0" t="str">
        <f aca="false">IF(AND(T732&gt;=U732,T732&gt;=V732),"A. Distribution",IF(U732&gt;=V732,"B. Manufacturing","C. Prof. services"))</f>
        <v>A. Distribution</v>
      </c>
      <c r="N732" s="39" t="n">
        <v>0.289728050276878</v>
      </c>
      <c r="O732" s="39" t="n">
        <v>0.19266639822083</v>
      </c>
      <c r="P732" s="39" t="n">
        <v>0.307865124872773</v>
      </c>
      <c r="Q732" s="39" t="n">
        <v>0.0797600340750549</v>
      </c>
      <c r="R732" s="39" t="n">
        <v>0.11641011958681</v>
      </c>
      <c r="S732" s="39" t="n">
        <v>0.0135702729676546</v>
      </c>
      <c r="T732" s="38" t="n">
        <f aca="false">N732*Scorecard!$C$18+O732*Scorecard!$C$19+P732*Scorecard!$C$20+Q732*Scorecard!$C$21+R732*Scorecard!$C$22+S732*Scorecard!$C$23</f>
        <v>4.13367033193975</v>
      </c>
      <c r="U732" s="38" t="n">
        <f aca="false">N732*Scorecard!$D$18+O732*Scorecard!$D$19+P732*Scorecard!$D$20+Q732*Scorecard!$D$21+R732*Scorecard!$D$22+S732*Scorecard!$D$23</f>
        <v>2.86002937306668</v>
      </c>
      <c r="V732" s="38" t="n">
        <f aca="false">N732*Scorecard!$E$18+O732*Scorecard!$E$19+P732*Scorecard!$E$20+Q732*Scorecard!$E$21+R732*Scorecard!$E$22+S732*Scorecard!$E$23</f>
        <v>3.41149589431376</v>
      </c>
    </row>
    <row r="733" customFormat="false" ht="15" hidden="false" customHeight="false" outlineLevel="0" collapsed="false">
      <c r="A733" s="0" t="n">
        <v>728</v>
      </c>
      <c r="B733" s="38" t="n">
        <f aca="false">E733*Scorecard!$C$18+F733*Scorecard!$C$19+G733*Scorecard!$C$20+H733*Scorecard!$C$21+I733*Scorecard!$C$22+J733*Scorecard!$C$23</f>
        <v>3.84111627710745</v>
      </c>
      <c r="C733" s="38" t="n">
        <f aca="false">E733*Scorecard!$D$18+F733*Scorecard!$D$19+G733*Scorecard!$D$20+H733*Scorecard!$D$21+I733*Scorecard!$D$22+J733*Scorecard!$D$23</f>
        <v>2.63768275924031</v>
      </c>
      <c r="D733" s="0" t="str">
        <f aca="false">IF(AND(B733&gt;=C733,B733&gt;=K733),"A. Distribution",IF(C733&gt;=K733,"B. Manufacturing","C. Prof. services"))</f>
        <v>A. Distribution</v>
      </c>
      <c r="E733" s="39" t="n">
        <v>0.113167084099474</v>
      </c>
      <c r="F733" s="39" t="n">
        <v>0.00815881393895167</v>
      </c>
      <c r="G733" s="39" t="n">
        <v>0.0883858105793698</v>
      </c>
      <c r="H733" s="39" t="n">
        <v>0.535430943326471</v>
      </c>
      <c r="I733" s="39" t="n">
        <v>0.204725488739023</v>
      </c>
      <c r="J733" s="39" t="n">
        <v>0.0501318593167106</v>
      </c>
      <c r="K733" s="38" t="n">
        <f aca="false">E733*Scorecard!$E$18+F733*Scorecard!$E$19+G733*Scorecard!$E$20+H733*Scorecard!$E$21+I733*Scorecard!$E$22+J733*Scorecard!$E$23</f>
        <v>3.44238671125745</v>
      </c>
      <c r="M733" s="0" t="str">
        <f aca="false">IF(AND(T733&gt;=U733,T733&gt;=V733),"A. Distribution",IF(U733&gt;=V733,"B. Manufacturing","C. Prof. services"))</f>
        <v>A. Distribution</v>
      </c>
      <c r="N733" s="39" t="n">
        <v>0.17735812631933</v>
      </c>
      <c r="O733" s="39" t="n">
        <v>0.170577221602004</v>
      </c>
      <c r="P733" s="39" t="n">
        <v>0.363190827111583</v>
      </c>
      <c r="Q733" s="39" t="n">
        <v>0.123454279567918</v>
      </c>
      <c r="R733" s="39" t="n">
        <v>0.0750538754558873</v>
      </c>
      <c r="S733" s="39" t="n">
        <v>0.0903656699432781</v>
      </c>
      <c r="T733" s="38" t="n">
        <f aca="false">N733*Scorecard!$C$18+O733*Scorecard!$C$19+P733*Scorecard!$C$20+Q733*Scorecard!$C$21+R733*Scorecard!$C$22+S733*Scorecard!$C$23</f>
        <v>3.96230409922531</v>
      </c>
      <c r="U733" s="38" t="n">
        <f aca="false">N733*Scorecard!$D$18+O733*Scorecard!$D$19+P733*Scorecard!$D$20+Q733*Scorecard!$D$21+R733*Scorecard!$D$22+S733*Scorecard!$D$23</f>
        <v>2.54019750471441</v>
      </c>
      <c r="V733" s="38" t="n">
        <f aca="false">N733*Scorecard!$E$18+O733*Scorecard!$E$19+P733*Scorecard!$E$20+Q733*Scorecard!$E$21+R733*Scorecard!$E$22+S733*Scorecard!$E$23</f>
        <v>3.58712147678898</v>
      </c>
    </row>
    <row r="734" customFormat="false" ht="15" hidden="false" customHeight="false" outlineLevel="0" collapsed="false">
      <c r="A734" s="0" t="n">
        <v>729</v>
      </c>
      <c r="B734" s="38" t="n">
        <f aca="false">E734*Scorecard!$C$18+F734*Scorecard!$C$19+G734*Scorecard!$C$20+H734*Scorecard!$C$21+I734*Scorecard!$C$22+J734*Scorecard!$C$23</f>
        <v>3.60086875893665</v>
      </c>
      <c r="C734" s="38" t="n">
        <f aca="false">E734*Scorecard!$D$18+F734*Scorecard!$D$19+G734*Scorecard!$D$20+H734*Scorecard!$D$21+I734*Scorecard!$D$22+J734*Scorecard!$D$23</f>
        <v>2.39762658791863</v>
      </c>
      <c r="D734" s="0" t="str">
        <f aca="false">IF(AND(B734&gt;=C734,B734&gt;=K734),"A. Distribution",IF(C734&gt;=K734,"B. Manufacturing","C. Prof. services"))</f>
        <v>C. Prof. services</v>
      </c>
      <c r="E734" s="39" t="n">
        <v>0.201755271732924</v>
      </c>
      <c r="F734" s="39" t="n">
        <v>0.127342706971035</v>
      </c>
      <c r="G734" s="39" t="n">
        <v>0.352163081119027</v>
      </c>
      <c r="H734" s="39" t="n">
        <v>0.0374521237817233</v>
      </c>
      <c r="I734" s="39" t="n">
        <v>0.0281667262707904</v>
      </c>
      <c r="J734" s="39" t="n">
        <v>0.253120090124501</v>
      </c>
      <c r="K734" s="38" t="n">
        <f aca="false">E734*Scorecard!$E$18+F734*Scorecard!$E$19+G734*Scorecard!$E$20+H734*Scorecard!$E$21+I734*Scorecard!$E$22+J734*Scorecard!$E$23</f>
        <v>3.81425947046449</v>
      </c>
      <c r="M734" s="0" t="str">
        <f aca="false">IF(AND(T734&gt;=U734,T734&gt;=V734),"A. Distribution",IF(U734&gt;=V734,"B. Manufacturing","C. Prof. services"))</f>
        <v>A. Distribution</v>
      </c>
      <c r="N734" s="39" t="n">
        <v>0.186479283863641</v>
      </c>
      <c r="O734" s="39" t="n">
        <v>0.130497986600246</v>
      </c>
      <c r="P734" s="39" t="n">
        <v>0.245154403546776</v>
      </c>
      <c r="Q734" s="39" t="n">
        <v>0.197821308382298</v>
      </c>
      <c r="R734" s="39" t="n">
        <v>0.0749836334299706</v>
      </c>
      <c r="S734" s="39" t="n">
        <v>0.16506338417707</v>
      </c>
      <c r="T734" s="38" t="n">
        <f aca="false">N734*Scorecard!$C$18+O734*Scorecard!$C$19+P734*Scorecard!$C$20+Q734*Scorecard!$C$21+R734*Scorecard!$C$22+S734*Scorecard!$C$23</f>
        <v>3.76408403646762</v>
      </c>
      <c r="U734" s="38" t="n">
        <f aca="false">N734*Scorecard!$D$18+O734*Scorecard!$D$19+P734*Scorecard!$D$20+Q734*Scorecard!$D$21+R734*Scorecard!$D$22+S734*Scorecard!$D$23</f>
        <v>2.52171071069654</v>
      </c>
      <c r="V734" s="38" t="n">
        <f aca="false">N734*Scorecard!$E$18+O734*Scorecard!$E$19+P734*Scorecard!$E$20+Q734*Scorecard!$E$21+R734*Scorecard!$E$22+S734*Scorecard!$E$23</f>
        <v>3.64361461268006</v>
      </c>
    </row>
    <row r="735" customFormat="false" ht="15" hidden="false" customHeight="false" outlineLevel="0" collapsed="false">
      <c r="A735" s="0" t="n">
        <v>730</v>
      </c>
      <c r="B735" s="38" t="n">
        <f aca="false">E735*Scorecard!$C$18+F735*Scorecard!$C$19+G735*Scorecard!$C$20+H735*Scorecard!$C$21+I735*Scorecard!$C$22+J735*Scorecard!$C$23</f>
        <v>3.45490375932319</v>
      </c>
      <c r="C735" s="38" t="n">
        <f aca="false">E735*Scorecard!$D$18+F735*Scorecard!$D$19+G735*Scorecard!$D$20+H735*Scorecard!$D$21+I735*Scorecard!$D$22+J735*Scorecard!$D$23</f>
        <v>2.2663252499169</v>
      </c>
      <c r="D735" s="0" t="str">
        <f aca="false">IF(AND(B735&gt;=C735,B735&gt;=K735),"A. Distribution",IF(C735&gt;=K735,"B. Manufacturing","C. Prof. services"))</f>
        <v>C. Prof. services</v>
      </c>
      <c r="E735" s="39" t="n">
        <v>0.128345457726319</v>
      </c>
      <c r="F735" s="39" t="n">
        <v>0.102208800045581</v>
      </c>
      <c r="G735" s="39" t="n">
        <v>0.290041553274708</v>
      </c>
      <c r="H735" s="39" t="n">
        <v>0.109094178753926</v>
      </c>
      <c r="I735" s="39" t="n">
        <v>0.0576871919682026</v>
      </c>
      <c r="J735" s="39" t="n">
        <v>0.312622818231263</v>
      </c>
      <c r="K735" s="38" t="n">
        <f aca="false">E735*Scorecard!$E$18+F735*Scorecard!$E$19+G735*Scorecard!$E$20+H735*Scorecard!$E$21+I735*Scorecard!$E$22+J735*Scorecard!$E$23</f>
        <v>3.83812712438113</v>
      </c>
      <c r="M735" s="0" t="str">
        <f aca="false">IF(AND(T735&gt;=U735,T735&gt;=V735),"A. Distribution",IF(U735&gt;=V735,"B. Manufacturing","C. Prof. services"))</f>
        <v>A. Distribution</v>
      </c>
      <c r="N735" s="39" t="n">
        <v>0.163684105873207</v>
      </c>
      <c r="O735" s="39" t="n">
        <v>0.190857840140985</v>
      </c>
      <c r="P735" s="39" t="n">
        <v>0.293340029970597</v>
      </c>
      <c r="Q735" s="39" t="n">
        <v>0.135393392730684</v>
      </c>
      <c r="R735" s="39" t="n">
        <v>0.0994790245101974</v>
      </c>
      <c r="S735" s="39" t="n">
        <v>0.11724560677433</v>
      </c>
      <c r="T735" s="38" t="n">
        <f aca="false">N735*Scorecard!$C$18+O735*Scorecard!$C$19+P735*Scorecard!$C$20+Q735*Scorecard!$C$21+R735*Scorecard!$C$22+S735*Scorecard!$C$23</f>
        <v>3.92863624061279</v>
      </c>
      <c r="U735" s="38" t="n">
        <f aca="false">N735*Scorecard!$D$18+O735*Scorecard!$D$19+P735*Scorecard!$D$20+Q735*Scorecard!$D$21+R735*Scorecard!$D$22+S735*Scorecard!$D$23</f>
        <v>2.54589109420672</v>
      </c>
      <c r="V735" s="38" t="n">
        <f aca="false">N735*Scorecard!$E$18+O735*Scorecard!$E$19+P735*Scorecard!$E$20+Q735*Scorecard!$E$21+R735*Scorecard!$E$22+S735*Scorecard!$E$23</f>
        <v>3.53854024660996</v>
      </c>
    </row>
    <row r="736" customFormat="false" ht="15" hidden="false" customHeight="false" outlineLevel="0" collapsed="false">
      <c r="A736" s="0" t="n">
        <v>731</v>
      </c>
      <c r="B736" s="38" t="n">
        <f aca="false">E736*Scorecard!$C$18+F736*Scorecard!$C$19+G736*Scorecard!$C$20+H736*Scorecard!$C$21+I736*Scorecard!$C$22+J736*Scorecard!$C$23</f>
        <v>3.43989388949358</v>
      </c>
      <c r="C736" s="38" t="n">
        <f aca="false">E736*Scorecard!$D$18+F736*Scorecard!$D$19+G736*Scorecard!$D$20+H736*Scorecard!$D$21+I736*Scorecard!$D$22+J736*Scorecard!$D$23</f>
        <v>2.40274718330048</v>
      </c>
      <c r="D736" s="0" t="str">
        <f aca="false">IF(AND(B736&gt;=C736,B736&gt;=K736),"A. Distribution",IF(C736&gt;=K736,"B. Manufacturing","C. Prof. services"))</f>
        <v>C. Prof. services</v>
      </c>
      <c r="E736" s="39" t="n">
        <v>0.243138461469932</v>
      </c>
      <c r="F736" s="39" t="n">
        <v>0.045534168949151</v>
      </c>
      <c r="G736" s="39" t="n">
        <v>0.359275691202089</v>
      </c>
      <c r="H736" s="39" t="n">
        <v>0.0482358434283036</v>
      </c>
      <c r="I736" s="39" t="n">
        <v>0.0133548165317451</v>
      </c>
      <c r="J736" s="39" t="n">
        <v>0.29046101841878</v>
      </c>
      <c r="K736" s="38" t="n">
        <f aca="false">E736*Scorecard!$E$18+F736*Scorecard!$E$19+G736*Scorecard!$E$20+H736*Scorecard!$E$21+I736*Scorecard!$E$22+J736*Scorecard!$E$23</f>
        <v>3.93119365999392</v>
      </c>
      <c r="M736" s="0" t="str">
        <f aca="false">IF(AND(T736&gt;=U736,T736&gt;=V736),"A. Distribution",IF(U736&gt;=V736,"B. Manufacturing","C. Prof. services"))</f>
        <v>A. Distribution</v>
      </c>
      <c r="N736" s="39" t="n">
        <v>0.278613630495423</v>
      </c>
      <c r="O736" s="39" t="n">
        <v>0.264516075567026</v>
      </c>
      <c r="P736" s="39" t="n">
        <v>0.13853827053133</v>
      </c>
      <c r="Q736" s="39" t="n">
        <v>0.0814682532823521</v>
      </c>
      <c r="R736" s="39" t="n">
        <v>0.090143112385035</v>
      </c>
      <c r="S736" s="39" t="n">
        <v>0.146720657738835</v>
      </c>
      <c r="T736" s="38" t="n">
        <f aca="false">N736*Scorecard!$C$18+O736*Scorecard!$C$19+P736*Scorecard!$C$20+Q736*Scorecard!$C$21+R736*Scorecard!$C$22+S736*Scorecard!$C$23</f>
        <v>3.93992751900683</v>
      </c>
      <c r="U736" s="38" t="n">
        <f aca="false">N736*Scorecard!$D$18+O736*Scorecard!$D$19+P736*Scorecard!$D$20+Q736*Scorecard!$D$21+R736*Scorecard!$D$22+S736*Scorecard!$D$23</f>
        <v>2.77451089199621</v>
      </c>
      <c r="V736" s="38" t="n">
        <f aca="false">N736*Scorecard!$E$18+O736*Scorecard!$E$19+P736*Scorecard!$E$20+Q736*Scorecard!$E$21+R736*Scorecard!$E$22+S736*Scorecard!$E$23</f>
        <v>3.44095839810692</v>
      </c>
    </row>
    <row r="737" customFormat="false" ht="15" hidden="false" customHeight="false" outlineLevel="0" collapsed="false">
      <c r="A737" s="0" t="n">
        <v>732</v>
      </c>
      <c r="B737" s="38" t="n">
        <f aca="false">E737*Scorecard!$C$18+F737*Scorecard!$C$19+G737*Scorecard!$C$20+H737*Scorecard!$C$21+I737*Scorecard!$C$22+J737*Scorecard!$C$23</f>
        <v>3.98246824327358</v>
      </c>
      <c r="C737" s="38" t="n">
        <f aca="false">E737*Scorecard!$D$18+F737*Scorecard!$D$19+G737*Scorecard!$D$20+H737*Scorecard!$D$21+I737*Scorecard!$D$22+J737*Scorecard!$D$23</f>
        <v>2.18141283281727</v>
      </c>
      <c r="D737" s="0" t="str">
        <f aca="false">IF(AND(B737&gt;=C737,B737&gt;=K737),"A. Distribution",IF(C737&gt;=K737,"B. Manufacturing","C. Prof. services"))</f>
        <v>A. Distribution</v>
      </c>
      <c r="E737" s="39" t="n">
        <v>0.0220632005915677</v>
      </c>
      <c r="F737" s="39" t="n">
        <v>0.0777224079747802</v>
      </c>
      <c r="G737" s="39" t="n">
        <v>0.57263336106313</v>
      </c>
      <c r="H737" s="39" t="n">
        <v>0.271135653509274</v>
      </c>
      <c r="I737" s="39" t="n">
        <v>0.0243114989712165</v>
      </c>
      <c r="J737" s="39" t="n">
        <v>0.0321338778900322</v>
      </c>
      <c r="K737" s="38" t="n">
        <f aca="false">E737*Scorecard!$E$18+F737*Scorecard!$E$19+G737*Scorecard!$E$20+H737*Scorecard!$E$21+I737*Scorecard!$E$22+J737*Scorecard!$E$23</f>
        <v>3.78292267872504</v>
      </c>
      <c r="M737" s="0" t="str">
        <f aca="false">IF(AND(T737&gt;=U737,T737&gt;=V737),"A. Distribution",IF(U737&gt;=V737,"B. Manufacturing","C. Prof. services"))</f>
        <v>A. Distribution</v>
      </c>
      <c r="N737" s="39" t="n">
        <v>0.129730816917119</v>
      </c>
      <c r="O737" s="39" t="n">
        <v>0.33303845367381</v>
      </c>
      <c r="P737" s="39" t="n">
        <v>0.220829132285369</v>
      </c>
      <c r="Q737" s="39" t="n">
        <v>0.130097292473777</v>
      </c>
      <c r="R737" s="39" t="n">
        <v>0.0968391035673209</v>
      </c>
      <c r="S737" s="39" t="n">
        <v>0.0894652010826038</v>
      </c>
      <c r="T737" s="38" t="n">
        <f aca="false">N737*Scorecard!$C$18+O737*Scorecard!$C$19+P737*Scorecard!$C$20+Q737*Scorecard!$C$21+R737*Scorecard!$C$22+S737*Scorecard!$C$23</f>
        <v>4.12967432340345</v>
      </c>
      <c r="U737" s="38" t="n">
        <f aca="false">N737*Scorecard!$D$18+O737*Scorecard!$D$19+P737*Scorecard!$D$20+Q737*Scorecard!$D$21+R737*Scorecard!$D$22+S737*Scorecard!$D$23</f>
        <v>2.5613450201021</v>
      </c>
      <c r="V737" s="38" t="n">
        <f aca="false">N737*Scorecard!$E$18+O737*Scorecard!$E$19+P737*Scorecard!$E$20+Q737*Scorecard!$E$21+R737*Scorecard!$E$22+S737*Scorecard!$E$23</f>
        <v>3.37779359698474</v>
      </c>
    </row>
    <row r="738" customFormat="false" ht="15" hidden="false" customHeight="false" outlineLevel="0" collapsed="false">
      <c r="A738" s="0" t="n">
        <v>733</v>
      </c>
      <c r="B738" s="38" t="n">
        <f aca="false">E738*Scorecard!$C$18+F738*Scorecard!$C$19+G738*Scorecard!$C$20+H738*Scorecard!$C$21+I738*Scorecard!$C$22+J738*Scorecard!$C$23</f>
        <v>3.46650980360485</v>
      </c>
      <c r="C738" s="38" t="n">
        <f aca="false">E738*Scorecard!$D$18+F738*Scorecard!$D$19+G738*Scorecard!$D$20+H738*Scorecard!$D$21+I738*Scorecard!$D$22+J738*Scorecard!$D$23</f>
        <v>2.72160598340113</v>
      </c>
      <c r="D738" s="0" t="str">
        <f aca="false">IF(AND(B738&gt;=C738,B738&gt;=K738),"A. Distribution",IF(C738&gt;=K738,"B. Manufacturing","C. Prof. services"))</f>
        <v>C. Prof. services</v>
      </c>
      <c r="E738" s="39" t="n">
        <v>0.263597864717453</v>
      </c>
      <c r="F738" s="39" t="n">
        <v>0.00110712544631493</v>
      </c>
      <c r="G738" s="39" t="n">
        <v>0.193139014631673</v>
      </c>
      <c r="H738" s="39" t="n">
        <v>0.0684981000938686</v>
      </c>
      <c r="I738" s="39" t="n">
        <v>0.220631300242147</v>
      </c>
      <c r="J738" s="39" t="n">
        <v>0.253026594868543</v>
      </c>
      <c r="K738" s="38" t="n">
        <f aca="false">E738*Scorecard!$E$18+F738*Scorecard!$E$19+G738*Scorecard!$E$20+H738*Scorecard!$E$21+I738*Scorecard!$E$22+J738*Scorecard!$E$23</f>
        <v>3.60326062747672</v>
      </c>
      <c r="M738" s="0" t="str">
        <f aca="false">IF(AND(T738&gt;=U738,T738&gt;=V738),"A. Distribution",IF(U738&gt;=V738,"B. Manufacturing","C. Prof. services"))</f>
        <v>A. Distribution</v>
      </c>
      <c r="N738" s="39" t="n">
        <v>0.132116969392588</v>
      </c>
      <c r="O738" s="39" t="n">
        <v>0.109042963902272</v>
      </c>
      <c r="P738" s="39" t="n">
        <v>0.262396796666516</v>
      </c>
      <c r="Q738" s="39" t="n">
        <v>0.153642228992508</v>
      </c>
      <c r="R738" s="39" t="n">
        <v>0.224204443261978</v>
      </c>
      <c r="S738" s="39" t="n">
        <v>0.118596597784139</v>
      </c>
      <c r="T738" s="38" t="n">
        <f aca="false">N738*Scorecard!$C$18+O738*Scorecard!$C$19+P738*Scorecard!$C$20+Q738*Scorecard!$C$21+R738*Scorecard!$C$22+S738*Scorecard!$C$23</f>
        <v>3.8446874830233</v>
      </c>
      <c r="U738" s="38" t="n">
        <f aca="false">N738*Scorecard!$D$18+O738*Scorecard!$D$19+P738*Scorecard!$D$20+Q738*Scorecard!$D$21+R738*Scorecard!$D$22+S738*Scorecard!$D$23</f>
        <v>2.60962782919247</v>
      </c>
      <c r="V738" s="38" t="n">
        <f aca="false">N738*Scorecard!$E$18+O738*Scorecard!$E$19+P738*Scorecard!$E$20+Q738*Scorecard!$E$21+R738*Scorecard!$E$22+S738*Scorecard!$E$23</f>
        <v>3.43895368294855</v>
      </c>
    </row>
    <row r="739" customFormat="false" ht="15" hidden="false" customHeight="false" outlineLevel="0" collapsed="false">
      <c r="A739" s="0" t="n">
        <v>734</v>
      </c>
      <c r="B739" s="38" t="n">
        <f aca="false">E739*Scorecard!$C$18+F739*Scorecard!$C$19+G739*Scorecard!$C$20+H739*Scorecard!$C$21+I739*Scorecard!$C$22+J739*Scorecard!$C$23</f>
        <v>3.62621594899631</v>
      </c>
      <c r="C739" s="38" t="n">
        <f aca="false">E739*Scorecard!$D$18+F739*Scorecard!$D$19+G739*Scorecard!$D$20+H739*Scorecard!$D$21+I739*Scorecard!$D$22+J739*Scorecard!$D$23</f>
        <v>2.65914524149493</v>
      </c>
      <c r="D739" s="0" t="str">
        <f aca="false">IF(AND(B739&gt;=C739,B739&gt;=K739),"A. Distribution",IF(C739&gt;=K739,"B. Manufacturing","C. Prof. services"))</f>
        <v>C. Prof. services</v>
      </c>
      <c r="E739" s="39" t="n">
        <v>0.26488699059315</v>
      </c>
      <c r="F739" s="39" t="n">
        <v>0.0118909404281088</v>
      </c>
      <c r="G739" s="39" t="n">
        <v>0.0325863289494552</v>
      </c>
      <c r="H739" s="39" t="n">
        <v>0.498693279202315</v>
      </c>
      <c r="I739" s="39" t="n">
        <v>0.0366056725352952</v>
      </c>
      <c r="J739" s="39" t="n">
        <v>0.155336788291676</v>
      </c>
      <c r="K739" s="38" t="n">
        <f aca="false">E739*Scorecard!$E$18+F739*Scorecard!$E$19+G739*Scorecard!$E$20+H739*Scorecard!$E$21+I739*Scorecard!$E$22+J739*Scorecard!$E$23</f>
        <v>3.70688907007656</v>
      </c>
      <c r="M739" s="0" t="str">
        <f aca="false">IF(AND(T739&gt;=U739,T739&gt;=V739),"A. Distribution",IF(U739&gt;=V739,"B. Manufacturing","C. Prof. services"))</f>
        <v>A. Distribution</v>
      </c>
      <c r="N739" s="39" t="n">
        <v>0.149967761513448</v>
      </c>
      <c r="O739" s="39" t="n">
        <v>0.290207848606919</v>
      </c>
      <c r="P739" s="39" t="n">
        <v>0.157501657682999</v>
      </c>
      <c r="Q739" s="39" t="n">
        <v>0.256267733129926</v>
      </c>
      <c r="R739" s="39" t="n">
        <v>0.109459625623446</v>
      </c>
      <c r="S739" s="39" t="n">
        <v>0.0365953734432623</v>
      </c>
      <c r="T739" s="38" t="n">
        <f aca="false">N739*Scorecard!$C$18+O739*Scorecard!$C$19+P739*Scorecard!$C$20+Q739*Scorecard!$C$21+R739*Scorecard!$C$22+S739*Scorecard!$C$23</f>
        <v>4.17736367564356</v>
      </c>
      <c r="U739" s="38" t="n">
        <f aca="false">N739*Scorecard!$D$18+O739*Scorecard!$D$19+P739*Scorecard!$D$20+Q739*Scorecard!$D$21+R739*Scorecard!$D$22+S739*Scorecard!$D$23</f>
        <v>2.65973642272469</v>
      </c>
      <c r="V739" s="38" t="n">
        <f aca="false">N739*Scorecard!$E$18+O739*Scorecard!$E$19+P739*Scorecard!$E$20+Q739*Scorecard!$E$21+R739*Scorecard!$E$22+S739*Scorecard!$E$23</f>
        <v>3.33013876638794</v>
      </c>
    </row>
    <row r="740" customFormat="false" ht="15" hidden="false" customHeight="false" outlineLevel="0" collapsed="false">
      <c r="A740" s="0" t="n">
        <v>735</v>
      </c>
      <c r="B740" s="38" t="n">
        <f aca="false">E740*Scorecard!$C$18+F740*Scorecard!$C$19+G740*Scorecard!$C$20+H740*Scorecard!$C$21+I740*Scorecard!$C$22+J740*Scorecard!$C$23</f>
        <v>3.54590891761786</v>
      </c>
      <c r="C740" s="38" t="n">
        <f aca="false">E740*Scorecard!$D$18+F740*Scorecard!$D$19+G740*Scorecard!$D$20+H740*Scorecard!$D$21+I740*Scorecard!$D$22+J740*Scorecard!$D$23</f>
        <v>2.92916677746371</v>
      </c>
      <c r="D740" s="0" t="str">
        <f aca="false">IF(AND(B740&gt;=C740,B740&gt;=K740),"A. Distribution",IF(C740&gt;=K740,"B. Manufacturing","C. Prof. services"))</f>
        <v>C. Prof. services</v>
      </c>
      <c r="E740" s="39" t="n">
        <v>0.446899920574535</v>
      </c>
      <c r="F740" s="39" t="n">
        <v>0.00540275741116008</v>
      </c>
      <c r="G740" s="39" t="n">
        <v>0.0525914285121698</v>
      </c>
      <c r="H740" s="39" t="n">
        <v>0.265044019980936</v>
      </c>
      <c r="I740" s="39" t="n">
        <v>0.0325343539465655</v>
      </c>
      <c r="J740" s="39" t="n">
        <v>0.197527519574634</v>
      </c>
      <c r="K740" s="38" t="n">
        <f aca="false">E740*Scorecard!$E$18+F740*Scorecard!$E$19+G740*Scorecard!$E$20+H740*Scorecard!$E$21+I740*Scorecard!$E$22+J740*Scorecard!$E$23</f>
        <v>3.72794074984816</v>
      </c>
      <c r="M740" s="0" t="str">
        <f aca="false">IF(AND(T740&gt;=U740,T740&gt;=V740),"A. Distribution",IF(U740&gt;=V740,"B. Manufacturing","C. Prof. services"))</f>
        <v>A. Distribution</v>
      </c>
      <c r="N740" s="39" t="n">
        <v>0.382934118292971</v>
      </c>
      <c r="O740" s="39" t="n">
        <v>0.168581673383898</v>
      </c>
      <c r="P740" s="39" t="n">
        <v>0.173622563752209</v>
      </c>
      <c r="Q740" s="39" t="n">
        <v>0.0796811524529829</v>
      </c>
      <c r="R740" s="39" t="n">
        <v>0.149863345913024</v>
      </c>
      <c r="S740" s="39" t="n">
        <v>0.0453171462049152</v>
      </c>
      <c r="T740" s="38" t="n">
        <f aca="false">N740*Scorecard!$C$18+O740*Scorecard!$C$19+P740*Scorecard!$C$20+Q740*Scorecard!$C$21+R740*Scorecard!$C$22+S740*Scorecard!$C$23</f>
        <v>4.03861714585166</v>
      </c>
      <c r="U740" s="38" t="n">
        <f aca="false">N740*Scorecard!$D$18+O740*Scorecard!$D$19+P740*Scorecard!$D$20+Q740*Scorecard!$D$21+R740*Scorecard!$D$22+S740*Scorecard!$D$23</f>
        <v>3.06456195281716</v>
      </c>
      <c r="V740" s="38" t="n">
        <f aca="false">N740*Scorecard!$E$18+O740*Scorecard!$E$19+P740*Scorecard!$E$20+Q740*Scorecard!$E$21+R740*Scorecard!$E$22+S740*Scorecard!$E$23</f>
        <v>3.35382692001674</v>
      </c>
    </row>
    <row r="741" customFormat="false" ht="15" hidden="false" customHeight="false" outlineLevel="0" collapsed="false">
      <c r="A741" s="0" t="n">
        <v>736</v>
      </c>
      <c r="B741" s="38" t="n">
        <f aca="false">E741*Scorecard!$C$18+F741*Scorecard!$C$19+G741*Scorecard!$C$20+H741*Scorecard!$C$21+I741*Scorecard!$C$22+J741*Scorecard!$C$23</f>
        <v>3.62375692754388</v>
      </c>
      <c r="C741" s="38" t="n">
        <f aca="false">E741*Scorecard!$D$18+F741*Scorecard!$D$19+G741*Scorecard!$D$20+H741*Scorecard!$D$21+I741*Scorecard!$D$22+J741*Scorecard!$D$23</f>
        <v>2.6064917114098</v>
      </c>
      <c r="D741" s="0" t="str">
        <f aca="false">IF(AND(B741&gt;=C741,B741&gt;=K741),"A. Distribution",IF(C741&gt;=K741,"B. Manufacturing","C. Prof. services"))</f>
        <v>A. Distribution</v>
      </c>
      <c r="E741" s="39" t="n">
        <v>0.219287597855091</v>
      </c>
      <c r="F741" s="39" t="n">
        <v>0.108634154680116</v>
      </c>
      <c r="G741" s="39" t="n">
        <v>0.2405516427192</v>
      </c>
      <c r="H741" s="39" t="n">
        <v>0.0443462839882699</v>
      </c>
      <c r="I741" s="39" t="n">
        <v>0.155933822919456</v>
      </c>
      <c r="J741" s="39" t="n">
        <v>0.231246497837867</v>
      </c>
      <c r="K741" s="38" t="n">
        <f aca="false">E741*Scorecard!$E$18+F741*Scorecard!$E$19+G741*Scorecard!$E$20+H741*Scorecard!$E$21+I741*Scorecard!$E$22+J741*Scorecard!$E$23</f>
        <v>3.60171671958855</v>
      </c>
      <c r="M741" s="0" t="str">
        <f aca="false">IF(AND(T741&gt;=U741,T741&gt;=V741),"A. Distribution",IF(U741&gt;=V741,"B. Manufacturing","C. Prof. services"))</f>
        <v>A. Distribution</v>
      </c>
      <c r="N741" s="39" t="n">
        <v>0.268399740653607</v>
      </c>
      <c r="O741" s="39" t="n">
        <v>0.132654331569365</v>
      </c>
      <c r="P741" s="39" t="n">
        <v>0.104546996221225</v>
      </c>
      <c r="Q741" s="39" t="n">
        <v>0.116875531308598</v>
      </c>
      <c r="R741" s="39" t="n">
        <v>0.300461185991588</v>
      </c>
      <c r="S741" s="39" t="n">
        <v>0.0770622142556187</v>
      </c>
      <c r="T741" s="38" t="n">
        <f aca="false">N741*Scorecard!$C$18+O741*Scorecard!$C$19+P741*Scorecard!$C$20+Q741*Scorecard!$C$21+R741*Scorecard!$C$22+S741*Scorecard!$C$23</f>
        <v>3.94438754723458</v>
      </c>
      <c r="U741" s="38" t="n">
        <f aca="false">N741*Scorecard!$D$18+O741*Scorecard!$D$19+P741*Scorecard!$D$20+Q741*Scorecard!$D$21+R741*Scorecard!$D$22+S741*Scorecard!$D$23</f>
        <v>3.00957677148564</v>
      </c>
      <c r="V741" s="38" t="n">
        <f aca="false">N741*Scorecard!$E$18+O741*Scorecard!$E$19+P741*Scorecard!$E$20+Q741*Scorecard!$E$21+R741*Scorecard!$E$22+S741*Scorecard!$E$23</f>
        <v>3.20674803452788</v>
      </c>
    </row>
    <row r="742" customFormat="false" ht="15" hidden="false" customHeight="false" outlineLevel="0" collapsed="false">
      <c r="A742" s="0" t="n">
        <v>737</v>
      </c>
      <c r="B742" s="38" t="n">
        <f aca="false">E742*Scorecard!$C$18+F742*Scorecard!$C$19+G742*Scorecard!$C$20+H742*Scorecard!$C$21+I742*Scorecard!$C$22+J742*Scorecard!$C$23</f>
        <v>3.85118294311551</v>
      </c>
      <c r="C742" s="38" t="n">
        <f aca="false">E742*Scorecard!$D$18+F742*Scorecard!$D$19+G742*Scorecard!$D$20+H742*Scorecard!$D$21+I742*Scorecard!$D$22+J742*Scorecard!$D$23</f>
        <v>2.33233901401017</v>
      </c>
      <c r="D742" s="0" t="str">
        <f aca="false">IF(AND(B742&gt;=C742,B742&gt;=K742),"A. Distribution",IF(C742&gt;=K742,"B. Manufacturing","C. Prof. services"))</f>
        <v>A. Distribution</v>
      </c>
      <c r="E742" s="39" t="n">
        <v>0.0705949675353958</v>
      </c>
      <c r="F742" s="39" t="n">
        <v>0.413776433373748</v>
      </c>
      <c r="G742" s="39" t="n">
        <v>0.0221553619738477</v>
      </c>
      <c r="H742" s="39" t="n">
        <v>0.188023299394171</v>
      </c>
      <c r="I742" s="39" t="n">
        <v>0.0371169240410334</v>
      </c>
      <c r="J742" s="39" t="n">
        <v>0.268333013681804</v>
      </c>
      <c r="K742" s="38" t="n">
        <f aca="false">E742*Scorecard!$E$18+F742*Scorecard!$E$19+G742*Scorecard!$E$20+H742*Scorecard!$E$21+I742*Scorecard!$E$22+J742*Scorecard!$E$23</f>
        <v>3.48087254943165</v>
      </c>
      <c r="M742" s="0" t="str">
        <f aca="false">IF(AND(T742&gt;=U742,T742&gt;=V742),"A. Distribution",IF(U742&gt;=V742,"B. Manufacturing","C. Prof. services"))</f>
        <v>A. Distribution</v>
      </c>
      <c r="N742" s="39" t="n">
        <v>0.150357753103301</v>
      </c>
      <c r="O742" s="39" t="n">
        <v>0.168359790926861</v>
      </c>
      <c r="P742" s="39" t="n">
        <v>0.232226547594378</v>
      </c>
      <c r="Q742" s="39" t="n">
        <v>0.171818233620032</v>
      </c>
      <c r="R742" s="39" t="n">
        <v>0.138525343629645</v>
      </c>
      <c r="S742" s="39" t="n">
        <v>0.138712331125784</v>
      </c>
      <c r="T742" s="38" t="n">
        <f aca="false">N742*Scorecard!$C$18+O742*Scorecard!$C$19+P742*Scorecard!$C$20+Q742*Scorecard!$C$21+R742*Scorecard!$C$22+S742*Scorecard!$C$23</f>
        <v>3.86034987456012</v>
      </c>
      <c r="U742" s="38" t="n">
        <f aca="false">N742*Scorecard!$D$18+O742*Scorecard!$D$19+P742*Scorecard!$D$20+Q742*Scorecard!$D$21+R742*Scorecard!$D$22+S742*Scorecard!$D$23</f>
        <v>2.55898065506952</v>
      </c>
      <c r="V742" s="38" t="n">
        <f aca="false">N742*Scorecard!$E$18+O742*Scorecard!$E$19+P742*Scorecard!$E$20+Q742*Scorecard!$E$21+R742*Scorecard!$E$22+S742*Scorecard!$E$23</f>
        <v>3.50583917511168</v>
      </c>
    </row>
    <row r="743" customFormat="false" ht="15" hidden="false" customHeight="false" outlineLevel="0" collapsed="false">
      <c r="A743" s="0" t="n">
        <v>738</v>
      </c>
      <c r="B743" s="38" t="n">
        <f aca="false">E743*Scorecard!$C$18+F743*Scorecard!$C$19+G743*Scorecard!$C$20+H743*Scorecard!$C$21+I743*Scorecard!$C$22+J743*Scorecard!$C$23</f>
        <v>3.55394119404519</v>
      </c>
      <c r="C743" s="38" t="n">
        <f aca="false">E743*Scorecard!$D$18+F743*Scorecard!$D$19+G743*Scorecard!$D$20+H743*Scorecard!$D$21+I743*Scorecard!$D$22+J743*Scorecard!$D$23</f>
        <v>2.27005700449501</v>
      </c>
      <c r="D743" s="0" t="str">
        <f aca="false">IF(AND(B743&gt;=C743,B743&gt;=K743),"A. Distribution",IF(C743&gt;=K743,"B. Manufacturing","C. Prof. services"))</f>
        <v>C. Prof. services</v>
      </c>
      <c r="E743" s="39" t="n">
        <v>0.119984128864135</v>
      </c>
      <c r="F743" s="39" t="n">
        <v>0.173086511701972</v>
      </c>
      <c r="G743" s="39" t="n">
        <v>0.26098802705626</v>
      </c>
      <c r="H743" s="39" t="n">
        <v>0.106424174056459</v>
      </c>
      <c r="I743" s="39" t="n">
        <v>0.0404947022849016</v>
      </c>
      <c r="J743" s="39" t="n">
        <v>0.299022456036273</v>
      </c>
      <c r="K743" s="38" t="n">
        <f aca="false">E743*Scorecard!$E$18+F743*Scorecard!$E$19+G743*Scorecard!$E$20+H743*Scorecard!$E$21+I743*Scorecard!$E$22+J743*Scorecard!$E$23</f>
        <v>3.78030712736679</v>
      </c>
      <c r="M743" s="0" t="str">
        <f aca="false">IF(AND(T743&gt;=U743,T743&gt;=V743),"A. Distribution",IF(U743&gt;=V743,"B. Manufacturing","C. Prof. services"))</f>
        <v>A. Distribution</v>
      </c>
      <c r="N743" s="39" t="n">
        <v>0.208475368763474</v>
      </c>
      <c r="O743" s="39" t="n">
        <v>0.188284155443445</v>
      </c>
      <c r="P743" s="39" t="n">
        <v>0.20658444777421</v>
      </c>
      <c r="Q743" s="39" t="n">
        <v>0.112547918610378</v>
      </c>
      <c r="R743" s="39" t="n">
        <v>0.219412465288224</v>
      </c>
      <c r="S743" s="39" t="n">
        <v>0.0646956441202691</v>
      </c>
      <c r="T743" s="38" t="n">
        <f aca="false">N743*Scorecard!$C$18+O743*Scorecard!$C$19+P743*Scorecard!$C$20+Q743*Scorecard!$C$21+R743*Scorecard!$C$22+S743*Scorecard!$C$23</f>
        <v>4.03002794856116</v>
      </c>
      <c r="U743" s="38" t="n">
        <f aca="false">N743*Scorecard!$D$18+O743*Scorecard!$D$19+P743*Scorecard!$D$20+Q743*Scorecard!$D$21+R743*Scorecard!$D$22+S743*Scorecard!$D$23</f>
        <v>2.81466006978552</v>
      </c>
      <c r="V743" s="38" t="n">
        <f aca="false">N743*Scorecard!$E$18+O743*Scorecard!$E$19+P743*Scorecard!$E$20+Q743*Scorecard!$E$21+R743*Scorecard!$E$22+S743*Scorecard!$E$23</f>
        <v>3.30052539927657</v>
      </c>
    </row>
    <row r="744" customFormat="false" ht="15" hidden="false" customHeight="false" outlineLevel="0" collapsed="false">
      <c r="A744" s="0" t="n">
        <v>739</v>
      </c>
      <c r="B744" s="38" t="n">
        <f aca="false">E744*Scorecard!$C$18+F744*Scorecard!$C$19+G744*Scorecard!$C$20+H744*Scorecard!$C$21+I744*Scorecard!$C$22+J744*Scorecard!$C$23</f>
        <v>4.05797799296456</v>
      </c>
      <c r="C744" s="38" t="n">
        <f aca="false">E744*Scorecard!$D$18+F744*Scorecard!$D$19+G744*Scorecard!$D$20+H744*Scorecard!$D$21+I744*Scorecard!$D$22+J744*Scorecard!$D$23</f>
        <v>3.01922901455973</v>
      </c>
      <c r="D744" s="0" t="str">
        <f aca="false">IF(AND(B744&gt;=C744,B744&gt;=K744),"A. Distribution",IF(C744&gt;=K744,"B. Manufacturing","C. Prof. services"))</f>
        <v>A. Distribution</v>
      </c>
      <c r="E744" s="39" t="n">
        <v>0.344004138429146</v>
      </c>
      <c r="F744" s="39" t="n">
        <v>0.244793814798623</v>
      </c>
      <c r="G744" s="39" t="n">
        <v>0.0181845493239442</v>
      </c>
      <c r="H744" s="39" t="n">
        <v>0.195894382844459</v>
      </c>
      <c r="I744" s="39" t="n">
        <v>0.128078561926814</v>
      </c>
      <c r="J744" s="39" t="n">
        <v>0.0690445526770149</v>
      </c>
      <c r="K744" s="38" t="n">
        <f aca="false">E744*Scorecard!$E$18+F744*Scorecard!$E$19+G744*Scorecard!$E$20+H744*Scorecard!$E$21+I744*Scorecard!$E$22+J744*Scorecard!$E$23</f>
        <v>3.29234840537397</v>
      </c>
      <c r="M744" s="0" t="str">
        <f aca="false">IF(AND(T744&gt;=U744,T744&gt;=V744),"A. Distribution",IF(U744&gt;=V744,"B. Manufacturing","C. Prof. services"))</f>
        <v>A. Distribution</v>
      </c>
      <c r="N744" s="39" t="n">
        <v>0.097731261950577</v>
      </c>
      <c r="O744" s="39" t="n">
        <v>0.12534701442061</v>
      </c>
      <c r="P744" s="39" t="n">
        <v>0.284810981690827</v>
      </c>
      <c r="Q744" s="39" t="n">
        <v>0.122892816881444</v>
      </c>
      <c r="R744" s="39" t="n">
        <v>0.256115619440368</v>
      </c>
      <c r="S744" s="39" t="n">
        <v>0.113102305616175</v>
      </c>
      <c r="T744" s="38" t="n">
        <f aca="false">N744*Scorecard!$C$18+O744*Scorecard!$C$19+P744*Scorecard!$C$20+Q744*Scorecard!$C$21+R744*Scorecard!$C$22+S744*Scorecard!$C$23</f>
        <v>3.87805410252464</v>
      </c>
      <c r="U744" s="38" t="n">
        <f aca="false">N744*Scorecard!$D$18+O744*Scorecard!$D$19+P744*Scorecard!$D$20+Q744*Scorecard!$D$21+R744*Scorecard!$D$22+S744*Scorecard!$D$23</f>
        <v>2.58499960186422</v>
      </c>
      <c r="V744" s="38" t="n">
        <f aca="false">N744*Scorecard!$E$18+O744*Scorecard!$E$19+P744*Scorecard!$E$20+Q744*Scorecard!$E$21+R744*Scorecard!$E$22+S744*Scorecard!$E$23</f>
        <v>3.39078026568412</v>
      </c>
    </row>
    <row r="745" customFormat="false" ht="15" hidden="false" customHeight="false" outlineLevel="0" collapsed="false">
      <c r="A745" s="0" t="n">
        <v>740</v>
      </c>
      <c r="B745" s="38" t="n">
        <f aca="false">E745*Scorecard!$C$18+F745*Scorecard!$C$19+G745*Scorecard!$C$20+H745*Scorecard!$C$21+I745*Scorecard!$C$22+J745*Scorecard!$C$23</f>
        <v>4.24022354123817</v>
      </c>
      <c r="C745" s="38" t="n">
        <f aca="false">E745*Scorecard!$D$18+F745*Scorecard!$D$19+G745*Scorecard!$D$20+H745*Scorecard!$D$21+I745*Scorecard!$D$22+J745*Scorecard!$D$23</f>
        <v>2.45773263257246</v>
      </c>
      <c r="D745" s="0" t="str">
        <f aca="false">IF(AND(B745&gt;=C745,B745&gt;=K745),"A. Distribution",IF(C745&gt;=K745,"B. Manufacturing","C. Prof. services"))</f>
        <v>A. Distribution</v>
      </c>
      <c r="E745" s="39" t="n">
        <v>0.0377676742119117</v>
      </c>
      <c r="F745" s="39" t="n">
        <v>0.357783956387543</v>
      </c>
      <c r="G745" s="39" t="n">
        <v>0.324455935916977</v>
      </c>
      <c r="H745" s="39" t="n">
        <v>0.0812689393172274</v>
      </c>
      <c r="I745" s="39" t="n">
        <v>0.145837796863175</v>
      </c>
      <c r="J745" s="39" t="n">
        <v>0.0528856973031659</v>
      </c>
      <c r="K745" s="38" t="n">
        <f aca="false">E745*Scorecard!$E$18+F745*Scorecard!$E$19+G745*Scorecard!$E$20+H745*Scorecard!$E$21+I745*Scorecard!$E$22+J745*Scorecard!$E$23</f>
        <v>3.31020864665213</v>
      </c>
      <c r="M745" s="0" t="str">
        <f aca="false">IF(AND(T745&gt;=U745,T745&gt;=V745),"A. Distribution",IF(U745&gt;=V745,"B. Manufacturing","C. Prof. services"))</f>
        <v>A. Distribution</v>
      </c>
      <c r="N745" s="39" t="n">
        <v>0.254344940787096</v>
      </c>
      <c r="O745" s="39" t="n">
        <v>0.0753018653654702</v>
      </c>
      <c r="P745" s="39" t="n">
        <v>0.140391790662391</v>
      </c>
      <c r="Q745" s="39" t="n">
        <v>0.0819289514779183</v>
      </c>
      <c r="R745" s="39" t="n">
        <v>0.383757528016411</v>
      </c>
      <c r="S745" s="39" t="n">
        <v>0.0642749236907138</v>
      </c>
      <c r="T745" s="38" t="n">
        <f aca="false">N745*Scorecard!$C$18+O745*Scorecard!$C$19+P745*Scorecard!$C$20+Q745*Scorecard!$C$21+R745*Scorecard!$C$22+S745*Scorecard!$C$23</f>
        <v>3.91750359115429</v>
      </c>
      <c r="U745" s="38" t="n">
        <f aca="false">N745*Scorecard!$D$18+O745*Scorecard!$D$19+P745*Scorecard!$D$20+Q745*Scorecard!$D$21+R745*Scorecard!$D$22+S745*Scorecard!$D$23</f>
        <v>3.05799160201814</v>
      </c>
      <c r="V745" s="38" t="n">
        <f aca="false">N745*Scorecard!$E$18+O745*Scorecard!$E$19+P745*Scorecard!$E$20+Q745*Scorecard!$E$21+R745*Scorecard!$E$22+S745*Scorecard!$E$23</f>
        <v>3.14854213103282</v>
      </c>
    </row>
    <row r="746" customFormat="false" ht="15" hidden="false" customHeight="false" outlineLevel="0" collapsed="false">
      <c r="A746" s="0" t="n">
        <v>741</v>
      </c>
      <c r="B746" s="38" t="n">
        <f aca="false">E746*Scorecard!$C$18+F746*Scorecard!$C$19+G746*Scorecard!$C$20+H746*Scorecard!$C$21+I746*Scorecard!$C$22+J746*Scorecard!$C$23</f>
        <v>3.77233929597597</v>
      </c>
      <c r="C746" s="38" t="n">
        <f aca="false">E746*Scorecard!$D$18+F746*Scorecard!$D$19+G746*Scorecard!$D$20+H746*Scorecard!$D$21+I746*Scorecard!$D$22+J746*Scorecard!$D$23</f>
        <v>2.97601983343153</v>
      </c>
      <c r="D746" s="0" t="str">
        <f aca="false">IF(AND(B746&gt;=C746,B746&gt;=K746),"A. Distribution",IF(C746&gt;=K746,"B. Manufacturing","C. Prof. services"))</f>
        <v>A. Distribution</v>
      </c>
      <c r="E746" s="39" t="n">
        <v>0.345140258006691</v>
      </c>
      <c r="F746" s="39" t="n">
        <v>0.0851415157214755</v>
      </c>
      <c r="G746" s="39" t="n">
        <v>0.121759901789613</v>
      </c>
      <c r="H746" s="39" t="n">
        <v>0.109688537430046</v>
      </c>
      <c r="I746" s="39" t="n">
        <v>0.201633277891447</v>
      </c>
      <c r="J746" s="39" t="n">
        <v>0.136636509160728</v>
      </c>
      <c r="K746" s="38" t="n">
        <f aca="false">E746*Scorecard!$E$18+F746*Scorecard!$E$19+G746*Scorecard!$E$20+H746*Scorecard!$E$21+I746*Scorecard!$E$22+J746*Scorecard!$E$23</f>
        <v>3.42202976793731</v>
      </c>
      <c r="M746" s="0" t="str">
        <f aca="false">IF(AND(T746&gt;=U746,T746&gt;=V746),"A. Distribution",IF(U746&gt;=V746,"B. Manufacturing","C. Prof. services"))</f>
        <v>A. Distribution</v>
      </c>
      <c r="N746" s="39" t="n">
        <v>0.103155410654358</v>
      </c>
      <c r="O746" s="39" t="n">
        <v>0.234107019495784</v>
      </c>
      <c r="P746" s="39" t="n">
        <v>0.129877381901621</v>
      </c>
      <c r="Q746" s="39" t="n">
        <v>0.231518254810049</v>
      </c>
      <c r="R746" s="39" t="n">
        <v>0.249839475866983</v>
      </c>
      <c r="S746" s="39" t="n">
        <v>0.0515024572712066</v>
      </c>
      <c r="T746" s="38" t="n">
        <f aca="false">N746*Scorecard!$C$18+O746*Scorecard!$C$19+P746*Scorecard!$C$20+Q746*Scorecard!$C$21+R746*Scorecard!$C$22+S746*Scorecard!$C$23</f>
        <v>4.0978738622217</v>
      </c>
      <c r="U746" s="38" t="n">
        <f aca="false">N746*Scorecard!$D$18+O746*Scorecard!$D$19+P746*Scorecard!$D$20+Q746*Scorecard!$D$21+R746*Scorecard!$D$22+S746*Scorecard!$D$23</f>
        <v>2.70777770612601</v>
      </c>
      <c r="V746" s="38" t="n">
        <f aca="false">N746*Scorecard!$E$18+O746*Scorecard!$E$19+P746*Scorecard!$E$20+Q746*Scorecard!$E$21+R746*Scorecard!$E$22+S746*Scorecard!$E$23</f>
        <v>3.20218628758755</v>
      </c>
    </row>
    <row r="747" customFormat="false" ht="15" hidden="false" customHeight="false" outlineLevel="0" collapsed="false">
      <c r="A747" s="0" t="n">
        <v>742</v>
      </c>
      <c r="B747" s="38" t="n">
        <f aca="false">E747*Scorecard!$C$18+F747*Scorecard!$C$19+G747*Scorecard!$C$20+H747*Scorecard!$C$21+I747*Scorecard!$C$22+J747*Scorecard!$C$23</f>
        <v>3.78595900869161</v>
      </c>
      <c r="C747" s="38" t="n">
        <f aca="false">E747*Scorecard!$D$18+F747*Scorecard!$D$19+G747*Scorecard!$D$20+H747*Scorecard!$D$21+I747*Scorecard!$D$22+J747*Scorecard!$D$23</f>
        <v>2.61571654000562</v>
      </c>
      <c r="D747" s="0" t="str">
        <f aca="false">IF(AND(B747&gt;=C747,B747&gt;=K747),"A. Distribution",IF(C747&gt;=K747,"B. Manufacturing","C. Prof. services"))</f>
        <v>A. Distribution</v>
      </c>
      <c r="E747" s="39" t="n">
        <v>0.0820827862654303</v>
      </c>
      <c r="F747" s="39" t="n">
        <v>0.172225610119532</v>
      </c>
      <c r="G747" s="39" t="n">
        <v>0.102271245120431</v>
      </c>
      <c r="H747" s="39" t="n">
        <v>0.160735391499774</v>
      </c>
      <c r="I747" s="39" t="n">
        <v>0.301506413624767</v>
      </c>
      <c r="J747" s="39" t="n">
        <v>0.181178553370066</v>
      </c>
      <c r="K747" s="38" t="n">
        <f aca="false">E747*Scorecard!$E$18+F747*Scorecard!$E$19+G747*Scorecard!$E$20+H747*Scorecard!$E$21+I747*Scorecard!$E$22+J747*Scorecard!$E$23</f>
        <v>3.28857287978509</v>
      </c>
      <c r="M747" s="0" t="str">
        <f aca="false">IF(AND(T747&gt;=U747,T747&gt;=V747),"A. Distribution",IF(U747&gt;=V747,"B. Manufacturing","C. Prof. services"))</f>
        <v>A. Distribution</v>
      </c>
      <c r="N747" s="39" t="n">
        <v>0.316346900929148</v>
      </c>
      <c r="O747" s="39" t="n">
        <v>0.118560647052158</v>
      </c>
      <c r="P747" s="39" t="n">
        <v>0.179357674933381</v>
      </c>
      <c r="Q747" s="39" t="n">
        <v>0.187023686606238</v>
      </c>
      <c r="R747" s="39" t="n">
        <v>0.141234990551863</v>
      </c>
      <c r="S747" s="39" t="n">
        <v>0.0574760999272128</v>
      </c>
      <c r="T747" s="38" t="n">
        <f aca="false">N747*Scorecard!$C$18+O747*Scorecard!$C$19+P747*Scorecard!$C$20+Q747*Scorecard!$C$21+R747*Scorecard!$C$22+S747*Scorecard!$C$23</f>
        <v>3.95805806375985</v>
      </c>
      <c r="U747" s="38" t="n">
        <f aca="false">N747*Scorecard!$D$18+O747*Scorecard!$D$19+P747*Scorecard!$D$20+Q747*Scorecard!$D$21+R747*Scorecard!$D$22+S747*Scorecard!$D$23</f>
        <v>2.91712159059069</v>
      </c>
      <c r="V747" s="38" t="n">
        <f aca="false">N747*Scorecard!$E$18+O747*Scorecard!$E$19+P747*Scorecard!$E$20+Q747*Scorecard!$E$21+R747*Scorecard!$E$22+S747*Scorecard!$E$23</f>
        <v>3.4322677773538</v>
      </c>
    </row>
    <row r="748" customFormat="false" ht="15" hidden="false" customHeight="false" outlineLevel="0" collapsed="false">
      <c r="A748" s="0" t="n">
        <v>743</v>
      </c>
      <c r="B748" s="38" t="n">
        <f aca="false">E748*Scorecard!$C$18+F748*Scorecard!$C$19+G748*Scorecard!$C$20+H748*Scorecard!$C$21+I748*Scorecard!$C$22+J748*Scorecard!$C$23</f>
        <v>3.76749711186586</v>
      </c>
      <c r="C748" s="38" t="n">
        <f aca="false">E748*Scorecard!$D$18+F748*Scorecard!$D$19+G748*Scorecard!$D$20+H748*Scorecard!$D$21+I748*Scorecard!$D$22+J748*Scorecard!$D$23</f>
        <v>2.75943035776149</v>
      </c>
      <c r="D748" s="0" t="str">
        <f aca="false">IF(AND(B748&gt;=C748,B748&gt;=K748),"A. Distribution",IF(C748&gt;=K748,"B. Manufacturing","C. Prof. services"))</f>
        <v>A. Distribution</v>
      </c>
      <c r="E748" s="39" t="n">
        <v>0.205382407852488</v>
      </c>
      <c r="F748" s="39" t="n">
        <v>0.041114411766228</v>
      </c>
      <c r="G748" s="39" t="n">
        <v>0.153473152134132</v>
      </c>
      <c r="H748" s="39" t="n">
        <v>0.257076618545345</v>
      </c>
      <c r="I748" s="39" t="n">
        <v>0.228239583262974</v>
      </c>
      <c r="J748" s="39" t="n">
        <v>0.114713826438832</v>
      </c>
      <c r="K748" s="38" t="n">
        <f aca="false">E748*Scorecard!$E$18+F748*Scorecard!$E$19+G748*Scorecard!$E$20+H748*Scorecard!$E$21+I748*Scorecard!$E$22+J748*Scorecard!$E$23</f>
        <v>3.44102634151985</v>
      </c>
      <c r="M748" s="0" t="str">
        <f aca="false">IF(AND(T748&gt;=U748,T748&gt;=V748),"A. Distribution",IF(U748&gt;=V748,"B. Manufacturing","C. Prof. services"))</f>
        <v>A. Distribution</v>
      </c>
      <c r="N748" s="39" t="n">
        <v>0.0733816726994365</v>
      </c>
      <c r="O748" s="39" t="n">
        <v>0.25603064289135</v>
      </c>
      <c r="P748" s="39" t="n">
        <v>0.156116559851752</v>
      </c>
      <c r="Q748" s="39" t="n">
        <v>0.227814886335236</v>
      </c>
      <c r="R748" s="39" t="n">
        <v>0.125575642260618</v>
      </c>
      <c r="S748" s="39" t="n">
        <v>0.161080595961608</v>
      </c>
      <c r="T748" s="38" t="n">
        <f aca="false">N748*Scorecard!$C$18+O748*Scorecard!$C$19+P748*Scorecard!$C$20+Q748*Scorecard!$C$21+R748*Scorecard!$C$22+S748*Scorecard!$C$23</f>
        <v>3.90343068566904</v>
      </c>
      <c r="U748" s="38" t="n">
        <f aca="false">N748*Scorecard!$D$18+O748*Scorecard!$D$19+P748*Scorecard!$D$20+Q748*Scorecard!$D$21+R748*Scorecard!$D$22+S748*Scorecard!$D$23</f>
        <v>2.43759880532308</v>
      </c>
      <c r="V748" s="38" t="n">
        <f aca="false">N748*Scorecard!$E$18+O748*Scorecard!$E$19+P748*Scorecard!$E$20+Q748*Scorecard!$E$21+R748*Scorecard!$E$22+S748*Scorecard!$E$23</f>
        <v>3.45397614419574</v>
      </c>
    </row>
    <row r="749" customFormat="false" ht="15" hidden="false" customHeight="false" outlineLevel="0" collapsed="false">
      <c r="A749" s="0" t="n">
        <v>744</v>
      </c>
      <c r="B749" s="38" t="n">
        <f aca="false">E749*Scorecard!$C$18+F749*Scorecard!$C$19+G749*Scorecard!$C$20+H749*Scorecard!$C$21+I749*Scorecard!$C$22+J749*Scorecard!$C$23</f>
        <v>4.02781616088195</v>
      </c>
      <c r="C749" s="38" t="n">
        <f aca="false">E749*Scorecard!$D$18+F749*Scorecard!$D$19+G749*Scorecard!$D$20+H749*Scorecard!$D$21+I749*Scorecard!$D$22+J749*Scorecard!$D$23</f>
        <v>2.28441571230277</v>
      </c>
      <c r="D749" s="0" t="str">
        <f aca="false">IF(AND(B749&gt;=C749,B749&gt;=K749),"A. Distribution",IF(C749&gt;=K749,"B. Manufacturing","C. Prof. services"))</f>
        <v>A. Distribution</v>
      </c>
      <c r="E749" s="39" t="n">
        <v>0.0371436500710873</v>
      </c>
      <c r="F749" s="39" t="n">
        <v>0.466421821874278</v>
      </c>
      <c r="G749" s="39" t="n">
        <v>0.148535880811274</v>
      </c>
      <c r="H749" s="39" t="n">
        <v>0.108671273365106</v>
      </c>
      <c r="I749" s="39" t="n">
        <v>0.0272703119984197</v>
      </c>
      <c r="J749" s="39" t="n">
        <v>0.211957061879835</v>
      </c>
      <c r="K749" s="38" t="n">
        <f aca="false">E749*Scorecard!$E$18+F749*Scorecard!$E$19+G749*Scorecard!$E$20+H749*Scorecard!$E$21+I749*Scorecard!$E$22+J749*Scorecard!$E$23</f>
        <v>3.44884246051662</v>
      </c>
      <c r="M749" s="0" t="str">
        <f aca="false">IF(AND(T749&gt;=U749,T749&gt;=V749),"A. Distribution",IF(U749&gt;=V749,"B. Manufacturing","C. Prof. services"))</f>
        <v>A. Distribution</v>
      </c>
      <c r="N749" s="39" t="n">
        <v>0.205537369913996</v>
      </c>
      <c r="O749" s="39" t="n">
        <v>0.212075863086933</v>
      </c>
      <c r="P749" s="39" t="n">
        <v>0.268640064256778</v>
      </c>
      <c r="Q749" s="39" t="n">
        <v>0.135891004958776</v>
      </c>
      <c r="R749" s="39" t="n">
        <v>0.0874088302582389</v>
      </c>
      <c r="S749" s="39" t="n">
        <v>0.0904468675252772</v>
      </c>
      <c r="T749" s="38" t="n">
        <f aca="false">N749*Scorecard!$C$18+O749*Scorecard!$C$19+P749*Scorecard!$C$20+Q749*Scorecard!$C$21+R749*Scorecard!$C$22+S749*Scorecard!$C$23</f>
        <v>4.00003786058611</v>
      </c>
      <c r="U749" s="38" t="n">
        <f aca="false">N749*Scorecard!$D$18+O749*Scorecard!$D$19+P749*Scorecard!$D$20+Q749*Scorecard!$D$21+R749*Scorecard!$D$22+S749*Scorecard!$D$23</f>
        <v>2.63926731430847</v>
      </c>
      <c r="V749" s="38" t="n">
        <f aca="false">N749*Scorecard!$E$18+O749*Scorecard!$E$19+P749*Scorecard!$E$20+Q749*Scorecard!$E$21+R749*Scorecard!$E$22+S749*Scorecard!$E$23</f>
        <v>3.49880447288636</v>
      </c>
    </row>
    <row r="750" customFormat="false" ht="15" hidden="false" customHeight="false" outlineLevel="0" collapsed="false">
      <c r="A750" s="0" t="n">
        <v>745</v>
      </c>
      <c r="B750" s="38" t="n">
        <f aca="false">E750*Scorecard!$C$18+F750*Scorecard!$C$19+G750*Scorecard!$C$20+H750*Scorecard!$C$21+I750*Scorecard!$C$22+J750*Scorecard!$C$23</f>
        <v>3.64878673187942</v>
      </c>
      <c r="C750" s="38" t="n">
        <f aca="false">E750*Scorecard!$D$18+F750*Scorecard!$D$19+G750*Scorecard!$D$20+H750*Scorecard!$D$21+I750*Scorecard!$D$22+J750*Scorecard!$D$23</f>
        <v>2.81759284013615</v>
      </c>
      <c r="D750" s="0" t="str">
        <f aca="false">IF(AND(B750&gt;=C750,B750&gt;=K750),"A. Distribution",IF(C750&gt;=K750,"B. Manufacturing","C. Prof. services"))</f>
        <v>A. Distribution</v>
      </c>
      <c r="E750" s="39" t="n">
        <v>0.33446685935442</v>
      </c>
      <c r="F750" s="39" t="n">
        <v>0.101271790192978</v>
      </c>
      <c r="G750" s="39" t="n">
        <v>0.00483835620235578</v>
      </c>
      <c r="H750" s="39" t="n">
        <v>0.284977362178846</v>
      </c>
      <c r="I750" s="39" t="n">
        <v>0.0769829741288213</v>
      </c>
      <c r="J750" s="39" t="n">
        <v>0.197462657942579</v>
      </c>
      <c r="K750" s="38" t="n">
        <f aca="false">E750*Scorecard!$E$18+F750*Scorecard!$E$19+G750*Scorecard!$E$20+H750*Scorecard!$E$21+I750*Scorecard!$E$22+J750*Scorecard!$E$23</f>
        <v>3.58891904671559</v>
      </c>
      <c r="M750" s="0" t="str">
        <f aca="false">IF(AND(T750&gt;=U750,T750&gt;=V750),"A. Distribution",IF(U750&gt;=V750,"B. Manufacturing","C. Prof. services"))</f>
        <v>A. Distribution</v>
      </c>
      <c r="N750" s="39" t="n">
        <v>0.329638366923583</v>
      </c>
      <c r="O750" s="39" t="n">
        <v>0.154943834364047</v>
      </c>
      <c r="P750" s="39" t="n">
        <v>0.162546192693677</v>
      </c>
      <c r="Q750" s="39" t="n">
        <v>0.146232298771839</v>
      </c>
      <c r="R750" s="39" t="n">
        <v>0.1172532034667</v>
      </c>
      <c r="S750" s="39" t="n">
        <v>0.0893861037801553</v>
      </c>
      <c r="T750" s="38" t="n">
        <f aca="false">N750*Scorecard!$C$18+O750*Scorecard!$C$19+P750*Scorecard!$C$20+Q750*Scorecard!$C$21+R750*Scorecard!$C$22+S750*Scorecard!$C$23</f>
        <v>3.93394941044371</v>
      </c>
      <c r="U750" s="38" t="n">
        <f aca="false">N750*Scorecard!$D$18+O750*Scorecard!$D$19+P750*Scorecard!$D$20+Q750*Scorecard!$D$21+R750*Scorecard!$D$22+S750*Scorecard!$D$23</f>
        <v>2.90343901787463</v>
      </c>
      <c r="V750" s="38" t="n">
        <f aca="false">N750*Scorecard!$E$18+O750*Scorecard!$E$19+P750*Scorecard!$E$20+Q750*Scorecard!$E$21+R750*Scorecard!$E$22+S750*Scorecard!$E$23</f>
        <v>3.45139624778435</v>
      </c>
    </row>
    <row r="751" customFormat="false" ht="15" hidden="false" customHeight="false" outlineLevel="0" collapsed="false">
      <c r="A751" s="0" t="n">
        <v>746</v>
      </c>
      <c r="B751" s="38" t="n">
        <f aca="false">E751*Scorecard!$C$18+F751*Scorecard!$C$19+G751*Scorecard!$C$20+H751*Scorecard!$C$21+I751*Scorecard!$C$22+J751*Scorecard!$C$23</f>
        <v>4.07599696687847</v>
      </c>
      <c r="C751" s="38" t="n">
        <f aca="false">E751*Scorecard!$D$18+F751*Scorecard!$D$19+G751*Scorecard!$D$20+H751*Scorecard!$D$21+I751*Scorecard!$D$22+J751*Scorecard!$D$23</f>
        <v>3.10732695370317</v>
      </c>
      <c r="D751" s="0" t="str">
        <f aca="false">IF(AND(B751&gt;=C751,B751&gt;=K751),"A. Distribution",IF(C751&gt;=K751,"B. Manufacturing","C. Prof. services"))</f>
        <v>A. Distribution</v>
      </c>
      <c r="E751" s="39" t="n">
        <v>0.220166309333499</v>
      </c>
      <c r="F751" s="39" t="n">
        <v>0.215435753128852</v>
      </c>
      <c r="G751" s="39" t="n">
        <v>0.0151365856010409</v>
      </c>
      <c r="H751" s="39" t="n">
        <v>0.0774739283202044</v>
      </c>
      <c r="I751" s="39" t="n">
        <v>0.415080182233552</v>
      </c>
      <c r="J751" s="39" t="n">
        <v>0.0567072413828515</v>
      </c>
      <c r="K751" s="38" t="n">
        <f aca="false">E751*Scorecard!$E$18+F751*Scorecard!$E$19+G751*Scorecard!$E$20+H751*Scorecard!$E$21+I751*Scorecard!$E$22+J751*Scorecard!$E$23</f>
        <v>2.94358068731079</v>
      </c>
      <c r="M751" s="0" t="str">
        <f aca="false">IF(AND(T751&gt;=U751,T751&gt;=V751),"A. Distribution",IF(U751&gt;=V751,"B. Manufacturing","C. Prof. services"))</f>
        <v>A. Distribution</v>
      </c>
      <c r="N751" s="39" t="n">
        <v>0.255320389599467</v>
      </c>
      <c r="O751" s="39" t="n">
        <v>0.16079075258813</v>
      </c>
      <c r="P751" s="39" t="n">
        <v>0.211834307424139</v>
      </c>
      <c r="Q751" s="39" t="n">
        <v>0.193891335331449</v>
      </c>
      <c r="R751" s="39" t="n">
        <v>0.127816925517313</v>
      </c>
      <c r="S751" s="39" t="n">
        <v>0.0503462895395026</v>
      </c>
      <c r="T751" s="38" t="n">
        <f aca="false">N751*Scorecard!$C$18+O751*Scorecard!$C$19+P751*Scorecard!$C$20+Q751*Scorecard!$C$21+R751*Scorecard!$C$22+S751*Scorecard!$C$23</f>
        <v>4.01870741848298</v>
      </c>
      <c r="U751" s="38" t="n">
        <f aca="false">N751*Scorecard!$D$18+O751*Scorecard!$D$19+P751*Scorecard!$D$20+Q751*Scorecard!$D$21+R751*Scorecard!$D$22+S751*Scorecard!$D$23</f>
        <v>2.80370109923176</v>
      </c>
      <c r="V751" s="38" t="n">
        <f aca="false">N751*Scorecard!$E$18+O751*Scorecard!$E$19+P751*Scorecard!$E$20+Q751*Scorecard!$E$21+R751*Scorecard!$E$22+S751*Scorecard!$E$23</f>
        <v>3.42885114402481</v>
      </c>
    </row>
    <row r="752" customFormat="false" ht="15" hidden="false" customHeight="false" outlineLevel="0" collapsed="false">
      <c r="A752" s="0" t="n">
        <v>747</v>
      </c>
      <c r="B752" s="38" t="n">
        <f aca="false">E752*Scorecard!$C$18+F752*Scorecard!$C$19+G752*Scorecard!$C$20+H752*Scorecard!$C$21+I752*Scorecard!$C$22+J752*Scorecard!$C$23</f>
        <v>3.8976446588537</v>
      </c>
      <c r="C752" s="38" t="n">
        <f aca="false">E752*Scorecard!$D$18+F752*Scorecard!$D$19+G752*Scorecard!$D$20+H752*Scorecard!$D$21+I752*Scorecard!$D$22+J752*Scorecard!$D$23</f>
        <v>2.5682143162318</v>
      </c>
      <c r="D752" s="0" t="str">
        <f aca="false">IF(AND(B752&gt;=C752,B752&gt;=K752),"A. Distribution",IF(C752&gt;=K752,"B. Manufacturing","C. Prof. services"))</f>
        <v>A. Distribution</v>
      </c>
      <c r="E752" s="39" t="n">
        <v>0.17149875676063</v>
      </c>
      <c r="F752" s="39" t="n">
        <v>0.199276293982716</v>
      </c>
      <c r="G752" s="39" t="n">
        <v>0.00138499074443217</v>
      </c>
      <c r="H752" s="39" t="n">
        <v>0.485635460387223</v>
      </c>
      <c r="I752" s="39" t="n">
        <v>0.0244369742533388</v>
      </c>
      <c r="J752" s="39" t="n">
        <v>0.11776752387166</v>
      </c>
      <c r="K752" s="38" t="n">
        <f aca="false">E752*Scorecard!$E$18+F752*Scorecard!$E$19+G752*Scorecard!$E$20+H752*Scorecard!$E$21+I752*Scorecard!$E$22+J752*Scorecard!$E$23</f>
        <v>3.53534718431215</v>
      </c>
      <c r="M752" s="0" t="str">
        <f aca="false">IF(AND(T752&gt;=U752,T752&gt;=V752),"A. Distribution",IF(U752&gt;=V752,"B. Manufacturing","C. Prof. services"))</f>
        <v>A. Distribution</v>
      </c>
      <c r="N752" s="39" t="n">
        <v>0.184218976473281</v>
      </c>
      <c r="O752" s="39" t="n">
        <v>0.219448670908046</v>
      </c>
      <c r="P752" s="39" t="n">
        <v>0.119016765075318</v>
      </c>
      <c r="Q752" s="39" t="n">
        <v>0.243544697119283</v>
      </c>
      <c r="R752" s="39" t="n">
        <v>0.160743172958728</v>
      </c>
      <c r="S752" s="39" t="n">
        <v>0.0730277174653436</v>
      </c>
      <c r="T752" s="38" t="n">
        <f aca="false">N752*Scorecard!$C$18+O752*Scorecard!$C$19+P752*Scorecard!$C$20+Q752*Scorecard!$C$21+R752*Scorecard!$C$22+S752*Scorecard!$C$23</f>
        <v>4.03236080501557</v>
      </c>
      <c r="U752" s="38" t="n">
        <f aca="false">N752*Scorecard!$D$18+O752*Scorecard!$D$19+P752*Scorecard!$D$20+Q752*Scorecard!$D$21+R752*Scorecard!$D$22+S752*Scorecard!$D$23</f>
        <v>2.73798986435318</v>
      </c>
      <c r="V752" s="38" t="n">
        <f aca="false">N752*Scorecard!$E$18+O752*Scorecard!$E$19+P752*Scorecard!$E$20+Q752*Scorecard!$E$21+R752*Scorecard!$E$22+S752*Scorecard!$E$23</f>
        <v>3.33450323913739</v>
      </c>
    </row>
    <row r="753" customFormat="false" ht="15" hidden="false" customHeight="false" outlineLevel="0" collapsed="false">
      <c r="A753" s="0" t="n">
        <v>748</v>
      </c>
      <c r="B753" s="38" t="n">
        <f aca="false">E753*Scorecard!$C$18+F753*Scorecard!$C$19+G753*Scorecard!$C$20+H753*Scorecard!$C$21+I753*Scorecard!$C$22+J753*Scorecard!$C$23</f>
        <v>4.08900172524267</v>
      </c>
      <c r="C753" s="38" t="n">
        <f aca="false">E753*Scorecard!$D$18+F753*Scorecard!$D$19+G753*Scorecard!$D$20+H753*Scorecard!$D$21+I753*Scorecard!$D$22+J753*Scorecard!$D$23</f>
        <v>2.72932240787737</v>
      </c>
      <c r="D753" s="0" t="str">
        <f aca="false">IF(AND(B753&gt;=C753,B753&gt;=K753),"A. Distribution",IF(C753&gt;=K753,"B. Manufacturing","C. Prof. services"))</f>
        <v>A. Distribution</v>
      </c>
      <c r="E753" s="39" t="n">
        <v>0.0547445375381075</v>
      </c>
      <c r="F753" s="39" t="n">
        <v>0.194510689437034</v>
      </c>
      <c r="G753" s="39" t="n">
        <v>0.0985153217315142</v>
      </c>
      <c r="H753" s="39" t="n">
        <v>0.277451391922288</v>
      </c>
      <c r="I753" s="39" t="n">
        <v>0.339168983516058</v>
      </c>
      <c r="J753" s="39" t="n">
        <v>0.0356090758549985</v>
      </c>
      <c r="K753" s="38" t="n">
        <f aca="false">E753*Scorecard!$E$18+F753*Scorecard!$E$19+G753*Scorecard!$E$20+H753*Scorecard!$E$21+I753*Scorecard!$E$22+J753*Scorecard!$E$23</f>
        <v>3.10187009313307</v>
      </c>
      <c r="M753" s="0" t="str">
        <f aca="false">IF(AND(T753&gt;=U753,T753&gt;=V753),"A. Distribution",IF(U753&gt;=V753,"B. Manufacturing","C. Prof. services"))</f>
        <v>A. Distribution</v>
      </c>
      <c r="N753" s="39" t="n">
        <v>0.0841779367696661</v>
      </c>
      <c r="O753" s="39" t="n">
        <v>0.200612645090651</v>
      </c>
      <c r="P753" s="39" t="n">
        <v>0.267820818638775</v>
      </c>
      <c r="Q753" s="39" t="n">
        <v>0.0922924516153185</v>
      </c>
      <c r="R753" s="39" t="n">
        <v>0.279359007451464</v>
      </c>
      <c r="S753" s="39" t="n">
        <v>0.0757371404341249</v>
      </c>
      <c r="T753" s="38" t="n">
        <f aca="false">N753*Scorecard!$C$18+O753*Scorecard!$C$19+P753*Scorecard!$C$20+Q753*Scorecard!$C$21+R753*Scorecard!$C$22+S753*Scorecard!$C$23</f>
        <v>4.0324354235992</v>
      </c>
      <c r="U753" s="38" t="n">
        <f aca="false">N753*Scorecard!$D$18+O753*Scorecard!$D$19+P753*Scorecard!$D$20+Q753*Scorecard!$D$21+R753*Scorecard!$D$22+S753*Scorecard!$D$23</f>
        <v>2.63818335063031</v>
      </c>
      <c r="V753" s="38" t="n">
        <f aca="false">N753*Scorecard!$E$18+O753*Scorecard!$E$19+P753*Scorecard!$E$20+Q753*Scorecard!$E$21+R753*Scorecard!$E$22+S753*Scorecard!$E$23</f>
        <v>3.26016933569962</v>
      </c>
    </row>
    <row r="754" customFormat="false" ht="15" hidden="false" customHeight="false" outlineLevel="0" collapsed="false">
      <c r="A754" s="0" t="n">
        <v>749</v>
      </c>
      <c r="B754" s="38" t="n">
        <f aca="false">E754*Scorecard!$C$18+F754*Scorecard!$C$19+G754*Scorecard!$C$20+H754*Scorecard!$C$21+I754*Scorecard!$C$22+J754*Scorecard!$C$23</f>
        <v>3.61010298769108</v>
      </c>
      <c r="C754" s="38" t="n">
        <f aca="false">E754*Scorecard!$D$18+F754*Scorecard!$D$19+G754*Scorecard!$D$20+H754*Scorecard!$D$21+I754*Scorecard!$D$22+J754*Scorecard!$D$23</f>
        <v>2.15457551288027</v>
      </c>
      <c r="D754" s="0" t="str">
        <f aca="false">IF(AND(B754&gt;=C754,B754&gt;=K754),"A. Distribution",IF(C754&gt;=K754,"B. Manufacturing","C. Prof. services"))</f>
        <v>C. Prof. services</v>
      </c>
      <c r="E754" s="39" t="n">
        <v>0.0263247779126795</v>
      </c>
      <c r="F754" s="39" t="n">
        <v>0.117349361479356</v>
      </c>
      <c r="G754" s="39" t="n">
        <v>0.202702698627209</v>
      </c>
      <c r="H754" s="39" t="n">
        <v>0.391938973685996</v>
      </c>
      <c r="I754" s="39" t="n">
        <v>0.0302335943226662</v>
      </c>
      <c r="J754" s="39" t="n">
        <v>0.231450593972092</v>
      </c>
      <c r="K754" s="38" t="n">
        <f aca="false">E754*Scorecard!$E$18+F754*Scorecard!$E$19+G754*Scorecard!$E$20+H754*Scorecard!$E$21+I754*Scorecard!$E$22+J754*Scorecard!$E$23</f>
        <v>3.78369727166518</v>
      </c>
      <c r="M754" s="0" t="str">
        <f aca="false">IF(AND(T754&gt;=U754,T754&gt;=V754),"A. Distribution",IF(U754&gt;=V754,"B. Manufacturing","C. Prof. services"))</f>
        <v>A. Distribution</v>
      </c>
      <c r="N754" s="39" t="n">
        <v>0.185086926719094</v>
      </c>
      <c r="O754" s="39" t="n">
        <v>0.261115547834899</v>
      </c>
      <c r="P754" s="39" t="n">
        <v>0.227008644265601</v>
      </c>
      <c r="Q754" s="39" t="n">
        <v>0.0723661010885377</v>
      </c>
      <c r="R754" s="39" t="n">
        <v>0.10032257100785</v>
      </c>
      <c r="S754" s="39" t="n">
        <v>0.154100209084019</v>
      </c>
      <c r="T754" s="38" t="n">
        <f aca="false">N754*Scorecard!$C$18+O754*Scorecard!$C$19+P754*Scorecard!$C$20+Q754*Scorecard!$C$21+R754*Scorecard!$C$22+S754*Scorecard!$C$23</f>
        <v>3.93025760795224</v>
      </c>
      <c r="U754" s="38" t="n">
        <f aca="false">N754*Scorecard!$D$18+O754*Scorecard!$D$19+P754*Scorecard!$D$20+Q754*Scorecard!$D$21+R754*Scorecard!$D$22+S754*Scorecard!$D$23</f>
        <v>2.59069622590549</v>
      </c>
      <c r="V754" s="38" t="n">
        <f aca="false">N754*Scorecard!$E$18+O754*Scorecard!$E$19+P754*Scorecard!$E$20+Q754*Scorecard!$E$21+R754*Scorecard!$E$22+S754*Scorecard!$E$23</f>
        <v>3.48148756808182</v>
      </c>
    </row>
    <row r="755" customFormat="false" ht="15" hidden="false" customHeight="false" outlineLevel="0" collapsed="false">
      <c r="A755" s="0" t="n">
        <v>750</v>
      </c>
      <c r="B755" s="38" t="n">
        <f aca="false">E755*Scorecard!$C$18+F755*Scorecard!$C$19+G755*Scorecard!$C$20+H755*Scorecard!$C$21+I755*Scorecard!$C$22+J755*Scorecard!$C$23</f>
        <v>4.14514871139786</v>
      </c>
      <c r="C755" s="38" t="n">
        <f aca="false">E755*Scorecard!$D$18+F755*Scorecard!$D$19+G755*Scorecard!$D$20+H755*Scorecard!$D$21+I755*Scorecard!$D$22+J755*Scorecard!$D$23</f>
        <v>2.30993246836811</v>
      </c>
      <c r="D755" s="0" t="str">
        <f aca="false">IF(AND(B755&gt;=C755,B755&gt;=K755),"A. Distribution",IF(C755&gt;=K755,"B. Manufacturing","C. Prof. services"))</f>
        <v>A. Distribution</v>
      </c>
      <c r="E755" s="39" t="n">
        <v>0.0528543606207486</v>
      </c>
      <c r="F755" s="39" t="n">
        <v>0.186676479414843</v>
      </c>
      <c r="G755" s="39" t="n">
        <v>0.58963581342261</v>
      </c>
      <c r="H755" s="39" t="n">
        <v>0.0949946930570495</v>
      </c>
      <c r="I755" s="39" t="n">
        <v>0.0623143894324989</v>
      </c>
      <c r="J755" s="39" t="n">
        <v>0.01352426405225</v>
      </c>
      <c r="K755" s="38" t="n">
        <f aca="false">E755*Scorecard!$E$18+F755*Scorecard!$E$19+G755*Scorecard!$E$20+H755*Scorecard!$E$21+I755*Scorecard!$E$22+J755*Scorecard!$E$23</f>
        <v>3.62224865681441</v>
      </c>
      <c r="M755" s="0" t="str">
        <f aca="false">IF(AND(T755&gt;=U755,T755&gt;=V755),"A. Distribution",IF(U755&gt;=V755,"B. Manufacturing","C. Prof. services"))</f>
        <v>A. Distribution</v>
      </c>
      <c r="N755" s="39" t="n">
        <v>0.181611892313243</v>
      </c>
      <c r="O755" s="39" t="n">
        <v>0.303183465367374</v>
      </c>
      <c r="P755" s="39" t="n">
        <v>0.170179130722642</v>
      </c>
      <c r="Q755" s="39" t="n">
        <v>0.13966678791841</v>
      </c>
      <c r="R755" s="39" t="n">
        <v>0.0737348712679158</v>
      </c>
      <c r="S755" s="39" t="n">
        <v>0.131623852410415</v>
      </c>
      <c r="T755" s="38" t="n">
        <f aca="false">N755*Scorecard!$C$18+O755*Scorecard!$C$19+P755*Scorecard!$C$20+Q755*Scorecard!$C$21+R755*Scorecard!$C$22+S755*Scorecard!$C$23</f>
        <v>4.01030554962823</v>
      </c>
      <c r="U755" s="38" t="n">
        <f aca="false">N755*Scorecard!$D$18+O755*Scorecard!$D$19+P755*Scorecard!$D$20+Q755*Scorecard!$D$21+R755*Scorecard!$D$22+S755*Scorecard!$D$23</f>
        <v>2.60141238875473</v>
      </c>
      <c r="V755" s="38" t="n">
        <f aca="false">N755*Scorecard!$E$18+O755*Scorecard!$E$19+P755*Scorecard!$E$20+Q755*Scorecard!$E$21+R755*Scorecard!$E$22+S755*Scorecard!$E$23</f>
        <v>3.44399945075432</v>
      </c>
    </row>
    <row r="756" customFormat="false" ht="15" hidden="false" customHeight="false" outlineLevel="0" collapsed="false">
      <c r="A756" s="0" t="n">
        <v>751</v>
      </c>
      <c r="B756" s="38" t="n">
        <f aca="false">E756*Scorecard!$C$18+F756*Scorecard!$C$19+G756*Scorecard!$C$20+H756*Scorecard!$C$21+I756*Scorecard!$C$22+J756*Scorecard!$C$23</f>
        <v>3.96587626174929</v>
      </c>
      <c r="C756" s="38" t="n">
        <f aca="false">E756*Scorecard!$D$18+F756*Scorecard!$D$19+G756*Scorecard!$D$20+H756*Scorecard!$D$21+I756*Scorecard!$D$22+J756*Scorecard!$D$23</f>
        <v>2.37460099239549</v>
      </c>
      <c r="D756" s="0" t="str">
        <f aca="false">IF(AND(B756&gt;=C756,B756&gt;=K756),"A. Distribution",IF(C756&gt;=K756,"B. Manufacturing","C. Prof. services"))</f>
        <v>A. Distribution</v>
      </c>
      <c r="E756" s="39" t="n">
        <v>0.136352277740659</v>
      </c>
      <c r="F756" s="39" t="n">
        <v>0.122898750334777</v>
      </c>
      <c r="G756" s="39" t="n">
        <v>0.546319300304322</v>
      </c>
      <c r="H756" s="39" t="n">
        <v>0.0973530908706756</v>
      </c>
      <c r="I756" s="39" t="n">
        <v>0.0292839048980501</v>
      </c>
      <c r="J756" s="39" t="n">
        <v>0.0677926758515161</v>
      </c>
      <c r="K756" s="38" t="n">
        <f aca="false">E756*Scorecard!$E$18+F756*Scorecard!$E$19+G756*Scorecard!$E$20+H756*Scorecard!$E$21+I756*Scorecard!$E$22+J756*Scorecard!$E$23</f>
        <v>3.73815548727863</v>
      </c>
      <c r="M756" s="0" t="str">
        <f aca="false">IF(AND(T756&gt;=U756,T756&gt;=V756),"A. Distribution",IF(U756&gt;=V756,"B. Manufacturing","C. Prof. services"))</f>
        <v>A. Distribution</v>
      </c>
      <c r="N756" s="39" t="n">
        <v>0.0745961215798334</v>
      </c>
      <c r="O756" s="39" t="n">
        <v>0.229141956034955</v>
      </c>
      <c r="P756" s="39" t="n">
        <v>0.271424490783878</v>
      </c>
      <c r="Q756" s="39" t="n">
        <v>0.179769963088789</v>
      </c>
      <c r="R756" s="39" t="n">
        <v>0.154226817624905</v>
      </c>
      <c r="S756" s="39" t="n">
        <v>0.0908406508876403</v>
      </c>
      <c r="T756" s="38" t="n">
        <f aca="false">N756*Scorecard!$C$18+O756*Scorecard!$C$19+P756*Scorecard!$C$20+Q756*Scorecard!$C$21+R756*Scorecard!$C$22+S756*Scorecard!$C$23</f>
        <v>4.02210125345314</v>
      </c>
      <c r="U756" s="38" t="n">
        <f aca="false">N756*Scorecard!$D$18+O756*Scorecard!$D$19+P756*Scorecard!$D$20+Q756*Scorecard!$D$21+R756*Scorecard!$D$22+S756*Scorecard!$D$23</f>
        <v>2.48508828960394</v>
      </c>
      <c r="V756" s="38" t="n">
        <f aca="false">N756*Scorecard!$E$18+O756*Scorecard!$E$19+P756*Scorecard!$E$20+Q756*Scorecard!$E$21+R756*Scorecard!$E$22+S756*Scorecard!$E$23</f>
        <v>3.41835358752427</v>
      </c>
    </row>
    <row r="757" customFormat="false" ht="15" hidden="false" customHeight="false" outlineLevel="0" collapsed="false">
      <c r="A757" s="0" t="n">
        <v>752</v>
      </c>
      <c r="B757" s="38" t="n">
        <f aca="false">E757*Scorecard!$C$18+F757*Scorecard!$C$19+G757*Scorecard!$C$20+H757*Scorecard!$C$21+I757*Scorecard!$C$22+J757*Scorecard!$C$23</f>
        <v>4.29333321021154</v>
      </c>
      <c r="C757" s="38" t="n">
        <f aca="false">E757*Scorecard!$D$18+F757*Scorecard!$D$19+G757*Scorecard!$D$20+H757*Scorecard!$D$21+I757*Scorecard!$D$22+J757*Scorecard!$D$23</f>
        <v>2.37051268962261</v>
      </c>
      <c r="D757" s="0" t="str">
        <f aca="false">IF(AND(B757&gt;=C757,B757&gt;=K757),"A. Distribution",IF(C757&gt;=K757,"B. Manufacturing","C. Prof. services"))</f>
        <v>A. Distribution</v>
      </c>
      <c r="E757" s="39" t="n">
        <v>0.0203965192590031</v>
      </c>
      <c r="F757" s="39" t="n">
        <v>0.354563176680563</v>
      </c>
      <c r="G757" s="39" t="n">
        <v>0.420999034293331</v>
      </c>
      <c r="H757" s="39" t="n">
        <v>0.0806928329672659</v>
      </c>
      <c r="I757" s="39" t="n">
        <v>0.0978995889609827</v>
      </c>
      <c r="J757" s="39" t="n">
        <v>0.0254488478388547</v>
      </c>
      <c r="K757" s="38" t="n">
        <f aca="false">E757*Scorecard!$E$18+F757*Scorecard!$E$19+G757*Scorecard!$E$20+H757*Scorecard!$E$21+I757*Scorecard!$E$22+J757*Scorecard!$E$23</f>
        <v>3.3891130192017</v>
      </c>
      <c r="M757" s="0" t="str">
        <f aca="false">IF(AND(T757&gt;=U757,T757&gt;=V757),"A. Distribution",IF(U757&gt;=V757,"B. Manufacturing","C. Prof. services"))</f>
        <v>A. Distribution</v>
      </c>
      <c r="N757" s="39" t="n">
        <v>0.249474204699239</v>
      </c>
      <c r="O757" s="39" t="n">
        <v>0.156369113889324</v>
      </c>
      <c r="P757" s="39" t="n">
        <v>0.279167259847347</v>
      </c>
      <c r="Q757" s="39" t="n">
        <v>0.12531257835879</v>
      </c>
      <c r="R757" s="39" t="n">
        <v>0.137133466985655</v>
      </c>
      <c r="S757" s="39" t="n">
        <v>0.0525433762196449</v>
      </c>
      <c r="T757" s="38" t="n">
        <f aca="false">N757*Scorecard!$C$18+O757*Scorecard!$C$19+P757*Scorecard!$C$20+Q757*Scorecard!$C$21+R757*Scorecard!$C$22+S757*Scorecard!$C$23</f>
        <v>4.01775037904322</v>
      </c>
      <c r="U757" s="38" t="n">
        <f aca="false">N757*Scorecard!$D$18+O757*Scorecard!$D$19+P757*Scorecard!$D$20+Q757*Scorecard!$D$21+R757*Scorecard!$D$22+S757*Scorecard!$D$23</f>
        <v>2.78080924322379</v>
      </c>
      <c r="V757" s="38" t="n">
        <f aca="false">N757*Scorecard!$E$18+O757*Scorecard!$E$19+P757*Scorecard!$E$20+Q757*Scorecard!$E$21+R757*Scorecard!$E$22+S757*Scorecard!$E$23</f>
        <v>3.44506105956492</v>
      </c>
    </row>
    <row r="758" customFormat="false" ht="15" hidden="false" customHeight="false" outlineLevel="0" collapsed="false">
      <c r="A758" s="0" t="n">
        <v>753</v>
      </c>
      <c r="B758" s="38" t="n">
        <f aca="false">E758*Scorecard!$C$18+F758*Scorecard!$C$19+G758*Scorecard!$C$20+H758*Scorecard!$C$21+I758*Scorecard!$C$22+J758*Scorecard!$C$23</f>
        <v>3.95371441165981</v>
      </c>
      <c r="C758" s="38" t="n">
        <f aca="false">E758*Scorecard!$D$18+F758*Scorecard!$D$19+G758*Scorecard!$D$20+H758*Scorecard!$D$21+I758*Scorecard!$D$22+J758*Scorecard!$D$23</f>
        <v>2.6159523545117</v>
      </c>
      <c r="D758" s="0" t="str">
        <f aca="false">IF(AND(B758&gt;=C758,B758&gt;=K758),"A. Distribution",IF(C758&gt;=K758,"B. Manufacturing","C. Prof. services"))</f>
        <v>A. Distribution</v>
      </c>
      <c r="E758" s="39" t="n">
        <v>0.02834535861001</v>
      </c>
      <c r="F758" s="39" t="n">
        <v>0.19674517538207</v>
      </c>
      <c r="G758" s="39" t="n">
        <v>0.265411486703726</v>
      </c>
      <c r="H758" s="39" t="n">
        <v>0.00452595692073989</v>
      </c>
      <c r="I758" s="39" t="n">
        <v>0.384838356449198</v>
      </c>
      <c r="J758" s="39" t="n">
        <v>0.120133665934256</v>
      </c>
      <c r="K758" s="38" t="n">
        <f aca="false">E758*Scorecard!$E$18+F758*Scorecard!$E$19+G758*Scorecard!$E$20+H758*Scorecard!$E$21+I758*Scorecard!$E$22+J758*Scorecard!$E$23</f>
        <v>3.16781099724981</v>
      </c>
      <c r="M758" s="0" t="str">
        <f aca="false">IF(AND(T758&gt;=U758,T758&gt;=V758),"A. Distribution",IF(U758&gt;=V758,"B. Manufacturing","C. Prof. services"))</f>
        <v>A. Distribution</v>
      </c>
      <c r="N758" s="39" t="n">
        <v>0.402527873188493</v>
      </c>
      <c r="O758" s="39" t="n">
        <v>0.155437211803807</v>
      </c>
      <c r="P758" s="39" t="n">
        <v>0.0776225620938472</v>
      </c>
      <c r="Q758" s="39" t="n">
        <v>0.109641338348305</v>
      </c>
      <c r="R758" s="39" t="n">
        <v>0.177055626922801</v>
      </c>
      <c r="S758" s="39" t="n">
        <v>0.0777153876427459</v>
      </c>
      <c r="T758" s="38" t="n">
        <f aca="false">N758*Scorecard!$C$18+O758*Scorecard!$C$19+P758*Scorecard!$C$20+Q758*Scorecard!$C$21+R758*Scorecard!$C$22+S758*Scorecard!$C$23</f>
        <v>3.95587485445599</v>
      </c>
      <c r="U758" s="38" t="n">
        <f aca="false">N758*Scorecard!$D$18+O758*Scorecard!$D$19+P758*Scorecard!$D$20+Q758*Scorecard!$D$21+R758*Scorecard!$D$22+S758*Scorecard!$D$23</f>
        <v>3.1260552173491</v>
      </c>
      <c r="V758" s="38" t="n">
        <f aca="false">N758*Scorecard!$E$18+O758*Scorecard!$E$19+P758*Scorecard!$E$20+Q758*Scorecard!$E$21+R758*Scorecard!$E$22+S758*Scorecard!$E$23</f>
        <v>3.32082166320741</v>
      </c>
    </row>
    <row r="759" customFormat="false" ht="15" hidden="false" customHeight="false" outlineLevel="0" collapsed="false">
      <c r="A759" s="0" t="n">
        <v>754</v>
      </c>
      <c r="B759" s="38" t="n">
        <f aca="false">E759*Scorecard!$C$18+F759*Scorecard!$C$19+G759*Scorecard!$C$20+H759*Scorecard!$C$21+I759*Scorecard!$C$22+J759*Scorecard!$C$23</f>
        <v>3.9583756476446</v>
      </c>
      <c r="C759" s="38" t="n">
        <f aca="false">E759*Scorecard!$D$18+F759*Scorecard!$D$19+G759*Scorecard!$D$20+H759*Scorecard!$D$21+I759*Scorecard!$D$22+J759*Scorecard!$D$23</f>
        <v>2.67300316722769</v>
      </c>
      <c r="D759" s="0" t="str">
        <f aca="false">IF(AND(B759&gt;=C759,B759&gt;=K759),"A. Distribution",IF(C759&gt;=K759,"B. Manufacturing","C. Prof. services"))</f>
        <v>A. Distribution</v>
      </c>
      <c r="E759" s="39" t="n">
        <v>0.110974845586291</v>
      </c>
      <c r="F759" s="39" t="n">
        <v>0.103990806248833</v>
      </c>
      <c r="G759" s="39" t="n">
        <v>0.208589797036576</v>
      </c>
      <c r="H759" s="39" t="n">
        <v>0.265207728151073</v>
      </c>
      <c r="I759" s="39" t="n">
        <v>0.257172293895927</v>
      </c>
      <c r="J759" s="39" t="n">
        <v>0.0540645290812998</v>
      </c>
      <c r="K759" s="38" t="n">
        <f aca="false">E759*Scorecard!$E$18+F759*Scorecard!$E$19+G759*Scorecard!$E$20+H759*Scorecard!$E$21+I759*Scorecard!$E$22+J759*Scorecard!$E$23</f>
        <v>3.33186025811135</v>
      </c>
      <c r="M759" s="0" t="str">
        <f aca="false">IF(AND(T759&gt;=U759,T759&gt;=V759),"A. Distribution",IF(U759&gt;=V759,"B. Manufacturing","C. Prof. services"))</f>
        <v>A. Distribution</v>
      </c>
      <c r="N759" s="39" t="n">
        <v>0.18113705674835</v>
      </c>
      <c r="O759" s="39" t="n">
        <v>0.130653197046473</v>
      </c>
      <c r="P759" s="39" t="n">
        <v>0.207639418901435</v>
      </c>
      <c r="Q759" s="39" t="n">
        <v>0.191924068502734</v>
      </c>
      <c r="R759" s="39" t="n">
        <v>0.192909641721018</v>
      </c>
      <c r="S759" s="39" t="n">
        <v>0.0957366170799897</v>
      </c>
      <c r="T759" s="38" t="n">
        <f aca="false">N759*Scorecard!$C$18+O759*Scorecard!$C$19+P759*Scorecard!$C$20+Q759*Scorecard!$C$21+R759*Scorecard!$C$22+S759*Scorecard!$C$23</f>
        <v>3.90395712233512</v>
      </c>
      <c r="U759" s="38" t="n">
        <f aca="false">N759*Scorecard!$D$18+O759*Scorecard!$D$19+P759*Scorecard!$D$20+Q759*Scorecard!$D$21+R759*Scorecard!$D$22+S759*Scorecard!$D$23</f>
        <v>2.70115440020452</v>
      </c>
      <c r="V759" s="38" t="n">
        <f aca="false">N759*Scorecard!$E$18+O759*Scorecard!$E$19+P759*Scorecard!$E$20+Q759*Scorecard!$E$21+R759*Scorecard!$E$22+S759*Scorecard!$E$23</f>
        <v>3.4168183678231</v>
      </c>
    </row>
    <row r="760" customFormat="false" ht="15" hidden="false" customHeight="false" outlineLevel="0" collapsed="false">
      <c r="A760" s="0" t="n">
        <v>755</v>
      </c>
      <c r="B760" s="38" t="n">
        <f aca="false">E760*Scorecard!$C$18+F760*Scorecard!$C$19+G760*Scorecard!$C$20+H760*Scorecard!$C$21+I760*Scorecard!$C$22+J760*Scorecard!$C$23</f>
        <v>3.26533483140788</v>
      </c>
      <c r="C760" s="38" t="n">
        <f aca="false">E760*Scorecard!$D$18+F760*Scorecard!$D$19+G760*Scorecard!$D$20+H760*Scorecard!$D$21+I760*Scorecard!$D$22+J760*Scorecard!$D$23</f>
        <v>2.48159753544778</v>
      </c>
      <c r="D760" s="0" t="str">
        <f aca="false">IF(AND(B760&gt;=C760,B760&gt;=K760),"A. Distribution",IF(C760&gt;=K760,"B. Manufacturing","C. Prof. services"))</f>
        <v>C. Prof. services</v>
      </c>
      <c r="E760" s="39" t="n">
        <v>0.240788460703189</v>
      </c>
      <c r="F760" s="39" t="n">
        <v>0.0411447041775452</v>
      </c>
      <c r="G760" s="39" t="n">
        <v>0.154527864553748</v>
      </c>
      <c r="H760" s="39" t="n">
        <v>0.0905663689421038</v>
      </c>
      <c r="I760" s="39" t="n">
        <v>0.099613019041793</v>
      </c>
      <c r="J760" s="39" t="n">
        <v>0.373359582581622</v>
      </c>
      <c r="K760" s="38" t="n">
        <f aca="false">E760*Scorecard!$E$18+F760*Scorecard!$E$19+G760*Scorecard!$E$20+H760*Scorecard!$E$21+I760*Scorecard!$E$22+J760*Scorecard!$E$23</f>
        <v>3.82145335079863</v>
      </c>
      <c r="M760" s="0" t="str">
        <f aca="false">IF(AND(T760&gt;=U760,T760&gt;=V760),"A. Distribution",IF(U760&gt;=V760,"B. Manufacturing","C. Prof. services"))</f>
        <v>A. Distribution</v>
      </c>
      <c r="N760" s="39" t="n">
        <v>0.15716321308706</v>
      </c>
      <c r="O760" s="39" t="n">
        <v>0.247295687022727</v>
      </c>
      <c r="P760" s="39" t="n">
        <v>0.236513482904664</v>
      </c>
      <c r="Q760" s="39" t="n">
        <v>0.0969239185110247</v>
      </c>
      <c r="R760" s="39" t="n">
        <v>0.2352004069944</v>
      </c>
      <c r="S760" s="39" t="n">
        <v>0.0269032914801252</v>
      </c>
      <c r="T760" s="38" t="n">
        <f aca="false">N760*Scorecard!$C$18+O760*Scorecard!$C$19+P760*Scorecard!$C$20+Q760*Scorecard!$C$21+R760*Scorecard!$C$22+S760*Scorecard!$C$23</f>
        <v>4.17042736793551</v>
      </c>
      <c r="U760" s="38" t="n">
        <f aca="false">N760*Scorecard!$D$18+O760*Scorecard!$D$19+P760*Scorecard!$D$20+Q760*Scorecard!$D$21+R760*Scorecard!$D$22+S760*Scorecard!$D$23</f>
        <v>2.77748399839137</v>
      </c>
      <c r="V760" s="38" t="n">
        <f aca="false">N760*Scorecard!$E$18+O760*Scorecard!$E$19+P760*Scorecard!$E$20+Q760*Scorecard!$E$21+R760*Scorecard!$E$22+S760*Scorecard!$E$23</f>
        <v>3.21553832003461</v>
      </c>
    </row>
    <row r="761" customFormat="false" ht="15" hidden="false" customHeight="false" outlineLevel="0" collapsed="false">
      <c r="A761" s="0" t="n">
        <v>756</v>
      </c>
      <c r="B761" s="38" t="n">
        <f aca="false">E761*Scorecard!$C$18+F761*Scorecard!$C$19+G761*Scorecard!$C$20+H761*Scorecard!$C$21+I761*Scorecard!$C$22+J761*Scorecard!$C$23</f>
        <v>3.85840080719244</v>
      </c>
      <c r="C761" s="38" t="n">
        <f aca="false">E761*Scorecard!$D$18+F761*Scorecard!$D$19+G761*Scorecard!$D$20+H761*Scorecard!$D$21+I761*Scorecard!$D$22+J761*Scorecard!$D$23</f>
        <v>2.91374453483071</v>
      </c>
      <c r="D761" s="0" t="str">
        <f aca="false">IF(AND(B761&gt;=C761,B761&gt;=K761),"A. Distribution",IF(C761&gt;=K761,"B. Manufacturing","C. Prof. services"))</f>
        <v>A. Distribution</v>
      </c>
      <c r="E761" s="39" t="n">
        <v>0.40433410939245</v>
      </c>
      <c r="F761" s="39" t="n">
        <v>0.0707887175110209</v>
      </c>
      <c r="G761" s="39" t="n">
        <v>0.287646235279665</v>
      </c>
      <c r="H761" s="39" t="n">
        <v>0.0989460465538313</v>
      </c>
      <c r="I761" s="39" t="n">
        <v>0.0536530235884665</v>
      </c>
      <c r="J761" s="39" t="n">
        <v>0.0846318676745662</v>
      </c>
      <c r="K761" s="38" t="n">
        <f aca="false">E761*Scorecard!$E$18+F761*Scorecard!$E$19+G761*Scorecard!$E$20+H761*Scorecard!$E$21+I761*Scorecard!$E$22+J761*Scorecard!$E$23</f>
        <v>3.63374041452892</v>
      </c>
      <c r="M761" s="0" t="str">
        <f aca="false">IF(AND(T761&gt;=U761,T761&gt;=V761),"A. Distribution",IF(U761&gt;=V761,"B. Manufacturing","C. Prof. services"))</f>
        <v>A. Distribution</v>
      </c>
      <c r="N761" s="39" t="n">
        <v>0.242899149133262</v>
      </c>
      <c r="O761" s="39" t="n">
        <v>0.252956667329582</v>
      </c>
      <c r="P761" s="39" t="n">
        <v>0.152218155482232</v>
      </c>
      <c r="Q761" s="39" t="n">
        <v>0.0706255126764818</v>
      </c>
      <c r="R761" s="39" t="n">
        <v>0.105186284043077</v>
      </c>
      <c r="S761" s="39" t="n">
        <v>0.176114231335365</v>
      </c>
      <c r="T761" s="38" t="n">
        <f aca="false">N761*Scorecard!$C$18+O761*Scorecard!$C$19+P761*Scorecard!$C$20+Q761*Scorecard!$C$21+R761*Scorecard!$C$22+S761*Scorecard!$C$23</f>
        <v>3.87361667565599</v>
      </c>
      <c r="U761" s="38" t="n">
        <f aca="false">N761*Scorecard!$D$18+O761*Scorecard!$D$19+P761*Scorecard!$D$20+Q761*Scorecard!$D$21+R761*Scorecard!$D$22+S761*Scorecard!$D$23</f>
        <v>2.69831562960753</v>
      </c>
      <c r="V761" s="38" t="n">
        <f aca="false">N761*Scorecard!$E$18+O761*Scorecard!$E$19+P761*Scorecard!$E$20+Q761*Scorecard!$E$21+R761*Scorecard!$E$22+S761*Scorecard!$E$23</f>
        <v>3.46580469499245</v>
      </c>
    </row>
    <row r="762" customFormat="false" ht="15" hidden="false" customHeight="false" outlineLevel="0" collapsed="false">
      <c r="A762" s="0" t="n">
        <v>757</v>
      </c>
      <c r="B762" s="38" t="n">
        <f aca="false">E762*Scorecard!$C$18+F762*Scorecard!$C$19+G762*Scorecard!$C$20+H762*Scorecard!$C$21+I762*Scorecard!$C$22+J762*Scorecard!$C$23</f>
        <v>3.43130938295887</v>
      </c>
      <c r="C762" s="38" t="n">
        <f aca="false">E762*Scorecard!$D$18+F762*Scorecard!$D$19+G762*Scorecard!$D$20+H762*Scorecard!$D$21+I762*Scorecard!$D$22+J762*Scorecard!$D$23</f>
        <v>2.7802113330905</v>
      </c>
      <c r="D762" s="0" t="str">
        <f aca="false">IF(AND(B762&gt;=C762,B762&gt;=K762),"A. Distribution",IF(C762&gt;=K762,"B. Manufacturing","C. Prof. services"))</f>
        <v>A. Distribution</v>
      </c>
      <c r="E762" s="39" t="n">
        <v>0.133054733218942</v>
      </c>
      <c r="F762" s="39" t="n">
        <v>0.0586532257882662</v>
      </c>
      <c r="G762" s="39" t="n">
        <v>0.017075642223479</v>
      </c>
      <c r="H762" s="39" t="n">
        <v>0.0103409936080628</v>
      </c>
      <c r="I762" s="39" t="n">
        <v>0.473101875315913</v>
      </c>
      <c r="J762" s="39" t="n">
        <v>0.307773529845338</v>
      </c>
      <c r="K762" s="38" t="n">
        <f aca="false">E762*Scorecard!$E$18+F762*Scorecard!$E$19+G762*Scorecard!$E$20+H762*Scorecard!$E$21+I762*Scorecard!$E$22+J762*Scorecard!$E$23</f>
        <v>3.22534308821326</v>
      </c>
      <c r="M762" s="0" t="str">
        <f aca="false">IF(AND(T762&gt;=U762,T762&gt;=V762),"A. Distribution",IF(U762&gt;=V762,"B. Manufacturing","C. Prof. services"))</f>
        <v>A. Distribution</v>
      </c>
      <c r="N762" s="39" t="n">
        <v>0.256339339085837</v>
      </c>
      <c r="O762" s="39" t="n">
        <v>0.228881685447257</v>
      </c>
      <c r="P762" s="39" t="n">
        <v>0.127594599886317</v>
      </c>
      <c r="Q762" s="39" t="n">
        <v>0.200432826204187</v>
      </c>
      <c r="R762" s="39" t="n">
        <v>0.0914414846152507</v>
      </c>
      <c r="S762" s="39" t="n">
        <v>0.095310064761151</v>
      </c>
      <c r="T762" s="38" t="n">
        <f aca="false">N762*Scorecard!$C$18+O762*Scorecard!$C$19+P762*Scorecard!$C$20+Q762*Scorecard!$C$21+R762*Scorecard!$C$22+S762*Scorecard!$C$23</f>
        <v>3.99608414325376</v>
      </c>
      <c r="U762" s="38" t="n">
        <f aca="false">N762*Scorecard!$D$18+O762*Scorecard!$D$19+P762*Scorecard!$D$20+Q762*Scorecard!$D$21+R762*Scorecard!$D$22+S762*Scorecard!$D$23</f>
        <v>2.77276930621275</v>
      </c>
      <c r="V762" s="38" t="n">
        <f aca="false">N762*Scorecard!$E$18+O762*Scorecard!$E$19+P762*Scorecard!$E$20+Q762*Scorecard!$E$21+R762*Scorecard!$E$22+S762*Scorecard!$E$23</f>
        <v>3.42791380965993</v>
      </c>
    </row>
    <row r="763" customFormat="false" ht="15" hidden="false" customHeight="false" outlineLevel="0" collapsed="false">
      <c r="A763" s="0" t="n">
        <v>758</v>
      </c>
      <c r="B763" s="38" t="n">
        <f aca="false">E763*Scorecard!$C$18+F763*Scorecard!$C$19+G763*Scorecard!$C$20+H763*Scorecard!$C$21+I763*Scorecard!$C$22+J763*Scorecard!$C$23</f>
        <v>3.745173678695</v>
      </c>
      <c r="C763" s="38" t="n">
        <f aca="false">E763*Scorecard!$D$18+F763*Scorecard!$D$19+G763*Scorecard!$D$20+H763*Scorecard!$D$21+I763*Scorecard!$D$22+J763*Scorecard!$D$23</f>
        <v>2.14517847498441</v>
      </c>
      <c r="D763" s="0" t="str">
        <f aca="false">IF(AND(B763&gt;=C763,B763&gt;=K763),"A. Distribution",IF(C763&gt;=K763,"B. Manufacturing","C. Prof. services"))</f>
        <v>C. Prof. services</v>
      </c>
      <c r="E763" s="39" t="n">
        <v>0.0577030790132702</v>
      </c>
      <c r="F763" s="39" t="n">
        <v>0.0852258329633585</v>
      </c>
      <c r="G763" s="39" t="n">
        <v>0.586149979762858</v>
      </c>
      <c r="H763" s="39" t="n">
        <v>0.0748043544858411</v>
      </c>
      <c r="I763" s="39" t="n">
        <v>0.0324371801559992</v>
      </c>
      <c r="J763" s="39" t="n">
        <v>0.163679573618673</v>
      </c>
      <c r="K763" s="38" t="n">
        <f aca="false">E763*Scorecard!$E$18+F763*Scorecard!$E$19+G763*Scorecard!$E$20+H763*Scorecard!$E$21+I763*Scorecard!$E$22+J763*Scorecard!$E$23</f>
        <v>3.87257800387661</v>
      </c>
      <c r="M763" s="0" t="str">
        <f aca="false">IF(AND(T763&gt;=U763,T763&gt;=V763),"A. Distribution",IF(U763&gt;=V763,"B. Manufacturing","C. Prof. services"))</f>
        <v>A. Distribution</v>
      </c>
      <c r="N763" s="39" t="n">
        <v>0.192707972388227</v>
      </c>
      <c r="O763" s="39" t="n">
        <v>0.163809607210487</v>
      </c>
      <c r="P763" s="39" t="n">
        <v>0.248589464814288</v>
      </c>
      <c r="Q763" s="39" t="n">
        <v>0.207278438823905</v>
      </c>
      <c r="R763" s="39" t="n">
        <v>0.0949631334351631</v>
      </c>
      <c r="S763" s="39" t="n">
        <v>0.0926513833279293</v>
      </c>
      <c r="T763" s="38" t="n">
        <f aca="false">N763*Scorecard!$C$18+O763*Scorecard!$C$19+P763*Scorecard!$C$20+Q763*Scorecard!$C$21+R763*Scorecard!$C$22+S763*Scorecard!$C$23</f>
        <v>3.94070056612709</v>
      </c>
      <c r="U763" s="38" t="n">
        <f aca="false">N763*Scorecard!$D$18+O763*Scorecard!$D$19+P763*Scorecard!$D$20+Q763*Scorecard!$D$21+R763*Scorecard!$D$22+S763*Scorecard!$D$23</f>
        <v>2.61757125864019</v>
      </c>
      <c r="V763" s="38" t="n">
        <f aca="false">N763*Scorecard!$E$18+O763*Scorecard!$E$19+P763*Scorecard!$E$20+Q763*Scorecard!$E$21+R763*Scorecard!$E$22+S763*Scorecard!$E$23</f>
        <v>3.52807992369062</v>
      </c>
    </row>
    <row r="764" customFormat="false" ht="15" hidden="false" customHeight="false" outlineLevel="0" collapsed="false">
      <c r="A764" s="0" t="n">
        <v>759</v>
      </c>
      <c r="B764" s="38" t="n">
        <f aca="false">E764*Scorecard!$C$18+F764*Scorecard!$C$19+G764*Scorecard!$C$20+H764*Scorecard!$C$21+I764*Scorecard!$C$22+J764*Scorecard!$C$23</f>
        <v>3.93653298522705</v>
      </c>
      <c r="C764" s="38" t="n">
        <f aca="false">E764*Scorecard!$D$18+F764*Scorecard!$D$19+G764*Scorecard!$D$20+H764*Scorecard!$D$21+I764*Scorecard!$D$22+J764*Scorecard!$D$23</f>
        <v>2.36189792451589</v>
      </c>
      <c r="D764" s="0" t="str">
        <f aca="false">IF(AND(B764&gt;=C764,B764&gt;=K764),"A. Distribution",IF(C764&gt;=K764,"B. Manufacturing","C. Prof. services"))</f>
        <v>A. Distribution</v>
      </c>
      <c r="E764" s="39" t="n">
        <v>0.0401725970781385</v>
      </c>
      <c r="F764" s="39" t="n">
        <v>0.27895738635346</v>
      </c>
      <c r="G764" s="39" t="n">
        <v>0.171589937590387</v>
      </c>
      <c r="H764" s="39" t="n">
        <v>0.249695558299595</v>
      </c>
      <c r="I764" s="39" t="n">
        <v>0.103437405647818</v>
      </c>
      <c r="J764" s="39" t="n">
        <v>0.156147115030602</v>
      </c>
      <c r="K764" s="38" t="n">
        <f aca="false">E764*Scorecard!$E$18+F764*Scorecard!$E$19+G764*Scorecard!$E$20+H764*Scorecard!$E$21+I764*Scorecard!$E$22+J764*Scorecard!$E$23</f>
        <v>3.47044805866129</v>
      </c>
      <c r="M764" s="0" t="str">
        <f aca="false">IF(AND(T764&gt;=U764,T764&gt;=V764),"A. Distribution",IF(U764&gt;=V764,"B. Manufacturing","C. Prof. services"))</f>
        <v>A. Distribution</v>
      </c>
      <c r="N764" s="39" t="n">
        <v>0.252018039347856</v>
      </c>
      <c r="O764" s="39" t="n">
        <v>0.051016292100876</v>
      </c>
      <c r="P764" s="39" t="n">
        <v>0.218381692841449</v>
      </c>
      <c r="Q764" s="39" t="n">
        <v>0.195601278064214</v>
      </c>
      <c r="R764" s="39" t="n">
        <v>0.16770852713261</v>
      </c>
      <c r="S764" s="39" t="n">
        <v>0.115274170512996</v>
      </c>
      <c r="T764" s="38" t="n">
        <f aca="false">N764*Scorecard!$C$18+O764*Scorecard!$C$19+P764*Scorecard!$C$20+Q764*Scorecard!$C$21+R764*Scorecard!$C$22+S764*Scorecard!$C$23</f>
        <v>3.77915808375709</v>
      </c>
      <c r="U764" s="38" t="n">
        <f aca="false">N764*Scorecard!$D$18+O764*Scorecard!$D$19+P764*Scorecard!$D$20+Q764*Scorecard!$D$21+R764*Scorecard!$D$22+S764*Scorecard!$D$23</f>
        <v>2.760082006113</v>
      </c>
      <c r="V764" s="38" t="n">
        <f aca="false">N764*Scorecard!$E$18+O764*Scorecard!$E$19+P764*Scorecard!$E$20+Q764*Scorecard!$E$21+R764*Scorecard!$E$22+S764*Scorecard!$E$23</f>
        <v>3.52714601936354</v>
      </c>
    </row>
    <row r="765" customFormat="false" ht="15" hidden="false" customHeight="false" outlineLevel="0" collapsed="false">
      <c r="A765" s="0" t="n">
        <v>760</v>
      </c>
      <c r="B765" s="38" t="n">
        <f aca="false">E765*Scorecard!$C$18+F765*Scorecard!$C$19+G765*Scorecard!$C$20+H765*Scorecard!$C$21+I765*Scorecard!$C$22+J765*Scorecard!$C$23</f>
        <v>3.58828465257946</v>
      </c>
      <c r="C765" s="38" t="n">
        <f aca="false">E765*Scorecard!$D$18+F765*Scorecard!$D$19+G765*Scorecard!$D$20+H765*Scorecard!$D$21+I765*Scorecard!$D$22+J765*Scorecard!$D$23</f>
        <v>2.51782903935604</v>
      </c>
      <c r="D765" s="0" t="str">
        <f aca="false">IF(AND(B765&gt;=C765,B765&gt;=K765),"A. Distribution",IF(C765&gt;=K765,"B. Manufacturing","C. Prof. services"))</f>
        <v>C. Prof. services</v>
      </c>
      <c r="E765" s="39" t="n">
        <v>0.212260055435057</v>
      </c>
      <c r="F765" s="39" t="n">
        <v>0.0133709334738584</v>
      </c>
      <c r="G765" s="39" t="n">
        <v>0.240190106546769</v>
      </c>
      <c r="H765" s="39" t="n">
        <v>0.272657089168457</v>
      </c>
      <c r="I765" s="39" t="n">
        <v>0.072188992927325</v>
      </c>
      <c r="J765" s="39" t="n">
        <v>0.189332822448535</v>
      </c>
      <c r="K765" s="38" t="n">
        <f aca="false">E765*Scorecard!$E$18+F765*Scorecard!$E$19+G765*Scorecard!$E$20+H765*Scorecard!$E$21+I765*Scorecard!$E$22+J765*Scorecard!$E$23</f>
        <v>3.76305559467369</v>
      </c>
      <c r="M765" s="0" t="str">
        <f aca="false">IF(AND(T765&gt;=U765,T765&gt;=V765),"A. Distribution",IF(U765&gt;=V765,"B. Manufacturing","C. Prof. services"))</f>
        <v>A. Distribution</v>
      </c>
      <c r="N765" s="39" t="n">
        <v>0.194319411477115</v>
      </c>
      <c r="O765" s="39" t="n">
        <v>0.268048805063365</v>
      </c>
      <c r="P765" s="39" t="n">
        <v>0.116431458688826</v>
      </c>
      <c r="Q765" s="39" t="n">
        <v>0.0951962170964078</v>
      </c>
      <c r="R765" s="39" t="n">
        <v>0.184609688947658</v>
      </c>
      <c r="S765" s="39" t="n">
        <v>0.141394418726629</v>
      </c>
      <c r="T765" s="38" t="n">
        <f aca="false">N765*Scorecard!$C$18+O765*Scorecard!$C$19+P765*Scorecard!$C$20+Q765*Scorecard!$C$21+R765*Scorecard!$C$22+S765*Scorecard!$C$23</f>
        <v>3.95940124110148</v>
      </c>
      <c r="U765" s="38" t="n">
        <f aca="false">N765*Scorecard!$D$18+O765*Scorecard!$D$19+P765*Scorecard!$D$20+Q765*Scorecard!$D$21+R765*Scorecard!$D$22+S765*Scorecard!$D$23</f>
        <v>2.73845545448996</v>
      </c>
      <c r="V765" s="38" t="n">
        <f aca="false">N765*Scorecard!$E$18+O765*Scorecard!$E$19+P765*Scorecard!$E$20+Q765*Scorecard!$E$21+R765*Scorecard!$E$22+S765*Scorecard!$E$23</f>
        <v>3.31428177138208</v>
      </c>
    </row>
    <row r="766" customFormat="false" ht="15" hidden="false" customHeight="false" outlineLevel="0" collapsed="false">
      <c r="A766" s="0" t="n">
        <v>761</v>
      </c>
      <c r="B766" s="38" t="n">
        <f aca="false">E766*Scorecard!$C$18+F766*Scorecard!$C$19+G766*Scorecard!$C$20+H766*Scorecard!$C$21+I766*Scorecard!$C$22+J766*Scorecard!$C$23</f>
        <v>3.44955692146397</v>
      </c>
      <c r="C766" s="38" t="n">
        <f aca="false">E766*Scorecard!$D$18+F766*Scorecard!$D$19+G766*Scorecard!$D$20+H766*Scorecard!$D$21+I766*Scorecard!$D$22+J766*Scorecard!$D$23</f>
        <v>2.47568064710544</v>
      </c>
      <c r="D766" s="0" t="str">
        <f aca="false">IF(AND(B766&gt;=C766,B766&gt;=K766),"A. Distribution",IF(C766&gt;=K766,"B. Manufacturing","C. Prof. services"))</f>
        <v>C. Prof. services</v>
      </c>
      <c r="E766" s="39" t="n">
        <v>0.125103111696205</v>
      </c>
      <c r="F766" s="39" t="n">
        <v>0.0930306779293194</v>
      </c>
      <c r="G766" s="39" t="n">
        <v>0.17784495767253</v>
      </c>
      <c r="H766" s="39" t="n">
        <v>0.054594048387967</v>
      </c>
      <c r="I766" s="39" t="n">
        <v>0.235653658949347</v>
      </c>
      <c r="J766" s="39" t="n">
        <v>0.313773545364631</v>
      </c>
      <c r="K766" s="38" t="n">
        <f aca="false">E766*Scorecard!$E$18+F766*Scorecard!$E$19+G766*Scorecard!$E$20+H766*Scorecard!$E$21+I766*Scorecard!$E$22+J766*Scorecard!$E$23</f>
        <v>3.57250431782647</v>
      </c>
      <c r="M766" s="0" t="str">
        <f aca="false">IF(AND(T766&gt;=U766,T766&gt;=V766),"A. Distribution",IF(U766&gt;=V766,"B. Manufacturing","C. Prof. services"))</f>
        <v>A. Distribution</v>
      </c>
      <c r="N766" s="39" t="n">
        <v>0.260969566580638</v>
      </c>
      <c r="O766" s="39" t="n">
        <v>0.306181851702265</v>
      </c>
      <c r="P766" s="39" t="n">
        <v>0.121540900407616</v>
      </c>
      <c r="Q766" s="39" t="n">
        <v>0.0688160073900647</v>
      </c>
      <c r="R766" s="39" t="n">
        <v>0.184105469728483</v>
      </c>
      <c r="S766" s="39" t="n">
        <v>0.0583862041909338</v>
      </c>
      <c r="T766" s="38" t="n">
        <f aca="false">N766*Scorecard!$C$18+O766*Scorecard!$C$19+P766*Scorecard!$C$20+Q766*Scorecard!$C$21+R766*Scorecard!$C$22+S766*Scorecard!$C$23</f>
        <v>4.16104207409116</v>
      </c>
      <c r="U766" s="38" t="n">
        <f aca="false">N766*Scorecard!$D$18+O766*Scorecard!$D$19+P766*Scorecard!$D$20+Q766*Scorecard!$D$21+R766*Scorecard!$D$22+S766*Scorecard!$D$23</f>
        <v>2.92663585017184</v>
      </c>
      <c r="V766" s="38" t="n">
        <f aca="false">N766*Scorecard!$E$18+O766*Scorecard!$E$19+P766*Scorecard!$E$20+Q766*Scorecard!$E$21+R766*Scorecard!$E$22+S766*Scorecard!$E$23</f>
        <v>3.20333636446026</v>
      </c>
    </row>
    <row r="767" customFormat="false" ht="15" hidden="false" customHeight="false" outlineLevel="0" collapsed="false">
      <c r="A767" s="0" t="n">
        <v>762</v>
      </c>
      <c r="B767" s="38" t="n">
        <f aca="false">E767*Scorecard!$C$18+F767*Scorecard!$C$19+G767*Scorecard!$C$20+H767*Scorecard!$C$21+I767*Scorecard!$C$22+J767*Scorecard!$C$23</f>
        <v>3.62354204165399</v>
      </c>
      <c r="C767" s="38" t="n">
        <f aca="false">E767*Scorecard!$D$18+F767*Scorecard!$D$19+G767*Scorecard!$D$20+H767*Scorecard!$D$21+I767*Scorecard!$D$22+J767*Scorecard!$D$23</f>
        <v>2.91452299497767</v>
      </c>
      <c r="D767" s="0" t="str">
        <f aca="false">IF(AND(B767&gt;=C767,B767&gt;=K767),"A. Distribution",IF(C767&gt;=K767,"B. Manufacturing","C. Prof. services"))</f>
        <v>C. Prof. services</v>
      </c>
      <c r="E767" s="39" t="n">
        <v>0.426343291131884</v>
      </c>
      <c r="F767" s="39" t="n">
        <v>0.0941994580237095</v>
      </c>
      <c r="G767" s="39" t="n">
        <v>0.0206433750706239</v>
      </c>
      <c r="H767" s="39" t="n">
        <v>0.22255367409824</v>
      </c>
      <c r="I767" s="39" t="n">
        <v>0.0300365012525089</v>
      </c>
      <c r="J767" s="39" t="n">
        <v>0.206223700423034</v>
      </c>
      <c r="K767" s="38" t="n">
        <f aca="false">E767*Scorecard!$E$18+F767*Scorecard!$E$19+G767*Scorecard!$E$20+H767*Scorecard!$E$21+I767*Scorecard!$E$22+J767*Scorecard!$E$23</f>
        <v>3.65447871052484</v>
      </c>
      <c r="M767" s="0" t="str">
        <f aca="false">IF(AND(T767&gt;=U767,T767&gt;=V767),"A. Distribution",IF(U767&gt;=V767,"B. Manufacturing","C. Prof. services"))</f>
        <v>A. Distribution</v>
      </c>
      <c r="N767" s="39" t="n">
        <v>0.178504383532015</v>
      </c>
      <c r="O767" s="39" t="n">
        <v>0.250353465107454</v>
      </c>
      <c r="P767" s="39" t="n">
        <v>0.197887141535934</v>
      </c>
      <c r="Q767" s="39" t="n">
        <v>0.182823243338571</v>
      </c>
      <c r="R767" s="39" t="n">
        <v>0.0881868538947184</v>
      </c>
      <c r="S767" s="39" t="n">
        <v>0.102244912591307</v>
      </c>
      <c r="T767" s="38" t="n">
        <f aca="false">N767*Scorecard!$C$18+O767*Scorecard!$C$19+P767*Scorecard!$C$20+Q767*Scorecard!$C$21+R767*Scorecard!$C$22+S767*Scorecard!$C$23</f>
        <v>4.01183278745918</v>
      </c>
      <c r="U767" s="38" t="n">
        <f aca="false">N767*Scorecard!$D$18+O767*Scorecard!$D$19+P767*Scorecard!$D$20+Q767*Scorecard!$D$21+R767*Scorecard!$D$22+S767*Scorecard!$D$23</f>
        <v>2.61370622596753</v>
      </c>
      <c r="V767" s="38" t="n">
        <f aca="false">N767*Scorecard!$E$18+O767*Scorecard!$E$19+P767*Scorecard!$E$20+Q767*Scorecard!$E$21+R767*Scorecard!$E$22+S767*Scorecard!$E$23</f>
        <v>3.45581511971858</v>
      </c>
    </row>
    <row r="768" customFormat="false" ht="15" hidden="false" customHeight="false" outlineLevel="0" collapsed="false">
      <c r="A768" s="0" t="n">
        <v>763</v>
      </c>
      <c r="B768" s="38" t="n">
        <f aca="false">E768*Scorecard!$C$18+F768*Scorecard!$C$19+G768*Scorecard!$C$20+H768*Scorecard!$C$21+I768*Scorecard!$C$22+J768*Scorecard!$C$23</f>
        <v>3.40963502323851</v>
      </c>
      <c r="C768" s="38" t="n">
        <f aca="false">E768*Scorecard!$D$18+F768*Scorecard!$D$19+G768*Scorecard!$D$20+H768*Scorecard!$D$21+I768*Scorecard!$D$22+J768*Scorecard!$D$23</f>
        <v>2.68635735924926</v>
      </c>
      <c r="D768" s="0" t="str">
        <f aca="false">IF(AND(B768&gt;=C768,B768&gt;=K768),"A. Distribution",IF(C768&gt;=K768,"B. Manufacturing","C. Prof. services"))</f>
        <v>C. Prof. services</v>
      </c>
      <c r="E768" s="39" t="n">
        <v>0.294055527095718</v>
      </c>
      <c r="F768" s="39" t="n">
        <v>0.170003191653356</v>
      </c>
      <c r="G768" s="39" t="n">
        <v>0.00938438006832554</v>
      </c>
      <c r="H768" s="39" t="n">
        <v>0.0269482662745819</v>
      </c>
      <c r="I768" s="39" t="n">
        <v>0.132680780960178</v>
      </c>
      <c r="J768" s="39" t="n">
        <v>0.366927853947841</v>
      </c>
      <c r="K768" s="38" t="n">
        <f aca="false">E768*Scorecard!$E$18+F768*Scorecard!$E$19+G768*Scorecard!$E$20+H768*Scorecard!$E$21+I768*Scorecard!$E$22+J768*Scorecard!$E$23</f>
        <v>3.60325809345631</v>
      </c>
      <c r="M768" s="0" t="str">
        <f aca="false">IF(AND(T768&gt;=U768,T768&gt;=V768),"A. Distribution",IF(U768&gt;=V768,"B. Manufacturing","C. Prof. services"))</f>
        <v>A. Distribution</v>
      </c>
      <c r="N768" s="39" t="n">
        <v>0.184018192510115</v>
      </c>
      <c r="O768" s="39" t="n">
        <v>0.25502508590544</v>
      </c>
      <c r="P768" s="39" t="n">
        <v>0.278327900312159</v>
      </c>
      <c r="Q768" s="39" t="n">
        <v>0.0948142504634853</v>
      </c>
      <c r="R768" s="39" t="n">
        <v>0.0718848396588627</v>
      </c>
      <c r="S768" s="39" t="n">
        <v>0.115929731149938</v>
      </c>
      <c r="T768" s="38" t="n">
        <f aca="false">N768*Scorecard!$C$18+O768*Scorecard!$C$19+P768*Scorecard!$C$20+Q768*Scorecard!$C$21+R768*Scorecard!$C$22+S768*Scorecard!$C$23</f>
        <v>3.99817510584274</v>
      </c>
      <c r="U768" s="38" t="n">
        <f aca="false">N768*Scorecard!$D$18+O768*Scorecard!$D$19+P768*Scorecard!$D$20+Q768*Scorecard!$D$21+R768*Scorecard!$D$22+S768*Scorecard!$D$23</f>
        <v>2.57303715330703</v>
      </c>
      <c r="V768" s="38" t="n">
        <f aca="false">N768*Scorecard!$E$18+O768*Scorecard!$E$19+P768*Scorecard!$E$20+Q768*Scorecard!$E$21+R768*Scorecard!$E$22+S768*Scorecard!$E$23</f>
        <v>3.51027226457714</v>
      </c>
    </row>
    <row r="769" customFormat="false" ht="15" hidden="false" customHeight="false" outlineLevel="0" collapsed="false">
      <c r="A769" s="0" t="n">
        <v>764</v>
      </c>
      <c r="B769" s="38" t="n">
        <f aca="false">E769*Scorecard!$C$18+F769*Scorecard!$C$19+G769*Scorecard!$C$20+H769*Scorecard!$C$21+I769*Scorecard!$C$22+J769*Scorecard!$C$23</f>
        <v>3.78573128078445</v>
      </c>
      <c r="C769" s="38" t="n">
        <f aca="false">E769*Scorecard!$D$18+F769*Scorecard!$D$19+G769*Scorecard!$D$20+H769*Scorecard!$D$21+I769*Scorecard!$D$22+J769*Scorecard!$D$23</f>
        <v>2.84584668689316</v>
      </c>
      <c r="D769" s="0" t="str">
        <f aca="false">IF(AND(B769&gt;=C769,B769&gt;=K769),"A. Distribution",IF(C769&gt;=K769,"B. Manufacturing","C. Prof. services"))</f>
        <v>A. Distribution</v>
      </c>
      <c r="E769" s="39" t="n">
        <v>0.271706822936988</v>
      </c>
      <c r="F769" s="39" t="n">
        <v>0.0314617939906584</v>
      </c>
      <c r="G769" s="39" t="n">
        <v>0.103491480981761</v>
      </c>
      <c r="H769" s="39" t="n">
        <v>0.325199299192191</v>
      </c>
      <c r="I769" s="39" t="n">
        <v>0.173702785804749</v>
      </c>
      <c r="J769" s="39" t="n">
        <v>0.0944378170936531</v>
      </c>
      <c r="K769" s="38" t="n">
        <f aca="false">E769*Scorecard!$E$18+F769*Scorecard!$E$19+G769*Scorecard!$E$20+H769*Scorecard!$E$21+I769*Scorecard!$E$22+J769*Scorecard!$E$23</f>
        <v>3.47788024217683</v>
      </c>
      <c r="M769" s="0" t="str">
        <f aca="false">IF(AND(T769&gt;=U769,T769&gt;=V769),"A. Distribution",IF(U769&gt;=V769,"B. Manufacturing","C. Prof. services"))</f>
        <v>A. Distribution</v>
      </c>
      <c r="N769" s="39" t="n">
        <v>0.0980602269657734</v>
      </c>
      <c r="O769" s="39" t="n">
        <v>0.286091001502487</v>
      </c>
      <c r="P769" s="39" t="n">
        <v>0.295193319341852</v>
      </c>
      <c r="Q769" s="39" t="n">
        <v>0.115558748049327</v>
      </c>
      <c r="R769" s="39" t="n">
        <v>0.0355410015036839</v>
      </c>
      <c r="S769" s="39" t="n">
        <v>0.169555702636877</v>
      </c>
      <c r="T769" s="38" t="n">
        <f aca="false">N769*Scorecard!$C$18+O769*Scorecard!$C$19+P769*Scorecard!$C$20+Q769*Scorecard!$C$21+R769*Scorecard!$C$22+S769*Scorecard!$C$23</f>
        <v>3.92665513424631</v>
      </c>
      <c r="U769" s="38" t="n">
        <f aca="false">N769*Scorecard!$D$18+O769*Scorecard!$D$19+P769*Scorecard!$D$20+Q769*Scorecard!$D$21+R769*Scorecard!$D$22+S769*Scorecard!$D$23</f>
        <v>2.34636813512807</v>
      </c>
      <c r="V769" s="38" t="n">
        <f aca="false">N769*Scorecard!$E$18+O769*Scorecard!$E$19+P769*Scorecard!$E$20+Q769*Scorecard!$E$21+R769*Scorecard!$E$22+S769*Scorecard!$E$23</f>
        <v>3.59671672806443</v>
      </c>
    </row>
    <row r="770" customFormat="false" ht="15" hidden="false" customHeight="false" outlineLevel="0" collapsed="false">
      <c r="A770" s="0" t="n">
        <v>765</v>
      </c>
      <c r="B770" s="38" t="n">
        <f aca="false">E770*Scorecard!$C$18+F770*Scorecard!$C$19+G770*Scorecard!$C$20+H770*Scorecard!$C$21+I770*Scorecard!$C$22+J770*Scorecard!$C$23</f>
        <v>3.72833346574019</v>
      </c>
      <c r="C770" s="38" t="n">
        <f aca="false">E770*Scorecard!$D$18+F770*Scorecard!$D$19+G770*Scorecard!$D$20+H770*Scorecard!$D$21+I770*Scorecard!$D$22+J770*Scorecard!$D$23</f>
        <v>3.12965022486706</v>
      </c>
      <c r="D770" s="0" t="str">
        <f aca="false">IF(AND(B770&gt;=C770,B770&gt;=K770),"A. Distribution",IF(C770&gt;=K770,"B. Manufacturing","C. Prof. services"))</f>
        <v>A. Distribution</v>
      </c>
      <c r="E770" s="39" t="n">
        <v>0.539324711434535</v>
      </c>
      <c r="F770" s="39" t="n">
        <v>0.112381086058814</v>
      </c>
      <c r="G770" s="39" t="n">
        <v>0.0578932280501168</v>
      </c>
      <c r="H770" s="39" t="n">
        <v>0.101849040290361</v>
      </c>
      <c r="I770" s="39" t="n">
        <v>0.0236655909648117</v>
      </c>
      <c r="J770" s="39" t="n">
        <v>0.164886343201361</v>
      </c>
      <c r="K770" s="38" t="n">
        <f aca="false">E770*Scorecard!$E$18+F770*Scorecard!$E$19+G770*Scorecard!$E$20+H770*Scorecard!$E$21+I770*Scorecard!$E$22+J770*Scorecard!$E$23</f>
        <v>3.60568263749871</v>
      </c>
      <c r="M770" s="0" t="str">
        <f aca="false">IF(AND(T770&gt;=U770,T770&gt;=V770),"A. Distribution",IF(U770&gt;=V770,"B. Manufacturing","C. Prof. services"))</f>
        <v>A. Distribution</v>
      </c>
      <c r="N770" s="39" t="n">
        <v>0.291750952030847</v>
      </c>
      <c r="O770" s="39" t="n">
        <v>0.0544716021632661</v>
      </c>
      <c r="P770" s="39" t="n">
        <v>0.283483827188522</v>
      </c>
      <c r="Q770" s="39" t="n">
        <v>0.22859368767976</v>
      </c>
      <c r="R770" s="39" t="n">
        <v>0.0609003946766358</v>
      </c>
      <c r="S770" s="39" t="n">
        <v>0.0807995362609679</v>
      </c>
      <c r="T770" s="38" t="n">
        <f aca="false">N770*Scorecard!$C$18+O770*Scorecard!$C$19+P770*Scorecard!$C$20+Q770*Scorecard!$C$21+R770*Scorecard!$C$22+S770*Scorecard!$C$23</f>
        <v>3.84481768353194</v>
      </c>
      <c r="U770" s="38" t="n">
        <f aca="false">N770*Scorecard!$D$18+O770*Scorecard!$D$19+P770*Scorecard!$D$20+Q770*Scorecard!$D$21+R770*Scorecard!$D$22+S770*Scorecard!$D$23</f>
        <v>2.72677819520147</v>
      </c>
      <c r="V770" s="38" t="n">
        <f aca="false">N770*Scorecard!$E$18+O770*Scorecard!$E$19+P770*Scorecard!$E$20+Q770*Scorecard!$E$21+R770*Scorecard!$E$22+S770*Scorecard!$E$23</f>
        <v>3.65313780102076</v>
      </c>
    </row>
    <row r="771" customFormat="false" ht="15" hidden="false" customHeight="false" outlineLevel="0" collapsed="false">
      <c r="A771" s="0" t="n">
        <v>766</v>
      </c>
      <c r="B771" s="38" t="n">
        <f aca="false">E771*Scorecard!$C$18+F771*Scorecard!$C$19+G771*Scorecard!$C$20+H771*Scorecard!$C$21+I771*Scorecard!$C$22+J771*Scorecard!$C$23</f>
        <v>3.94700754597234</v>
      </c>
      <c r="C771" s="38" t="n">
        <f aca="false">E771*Scorecard!$D$18+F771*Scorecard!$D$19+G771*Scorecard!$D$20+H771*Scorecard!$D$21+I771*Scorecard!$D$22+J771*Scorecard!$D$23</f>
        <v>2.30075024907292</v>
      </c>
      <c r="D771" s="0" t="str">
        <f aca="false">IF(AND(B771&gt;=C771,B771&gt;=K771),"A. Distribution",IF(C771&gt;=K771,"B. Manufacturing","C. Prof. services"))</f>
        <v>A. Distribution</v>
      </c>
      <c r="E771" s="39" t="n">
        <v>0.0791036342223634</v>
      </c>
      <c r="F771" s="39" t="n">
        <v>0.126944715981057</v>
      </c>
      <c r="G771" s="39" t="n">
        <v>0.566547820865293</v>
      </c>
      <c r="H771" s="39" t="n">
        <v>0.0749686727009093</v>
      </c>
      <c r="I771" s="39" t="n">
        <v>0.069681018180321</v>
      </c>
      <c r="J771" s="39" t="n">
        <v>0.0827541380500558</v>
      </c>
      <c r="K771" s="38" t="n">
        <f aca="false">E771*Scorecard!$E$18+F771*Scorecard!$E$19+G771*Scorecard!$E$20+H771*Scorecard!$E$21+I771*Scorecard!$E$22+J771*Scorecard!$E$23</f>
        <v>3.70941545276424</v>
      </c>
      <c r="M771" s="0" t="str">
        <f aca="false">IF(AND(T771&gt;=U771,T771&gt;=V771),"A. Distribution",IF(U771&gt;=V771,"B. Manufacturing","C. Prof. services"))</f>
        <v>A. Distribution</v>
      </c>
      <c r="N771" s="39" t="n">
        <v>0.259853638848587</v>
      </c>
      <c r="O771" s="39" t="n">
        <v>0.243870624379944</v>
      </c>
      <c r="P771" s="39" t="n">
        <v>0.304347600216616</v>
      </c>
      <c r="Q771" s="39" t="n">
        <v>0.0984591386218778</v>
      </c>
      <c r="R771" s="39" t="n">
        <v>0.0682099672862218</v>
      </c>
      <c r="S771" s="39" t="n">
        <v>0.0252590306467543</v>
      </c>
      <c r="T771" s="38" t="n">
        <f aca="false">N771*Scorecard!$C$18+O771*Scorecard!$C$19+P771*Scorecard!$C$20+Q771*Scorecard!$C$21+R771*Scorecard!$C$22+S771*Scorecard!$C$23</f>
        <v>4.1618807233075</v>
      </c>
      <c r="U771" s="38" t="n">
        <f aca="false">N771*Scorecard!$D$18+O771*Scorecard!$D$19+P771*Scorecard!$D$20+Q771*Scorecard!$D$21+R771*Scorecard!$D$22+S771*Scorecard!$D$23</f>
        <v>2.76206822080548</v>
      </c>
      <c r="V771" s="38" t="n">
        <f aca="false">N771*Scorecard!$E$18+O771*Scorecard!$E$19+P771*Scorecard!$E$20+Q771*Scorecard!$E$21+R771*Scorecard!$E$22+S771*Scorecard!$E$23</f>
        <v>3.44528619098796</v>
      </c>
    </row>
    <row r="772" customFormat="false" ht="15" hidden="false" customHeight="false" outlineLevel="0" collapsed="false">
      <c r="A772" s="0" t="n">
        <v>767</v>
      </c>
      <c r="B772" s="38" t="n">
        <f aca="false">E772*Scorecard!$C$18+F772*Scorecard!$C$19+G772*Scorecard!$C$20+H772*Scorecard!$C$21+I772*Scorecard!$C$22+J772*Scorecard!$C$23</f>
        <v>3.91166678528178</v>
      </c>
      <c r="C772" s="38" t="n">
        <f aca="false">E772*Scorecard!$D$18+F772*Scorecard!$D$19+G772*Scorecard!$D$20+H772*Scorecard!$D$21+I772*Scorecard!$D$22+J772*Scorecard!$D$23</f>
        <v>2.8883792886743</v>
      </c>
      <c r="D772" s="0" t="str">
        <f aca="false">IF(AND(B772&gt;=C772,B772&gt;=K772),"A. Distribution",IF(C772&gt;=K772,"B. Manufacturing","C. Prof. services"))</f>
        <v>A. Distribution</v>
      </c>
      <c r="E772" s="39" t="n">
        <v>0.050140180090239</v>
      </c>
      <c r="F772" s="39" t="n">
        <v>0.101299914866872</v>
      </c>
      <c r="G772" s="39" t="n">
        <v>0.00865356366500432</v>
      </c>
      <c r="H772" s="39" t="n">
        <v>0.229715481770976</v>
      </c>
      <c r="I772" s="39" t="n">
        <v>0.52976308039338</v>
      </c>
      <c r="J772" s="39" t="n">
        <v>0.0804277792135288</v>
      </c>
      <c r="K772" s="38" t="n">
        <f aca="false">E772*Scorecard!$E$18+F772*Scorecard!$E$19+G772*Scorecard!$E$20+H772*Scorecard!$E$21+I772*Scorecard!$E$22+J772*Scorecard!$E$23</f>
        <v>2.93595754755101</v>
      </c>
      <c r="M772" s="0" t="str">
        <f aca="false">IF(AND(T772&gt;=U772,T772&gt;=V772),"A. Distribution",IF(U772&gt;=V772,"B. Manufacturing","C. Prof. services"))</f>
        <v>A. Distribution</v>
      </c>
      <c r="N772" s="39" t="n">
        <v>0.324426543777761</v>
      </c>
      <c r="O772" s="39" t="n">
        <v>0.120061446272277</v>
      </c>
      <c r="P772" s="39" t="n">
        <v>0.227535496860185</v>
      </c>
      <c r="Q772" s="39" t="n">
        <v>0.117852075519513</v>
      </c>
      <c r="R772" s="39" t="n">
        <v>0.120572772171517</v>
      </c>
      <c r="S772" s="39" t="n">
        <v>0.089551665398747</v>
      </c>
      <c r="T772" s="38" t="n">
        <f aca="false">N772*Scorecard!$C$18+O772*Scorecard!$C$19+P772*Scorecard!$C$20+Q772*Scorecard!$C$21+R772*Scorecard!$C$22+S772*Scorecard!$C$23</f>
        <v>3.90221232527963</v>
      </c>
      <c r="U772" s="38" t="n">
        <f aca="false">N772*Scorecard!$D$18+O772*Scorecard!$D$19+P772*Scorecard!$D$20+Q772*Scorecard!$D$21+R772*Scorecard!$D$22+S772*Scorecard!$D$23</f>
        <v>2.87046088008504</v>
      </c>
      <c r="V772" s="38" t="n">
        <f aca="false">N772*Scorecard!$E$18+O772*Scorecard!$E$19+P772*Scorecard!$E$20+Q772*Scorecard!$E$21+R772*Scorecard!$E$22+S772*Scorecard!$E$23</f>
        <v>3.49953373642394</v>
      </c>
    </row>
    <row r="773" customFormat="false" ht="15" hidden="false" customHeight="false" outlineLevel="0" collapsed="false">
      <c r="A773" s="0" t="n">
        <v>768</v>
      </c>
      <c r="B773" s="38" t="n">
        <f aca="false">E773*Scorecard!$C$18+F773*Scorecard!$C$19+G773*Scorecard!$C$20+H773*Scorecard!$C$21+I773*Scorecard!$C$22+J773*Scorecard!$C$23</f>
        <v>3.79875681220049</v>
      </c>
      <c r="C773" s="38" t="n">
        <f aca="false">E773*Scorecard!$D$18+F773*Scorecard!$D$19+G773*Scorecard!$D$20+H773*Scorecard!$D$21+I773*Scorecard!$D$22+J773*Scorecard!$D$23</f>
        <v>2.92740423371632</v>
      </c>
      <c r="D773" s="0" t="str">
        <f aca="false">IF(AND(B773&gt;=C773,B773&gt;=K773),"A. Distribution",IF(C773&gt;=K773,"B. Manufacturing","C. Prof. services"))</f>
        <v>A. Distribution</v>
      </c>
      <c r="E773" s="39" t="n">
        <v>0.00334984627042397</v>
      </c>
      <c r="F773" s="39" t="n">
        <v>0.100759486082298</v>
      </c>
      <c r="G773" s="39" t="n">
        <v>0.00330476547615345</v>
      </c>
      <c r="H773" s="39" t="n">
        <v>0.0490932243764377</v>
      </c>
      <c r="I773" s="39" t="n">
        <v>0.695270726892723</v>
      </c>
      <c r="J773" s="39" t="n">
        <v>0.148221950901965</v>
      </c>
      <c r="K773" s="38" t="n">
        <f aca="false">E773*Scorecard!$E$18+F773*Scorecard!$E$19+G773*Scorecard!$E$20+H773*Scorecard!$E$21+I773*Scorecard!$E$22+J773*Scorecard!$E$23</f>
        <v>2.77712141576829</v>
      </c>
      <c r="M773" s="0" t="str">
        <f aca="false">IF(AND(T773&gt;=U773,T773&gt;=V773),"A. Distribution",IF(U773&gt;=V773,"B. Manufacturing","C. Prof. services"))</f>
        <v>C. Prof. services</v>
      </c>
      <c r="N773" s="39" t="n">
        <v>0.185334928245189</v>
      </c>
      <c r="O773" s="39" t="n">
        <v>0.107402364875198</v>
      </c>
      <c r="P773" s="39" t="n">
        <v>0.211991024581783</v>
      </c>
      <c r="Q773" s="39" t="n">
        <v>0.112229142988904</v>
      </c>
      <c r="R773" s="39" t="n">
        <v>0.109377369408508</v>
      </c>
      <c r="S773" s="39" t="n">
        <v>0.273665169900419</v>
      </c>
      <c r="T773" s="38" t="n">
        <f aca="false">N773*Scorecard!$C$18+O773*Scorecard!$C$19+P773*Scorecard!$C$20+Q773*Scorecard!$C$21+R773*Scorecard!$C$22+S773*Scorecard!$C$23</f>
        <v>3.53309932596125</v>
      </c>
      <c r="U773" s="38" t="n">
        <f aca="false">N773*Scorecard!$D$18+O773*Scorecard!$D$19+P773*Scorecard!$D$20+Q773*Scorecard!$D$21+R773*Scorecard!$D$22+S773*Scorecard!$D$23</f>
        <v>2.47369889020692</v>
      </c>
      <c r="V773" s="38" t="n">
        <f aca="false">N773*Scorecard!$E$18+O773*Scorecard!$E$19+P773*Scorecard!$E$20+Q773*Scorecard!$E$21+R773*Scorecard!$E$22+S773*Scorecard!$E$23</f>
        <v>3.69676769402835</v>
      </c>
    </row>
    <row r="774" customFormat="false" ht="15" hidden="false" customHeight="false" outlineLevel="0" collapsed="false">
      <c r="A774" s="0" t="n">
        <v>769</v>
      </c>
      <c r="B774" s="38" t="n">
        <f aca="false">E774*Scorecard!$C$18+F774*Scorecard!$C$19+G774*Scorecard!$C$20+H774*Scorecard!$C$21+I774*Scorecard!$C$22+J774*Scorecard!$C$23</f>
        <v>3.73054136467206</v>
      </c>
      <c r="C774" s="38" t="n">
        <f aca="false">E774*Scorecard!$D$18+F774*Scorecard!$D$19+G774*Scorecard!$D$20+H774*Scorecard!$D$21+I774*Scorecard!$D$22+J774*Scorecard!$D$23</f>
        <v>2.5562018577758</v>
      </c>
      <c r="D774" s="0" t="str">
        <f aca="false">IF(AND(B774&gt;=C774,B774&gt;=K774),"A. Distribution",IF(C774&gt;=K774,"B. Manufacturing","C. Prof. services"))</f>
        <v>A. Distribution</v>
      </c>
      <c r="E774" s="39" t="n">
        <v>0.11850073737621</v>
      </c>
      <c r="F774" s="39" t="n">
        <v>0.143797874035981</v>
      </c>
      <c r="G774" s="39" t="n">
        <v>0.0418167614830342</v>
      </c>
      <c r="H774" s="39" t="n">
        <v>0.336938667668506</v>
      </c>
      <c r="I774" s="39" t="n">
        <v>0.17522739516616</v>
      </c>
      <c r="J774" s="39" t="n">
        <v>0.183718564270109</v>
      </c>
      <c r="K774" s="38" t="n">
        <f aca="false">E774*Scorecard!$E$18+F774*Scorecard!$E$19+G774*Scorecard!$E$20+H774*Scorecard!$E$21+I774*Scorecard!$E$22+J774*Scorecard!$E$23</f>
        <v>3.458454349303</v>
      </c>
      <c r="M774" s="0" t="str">
        <f aca="false">IF(AND(T774&gt;=U774,T774&gt;=V774),"A. Distribution",IF(U774&gt;=V774,"B. Manufacturing","C. Prof. services"))</f>
        <v>A. Distribution</v>
      </c>
      <c r="N774" s="39" t="n">
        <v>0.0946753406843584</v>
      </c>
      <c r="O774" s="39" t="n">
        <v>0.165803656732275</v>
      </c>
      <c r="P774" s="39" t="n">
        <v>0.19960665449385</v>
      </c>
      <c r="Q774" s="39" t="n">
        <v>0.290710933532669</v>
      </c>
      <c r="R774" s="39" t="n">
        <v>0.0737253749358764</v>
      </c>
      <c r="S774" s="39" t="n">
        <v>0.175478039620971</v>
      </c>
      <c r="T774" s="38" t="n">
        <f aca="false">N774*Scorecard!$C$18+O774*Scorecard!$C$19+P774*Scorecard!$C$20+Q774*Scorecard!$C$21+R774*Scorecard!$C$22+S774*Scorecard!$C$23</f>
        <v>3.77592212633477</v>
      </c>
      <c r="U774" s="38" t="n">
        <f aca="false">N774*Scorecard!$D$18+O774*Scorecard!$D$19+P774*Scorecard!$D$20+Q774*Scorecard!$D$21+R774*Scorecard!$D$22+S774*Scorecard!$D$23</f>
        <v>2.37493091583368</v>
      </c>
      <c r="V774" s="38" t="n">
        <f aca="false">N774*Scorecard!$E$18+O774*Scorecard!$E$19+P774*Scorecard!$E$20+Q774*Scorecard!$E$21+R774*Scorecard!$E$22+S774*Scorecard!$E$23</f>
        <v>3.62423406598377</v>
      </c>
    </row>
    <row r="775" customFormat="false" ht="15" hidden="false" customHeight="false" outlineLevel="0" collapsed="false">
      <c r="A775" s="0" t="n">
        <v>770</v>
      </c>
      <c r="B775" s="38" t="n">
        <f aca="false">E775*Scorecard!$C$18+F775*Scorecard!$C$19+G775*Scorecard!$C$20+H775*Scorecard!$C$21+I775*Scorecard!$C$22+J775*Scorecard!$C$23</f>
        <v>4.18559185850118</v>
      </c>
      <c r="C775" s="38" t="n">
        <f aca="false">E775*Scorecard!$D$18+F775*Scorecard!$D$19+G775*Scorecard!$D$20+H775*Scorecard!$D$21+I775*Scorecard!$D$22+J775*Scorecard!$D$23</f>
        <v>2.75282984140048</v>
      </c>
      <c r="D775" s="0" t="str">
        <f aca="false">IF(AND(B775&gt;=C775,B775&gt;=K775),"A. Distribution",IF(C775&gt;=K775,"B. Manufacturing","C. Prof. services"))</f>
        <v>A. Distribution</v>
      </c>
      <c r="E775" s="39" t="n">
        <v>0.152930620425639</v>
      </c>
      <c r="F775" s="39" t="n">
        <v>0.250760252204482</v>
      </c>
      <c r="G775" s="39" t="n">
        <v>0.109960844881225</v>
      </c>
      <c r="H775" s="39" t="n">
        <v>0.307158888114754</v>
      </c>
      <c r="I775" s="39" t="n">
        <v>0.169292625655785</v>
      </c>
      <c r="J775" s="39" t="n">
        <v>0.00989676871811498</v>
      </c>
      <c r="K775" s="38" t="n">
        <f aca="false">E775*Scorecard!$E$18+F775*Scorecard!$E$19+G775*Scorecard!$E$20+H775*Scorecard!$E$21+I775*Scorecard!$E$22+J775*Scorecard!$E$23</f>
        <v>3.24609547688714</v>
      </c>
      <c r="M775" s="0" t="str">
        <f aca="false">IF(AND(T775&gt;=U775,T775&gt;=V775),"A. Distribution",IF(U775&gt;=V775,"B. Manufacturing","C. Prof. services"))</f>
        <v>A. Distribution</v>
      </c>
      <c r="N775" s="39" t="n">
        <v>0.162179755130817</v>
      </c>
      <c r="O775" s="39" t="n">
        <v>0.164684468250048</v>
      </c>
      <c r="P775" s="39" t="n">
        <v>0.226302252047888</v>
      </c>
      <c r="Q775" s="39" t="n">
        <v>0.249776283510989</v>
      </c>
      <c r="R775" s="39" t="n">
        <v>0.0999648301286387</v>
      </c>
      <c r="S775" s="39" t="n">
        <v>0.0970924109316198</v>
      </c>
      <c r="T775" s="38" t="n">
        <f aca="false">N775*Scorecard!$C$18+O775*Scorecard!$C$19+P775*Scorecard!$C$20+Q775*Scorecard!$C$21+R775*Scorecard!$C$22+S775*Scorecard!$C$23</f>
        <v>3.93056521627024</v>
      </c>
      <c r="U775" s="38" t="n">
        <f aca="false">N775*Scorecard!$D$18+O775*Scorecard!$D$19+P775*Scorecard!$D$20+Q775*Scorecard!$D$21+R775*Scorecard!$D$22+S775*Scorecard!$D$23</f>
        <v>2.57313535222001</v>
      </c>
      <c r="V775" s="38" t="n">
        <f aca="false">N775*Scorecard!$E$18+O775*Scorecard!$E$19+P775*Scorecard!$E$20+Q775*Scorecard!$E$21+R775*Scorecard!$E$22+S775*Scorecard!$E$23</f>
        <v>3.52228237648092</v>
      </c>
    </row>
    <row r="776" customFormat="false" ht="15" hidden="false" customHeight="false" outlineLevel="0" collapsed="false">
      <c r="A776" s="0" t="n">
        <v>771</v>
      </c>
      <c r="B776" s="38" t="n">
        <f aca="false">E776*Scorecard!$C$18+F776*Scorecard!$C$19+G776*Scorecard!$C$20+H776*Scorecard!$C$21+I776*Scorecard!$C$22+J776*Scorecard!$C$23</f>
        <v>3.84312698447615</v>
      </c>
      <c r="C776" s="38" t="n">
        <f aca="false">E776*Scorecard!$D$18+F776*Scorecard!$D$19+G776*Scorecard!$D$20+H776*Scorecard!$D$21+I776*Scorecard!$D$22+J776*Scorecard!$D$23</f>
        <v>2.60937189577801</v>
      </c>
      <c r="D776" s="0" t="str">
        <f aca="false">IF(AND(B776&gt;=C776,B776&gt;=K776),"A. Distribution",IF(C776&gt;=K776,"B. Manufacturing","C. Prof. services"))</f>
        <v>A. Distribution</v>
      </c>
      <c r="E776" s="39" t="n">
        <v>0.0627068469375458</v>
      </c>
      <c r="F776" s="39" t="n">
        <v>0.318295941367579</v>
      </c>
      <c r="G776" s="39" t="n">
        <v>0.0222233172402368</v>
      </c>
      <c r="H776" s="39" t="n">
        <v>0.0539914884065965</v>
      </c>
      <c r="I776" s="39" t="n">
        <v>0.310624000038138</v>
      </c>
      <c r="J776" s="39" t="n">
        <v>0.232158406009904</v>
      </c>
      <c r="K776" s="38" t="n">
        <f aca="false">E776*Scorecard!$E$18+F776*Scorecard!$E$19+G776*Scorecard!$E$20+H776*Scorecard!$E$21+I776*Scorecard!$E$22+J776*Scorecard!$E$23</f>
        <v>3.16885273069587</v>
      </c>
      <c r="M776" s="0" t="str">
        <f aca="false">IF(AND(T776&gt;=U776,T776&gt;=V776),"A. Distribution",IF(U776&gt;=V776,"B. Manufacturing","C. Prof. services"))</f>
        <v>A. Distribution</v>
      </c>
      <c r="N776" s="39" t="n">
        <v>0.223988402534597</v>
      </c>
      <c r="O776" s="39" t="n">
        <v>0.219532212470551</v>
      </c>
      <c r="P776" s="39" t="n">
        <v>0.290611522164624</v>
      </c>
      <c r="Q776" s="39" t="n">
        <v>0.107015041951374</v>
      </c>
      <c r="R776" s="39" t="n">
        <v>0.128243270505473</v>
      </c>
      <c r="S776" s="39" t="n">
        <v>0.0306095503733804</v>
      </c>
      <c r="T776" s="38" t="n">
        <f aca="false">N776*Scorecard!$C$18+O776*Scorecard!$C$19+P776*Scorecard!$C$20+Q776*Scorecard!$C$21+R776*Scorecard!$C$22+S776*Scorecard!$C$23</f>
        <v>4.1287988723857</v>
      </c>
      <c r="U776" s="38" t="n">
        <f aca="false">N776*Scorecard!$D$18+O776*Scorecard!$D$19+P776*Scorecard!$D$20+Q776*Scorecard!$D$21+R776*Scorecard!$D$22+S776*Scorecard!$D$23</f>
        <v>2.75647391182537</v>
      </c>
      <c r="V776" s="38" t="n">
        <f aca="false">N776*Scorecard!$E$18+O776*Scorecard!$E$19+P776*Scorecard!$E$20+Q776*Scorecard!$E$21+R776*Scorecard!$E$22+S776*Scorecard!$E$23</f>
        <v>3.39213271075025</v>
      </c>
    </row>
    <row r="777" customFormat="false" ht="15" hidden="false" customHeight="false" outlineLevel="0" collapsed="false">
      <c r="A777" s="0" t="n">
        <v>772</v>
      </c>
      <c r="B777" s="38" t="n">
        <f aca="false">E777*Scorecard!$C$18+F777*Scorecard!$C$19+G777*Scorecard!$C$20+H777*Scorecard!$C$21+I777*Scorecard!$C$22+J777*Scorecard!$C$23</f>
        <v>3.40235099008028</v>
      </c>
      <c r="C777" s="38" t="n">
        <f aca="false">E777*Scorecard!$D$18+F777*Scorecard!$D$19+G777*Scorecard!$D$20+H777*Scorecard!$D$21+I777*Scorecard!$D$22+J777*Scorecard!$D$23</f>
        <v>2.60598000309516</v>
      </c>
      <c r="D777" s="0" t="str">
        <f aca="false">IF(AND(B777&gt;=C777,B777&gt;=K777),"A. Distribution",IF(C777&gt;=K777,"B. Manufacturing","C. Prof. services"))</f>
        <v>C. Prof. services</v>
      </c>
      <c r="E777" s="39" t="n">
        <v>0.326375620697175</v>
      </c>
      <c r="F777" s="39" t="n">
        <v>0.0931475677855532</v>
      </c>
      <c r="G777" s="39" t="n">
        <v>0.0986700958692788</v>
      </c>
      <c r="H777" s="39" t="n">
        <v>0.145321142168843</v>
      </c>
      <c r="I777" s="39" t="n">
        <v>0.0120183262962673</v>
      </c>
      <c r="J777" s="39" t="n">
        <v>0.324467247182883</v>
      </c>
      <c r="K777" s="38" t="n">
        <f aca="false">E777*Scorecard!$E$18+F777*Scorecard!$E$19+G777*Scorecard!$E$20+H777*Scorecard!$E$21+I777*Scorecard!$E$22+J777*Scorecard!$E$23</f>
        <v>3.82013355302867</v>
      </c>
      <c r="M777" s="0" t="str">
        <f aca="false">IF(AND(T777&gt;=U777,T777&gt;=V777),"A. Distribution",IF(U777&gt;=V777,"B. Manufacturing","C. Prof. services"))</f>
        <v>A. Distribution</v>
      </c>
      <c r="N777" s="39" t="n">
        <v>0.182851165903722</v>
      </c>
      <c r="O777" s="39" t="n">
        <v>0.149907980373212</v>
      </c>
      <c r="P777" s="39" t="n">
        <v>0.258458830442941</v>
      </c>
      <c r="Q777" s="39" t="n">
        <v>0.058512100409793</v>
      </c>
      <c r="R777" s="39" t="n">
        <v>0.247360419937208</v>
      </c>
      <c r="S777" s="39" t="n">
        <v>0.102909502933125</v>
      </c>
      <c r="T777" s="38" t="n">
        <f aca="false">N777*Scorecard!$C$18+O777*Scorecard!$C$19+P777*Scorecard!$C$20+Q777*Scorecard!$C$21+R777*Scorecard!$C$22+S777*Scorecard!$C$23</f>
        <v>3.92310373151354</v>
      </c>
      <c r="U777" s="38" t="n">
        <f aca="false">N777*Scorecard!$D$18+O777*Scorecard!$D$19+P777*Scorecard!$D$20+Q777*Scorecard!$D$21+R777*Scorecard!$D$22+S777*Scorecard!$D$23</f>
        <v>2.74484438810014</v>
      </c>
      <c r="V777" s="38" t="n">
        <f aca="false">N777*Scorecard!$E$18+O777*Scorecard!$E$19+P777*Scorecard!$E$20+Q777*Scorecard!$E$21+R777*Scorecard!$E$22+S777*Scorecard!$E$23</f>
        <v>3.34941295614048</v>
      </c>
    </row>
    <row r="778" customFormat="false" ht="15" hidden="false" customHeight="false" outlineLevel="0" collapsed="false">
      <c r="A778" s="0" t="n">
        <v>773</v>
      </c>
      <c r="B778" s="38" t="n">
        <f aca="false">E778*Scorecard!$C$18+F778*Scorecard!$C$19+G778*Scorecard!$C$20+H778*Scorecard!$C$21+I778*Scorecard!$C$22+J778*Scorecard!$C$23</f>
        <v>3.49472636324104</v>
      </c>
      <c r="C778" s="38" t="n">
        <f aca="false">E778*Scorecard!$D$18+F778*Scorecard!$D$19+G778*Scorecard!$D$20+H778*Scorecard!$D$21+I778*Scorecard!$D$22+J778*Scorecard!$D$23</f>
        <v>2.30970843847329</v>
      </c>
      <c r="D778" s="0" t="str">
        <f aca="false">IF(AND(B778&gt;=C778,B778&gt;=K778),"A. Distribution",IF(C778&gt;=K778,"B. Manufacturing","C. Prof. services"))</f>
        <v>C. Prof. services</v>
      </c>
      <c r="E778" s="39" t="n">
        <v>0.0997157136322663</v>
      </c>
      <c r="F778" s="39" t="n">
        <v>0.266287191079263</v>
      </c>
      <c r="G778" s="39" t="n">
        <v>0.11388647493991</v>
      </c>
      <c r="H778" s="39" t="n">
        <v>0.0283193323340663</v>
      </c>
      <c r="I778" s="39" t="n">
        <v>0.111539512808878</v>
      </c>
      <c r="J778" s="39" t="n">
        <v>0.380251775205617</v>
      </c>
      <c r="K778" s="38" t="n">
        <f aca="false">E778*Scorecard!$E$18+F778*Scorecard!$E$19+G778*Scorecard!$E$20+H778*Scorecard!$E$21+I778*Scorecard!$E$22+J778*Scorecard!$E$23</f>
        <v>3.62677803769914</v>
      </c>
      <c r="M778" s="0" t="str">
        <f aca="false">IF(AND(T778&gt;=U778,T778&gt;=V778),"A. Distribution",IF(U778&gt;=V778,"B. Manufacturing","C. Prof. services"))</f>
        <v>A. Distribution</v>
      </c>
      <c r="N778" s="39" t="n">
        <v>0.0675727174555485</v>
      </c>
      <c r="O778" s="39" t="n">
        <v>0.28816715792198</v>
      </c>
      <c r="P778" s="39" t="n">
        <v>0.169958435119511</v>
      </c>
      <c r="Q778" s="39" t="n">
        <v>0.140790096540232</v>
      </c>
      <c r="R778" s="39" t="n">
        <v>0.129295619670908</v>
      </c>
      <c r="S778" s="39" t="n">
        <v>0.20421597329182</v>
      </c>
      <c r="T778" s="38" t="n">
        <f aca="false">N778*Scorecard!$C$18+O778*Scorecard!$C$19+P778*Scorecard!$C$20+Q778*Scorecard!$C$21+R778*Scorecard!$C$22+S778*Scorecard!$C$23</f>
        <v>3.85913980047046</v>
      </c>
      <c r="U778" s="38" t="n">
        <f aca="false">N778*Scorecard!$D$18+O778*Scorecard!$D$19+P778*Scorecard!$D$20+Q778*Scorecard!$D$21+R778*Scorecard!$D$22+S778*Scorecard!$D$23</f>
        <v>2.40082920218607</v>
      </c>
      <c r="V778" s="38" t="n">
        <f aca="false">N778*Scorecard!$E$18+O778*Scorecard!$E$19+P778*Scorecard!$E$20+Q778*Scorecard!$E$21+R778*Scorecard!$E$22+S778*Scorecard!$E$23</f>
        <v>3.46229535735744</v>
      </c>
    </row>
    <row r="779" customFormat="false" ht="15" hidden="false" customHeight="false" outlineLevel="0" collapsed="false">
      <c r="A779" s="0" t="n">
        <v>774</v>
      </c>
      <c r="B779" s="38" t="n">
        <f aca="false">E779*Scorecard!$C$18+F779*Scorecard!$C$19+G779*Scorecard!$C$20+H779*Scorecard!$C$21+I779*Scorecard!$C$22+J779*Scorecard!$C$23</f>
        <v>4.65161364424369</v>
      </c>
      <c r="C779" s="38" t="n">
        <f aca="false">E779*Scorecard!$D$18+F779*Scorecard!$D$19+G779*Scorecard!$D$20+H779*Scorecard!$D$21+I779*Scorecard!$D$22+J779*Scorecard!$D$23</f>
        <v>2.52042074014414</v>
      </c>
      <c r="D779" s="0" t="str">
        <f aca="false">IF(AND(B779&gt;=C779,B779&gt;=K779),"A. Distribution",IF(C779&gt;=K779,"B. Manufacturing","C. Prof. services"))</f>
        <v>A. Distribution</v>
      </c>
      <c r="E779" s="39" t="n">
        <v>0.0582813968637597</v>
      </c>
      <c r="F779" s="39" t="n">
        <v>0.757461070684282</v>
      </c>
      <c r="G779" s="39" t="n">
        <v>0.103757961039604</v>
      </c>
      <c r="H779" s="39" t="n">
        <v>0.0142355522909696</v>
      </c>
      <c r="I779" s="39" t="n">
        <v>0.0164468630640072</v>
      </c>
      <c r="J779" s="39" t="n">
        <v>0.0498171560573774</v>
      </c>
      <c r="K779" s="38" t="n">
        <f aca="false">E779*Scorecard!$E$18+F779*Scorecard!$E$19+G779*Scorecard!$E$20+H779*Scorecard!$E$21+I779*Scorecard!$E$22+J779*Scorecard!$E$23</f>
        <v>3.0582171413276</v>
      </c>
      <c r="M779" s="0" t="str">
        <f aca="false">IF(AND(T779&gt;=U779,T779&gt;=V779),"A. Distribution",IF(U779&gt;=V779,"B. Manufacturing","C. Prof. services"))</f>
        <v>A. Distribution</v>
      </c>
      <c r="N779" s="39" t="n">
        <v>0.127147662302017</v>
      </c>
      <c r="O779" s="39" t="n">
        <v>0.27215308205591</v>
      </c>
      <c r="P779" s="39" t="n">
        <v>0.281756836761283</v>
      </c>
      <c r="Q779" s="39" t="n">
        <v>0.166045385577569</v>
      </c>
      <c r="R779" s="39" t="n">
        <v>0.130034002120532</v>
      </c>
      <c r="S779" s="39" t="n">
        <v>0.0228630311826897</v>
      </c>
      <c r="T779" s="38" t="n">
        <f aca="false">N779*Scorecard!$C$18+O779*Scorecard!$C$19+P779*Scorecard!$C$20+Q779*Scorecard!$C$21+R779*Scorecard!$C$22+S779*Scorecard!$C$23</f>
        <v>4.1983272566042</v>
      </c>
      <c r="U779" s="38" t="n">
        <f aca="false">N779*Scorecard!$D$18+O779*Scorecard!$D$19+P779*Scorecard!$D$20+Q779*Scorecard!$D$21+R779*Scorecard!$D$22+S779*Scorecard!$D$23</f>
        <v>2.611926648248</v>
      </c>
      <c r="V779" s="38" t="n">
        <f aca="false">N779*Scorecard!$E$18+O779*Scorecard!$E$19+P779*Scorecard!$E$20+Q779*Scorecard!$E$21+R779*Scorecard!$E$22+S779*Scorecard!$E$23</f>
        <v>3.3514838732454</v>
      </c>
    </row>
    <row r="780" customFormat="false" ht="15" hidden="false" customHeight="false" outlineLevel="0" collapsed="false">
      <c r="A780" s="0" t="n">
        <v>775</v>
      </c>
      <c r="B780" s="38" t="n">
        <f aca="false">E780*Scorecard!$C$18+F780*Scorecard!$C$19+G780*Scorecard!$C$20+H780*Scorecard!$C$21+I780*Scorecard!$C$22+J780*Scorecard!$C$23</f>
        <v>3.77922268141021</v>
      </c>
      <c r="C780" s="38" t="n">
        <f aca="false">E780*Scorecard!$D$18+F780*Scorecard!$D$19+G780*Scorecard!$D$20+H780*Scorecard!$D$21+I780*Scorecard!$D$22+J780*Scorecard!$D$23</f>
        <v>2.58236658602998</v>
      </c>
      <c r="D780" s="0" t="str">
        <f aca="false">IF(AND(B780&gt;=C780,B780&gt;=K780),"A. Distribution",IF(C780&gt;=K780,"B. Manufacturing","C. Prof. services"))</f>
        <v>A. Distribution</v>
      </c>
      <c r="E780" s="39" t="n">
        <v>0.182934157440655</v>
      </c>
      <c r="F780" s="39" t="n">
        <v>0.205580379985259</v>
      </c>
      <c r="G780" s="39" t="n">
        <v>0.192518381061588</v>
      </c>
      <c r="H780" s="39" t="n">
        <v>0.0827169449086976</v>
      </c>
      <c r="I780" s="39" t="n">
        <v>0.134871283473406</v>
      </c>
      <c r="J780" s="39" t="n">
        <v>0.201378853130394</v>
      </c>
      <c r="K780" s="38" t="n">
        <f aca="false">E780*Scorecard!$E$18+F780*Scorecard!$E$19+G780*Scorecard!$E$20+H780*Scorecard!$E$21+I780*Scorecard!$E$22+J780*Scorecard!$E$23</f>
        <v>3.51162316786967</v>
      </c>
      <c r="M780" s="0" t="str">
        <f aca="false">IF(AND(T780&gt;=U780,T780&gt;=V780),"A. Distribution",IF(U780&gt;=V780,"B. Manufacturing","C. Prof. services"))</f>
        <v>A. Distribution</v>
      </c>
      <c r="N780" s="39" t="n">
        <v>0.175363750493338</v>
      </c>
      <c r="O780" s="39" t="n">
        <v>0.22942257337033</v>
      </c>
      <c r="P780" s="39" t="n">
        <v>0.188386010524468</v>
      </c>
      <c r="Q780" s="39" t="n">
        <v>0.0832620727513062</v>
      </c>
      <c r="R780" s="39" t="n">
        <v>0.1322020610043</v>
      </c>
      <c r="S780" s="39" t="n">
        <v>0.191363531856259</v>
      </c>
      <c r="T780" s="38" t="n">
        <f aca="false">N780*Scorecard!$C$18+O780*Scorecard!$C$19+P780*Scorecard!$C$20+Q780*Scorecard!$C$21+R780*Scorecard!$C$22+S780*Scorecard!$C$23</f>
        <v>3.82364458303401</v>
      </c>
      <c r="U780" s="38" t="n">
        <f aca="false">N780*Scorecard!$D$18+O780*Scorecard!$D$19+P780*Scorecard!$D$20+Q780*Scorecard!$D$21+R780*Scorecard!$D$22+S780*Scorecard!$D$23</f>
        <v>2.58128934209948</v>
      </c>
      <c r="V780" s="38" t="n">
        <f aca="false">N780*Scorecard!$E$18+O780*Scorecard!$E$19+P780*Scorecard!$E$20+Q780*Scorecard!$E$21+R780*Scorecard!$E$22+S780*Scorecard!$E$23</f>
        <v>3.4861698170026</v>
      </c>
    </row>
    <row r="781" customFormat="false" ht="15" hidden="false" customHeight="false" outlineLevel="0" collapsed="false">
      <c r="A781" s="0" t="n">
        <v>776</v>
      </c>
      <c r="B781" s="38" t="n">
        <f aca="false">E781*Scorecard!$C$18+F781*Scorecard!$C$19+G781*Scorecard!$C$20+H781*Scorecard!$C$21+I781*Scorecard!$C$22+J781*Scorecard!$C$23</f>
        <v>3.75113301266642</v>
      </c>
      <c r="C781" s="38" t="n">
        <f aca="false">E781*Scorecard!$D$18+F781*Scorecard!$D$19+G781*Scorecard!$D$20+H781*Scorecard!$D$21+I781*Scorecard!$D$22+J781*Scorecard!$D$23</f>
        <v>2.81418165930623</v>
      </c>
      <c r="D781" s="0" t="str">
        <f aca="false">IF(AND(B781&gt;=C781,B781&gt;=K781),"A. Distribution",IF(C781&gt;=K781,"B. Manufacturing","C. Prof. services"))</f>
        <v>A. Distribution</v>
      </c>
      <c r="E781" s="39" t="n">
        <v>0.174720740681675</v>
      </c>
      <c r="F781" s="39" t="n">
        <v>0.137326558212311</v>
      </c>
      <c r="G781" s="39" t="n">
        <v>0.0630340684802868</v>
      </c>
      <c r="H781" s="39" t="n">
        <v>0.110534669186884</v>
      </c>
      <c r="I781" s="39" t="n">
        <v>0.334256160521568</v>
      </c>
      <c r="J781" s="39" t="n">
        <v>0.180127802917275</v>
      </c>
      <c r="K781" s="38" t="n">
        <f aca="false">E781*Scorecard!$E$18+F781*Scorecard!$E$19+G781*Scorecard!$E$20+H781*Scorecard!$E$21+I781*Scorecard!$E$22+J781*Scorecard!$E$23</f>
        <v>3.24528292329585</v>
      </c>
      <c r="M781" s="0" t="str">
        <f aca="false">IF(AND(T781&gt;=U781,T781&gt;=V781),"A. Distribution",IF(U781&gt;=V781,"B. Manufacturing","C. Prof. services"))</f>
        <v>A. Distribution</v>
      </c>
      <c r="N781" s="39" t="n">
        <v>0.172330177307387</v>
      </c>
      <c r="O781" s="39" t="n">
        <v>0.250121188361275</v>
      </c>
      <c r="P781" s="39" t="n">
        <v>0.264706948367636</v>
      </c>
      <c r="Q781" s="39" t="n">
        <v>0.080343409376744</v>
      </c>
      <c r="R781" s="39" t="n">
        <v>0.144062781267871</v>
      </c>
      <c r="S781" s="39" t="n">
        <v>0.0884354953190874</v>
      </c>
      <c r="T781" s="38" t="n">
        <f aca="false">N781*Scorecard!$C$18+O781*Scorecard!$C$19+P781*Scorecard!$C$20+Q781*Scorecard!$C$21+R781*Scorecard!$C$22+S781*Scorecard!$C$23</f>
        <v>4.05075731458886</v>
      </c>
      <c r="U781" s="38" t="n">
        <f aca="false">N781*Scorecard!$D$18+O781*Scorecard!$D$19+P781*Scorecard!$D$20+Q781*Scorecard!$D$21+R781*Scorecard!$D$22+S781*Scorecard!$D$23</f>
        <v>2.65254283318124</v>
      </c>
      <c r="V781" s="38" t="n">
        <f aca="false">N781*Scorecard!$E$18+O781*Scorecard!$E$19+P781*Scorecard!$E$20+Q781*Scorecard!$E$21+R781*Scorecard!$E$22+S781*Scorecard!$E$23</f>
        <v>3.39266544879502</v>
      </c>
    </row>
    <row r="782" customFormat="false" ht="15" hidden="false" customHeight="false" outlineLevel="0" collapsed="false">
      <c r="A782" s="0" t="n">
        <v>777</v>
      </c>
      <c r="B782" s="38" t="n">
        <f aca="false">E782*Scorecard!$C$18+F782*Scorecard!$C$19+G782*Scorecard!$C$20+H782*Scorecard!$C$21+I782*Scorecard!$C$22+J782*Scorecard!$C$23</f>
        <v>3.80822599669379</v>
      </c>
      <c r="C782" s="38" t="n">
        <f aca="false">E782*Scorecard!$D$18+F782*Scorecard!$D$19+G782*Scorecard!$D$20+H782*Scorecard!$D$21+I782*Scorecard!$D$22+J782*Scorecard!$D$23</f>
        <v>2.28537807609486</v>
      </c>
      <c r="D782" s="0" t="str">
        <f aca="false">IF(AND(B782&gt;=C782,B782&gt;=K782),"A. Distribution",IF(C782&gt;=K782,"B. Manufacturing","C. Prof. services"))</f>
        <v>A. Distribution</v>
      </c>
      <c r="E782" s="39" t="n">
        <v>0.041853858644506</v>
      </c>
      <c r="F782" s="39" t="n">
        <v>0.0502932161512522</v>
      </c>
      <c r="G782" s="39" t="n">
        <v>0.2963104884995</v>
      </c>
      <c r="H782" s="39" t="n">
        <v>0.448402564090233</v>
      </c>
      <c r="I782" s="39" t="n">
        <v>0.0679442381882373</v>
      </c>
      <c r="J782" s="39" t="n">
        <v>0.0951956344262709</v>
      </c>
      <c r="K782" s="38" t="n">
        <f aca="false">E782*Scorecard!$E$18+F782*Scorecard!$E$19+G782*Scorecard!$E$20+H782*Scorecard!$E$21+I782*Scorecard!$E$22+J782*Scorecard!$E$23</f>
        <v>3.70664517413639</v>
      </c>
      <c r="M782" s="0" t="str">
        <f aca="false">IF(AND(T782&gt;=U782,T782&gt;=V782),"A. Distribution",IF(U782&gt;=V782,"B. Manufacturing","C. Prof. services"))</f>
        <v>A. Distribution</v>
      </c>
      <c r="N782" s="39" t="n">
        <v>0.148258910566755</v>
      </c>
      <c r="O782" s="39" t="n">
        <v>0.236829007870743</v>
      </c>
      <c r="P782" s="39" t="n">
        <v>0.0869260779728815</v>
      </c>
      <c r="Q782" s="39" t="n">
        <v>0.191981014653007</v>
      </c>
      <c r="R782" s="39" t="n">
        <v>0.144202536552998</v>
      </c>
      <c r="S782" s="39" t="n">
        <v>0.191802452383616</v>
      </c>
      <c r="T782" s="38" t="n">
        <f aca="false">N782*Scorecard!$C$18+O782*Scorecard!$C$19+P782*Scorecard!$C$20+Q782*Scorecard!$C$21+R782*Scorecard!$C$22+S782*Scorecard!$C$23</f>
        <v>3.82063480679232</v>
      </c>
      <c r="U782" s="38" t="n">
        <f aca="false">N782*Scorecard!$D$18+O782*Scorecard!$D$19+P782*Scorecard!$D$20+Q782*Scorecard!$D$21+R782*Scorecard!$D$22+S782*Scorecard!$D$23</f>
        <v>2.57792769140131</v>
      </c>
      <c r="V782" s="38" t="n">
        <f aca="false">N782*Scorecard!$E$18+O782*Scorecard!$E$19+P782*Scorecard!$E$20+Q782*Scorecard!$E$21+R782*Scorecard!$E$22+S782*Scorecard!$E$23</f>
        <v>3.43552738280785</v>
      </c>
    </row>
    <row r="783" customFormat="false" ht="15" hidden="false" customHeight="false" outlineLevel="0" collapsed="false">
      <c r="A783" s="0" t="n">
        <v>778</v>
      </c>
      <c r="B783" s="38" t="n">
        <f aca="false">E783*Scorecard!$C$18+F783*Scorecard!$C$19+G783*Scorecard!$C$20+H783*Scorecard!$C$21+I783*Scorecard!$C$22+J783*Scorecard!$C$23</f>
        <v>3.72727537991782</v>
      </c>
      <c r="C783" s="38" t="n">
        <f aca="false">E783*Scorecard!$D$18+F783*Scorecard!$D$19+G783*Scorecard!$D$20+H783*Scorecard!$D$21+I783*Scorecard!$D$22+J783*Scorecard!$D$23</f>
        <v>2.29371335944512</v>
      </c>
      <c r="D783" s="0" t="str">
        <f aca="false">IF(AND(B783&gt;=C783,B783&gt;=K783),"A. Distribution",IF(C783&gt;=K783,"B. Manufacturing","C. Prof. services"))</f>
        <v>A. Distribution</v>
      </c>
      <c r="E783" s="39" t="n">
        <v>0.000667047002075279</v>
      </c>
      <c r="F783" s="39" t="n">
        <v>0.0161857324556481</v>
      </c>
      <c r="G783" s="39" t="n">
        <v>0.170221276351786</v>
      </c>
      <c r="H783" s="39" t="n">
        <v>0.568108779025157</v>
      </c>
      <c r="I783" s="39" t="n">
        <v>0.130995793575763</v>
      </c>
      <c r="J783" s="39" t="n">
        <v>0.113821371589571</v>
      </c>
      <c r="K783" s="38" t="n">
        <f aca="false">E783*Scorecard!$E$18+F783*Scorecard!$E$19+G783*Scorecard!$E$20+H783*Scorecard!$E$21+I783*Scorecard!$E$22+J783*Scorecard!$E$23</f>
        <v>3.6330831158225</v>
      </c>
      <c r="M783" s="0" t="str">
        <f aca="false">IF(AND(T783&gt;=U783,T783&gt;=V783),"A. Distribution",IF(U783&gt;=V783,"B. Manufacturing","C. Prof. services"))</f>
        <v>A. Distribution</v>
      </c>
      <c r="N783" s="39" t="n">
        <v>0.0889106143803468</v>
      </c>
      <c r="O783" s="39" t="n">
        <v>0.0674379168968188</v>
      </c>
      <c r="P783" s="39" t="n">
        <v>0.595110281348443</v>
      </c>
      <c r="Q783" s="39" t="n">
        <v>0.0787456489991234</v>
      </c>
      <c r="R783" s="39" t="n">
        <v>0.108529587576057</v>
      </c>
      <c r="S783" s="39" t="n">
        <v>0.0612659507992108</v>
      </c>
      <c r="T783" s="38" t="n">
        <f aca="false">N783*Scorecard!$C$18+O783*Scorecard!$C$19+P783*Scorecard!$C$20+Q783*Scorecard!$C$21+R783*Scorecard!$C$22+S783*Scorecard!$C$23</f>
        <v>3.92928277919884</v>
      </c>
      <c r="U783" s="38" t="n">
        <f aca="false">N783*Scorecard!$D$18+O783*Scorecard!$D$19+P783*Scorecard!$D$20+Q783*Scorecard!$D$21+R783*Scorecard!$D$22+S783*Scorecard!$D$23</f>
        <v>2.35270991538043</v>
      </c>
      <c r="V783" s="38" t="n">
        <f aca="false">N783*Scorecard!$E$18+O783*Scorecard!$E$19+P783*Scorecard!$E$20+Q783*Scorecard!$E$21+R783*Scorecard!$E$22+S783*Scorecard!$E$23</f>
        <v>3.69891910342116</v>
      </c>
    </row>
    <row r="784" customFormat="false" ht="15" hidden="false" customHeight="false" outlineLevel="0" collapsed="false">
      <c r="A784" s="0" t="n">
        <v>779</v>
      </c>
      <c r="B784" s="38" t="n">
        <f aca="false">E784*Scorecard!$C$18+F784*Scorecard!$C$19+G784*Scorecard!$C$20+H784*Scorecard!$C$21+I784*Scorecard!$C$22+J784*Scorecard!$C$23</f>
        <v>3.93642626522099</v>
      </c>
      <c r="C784" s="38" t="n">
        <f aca="false">E784*Scorecard!$D$18+F784*Scorecard!$D$19+G784*Scorecard!$D$20+H784*Scorecard!$D$21+I784*Scorecard!$D$22+J784*Scorecard!$D$23</f>
        <v>3.02261269939538</v>
      </c>
      <c r="D784" s="0" t="str">
        <f aca="false">IF(AND(B784&gt;=C784,B784&gt;=K784),"A. Distribution",IF(C784&gt;=K784,"B. Manufacturing","C. Prof. services"))</f>
        <v>A. Distribution</v>
      </c>
      <c r="E784" s="39" t="n">
        <v>0.393428618660406</v>
      </c>
      <c r="F784" s="39" t="n">
        <v>0.0895658937179348</v>
      </c>
      <c r="G784" s="39" t="n">
        <v>0.207788417683031</v>
      </c>
      <c r="H784" s="39" t="n">
        <v>0.129194032823273</v>
      </c>
      <c r="I784" s="39" t="n">
        <v>0.126207146163536</v>
      </c>
      <c r="J784" s="39" t="n">
        <v>0.053815890951819</v>
      </c>
      <c r="K784" s="38" t="n">
        <f aca="false">E784*Scorecard!$E$18+F784*Scorecard!$E$19+G784*Scorecard!$E$20+H784*Scorecard!$E$21+I784*Scorecard!$E$22+J784*Scorecard!$E$23</f>
        <v>3.47051925512785</v>
      </c>
      <c r="M784" s="0" t="str">
        <f aca="false">IF(AND(T784&gt;=U784,T784&gt;=V784),"A. Distribution",IF(U784&gt;=V784,"B. Manufacturing","C. Prof. services"))</f>
        <v>A. Distribution</v>
      </c>
      <c r="N784" s="39" t="n">
        <v>0.123214237798613</v>
      </c>
      <c r="O784" s="39" t="n">
        <v>0.255606412734569</v>
      </c>
      <c r="P784" s="39" t="n">
        <v>0.183743123853448</v>
      </c>
      <c r="Q784" s="39" t="n">
        <v>0.102890976200378</v>
      </c>
      <c r="R784" s="39" t="n">
        <v>0.316830196131775</v>
      </c>
      <c r="S784" s="39" t="n">
        <v>0.017715053281217</v>
      </c>
      <c r="T784" s="38" t="n">
        <f aca="false">N784*Scorecard!$C$18+O784*Scorecard!$C$19+P784*Scorecard!$C$20+Q784*Scorecard!$C$21+R784*Scorecard!$C$22+S784*Scorecard!$C$23</f>
        <v>4.19919726971112</v>
      </c>
      <c r="U784" s="38" t="n">
        <f aca="false">N784*Scorecard!$D$18+O784*Scorecard!$D$19+P784*Scorecard!$D$20+Q784*Scorecard!$D$21+R784*Scorecard!$D$22+S784*Scorecard!$D$23</f>
        <v>2.8283723924335</v>
      </c>
      <c r="V784" s="38" t="n">
        <f aca="false">N784*Scorecard!$E$18+O784*Scorecard!$E$19+P784*Scorecard!$E$20+Q784*Scorecard!$E$21+R784*Scorecard!$E$22+S784*Scorecard!$E$23</f>
        <v>3.07997984714151</v>
      </c>
    </row>
    <row r="785" customFormat="false" ht="15" hidden="false" customHeight="false" outlineLevel="0" collapsed="false">
      <c r="A785" s="0" t="n">
        <v>780</v>
      </c>
      <c r="B785" s="38" t="n">
        <f aca="false">E785*Scorecard!$C$18+F785*Scorecard!$C$19+G785*Scorecard!$C$20+H785*Scorecard!$C$21+I785*Scorecard!$C$22+J785*Scorecard!$C$23</f>
        <v>4.01610164289097</v>
      </c>
      <c r="C785" s="38" t="n">
        <f aca="false">E785*Scorecard!$D$18+F785*Scorecard!$D$19+G785*Scorecard!$D$20+H785*Scorecard!$D$21+I785*Scorecard!$D$22+J785*Scorecard!$D$23</f>
        <v>2.38870434900295</v>
      </c>
      <c r="D785" s="0" t="str">
        <f aca="false">IF(AND(B785&gt;=C785,B785&gt;=K785),"A. Distribution",IF(C785&gt;=K785,"B. Manufacturing","C. Prof. services"))</f>
        <v>A. Distribution</v>
      </c>
      <c r="E785" s="39" t="n">
        <v>0.0903130239223793</v>
      </c>
      <c r="F785" s="39" t="n">
        <v>0.111016823817612</v>
      </c>
      <c r="G785" s="39" t="n">
        <v>0.29618043215272</v>
      </c>
      <c r="H785" s="39" t="n">
        <v>0.469573334092393</v>
      </c>
      <c r="I785" s="39" t="n">
        <v>0.0143826672727607</v>
      </c>
      <c r="J785" s="39" t="n">
        <v>0.0185337187421353</v>
      </c>
      <c r="K785" s="38" t="n">
        <f aca="false">E785*Scorecard!$E$18+F785*Scorecard!$E$19+G785*Scorecard!$E$20+H785*Scorecard!$E$21+I785*Scorecard!$E$22+J785*Scorecard!$E$23</f>
        <v>3.65384115958174</v>
      </c>
      <c r="M785" s="0" t="str">
        <f aca="false">IF(AND(T785&gt;=U785,T785&gt;=V785),"A. Distribution",IF(U785&gt;=V785,"B. Manufacturing","C. Prof. services"))</f>
        <v>A. Distribution</v>
      </c>
      <c r="N785" s="39" t="n">
        <v>0.322101124883413</v>
      </c>
      <c r="O785" s="39" t="n">
        <v>0.210944993871471</v>
      </c>
      <c r="P785" s="39" t="n">
        <v>0.1580347160281</v>
      </c>
      <c r="Q785" s="39" t="n">
        <v>0.116108229337037</v>
      </c>
      <c r="R785" s="39" t="n">
        <v>0.134688426487002</v>
      </c>
      <c r="S785" s="39" t="n">
        <v>0.0581225093929768</v>
      </c>
      <c r="T785" s="38" t="n">
        <f aca="false">N785*Scorecard!$C$18+O785*Scorecard!$C$19+P785*Scorecard!$C$20+Q785*Scorecard!$C$21+R785*Scorecard!$C$22+S785*Scorecard!$C$23</f>
        <v>4.05632878571605</v>
      </c>
      <c r="U785" s="38" t="n">
        <f aca="false">N785*Scorecard!$D$18+O785*Scorecard!$D$19+P785*Scorecard!$D$20+Q785*Scorecard!$D$21+R785*Scorecard!$D$22+S785*Scorecard!$D$23</f>
        <v>2.9479329783926</v>
      </c>
      <c r="V785" s="38" t="n">
        <f aca="false">N785*Scorecard!$E$18+O785*Scorecard!$E$19+P785*Scorecard!$E$20+Q785*Scorecard!$E$21+R785*Scorecard!$E$22+S785*Scorecard!$E$23</f>
        <v>3.35338184219487</v>
      </c>
    </row>
    <row r="786" customFormat="false" ht="15" hidden="false" customHeight="false" outlineLevel="0" collapsed="false">
      <c r="A786" s="0" t="n">
        <v>781</v>
      </c>
      <c r="B786" s="38" t="n">
        <f aca="false">E786*Scorecard!$C$18+F786*Scorecard!$C$19+G786*Scorecard!$C$20+H786*Scorecard!$C$21+I786*Scorecard!$C$22+J786*Scorecard!$C$23</f>
        <v>3.81085224040211</v>
      </c>
      <c r="C786" s="38" t="n">
        <f aca="false">E786*Scorecard!$D$18+F786*Scorecard!$D$19+G786*Scorecard!$D$20+H786*Scorecard!$D$21+I786*Scorecard!$D$22+J786*Scorecard!$D$23</f>
        <v>2.7587013676643</v>
      </c>
      <c r="D786" s="0" t="str">
        <f aca="false">IF(AND(B786&gt;=C786,B786&gt;=K786),"A. Distribution",IF(C786&gt;=K786,"B. Manufacturing","C. Prof. services"))</f>
        <v>A. Distribution</v>
      </c>
      <c r="E786" s="39" t="n">
        <v>0.347487549391056</v>
      </c>
      <c r="F786" s="39" t="n">
        <v>0.162157463827852</v>
      </c>
      <c r="G786" s="39" t="n">
        <v>0.276759638682626</v>
      </c>
      <c r="H786" s="39" t="n">
        <v>0.0197717952174528</v>
      </c>
      <c r="I786" s="39" t="n">
        <v>0.0331854792356484</v>
      </c>
      <c r="J786" s="39" t="n">
        <v>0.160638073645365</v>
      </c>
      <c r="K786" s="38" t="n">
        <f aca="false">E786*Scorecard!$E$18+F786*Scorecard!$E$19+G786*Scorecard!$E$20+H786*Scorecard!$E$21+I786*Scorecard!$E$22+J786*Scorecard!$E$23</f>
        <v>3.65095218641081</v>
      </c>
      <c r="M786" s="0" t="str">
        <f aca="false">IF(AND(T786&gt;=U786,T786&gt;=V786),"A. Distribution",IF(U786&gt;=V786,"B. Manufacturing","C. Prof. services"))</f>
        <v>A. Distribution</v>
      </c>
      <c r="N786" s="39" t="n">
        <v>0.257410386579499</v>
      </c>
      <c r="O786" s="39" t="n">
        <v>0.155533774532792</v>
      </c>
      <c r="P786" s="39" t="n">
        <v>0.242187538123915</v>
      </c>
      <c r="Q786" s="39" t="n">
        <v>0.100085049998874</v>
      </c>
      <c r="R786" s="39" t="n">
        <v>0.148465568658694</v>
      </c>
      <c r="S786" s="39" t="n">
        <v>0.0963176821062255</v>
      </c>
      <c r="T786" s="38" t="n">
        <f aca="false">N786*Scorecard!$C$18+O786*Scorecard!$C$19+P786*Scorecard!$C$20+Q786*Scorecard!$C$21+R786*Scorecard!$C$22+S786*Scorecard!$C$23</f>
        <v>3.93144753847394</v>
      </c>
      <c r="U786" s="38" t="n">
        <f aca="false">N786*Scorecard!$D$18+O786*Scorecard!$D$19+P786*Scorecard!$D$20+Q786*Scorecard!$D$21+R786*Scorecard!$D$22+S786*Scorecard!$D$23</f>
        <v>2.78227280556519</v>
      </c>
      <c r="V786" s="38" t="n">
        <f aca="false">N786*Scorecard!$E$18+O786*Scorecard!$E$19+P786*Scorecard!$E$20+Q786*Scorecard!$E$21+R786*Scorecard!$E$22+S786*Scorecard!$E$23</f>
        <v>3.4533428017961</v>
      </c>
    </row>
    <row r="787" customFormat="false" ht="15" hidden="false" customHeight="false" outlineLevel="0" collapsed="false">
      <c r="A787" s="0" t="n">
        <v>782</v>
      </c>
      <c r="B787" s="38" t="n">
        <f aca="false">E787*Scorecard!$C$18+F787*Scorecard!$C$19+G787*Scorecard!$C$20+H787*Scorecard!$C$21+I787*Scorecard!$C$22+J787*Scorecard!$C$23</f>
        <v>3.45687862001255</v>
      </c>
      <c r="C787" s="38" t="n">
        <f aca="false">E787*Scorecard!$D$18+F787*Scorecard!$D$19+G787*Scorecard!$D$20+H787*Scorecard!$D$21+I787*Scorecard!$D$22+J787*Scorecard!$D$23</f>
        <v>2.18412785483336</v>
      </c>
      <c r="D787" s="0" t="str">
        <f aca="false">IF(AND(B787&gt;=C787,B787&gt;=K787),"A. Distribution",IF(C787&gt;=K787,"B. Manufacturing","C. Prof. services"))</f>
        <v>C. Prof. services</v>
      </c>
      <c r="E787" s="39" t="n">
        <v>0.0753691403252195</v>
      </c>
      <c r="F787" s="39" t="n">
        <v>0.0804864360384739</v>
      </c>
      <c r="G787" s="39" t="n">
        <v>0.299788327005006</v>
      </c>
      <c r="H787" s="39" t="n">
        <v>0.181180176628656</v>
      </c>
      <c r="I787" s="39" t="n">
        <v>0.0641587196509977</v>
      </c>
      <c r="J787" s="39" t="n">
        <v>0.299017200351648</v>
      </c>
      <c r="K787" s="38" t="n">
        <f aca="false">E787*Scorecard!$E$18+F787*Scorecard!$E$19+G787*Scorecard!$E$20+H787*Scorecard!$E$21+I787*Scorecard!$E$22+J787*Scorecard!$E$23</f>
        <v>3.84941609897418</v>
      </c>
      <c r="M787" s="0" t="str">
        <f aca="false">IF(AND(T787&gt;=U787,T787&gt;=V787),"A. Distribution",IF(U787&gt;=V787,"B. Manufacturing","C. Prof. services"))</f>
        <v>A. Distribution</v>
      </c>
      <c r="N787" s="39" t="n">
        <v>0.136426244260201</v>
      </c>
      <c r="O787" s="39" t="n">
        <v>0.227448516537526</v>
      </c>
      <c r="P787" s="39" t="n">
        <v>0.236949511165666</v>
      </c>
      <c r="Q787" s="39" t="n">
        <v>0.141550931740758</v>
      </c>
      <c r="R787" s="39" t="n">
        <v>0.163040092774857</v>
      </c>
      <c r="S787" s="39" t="n">
        <v>0.0945847035209927</v>
      </c>
      <c r="T787" s="38" t="n">
        <f aca="false">N787*Scorecard!$C$18+O787*Scorecard!$C$19+P787*Scorecard!$C$20+Q787*Scorecard!$C$21+R787*Scorecard!$C$22+S787*Scorecard!$C$23</f>
        <v>4.01207369079081</v>
      </c>
      <c r="U787" s="38" t="n">
        <f aca="false">N787*Scorecard!$D$18+O787*Scorecard!$D$19+P787*Scorecard!$D$20+Q787*Scorecard!$D$21+R787*Scorecard!$D$22+S787*Scorecard!$D$23</f>
        <v>2.60800205570893</v>
      </c>
      <c r="V787" s="38" t="n">
        <f aca="false">N787*Scorecard!$E$18+O787*Scorecard!$E$19+P787*Scorecard!$E$20+Q787*Scorecard!$E$21+R787*Scorecard!$E$22+S787*Scorecard!$E$23</f>
        <v>3.38914635569658</v>
      </c>
    </row>
    <row r="788" customFormat="false" ht="15" hidden="false" customHeight="false" outlineLevel="0" collapsed="false">
      <c r="A788" s="0" t="n">
        <v>783</v>
      </c>
      <c r="B788" s="38" t="n">
        <f aca="false">E788*Scorecard!$C$18+F788*Scorecard!$C$19+G788*Scorecard!$C$20+H788*Scorecard!$C$21+I788*Scorecard!$C$22+J788*Scorecard!$C$23</f>
        <v>3.49505399451168</v>
      </c>
      <c r="C788" s="38" t="n">
        <f aca="false">E788*Scorecard!$D$18+F788*Scorecard!$D$19+G788*Scorecard!$D$20+H788*Scorecard!$D$21+I788*Scorecard!$D$22+J788*Scorecard!$D$23</f>
        <v>2.30802993921527</v>
      </c>
      <c r="D788" s="0" t="str">
        <f aca="false">IF(AND(B788&gt;=C788,B788&gt;=K788),"A. Distribution",IF(C788&gt;=K788,"B. Manufacturing","C. Prof. services"))</f>
        <v>C. Prof. services</v>
      </c>
      <c r="E788" s="39" t="n">
        <v>0.0809974822644977</v>
      </c>
      <c r="F788" s="39" t="n">
        <v>0.188232536090959</v>
      </c>
      <c r="G788" s="39" t="n">
        <v>0.182386881433358</v>
      </c>
      <c r="H788" s="39" t="n">
        <v>0.0608133312940613</v>
      </c>
      <c r="I788" s="39" t="n">
        <v>0.147508347383131</v>
      </c>
      <c r="J788" s="39" t="n">
        <v>0.340061421533993</v>
      </c>
      <c r="K788" s="38" t="n">
        <f aca="false">E788*Scorecard!$E$18+F788*Scorecard!$E$19+G788*Scorecard!$E$20+H788*Scorecard!$E$21+I788*Scorecard!$E$22+J788*Scorecard!$E$23</f>
        <v>3.63877266342092</v>
      </c>
      <c r="M788" s="0" t="str">
        <f aca="false">IF(AND(T788&gt;=U788,T788&gt;=V788),"A. Distribution",IF(U788&gt;=V788,"B. Manufacturing","C. Prof. services"))</f>
        <v>A. Distribution</v>
      </c>
      <c r="N788" s="39" t="n">
        <v>0.253707584153599</v>
      </c>
      <c r="O788" s="39" t="n">
        <v>0.293075681512506</v>
      </c>
      <c r="P788" s="39" t="n">
        <v>0.120629408407117</v>
      </c>
      <c r="Q788" s="39" t="n">
        <v>0.136222175761003</v>
      </c>
      <c r="R788" s="39" t="n">
        <v>0.10689049029702</v>
      </c>
      <c r="S788" s="39" t="n">
        <v>0.0894746598687533</v>
      </c>
      <c r="T788" s="38" t="n">
        <f aca="false">N788*Scorecard!$C$18+O788*Scorecard!$C$19+P788*Scorecard!$C$20+Q788*Scorecard!$C$21+R788*Scorecard!$C$22+S788*Scorecard!$C$23</f>
        <v>4.0790789794759</v>
      </c>
      <c r="U788" s="38" t="n">
        <f aca="false">N788*Scorecard!$D$18+O788*Scorecard!$D$19+P788*Scorecard!$D$20+Q788*Scorecard!$D$21+R788*Scorecard!$D$22+S788*Scorecard!$D$23</f>
        <v>2.80620453585219</v>
      </c>
      <c r="V788" s="38" t="n">
        <f aca="false">N788*Scorecard!$E$18+O788*Scorecard!$E$19+P788*Scorecard!$E$20+Q788*Scorecard!$E$21+R788*Scorecard!$E$22+S788*Scorecard!$E$23</f>
        <v>3.34482621505529</v>
      </c>
    </row>
    <row r="789" customFormat="false" ht="15" hidden="false" customHeight="false" outlineLevel="0" collapsed="false">
      <c r="A789" s="0" t="n">
        <v>784</v>
      </c>
      <c r="B789" s="38" t="n">
        <f aca="false">E789*Scorecard!$C$18+F789*Scorecard!$C$19+G789*Scorecard!$C$20+H789*Scorecard!$C$21+I789*Scorecard!$C$22+J789*Scorecard!$C$23</f>
        <v>3.86738718395804</v>
      </c>
      <c r="C789" s="38" t="n">
        <f aca="false">E789*Scorecard!$D$18+F789*Scorecard!$D$19+G789*Scorecard!$D$20+H789*Scorecard!$D$21+I789*Scorecard!$D$22+J789*Scorecard!$D$23</f>
        <v>3.1257278514346</v>
      </c>
      <c r="D789" s="0" t="str">
        <f aca="false">IF(AND(B789&gt;=C789,B789&gt;=K789),"A. Distribution",IF(C789&gt;=K789,"B. Manufacturing","C. Prof. services"))</f>
        <v>A. Distribution</v>
      </c>
      <c r="E789" s="39" t="n">
        <v>0.370863963987615</v>
      </c>
      <c r="F789" s="39" t="n">
        <v>0.151566837326502</v>
      </c>
      <c r="G789" s="39" t="n">
        <v>0.0444535666461859</v>
      </c>
      <c r="H789" s="39" t="n">
        <v>0.0522448131278486</v>
      </c>
      <c r="I789" s="39" t="n">
        <v>0.256483432095368</v>
      </c>
      <c r="J789" s="39" t="n">
        <v>0.124387386816481</v>
      </c>
      <c r="K789" s="38" t="n">
        <f aca="false">E789*Scorecard!$E$18+F789*Scorecard!$E$19+G789*Scorecard!$E$20+H789*Scorecard!$E$21+I789*Scorecard!$E$22+J789*Scorecard!$E$23</f>
        <v>3.25100702518693</v>
      </c>
      <c r="M789" s="0" t="str">
        <f aca="false">IF(AND(T789&gt;=U789,T789&gt;=V789),"A. Distribution",IF(U789&gt;=V789,"B. Manufacturing","C. Prof. services"))</f>
        <v>A. Distribution</v>
      </c>
      <c r="N789" s="39" t="n">
        <v>0.223887293461149</v>
      </c>
      <c r="O789" s="39" t="n">
        <v>0.160637328873812</v>
      </c>
      <c r="P789" s="39" t="n">
        <v>0.284044339759935</v>
      </c>
      <c r="Q789" s="39" t="n">
        <v>0.0894244778067121</v>
      </c>
      <c r="R789" s="39" t="n">
        <v>0.195643928717219</v>
      </c>
      <c r="S789" s="39" t="n">
        <v>0.0463626313811737</v>
      </c>
      <c r="T789" s="38" t="n">
        <f aca="false">N789*Scorecard!$C$18+O789*Scorecard!$C$19+P789*Scorecard!$C$20+Q789*Scorecard!$C$21+R789*Scorecard!$C$22+S789*Scorecard!$C$23</f>
        <v>4.04030133810328</v>
      </c>
      <c r="U789" s="38" t="n">
        <f aca="false">N789*Scorecard!$D$18+O789*Scorecard!$D$19+P789*Scorecard!$D$20+Q789*Scorecard!$D$21+R789*Scorecard!$D$22+S789*Scorecard!$D$23</f>
        <v>2.80191320519111</v>
      </c>
      <c r="V789" s="38" t="n">
        <f aca="false">N789*Scorecard!$E$18+O789*Scorecard!$E$19+P789*Scorecard!$E$20+Q789*Scorecard!$E$21+R789*Scorecard!$E$22+S789*Scorecard!$E$23</f>
        <v>3.36388058454174</v>
      </c>
    </row>
    <row r="790" customFormat="false" ht="15" hidden="false" customHeight="false" outlineLevel="0" collapsed="false">
      <c r="A790" s="0" t="n">
        <v>785</v>
      </c>
      <c r="B790" s="38" t="n">
        <f aca="false">E790*Scorecard!$C$18+F790*Scorecard!$C$19+G790*Scorecard!$C$20+H790*Scorecard!$C$21+I790*Scorecard!$C$22+J790*Scorecard!$C$23</f>
        <v>3.83017234115403</v>
      </c>
      <c r="C790" s="38" t="n">
        <f aca="false">E790*Scorecard!$D$18+F790*Scorecard!$D$19+G790*Scorecard!$D$20+H790*Scorecard!$D$21+I790*Scorecard!$D$22+J790*Scorecard!$D$23</f>
        <v>2.81956588381358</v>
      </c>
      <c r="D790" s="0" t="str">
        <f aca="false">IF(AND(B790&gt;=C790,B790&gt;=K790),"A. Distribution",IF(C790&gt;=K790,"B. Manufacturing","C. Prof. services"))</f>
        <v>A. Distribution</v>
      </c>
      <c r="E790" s="39" t="n">
        <v>0.283980487519526</v>
      </c>
      <c r="F790" s="39" t="n">
        <v>0.0207412110022066</v>
      </c>
      <c r="G790" s="39" t="n">
        <v>0.110409639407891</v>
      </c>
      <c r="H790" s="39" t="n">
        <v>0.416052246279068</v>
      </c>
      <c r="I790" s="39" t="n">
        <v>0.107346856011438</v>
      </c>
      <c r="J790" s="39" t="n">
        <v>0.0614695597798714</v>
      </c>
      <c r="K790" s="38" t="n">
        <f aca="false">E790*Scorecard!$E$18+F790*Scorecard!$E$19+G790*Scorecard!$E$20+H790*Scorecard!$E$21+I790*Scorecard!$E$22+J790*Scorecard!$E$23</f>
        <v>3.54895448651163</v>
      </c>
      <c r="M790" s="0" t="str">
        <f aca="false">IF(AND(T790&gt;=U790,T790&gt;=V790),"A. Distribution",IF(U790&gt;=V790,"B. Manufacturing","C. Prof. services"))</f>
        <v>A. Distribution</v>
      </c>
      <c r="N790" s="39" t="n">
        <v>0.247782588744664</v>
      </c>
      <c r="O790" s="39" t="n">
        <v>0.100094489663583</v>
      </c>
      <c r="P790" s="39" t="n">
        <v>0.183327922316855</v>
      </c>
      <c r="Q790" s="39" t="n">
        <v>0.0775340542104614</v>
      </c>
      <c r="R790" s="39" t="n">
        <v>0.226895895585099</v>
      </c>
      <c r="S790" s="39" t="n">
        <v>0.164365049479338</v>
      </c>
      <c r="T790" s="38" t="n">
        <f aca="false">N790*Scorecard!$C$18+O790*Scorecard!$C$19+P790*Scorecard!$C$20+Q790*Scorecard!$C$21+R790*Scorecard!$C$22+S790*Scorecard!$C$23</f>
        <v>3.74311638669588</v>
      </c>
      <c r="U790" s="38" t="n">
        <f aca="false">N790*Scorecard!$D$18+O790*Scorecard!$D$19+P790*Scorecard!$D$20+Q790*Scorecard!$D$21+R790*Scorecard!$D$22+S790*Scorecard!$D$23</f>
        <v>2.79737624681934</v>
      </c>
      <c r="V790" s="38" t="n">
        <f aca="false">N790*Scorecard!$E$18+O790*Scorecard!$E$19+P790*Scorecard!$E$20+Q790*Scorecard!$E$21+R790*Scorecard!$E$22+S790*Scorecard!$E$23</f>
        <v>3.43510956637206</v>
      </c>
    </row>
    <row r="791" customFormat="false" ht="15" hidden="false" customHeight="false" outlineLevel="0" collapsed="false">
      <c r="A791" s="0" t="n">
        <v>786</v>
      </c>
      <c r="B791" s="38" t="n">
        <f aca="false">E791*Scorecard!$C$18+F791*Scorecard!$C$19+G791*Scorecard!$C$20+H791*Scorecard!$C$21+I791*Scorecard!$C$22+J791*Scorecard!$C$23</f>
        <v>3.51079799351601</v>
      </c>
      <c r="C791" s="38" t="n">
        <f aca="false">E791*Scorecard!$D$18+F791*Scorecard!$D$19+G791*Scorecard!$D$20+H791*Scorecard!$D$21+I791*Scorecard!$D$22+J791*Scorecard!$D$23</f>
        <v>2.23649914302484</v>
      </c>
      <c r="D791" s="0" t="str">
        <f aca="false">IF(AND(B791&gt;=C791,B791&gt;=K791),"A. Distribution",IF(C791&gt;=K791,"B. Manufacturing","C. Prof. services"))</f>
        <v>C. Prof. services</v>
      </c>
      <c r="E791" s="39" t="n">
        <v>0.0634842711657342</v>
      </c>
      <c r="F791" s="39" t="n">
        <v>0.187103783236715</v>
      </c>
      <c r="G791" s="39" t="n">
        <v>0.191397222436587</v>
      </c>
      <c r="H791" s="39" t="n">
        <v>0.12716152779522</v>
      </c>
      <c r="I791" s="39" t="n">
        <v>0.102099638722307</v>
      </c>
      <c r="J791" s="39" t="n">
        <v>0.328753556643437</v>
      </c>
      <c r="K791" s="38" t="n">
        <f aca="false">E791*Scorecard!$E$18+F791*Scorecard!$E$19+G791*Scorecard!$E$20+H791*Scorecard!$E$21+I791*Scorecard!$E$22+J791*Scorecard!$E$23</f>
        <v>3.69720647253837</v>
      </c>
      <c r="M791" s="0" t="str">
        <f aca="false">IF(AND(T791&gt;=U791,T791&gt;=V791),"A. Distribution",IF(U791&gt;=V791,"B. Manufacturing","C. Prof. services"))</f>
        <v>A. Distribution</v>
      </c>
      <c r="N791" s="39" t="n">
        <v>0.195525024109876</v>
      </c>
      <c r="O791" s="39" t="n">
        <v>0.193925843281462</v>
      </c>
      <c r="P791" s="39" t="n">
        <v>0.226173910859446</v>
      </c>
      <c r="Q791" s="39" t="n">
        <v>0.159407848060718</v>
      </c>
      <c r="R791" s="39" t="n">
        <v>0.185134046709304</v>
      </c>
      <c r="S791" s="39" t="n">
        <v>0.0398333269791947</v>
      </c>
      <c r="T791" s="38" t="n">
        <f aca="false">N791*Scorecard!$C$18+O791*Scorecard!$C$19+P791*Scorecard!$C$20+Q791*Scorecard!$C$21+R791*Scorecard!$C$22+S791*Scorecard!$C$23</f>
        <v>4.08138482715204</v>
      </c>
      <c r="U791" s="38" t="n">
        <f aca="false">N791*Scorecard!$D$18+O791*Scorecard!$D$19+P791*Scorecard!$D$20+Q791*Scorecard!$D$21+R791*Scorecard!$D$22+S791*Scorecard!$D$23</f>
        <v>2.77186993147536</v>
      </c>
      <c r="V791" s="38" t="n">
        <f aca="false">N791*Scorecard!$E$18+O791*Scorecard!$E$19+P791*Scorecard!$E$20+Q791*Scorecard!$E$21+R791*Scorecard!$E$22+S791*Scorecard!$E$23</f>
        <v>3.32963032823648</v>
      </c>
    </row>
    <row r="792" customFormat="false" ht="15" hidden="false" customHeight="false" outlineLevel="0" collapsed="false">
      <c r="A792" s="0" t="n">
        <v>787</v>
      </c>
      <c r="B792" s="38" t="n">
        <f aca="false">E792*Scorecard!$C$18+F792*Scorecard!$C$19+G792*Scorecard!$C$20+H792*Scorecard!$C$21+I792*Scorecard!$C$22+J792*Scorecard!$C$23</f>
        <v>3.89196749004658</v>
      </c>
      <c r="C792" s="38" t="n">
        <f aca="false">E792*Scorecard!$D$18+F792*Scorecard!$D$19+G792*Scorecard!$D$20+H792*Scorecard!$D$21+I792*Scorecard!$D$22+J792*Scorecard!$D$23</f>
        <v>2.69274242067114</v>
      </c>
      <c r="D792" s="0" t="str">
        <f aca="false">IF(AND(B792&gt;=C792,B792&gt;=K792),"A. Distribution",IF(C792&gt;=K792,"B. Manufacturing","C. Prof. services"))</f>
        <v>A. Distribution</v>
      </c>
      <c r="E792" s="39" t="n">
        <v>0.217681278499995</v>
      </c>
      <c r="F792" s="39" t="n">
        <v>0.0627407656124933</v>
      </c>
      <c r="G792" s="39" t="n">
        <v>0.25251281703706</v>
      </c>
      <c r="H792" s="39" t="n">
        <v>0.279284611453955</v>
      </c>
      <c r="I792" s="39" t="n">
        <v>0.12617889356954</v>
      </c>
      <c r="J792" s="39" t="n">
        <v>0.0616016338269566</v>
      </c>
      <c r="K792" s="38" t="n">
        <f aca="false">E792*Scorecard!$E$18+F792*Scorecard!$E$19+G792*Scorecard!$E$20+H792*Scorecard!$E$21+I792*Scorecard!$E$22+J792*Scorecard!$E$23</f>
        <v>3.54530913003354</v>
      </c>
      <c r="M792" s="0" t="str">
        <f aca="false">IF(AND(T792&gt;=U792,T792&gt;=V792),"A. Distribution",IF(U792&gt;=V792,"B. Manufacturing","C. Prof. services"))</f>
        <v>A. Distribution</v>
      </c>
      <c r="N792" s="39" t="n">
        <v>0.167781631119578</v>
      </c>
      <c r="O792" s="39" t="n">
        <v>0.126567656600012</v>
      </c>
      <c r="P792" s="39" t="n">
        <v>0.302283042293198</v>
      </c>
      <c r="Q792" s="39" t="n">
        <v>0.0622688535291792</v>
      </c>
      <c r="R792" s="39" t="n">
        <v>0.262143195197416</v>
      </c>
      <c r="S792" s="39" t="n">
        <v>0.0789556212606174</v>
      </c>
      <c r="T792" s="38" t="n">
        <f aca="false">N792*Scorecard!$C$18+O792*Scorecard!$C$19+P792*Scorecard!$C$20+Q792*Scorecard!$C$21+R792*Scorecard!$C$22+S792*Scorecard!$C$23</f>
        <v>3.94847626303334</v>
      </c>
      <c r="U792" s="38" t="n">
        <f aca="false">N792*Scorecard!$D$18+O792*Scorecard!$D$19+P792*Scorecard!$D$20+Q792*Scorecard!$D$21+R792*Scorecard!$D$22+S792*Scorecard!$D$23</f>
        <v>2.7347724253708</v>
      </c>
      <c r="V792" s="38" t="n">
        <f aca="false">N792*Scorecard!$E$18+O792*Scorecard!$E$19+P792*Scorecard!$E$20+Q792*Scorecard!$E$21+R792*Scorecard!$E$22+S792*Scorecard!$E$23</f>
        <v>3.3470050327532</v>
      </c>
    </row>
    <row r="793" customFormat="false" ht="15" hidden="false" customHeight="false" outlineLevel="0" collapsed="false">
      <c r="A793" s="0" t="n">
        <v>788</v>
      </c>
      <c r="B793" s="38" t="n">
        <f aca="false">E793*Scorecard!$C$18+F793*Scorecard!$C$19+G793*Scorecard!$C$20+H793*Scorecard!$C$21+I793*Scorecard!$C$22+J793*Scorecard!$C$23</f>
        <v>3.57196640941041</v>
      </c>
      <c r="C793" s="38" t="n">
        <f aca="false">E793*Scorecard!$D$18+F793*Scorecard!$D$19+G793*Scorecard!$D$20+H793*Scorecard!$D$21+I793*Scorecard!$D$22+J793*Scorecard!$D$23</f>
        <v>2.48488553470741</v>
      </c>
      <c r="D793" s="0" t="str">
        <f aca="false">IF(AND(B793&gt;=C793,B793&gt;=K793),"A. Distribution",IF(C793&gt;=K793,"B. Manufacturing","C. Prof. services"))</f>
        <v>C. Prof. services</v>
      </c>
      <c r="E793" s="39" t="n">
        <v>0.118284415780625</v>
      </c>
      <c r="F793" s="39" t="n">
        <v>0.0472526183591418</v>
      </c>
      <c r="G793" s="39" t="n">
        <v>0.279137546391985</v>
      </c>
      <c r="H793" s="39" t="n">
        <v>0.0986219645309635</v>
      </c>
      <c r="I793" s="39" t="n">
        <v>0.229121974689394</v>
      </c>
      <c r="J793" s="39" t="n">
        <v>0.227581480247892</v>
      </c>
      <c r="K793" s="38" t="n">
        <f aca="false">E793*Scorecard!$E$18+F793*Scorecard!$E$19+G793*Scorecard!$E$20+H793*Scorecard!$E$21+I793*Scorecard!$E$22+J793*Scorecard!$E$23</f>
        <v>3.58402744429777</v>
      </c>
      <c r="M793" s="0" t="str">
        <f aca="false">IF(AND(T793&gt;=U793,T793&gt;=V793),"A. Distribution",IF(U793&gt;=V793,"B. Manufacturing","C. Prof. services"))</f>
        <v>A. Distribution</v>
      </c>
      <c r="N793" s="39" t="n">
        <v>0.271931112774236</v>
      </c>
      <c r="O793" s="39" t="n">
        <v>0.148772173138402</v>
      </c>
      <c r="P793" s="39" t="n">
        <v>0.101840410521367</v>
      </c>
      <c r="Q793" s="39" t="n">
        <v>0.265152974476384</v>
      </c>
      <c r="R793" s="39" t="n">
        <v>0.173665069578525</v>
      </c>
      <c r="S793" s="39" t="n">
        <v>0.0386382595110854</v>
      </c>
      <c r="T793" s="38" t="n">
        <f aca="false">N793*Scorecard!$C$18+O793*Scorecard!$C$19+P793*Scorecard!$C$20+Q793*Scorecard!$C$21+R793*Scorecard!$C$22+S793*Scorecard!$C$23</f>
        <v>4.02109279431386</v>
      </c>
      <c r="U793" s="38" t="n">
        <f aca="false">N793*Scorecard!$D$18+O793*Scorecard!$D$19+P793*Scorecard!$D$20+Q793*Scorecard!$D$21+R793*Scorecard!$D$22+S793*Scorecard!$D$23</f>
        <v>2.91875347511653</v>
      </c>
      <c r="V793" s="38" t="n">
        <f aca="false">N793*Scorecard!$E$18+O793*Scorecard!$E$19+P793*Scorecard!$E$20+Q793*Scorecard!$E$21+R793*Scorecard!$E$22+S793*Scorecard!$E$23</f>
        <v>3.32933593418846</v>
      </c>
    </row>
    <row r="794" customFormat="false" ht="15" hidden="false" customHeight="false" outlineLevel="0" collapsed="false">
      <c r="A794" s="0" t="n">
        <v>789</v>
      </c>
      <c r="B794" s="38" t="n">
        <f aca="false">E794*Scorecard!$C$18+F794*Scorecard!$C$19+G794*Scorecard!$C$20+H794*Scorecard!$C$21+I794*Scorecard!$C$22+J794*Scorecard!$C$23</f>
        <v>4.05760379654539</v>
      </c>
      <c r="C794" s="38" t="n">
        <f aca="false">E794*Scorecard!$D$18+F794*Scorecard!$D$19+G794*Scorecard!$D$20+H794*Scorecard!$D$21+I794*Scorecard!$D$22+J794*Scorecard!$D$23</f>
        <v>2.455254294917</v>
      </c>
      <c r="D794" s="0" t="str">
        <f aca="false">IF(AND(B794&gt;=C794,B794&gt;=K794),"A. Distribution",IF(C794&gt;=K794,"B. Manufacturing","C. Prof. services"))</f>
        <v>A. Distribution</v>
      </c>
      <c r="E794" s="39" t="n">
        <v>0.0142546782553403</v>
      </c>
      <c r="F794" s="39" t="n">
        <v>0.470367326311223</v>
      </c>
      <c r="G794" s="39" t="n">
        <v>0.0458406846603583</v>
      </c>
      <c r="H794" s="39" t="n">
        <v>0.0759036611215055</v>
      </c>
      <c r="I794" s="39" t="n">
        <v>0.191913447832277</v>
      </c>
      <c r="J794" s="39" t="n">
        <v>0.201720201819296</v>
      </c>
      <c r="K794" s="38" t="n">
        <f aca="false">E794*Scorecard!$E$18+F794*Scorecard!$E$19+G794*Scorecard!$E$20+H794*Scorecard!$E$21+I794*Scorecard!$E$22+J794*Scorecard!$E$23</f>
        <v>3.18675876801476</v>
      </c>
      <c r="M794" s="0" t="str">
        <f aca="false">IF(AND(T794&gt;=U794,T794&gt;=V794),"A. Distribution",IF(U794&gt;=V794,"B. Manufacturing","C. Prof. services"))</f>
        <v>A. Distribution</v>
      </c>
      <c r="N794" s="39" t="n">
        <v>0.21607545653363</v>
      </c>
      <c r="O794" s="39" t="n">
        <v>0.209209872639695</v>
      </c>
      <c r="P794" s="39" t="n">
        <v>0.273818590951656</v>
      </c>
      <c r="Q794" s="39" t="n">
        <v>0.0990860877387354</v>
      </c>
      <c r="R794" s="39" t="n">
        <v>0.0873224156874904</v>
      </c>
      <c r="S794" s="39" t="n">
        <v>0.114487576448793</v>
      </c>
      <c r="T794" s="38" t="n">
        <f aca="false">N794*Scorecard!$C$18+O794*Scorecard!$C$19+P794*Scorecard!$C$20+Q794*Scorecard!$C$21+R794*Scorecard!$C$22+S794*Scorecard!$C$23</f>
        <v>3.9522101347634</v>
      </c>
      <c r="U794" s="38" t="n">
        <f aca="false">N794*Scorecard!$D$18+O794*Scorecard!$D$19+P794*Scorecard!$D$20+Q794*Scorecard!$D$21+R794*Scorecard!$D$22+S794*Scorecard!$D$23</f>
        <v>2.63617825095824</v>
      </c>
      <c r="V794" s="38" t="n">
        <f aca="false">N794*Scorecard!$E$18+O794*Scorecard!$E$19+P794*Scorecard!$E$20+Q794*Scorecard!$E$21+R794*Scorecard!$E$22+S794*Scorecard!$E$23</f>
        <v>3.52116386615106</v>
      </c>
    </row>
    <row r="795" customFormat="false" ht="15" hidden="false" customHeight="false" outlineLevel="0" collapsed="false">
      <c r="A795" s="0" t="n">
        <v>790</v>
      </c>
      <c r="B795" s="38" t="n">
        <f aca="false">E795*Scorecard!$C$18+F795*Scorecard!$C$19+G795*Scorecard!$C$20+H795*Scorecard!$C$21+I795*Scorecard!$C$22+J795*Scorecard!$C$23</f>
        <v>3.40025401127027</v>
      </c>
      <c r="C795" s="38" t="n">
        <f aca="false">E795*Scorecard!$D$18+F795*Scorecard!$D$19+G795*Scorecard!$D$20+H795*Scorecard!$D$21+I795*Scorecard!$D$22+J795*Scorecard!$D$23</f>
        <v>2.31444321539862</v>
      </c>
      <c r="D795" s="0" t="str">
        <f aca="false">IF(AND(B795&gt;=C795,B795&gt;=K795),"A. Distribution",IF(C795&gt;=K795,"B. Manufacturing","C. Prof. services"))</f>
        <v>C. Prof. services</v>
      </c>
      <c r="E795" s="39" t="n">
        <v>0.0751051263201173</v>
      </c>
      <c r="F795" s="39" t="n">
        <v>0.0744117113450987</v>
      </c>
      <c r="G795" s="39" t="n">
        <v>0.216525106761619</v>
      </c>
      <c r="H795" s="39" t="n">
        <v>0.11648695556599</v>
      </c>
      <c r="I795" s="39" t="n">
        <v>0.18968299294912</v>
      </c>
      <c r="J795" s="39" t="n">
        <v>0.327788107058055</v>
      </c>
      <c r="K795" s="38" t="n">
        <f aca="false">E795*Scorecard!$E$18+F795*Scorecard!$E$19+G795*Scorecard!$E$20+H795*Scorecard!$E$21+I795*Scorecard!$E$22+J795*Scorecard!$E$23</f>
        <v>3.68314367648475</v>
      </c>
      <c r="M795" s="0" t="str">
        <f aca="false">IF(AND(T795&gt;=U795,T795&gt;=V795),"A. Distribution",IF(U795&gt;=V795,"B. Manufacturing","C. Prof. services"))</f>
        <v>A. Distribution</v>
      </c>
      <c r="N795" s="39" t="n">
        <v>0.120956341271644</v>
      </c>
      <c r="O795" s="39" t="n">
        <v>0.327756199468716</v>
      </c>
      <c r="P795" s="39" t="n">
        <v>0.254278624971222</v>
      </c>
      <c r="Q795" s="39" t="n">
        <v>0.193449057788282</v>
      </c>
      <c r="R795" s="39" t="n">
        <v>0.0417667020392231</v>
      </c>
      <c r="S795" s="39" t="n">
        <v>0.0617930744609133</v>
      </c>
      <c r="T795" s="38" t="n">
        <f aca="false">N795*Scorecard!$C$18+O795*Scorecard!$C$19+P795*Scorecard!$C$20+Q795*Scorecard!$C$21+R795*Scorecard!$C$22+S795*Scorecard!$C$23</f>
        <v>4.17361460687829</v>
      </c>
      <c r="U795" s="38" t="n">
        <f aca="false">N795*Scorecard!$D$18+O795*Scorecard!$D$19+P795*Scorecard!$D$20+Q795*Scorecard!$D$21+R795*Scorecard!$D$22+S795*Scorecard!$D$23</f>
        <v>2.49971670219082</v>
      </c>
      <c r="V795" s="38" t="n">
        <f aca="false">N795*Scorecard!$E$18+O795*Scorecard!$E$19+P795*Scorecard!$E$20+Q795*Scorecard!$E$21+R795*Scorecard!$E$22+S795*Scorecard!$E$23</f>
        <v>3.44572761512036</v>
      </c>
    </row>
    <row r="796" customFormat="false" ht="15" hidden="false" customHeight="false" outlineLevel="0" collapsed="false">
      <c r="A796" s="0" t="n">
        <v>791</v>
      </c>
      <c r="B796" s="38" t="n">
        <f aca="false">E796*Scorecard!$C$18+F796*Scorecard!$C$19+G796*Scorecard!$C$20+H796*Scorecard!$C$21+I796*Scorecard!$C$22+J796*Scorecard!$C$23</f>
        <v>4.07074648617042</v>
      </c>
      <c r="C796" s="38" t="n">
        <f aca="false">E796*Scorecard!$D$18+F796*Scorecard!$D$19+G796*Scorecard!$D$20+H796*Scorecard!$D$21+I796*Scorecard!$D$22+J796*Scorecard!$D$23</f>
        <v>2.99981285470469</v>
      </c>
      <c r="D796" s="0" t="str">
        <f aca="false">IF(AND(B796&gt;=C796,B796&gt;=K796),"A. Distribution",IF(C796&gt;=K796,"B. Manufacturing","C. Prof. services"))</f>
        <v>A. Distribution</v>
      </c>
      <c r="E796" s="39" t="n">
        <v>0.148701593197879</v>
      </c>
      <c r="F796" s="39" t="n">
        <v>0.159352581410002</v>
      </c>
      <c r="G796" s="39" t="n">
        <v>0.118108077932137</v>
      </c>
      <c r="H796" s="39" t="n">
        <v>0.0852293768800191</v>
      </c>
      <c r="I796" s="39" t="n">
        <v>0.454866466089332</v>
      </c>
      <c r="J796" s="39" t="n">
        <v>0.0337419044906307</v>
      </c>
      <c r="K796" s="38" t="n">
        <f aca="false">E796*Scorecard!$E$18+F796*Scorecard!$E$19+G796*Scorecard!$E$20+H796*Scorecard!$E$21+I796*Scorecard!$E$22+J796*Scorecard!$E$23</f>
        <v>2.96602479455926</v>
      </c>
      <c r="M796" s="0" t="str">
        <f aca="false">IF(AND(T796&gt;=U796,T796&gt;=V796),"A. Distribution",IF(U796&gt;=V796,"B. Manufacturing","C. Prof. services"))</f>
        <v>A. Distribution</v>
      </c>
      <c r="N796" s="39" t="n">
        <v>0.158531219444629</v>
      </c>
      <c r="O796" s="39" t="n">
        <v>0.111215859307432</v>
      </c>
      <c r="P796" s="39" t="n">
        <v>0.228561732152493</v>
      </c>
      <c r="Q796" s="39" t="n">
        <v>0.162778164421418</v>
      </c>
      <c r="R796" s="39" t="n">
        <v>0.187417220339784</v>
      </c>
      <c r="S796" s="39" t="n">
        <v>0.151495804334245</v>
      </c>
      <c r="T796" s="38" t="n">
        <f aca="false">N796*Scorecard!$C$18+O796*Scorecard!$C$19+P796*Scorecard!$C$20+Q796*Scorecard!$C$21+R796*Scorecard!$C$22+S796*Scorecard!$C$23</f>
        <v>3.7779568480573</v>
      </c>
      <c r="U796" s="38" t="n">
        <f aca="false">N796*Scorecard!$D$18+O796*Scorecard!$D$19+P796*Scorecard!$D$20+Q796*Scorecard!$D$21+R796*Scorecard!$D$22+S796*Scorecard!$D$23</f>
        <v>2.60139593091755</v>
      </c>
      <c r="V796" s="38" t="n">
        <f aca="false">N796*Scorecard!$E$18+O796*Scorecard!$E$19+P796*Scorecard!$E$20+Q796*Scorecard!$E$21+R796*Scorecard!$E$22+S796*Scorecard!$E$23</f>
        <v>3.49792376372191</v>
      </c>
    </row>
    <row r="797" customFormat="false" ht="15" hidden="false" customHeight="false" outlineLevel="0" collapsed="false">
      <c r="A797" s="0" t="n">
        <v>792</v>
      </c>
      <c r="B797" s="38" t="n">
        <f aca="false">E797*Scorecard!$C$18+F797*Scorecard!$C$19+G797*Scorecard!$C$20+H797*Scorecard!$C$21+I797*Scorecard!$C$22+J797*Scorecard!$C$23</f>
        <v>3.85380569553343</v>
      </c>
      <c r="C797" s="38" t="n">
        <f aca="false">E797*Scorecard!$D$18+F797*Scorecard!$D$19+G797*Scorecard!$D$20+H797*Scorecard!$D$21+I797*Scorecard!$D$22+J797*Scorecard!$D$23</f>
        <v>2.65387185557345</v>
      </c>
      <c r="D797" s="0" t="str">
        <f aca="false">IF(AND(B797&gt;=C797,B797&gt;=K797),"A. Distribution",IF(C797&gt;=K797,"B. Manufacturing","C. Prof. services"))</f>
        <v>A. Distribution</v>
      </c>
      <c r="E797" s="39" t="n">
        <v>0.208104914906571</v>
      </c>
      <c r="F797" s="39" t="n">
        <v>0.0880882053036536</v>
      </c>
      <c r="G797" s="39" t="n">
        <v>0.0984792056247607</v>
      </c>
      <c r="H797" s="39" t="n">
        <v>0.447337134707302</v>
      </c>
      <c r="I797" s="39" t="n">
        <v>0.0733037398663043</v>
      </c>
      <c r="J797" s="39" t="n">
        <v>0.0846867995914084</v>
      </c>
      <c r="K797" s="38" t="n">
        <f aca="false">E797*Scorecard!$E$18+F797*Scorecard!$E$19+G797*Scorecard!$E$20+H797*Scorecard!$E$21+I797*Scorecard!$E$22+J797*Scorecard!$E$23</f>
        <v>3.56450021055554</v>
      </c>
      <c r="M797" s="0" t="str">
        <f aca="false">IF(AND(T797&gt;=U797,T797&gt;=V797),"A. Distribution",IF(U797&gt;=V797,"B. Manufacturing","C. Prof. services"))</f>
        <v>A. Distribution</v>
      </c>
      <c r="N797" s="39" t="n">
        <v>0.193263379105949</v>
      </c>
      <c r="O797" s="39" t="n">
        <v>0.346676461816439</v>
      </c>
      <c r="P797" s="39" t="n">
        <v>0.128507078689442</v>
      </c>
      <c r="Q797" s="39" t="n">
        <v>0.0860796381884631</v>
      </c>
      <c r="R797" s="39" t="n">
        <v>0.124791443152033</v>
      </c>
      <c r="S797" s="39" t="n">
        <v>0.120681999047675</v>
      </c>
      <c r="T797" s="38" t="n">
        <f aca="false">N797*Scorecard!$C$18+O797*Scorecard!$C$19+P797*Scorecard!$C$20+Q797*Scorecard!$C$21+R797*Scorecard!$C$22+S797*Scorecard!$C$23</f>
        <v>4.08052083936948</v>
      </c>
      <c r="U797" s="38" t="n">
        <f aca="false">N797*Scorecard!$D$18+O797*Scorecard!$D$19+P797*Scorecard!$D$20+Q797*Scorecard!$D$21+R797*Scorecard!$D$22+S797*Scorecard!$D$23</f>
        <v>2.70591324830395</v>
      </c>
      <c r="V797" s="38" t="n">
        <f aca="false">N797*Scorecard!$E$18+O797*Scorecard!$E$19+P797*Scorecard!$E$20+Q797*Scorecard!$E$21+R797*Scorecard!$E$22+S797*Scorecard!$E$23</f>
        <v>3.31314153922435</v>
      </c>
    </row>
    <row r="798" customFormat="false" ht="15" hidden="false" customHeight="false" outlineLevel="0" collapsed="false">
      <c r="A798" s="0" t="n">
        <v>793</v>
      </c>
      <c r="B798" s="38" t="n">
        <f aca="false">E798*Scorecard!$C$18+F798*Scorecard!$C$19+G798*Scorecard!$C$20+H798*Scorecard!$C$21+I798*Scorecard!$C$22+J798*Scorecard!$C$23</f>
        <v>3.74996247904211</v>
      </c>
      <c r="C798" s="38" t="n">
        <f aca="false">E798*Scorecard!$D$18+F798*Scorecard!$D$19+G798*Scorecard!$D$20+H798*Scorecard!$D$21+I798*Scorecard!$D$22+J798*Scorecard!$D$23</f>
        <v>2.4653200647551</v>
      </c>
      <c r="D798" s="0" t="str">
        <f aca="false">IF(AND(B798&gt;=C798,B798&gt;=K798),"A. Distribution",IF(C798&gt;=K798,"B. Manufacturing","C. Prof. services"))</f>
        <v>A. Distribution</v>
      </c>
      <c r="E798" s="39" t="n">
        <v>0.0923314255267693</v>
      </c>
      <c r="F798" s="39" t="n">
        <v>0.194024123606623</v>
      </c>
      <c r="G798" s="39" t="n">
        <v>0.0776818026841455</v>
      </c>
      <c r="H798" s="39" t="n">
        <v>0.288635700599158</v>
      </c>
      <c r="I798" s="39" t="n">
        <v>0.144552954404918</v>
      </c>
      <c r="J798" s="39" t="n">
        <v>0.202773993178387</v>
      </c>
      <c r="K798" s="38" t="n">
        <f aca="false">E798*Scorecard!$E$18+F798*Scorecard!$E$19+G798*Scorecard!$E$20+H798*Scorecard!$E$21+I798*Scorecard!$E$22+J798*Scorecard!$E$23</f>
        <v>3.48794917625782</v>
      </c>
      <c r="M798" s="0" t="str">
        <f aca="false">IF(AND(T798&gt;=U798,T798&gt;=V798),"A. Distribution",IF(U798&gt;=V798,"B. Manufacturing","C. Prof. services"))</f>
        <v>A. Distribution</v>
      </c>
      <c r="N798" s="39" t="n">
        <v>0.114046455794368</v>
      </c>
      <c r="O798" s="39" t="n">
        <v>0.170480282001652</v>
      </c>
      <c r="P798" s="39" t="n">
        <v>0.187715335157667</v>
      </c>
      <c r="Q798" s="39" t="n">
        <v>0.183593415567834</v>
      </c>
      <c r="R798" s="39" t="n">
        <v>0.13855738705205</v>
      </c>
      <c r="S798" s="39" t="n">
        <v>0.205607124426428</v>
      </c>
      <c r="T798" s="38" t="n">
        <f aca="false">N798*Scorecard!$C$18+O798*Scorecard!$C$19+P798*Scorecard!$C$20+Q798*Scorecard!$C$21+R798*Scorecard!$C$22+S798*Scorecard!$C$23</f>
        <v>3.73032731311159</v>
      </c>
      <c r="U798" s="38" t="n">
        <f aca="false">N798*Scorecard!$D$18+O798*Scorecard!$D$19+P798*Scorecard!$D$20+Q798*Scorecard!$D$21+R798*Scorecard!$D$22+S798*Scorecard!$D$23</f>
        <v>2.45667135046918</v>
      </c>
      <c r="V798" s="38" t="n">
        <f aca="false">N798*Scorecard!$E$18+O798*Scorecard!$E$19+P798*Scorecard!$E$20+Q798*Scorecard!$E$21+R798*Scorecard!$E$22+S798*Scorecard!$E$23</f>
        <v>3.55100256310845</v>
      </c>
    </row>
    <row r="799" customFormat="false" ht="15" hidden="false" customHeight="false" outlineLevel="0" collapsed="false">
      <c r="A799" s="0" t="n">
        <v>794</v>
      </c>
      <c r="B799" s="38" t="n">
        <f aca="false">E799*Scorecard!$C$18+F799*Scorecard!$C$19+G799*Scorecard!$C$20+H799*Scorecard!$C$21+I799*Scorecard!$C$22+J799*Scorecard!$C$23</f>
        <v>4.23810029603832</v>
      </c>
      <c r="C799" s="38" t="n">
        <f aca="false">E799*Scorecard!$D$18+F799*Scorecard!$D$19+G799*Scorecard!$D$20+H799*Scorecard!$D$21+I799*Scorecard!$D$22+J799*Scorecard!$D$23</f>
        <v>2.76266504854129</v>
      </c>
      <c r="D799" s="0" t="str">
        <f aca="false">IF(AND(B799&gt;=C799,B799&gt;=K799),"A. Distribution",IF(C799&gt;=K799,"B. Manufacturing","C. Prof. services"))</f>
        <v>A. Distribution</v>
      </c>
      <c r="E799" s="39" t="n">
        <v>0.249072886973716</v>
      </c>
      <c r="F799" s="39" t="n">
        <v>0.440721361096009</v>
      </c>
      <c r="G799" s="39" t="n">
        <v>0.0197535350600652</v>
      </c>
      <c r="H799" s="39" t="n">
        <v>0.206579919019265</v>
      </c>
      <c r="I799" s="39" t="n">
        <v>0.00368994809524148</v>
      </c>
      <c r="J799" s="39" t="n">
        <v>0.080182349755704</v>
      </c>
      <c r="K799" s="38" t="n">
        <f aca="false">E799*Scorecard!$E$18+F799*Scorecard!$E$19+G799*Scorecard!$E$20+H799*Scorecard!$E$21+I799*Scorecard!$E$22+J799*Scorecard!$E$23</f>
        <v>3.31499112378547</v>
      </c>
      <c r="M799" s="0" t="str">
        <f aca="false">IF(AND(T799&gt;=U799,T799&gt;=V799),"A. Distribution",IF(U799&gt;=V799,"B. Manufacturing","C. Prof. services"))</f>
        <v>A. Distribution</v>
      </c>
      <c r="N799" s="39" t="n">
        <v>0.235388276762895</v>
      </c>
      <c r="O799" s="39" t="n">
        <v>0.204759671071853</v>
      </c>
      <c r="P799" s="39" t="n">
        <v>0.25966651772706</v>
      </c>
      <c r="Q799" s="39" t="n">
        <v>0.0538371069294433</v>
      </c>
      <c r="R799" s="39" t="n">
        <v>0.191337712337127</v>
      </c>
      <c r="S799" s="39" t="n">
        <v>0.0550107151716218</v>
      </c>
      <c r="T799" s="38" t="n">
        <f aca="false">N799*Scorecard!$C$18+O799*Scorecard!$C$19+P799*Scorecard!$C$20+Q799*Scorecard!$C$21+R799*Scorecard!$C$22+S799*Scorecard!$C$23</f>
        <v>4.07003869599287</v>
      </c>
      <c r="U799" s="38" t="n">
        <f aca="false">N799*Scorecard!$D$18+O799*Scorecard!$D$19+P799*Scorecard!$D$20+Q799*Scorecard!$D$21+R799*Scorecard!$D$22+S799*Scorecard!$D$23</f>
        <v>2.82809364028434</v>
      </c>
      <c r="V799" s="38" t="n">
        <f aca="false">N799*Scorecard!$E$18+O799*Scorecard!$E$19+P799*Scorecard!$E$20+Q799*Scorecard!$E$21+R799*Scorecard!$E$22+S799*Scorecard!$E$23</f>
        <v>3.32852642896789</v>
      </c>
    </row>
    <row r="800" customFormat="false" ht="15" hidden="false" customHeight="false" outlineLevel="0" collapsed="false">
      <c r="A800" s="0" t="n">
        <v>795</v>
      </c>
      <c r="B800" s="38" t="n">
        <f aca="false">E800*Scorecard!$C$18+F800*Scorecard!$C$19+G800*Scorecard!$C$20+H800*Scorecard!$C$21+I800*Scorecard!$C$22+J800*Scorecard!$C$23</f>
        <v>3.85883579017628</v>
      </c>
      <c r="C800" s="38" t="n">
        <f aca="false">E800*Scorecard!$D$18+F800*Scorecard!$D$19+G800*Scorecard!$D$20+H800*Scorecard!$D$21+I800*Scorecard!$D$22+J800*Scorecard!$D$23</f>
        <v>2.79964670840611</v>
      </c>
      <c r="D800" s="0" t="str">
        <f aca="false">IF(AND(B800&gt;=C800,B800&gt;=K800),"A. Distribution",IF(C800&gt;=K800,"B. Manufacturing","C. Prof. services"))</f>
        <v>A. Distribution</v>
      </c>
      <c r="E800" s="39" t="n">
        <v>0.330131930647645</v>
      </c>
      <c r="F800" s="39" t="n">
        <v>0.0915115210435169</v>
      </c>
      <c r="G800" s="39" t="n">
        <v>0.276313995844876</v>
      </c>
      <c r="H800" s="39" t="n">
        <v>0.138529050033907</v>
      </c>
      <c r="I800" s="39" t="n">
        <v>0.0678915437096023</v>
      </c>
      <c r="J800" s="39" t="n">
        <v>0.0956219587204531</v>
      </c>
      <c r="K800" s="38" t="n">
        <f aca="false">E800*Scorecard!$E$18+F800*Scorecard!$E$19+G800*Scorecard!$E$20+H800*Scorecard!$E$21+I800*Scorecard!$E$22+J800*Scorecard!$E$23</f>
        <v>3.61488615124069</v>
      </c>
      <c r="M800" s="0" t="str">
        <f aca="false">IF(AND(T800&gt;=U800,T800&gt;=V800),"A. Distribution",IF(U800&gt;=V800,"B. Manufacturing","C. Prof. services"))</f>
        <v>A. Distribution</v>
      </c>
      <c r="N800" s="39" t="n">
        <v>0.282466233522854</v>
      </c>
      <c r="O800" s="39" t="n">
        <v>0.0879347545384491</v>
      </c>
      <c r="P800" s="39" t="n">
        <v>0.24702738192638</v>
      </c>
      <c r="Q800" s="39" t="n">
        <v>0.0927490657119728</v>
      </c>
      <c r="R800" s="39" t="n">
        <v>0.25939960070473</v>
      </c>
      <c r="S800" s="39" t="n">
        <v>0.0304229635956143</v>
      </c>
      <c r="T800" s="38" t="n">
        <f aca="false">N800*Scorecard!$C$18+O800*Scorecard!$C$19+P800*Scorecard!$C$20+Q800*Scorecard!$C$21+R800*Scorecard!$C$22+S800*Scorecard!$C$23</f>
        <v>3.9944167590455</v>
      </c>
      <c r="U800" s="38" t="n">
        <f aca="false">N800*Scorecard!$D$18+O800*Scorecard!$D$19+P800*Scorecard!$D$20+Q800*Scorecard!$D$21+R800*Scorecard!$D$22+S800*Scorecard!$D$23</f>
        <v>2.97586532128815</v>
      </c>
      <c r="V800" s="38" t="n">
        <f aca="false">N800*Scorecard!$E$18+O800*Scorecard!$E$19+P800*Scorecard!$E$20+Q800*Scorecard!$E$21+R800*Scorecard!$E$22+S800*Scorecard!$E$23</f>
        <v>3.30618228049622</v>
      </c>
    </row>
    <row r="801" customFormat="false" ht="15" hidden="false" customHeight="false" outlineLevel="0" collapsed="false">
      <c r="A801" s="0" t="n">
        <v>796</v>
      </c>
      <c r="B801" s="38" t="n">
        <f aca="false">E801*Scorecard!$C$18+F801*Scorecard!$C$19+G801*Scorecard!$C$20+H801*Scorecard!$C$21+I801*Scorecard!$C$22+J801*Scorecard!$C$23</f>
        <v>4.07557439761713</v>
      </c>
      <c r="C801" s="38" t="n">
        <f aca="false">E801*Scorecard!$D$18+F801*Scorecard!$D$19+G801*Scorecard!$D$20+H801*Scorecard!$D$21+I801*Scorecard!$D$22+J801*Scorecard!$D$23</f>
        <v>3.02105819465486</v>
      </c>
      <c r="D801" s="0" t="str">
        <f aca="false">IF(AND(B801&gt;=C801,B801&gt;=K801),"A. Distribution",IF(C801&gt;=K801,"B. Manufacturing","C. Prof. services"))</f>
        <v>A. Distribution</v>
      </c>
      <c r="E801" s="39" t="n">
        <v>0.111817555953354</v>
      </c>
      <c r="F801" s="39" t="n">
        <v>0.173243738845089</v>
      </c>
      <c r="G801" s="39" t="n">
        <v>0.0713609729559418</v>
      </c>
      <c r="H801" s="39" t="n">
        <v>0.0782758556275605</v>
      </c>
      <c r="I801" s="39" t="n">
        <v>0.525173075994029</v>
      </c>
      <c r="J801" s="39" t="n">
        <v>0.0401288006240261</v>
      </c>
      <c r="K801" s="38" t="n">
        <f aca="false">E801*Scorecard!$E$18+F801*Scorecard!$E$19+G801*Scorecard!$E$20+H801*Scorecard!$E$21+I801*Scorecard!$E$22+J801*Scorecard!$E$23</f>
        <v>2.85614882260229</v>
      </c>
      <c r="M801" s="0" t="str">
        <f aca="false">IF(AND(T801&gt;=U801,T801&gt;=V801),"A. Distribution",IF(U801&gt;=V801,"B. Manufacturing","C. Prof. services"))</f>
        <v>A. Distribution</v>
      </c>
      <c r="N801" s="39" t="n">
        <v>0.206742982931763</v>
      </c>
      <c r="O801" s="39" t="n">
        <v>0.270766525951981</v>
      </c>
      <c r="P801" s="39" t="n">
        <v>0.234526447690184</v>
      </c>
      <c r="Q801" s="39" t="n">
        <v>0.17514769720701</v>
      </c>
      <c r="R801" s="39" t="n">
        <v>0.0754398844302954</v>
      </c>
      <c r="S801" s="39" t="n">
        <v>0.0373764617887672</v>
      </c>
      <c r="T801" s="38" t="n">
        <f aca="false">N801*Scorecard!$C$18+O801*Scorecard!$C$19+P801*Scorecard!$C$20+Q801*Scorecard!$C$21+R801*Scorecard!$C$22+S801*Scorecard!$C$23</f>
        <v>4.16054260852116</v>
      </c>
      <c r="U801" s="38" t="n">
        <f aca="false">N801*Scorecard!$D$18+O801*Scorecard!$D$19+P801*Scorecard!$D$20+Q801*Scorecard!$D$21+R801*Scorecard!$D$22+S801*Scorecard!$D$23</f>
        <v>2.69485275747839</v>
      </c>
      <c r="V801" s="38" t="n">
        <f aca="false">N801*Scorecard!$E$18+O801*Scorecard!$E$19+P801*Scorecard!$E$20+Q801*Scorecard!$E$21+R801*Scorecard!$E$22+S801*Scorecard!$E$23</f>
        <v>3.40861531243168</v>
      </c>
    </row>
    <row r="802" customFormat="false" ht="15" hidden="false" customHeight="false" outlineLevel="0" collapsed="false">
      <c r="A802" s="0" t="n">
        <v>797</v>
      </c>
      <c r="B802" s="38" t="n">
        <f aca="false">E802*Scorecard!$C$18+F802*Scorecard!$C$19+G802*Scorecard!$C$20+H802*Scorecard!$C$21+I802*Scorecard!$C$22+J802*Scorecard!$C$23</f>
        <v>4.17694154573177</v>
      </c>
      <c r="C802" s="38" t="n">
        <f aca="false">E802*Scorecard!$D$18+F802*Scorecard!$D$19+G802*Scorecard!$D$20+H802*Scorecard!$D$21+I802*Scorecard!$D$22+J802*Scorecard!$D$23</f>
        <v>2.68440853226367</v>
      </c>
      <c r="D802" s="0" t="str">
        <f aca="false">IF(AND(B802&gt;=C802,B802&gt;=K802),"A. Distribution",IF(C802&gt;=K802,"B. Manufacturing","C. Prof. services"))</f>
        <v>A. Distribution</v>
      </c>
      <c r="E802" s="39" t="n">
        <v>0.168989709498516</v>
      </c>
      <c r="F802" s="39" t="n">
        <v>0.258319181324152</v>
      </c>
      <c r="G802" s="39" t="n">
        <v>0.28964770299245</v>
      </c>
      <c r="H802" s="39" t="n">
        <v>0.116315586211225</v>
      </c>
      <c r="I802" s="39" t="n">
        <v>0.139089357637428</v>
      </c>
      <c r="J802" s="39" t="n">
        <v>0.0276384623362294</v>
      </c>
      <c r="K802" s="38" t="n">
        <f aca="false">E802*Scorecard!$E$18+F802*Scorecard!$E$19+G802*Scorecard!$E$20+H802*Scorecard!$E$21+I802*Scorecard!$E$22+J802*Scorecard!$E$23</f>
        <v>3.35066071353803</v>
      </c>
      <c r="M802" s="0" t="str">
        <f aca="false">IF(AND(T802&gt;=U802,T802&gt;=V802),"A. Distribution",IF(U802&gt;=V802,"B. Manufacturing","C. Prof. services"))</f>
        <v>A. Distribution</v>
      </c>
      <c r="N802" s="39" t="n">
        <v>0.263485657166457</v>
      </c>
      <c r="O802" s="39" t="n">
        <v>0.246735760829319</v>
      </c>
      <c r="P802" s="39" t="n">
        <v>0.147144450720451</v>
      </c>
      <c r="Q802" s="39" t="n">
        <v>0.0959897705975815</v>
      </c>
      <c r="R802" s="39" t="n">
        <v>0.161909265013475</v>
      </c>
      <c r="S802" s="39" t="n">
        <v>0.0847350956727171</v>
      </c>
      <c r="T802" s="38" t="n">
        <f aca="false">N802*Scorecard!$C$18+O802*Scorecard!$C$19+P802*Scorecard!$C$20+Q802*Scorecard!$C$21+R802*Scorecard!$C$22+S802*Scorecard!$C$23</f>
        <v>4.04576820253256</v>
      </c>
      <c r="U802" s="38" t="n">
        <f aca="false">N802*Scorecard!$D$18+O802*Scorecard!$D$19+P802*Scorecard!$D$20+Q802*Scorecard!$D$21+R802*Scorecard!$D$22+S802*Scorecard!$D$23</f>
        <v>2.86540450478659</v>
      </c>
      <c r="V802" s="38" t="n">
        <f aca="false">N802*Scorecard!$E$18+O802*Scorecard!$E$19+P802*Scorecard!$E$20+Q802*Scorecard!$E$21+R802*Scorecard!$E$22+S802*Scorecard!$E$23</f>
        <v>3.31442222950456</v>
      </c>
    </row>
    <row r="803" customFormat="false" ht="15" hidden="false" customHeight="false" outlineLevel="0" collapsed="false">
      <c r="A803" s="0" t="n">
        <v>798</v>
      </c>
      <c r="B803" s="38" t="n">
        <f aca="false">E803*Scorecard!$C$18+F803*Scorecard!$C$19+G803*Scorecard!$C$20+H803*Scorecard!$C$21+I803*Scorecard!$C$22+J803*Scorecard!$C$23</f>
        <v>4.12211438380265</v>
      </c>
      <c r="C803" s="38" t="n">
        <f aca="false">E803*Scorecard!$D$18+F803*Scorecard!$D$19+G803*Scorecard!$D$20+H803*Scorecard!$D$21+I803*Scorecard!$D$22+J803*Scorecard!$D$23</f>
        <v>2.40452229472422</v>
      </c>
      <c r="D803" s="0" t="str">
        <f aca="false">IF(AND(B803&gt;=C803,B803&gt;=K803),"A. Distribution",IF(C803&gt;=K803,"B. Manufacturing","C. Prof. services"))</f>
        <v>A. Distribution</v>
      </c>
      <c r="E803" s="39" t="n">
        <v>0.10772356997275</v>
      </c>
      <c r="F803" s="39" t="n">
        <v>0.434988401772706</v>
      </c>
      <c r="G803" s="39" t="n">
        <v>0.233046446069014</v>
      </c>
      <c r="H803" s="39" t="n">
        <v>0.0679393215434029</v>
      </c>
      <c r="I803" s="39" t="n">
        <v>0.00784989138132719</v>
      </c>
      <c r="J803" s="39" t="n">
        <v>0.1484523692608</v>
      </c>
      <c r="K803" s="38" t="n">
        <f aca="false">E803*Scorecard!$E$18+F803*Scorecard!$E$19+G803*Scorecard!$E$20+H803*Scorecard!$E$21+I803*Scorecard!$E$22+J803*Scorecard!$E$23</f>
        <v>3.4650666837332</v>
      </c>
      <c r="M803" s="0" t="str">
        <f aca="false">IF(AND(T803&gt;=U803,T803&gt;=V803),"A. Distribution",IF(U803&gt;=V803,"B. Manufacturing","C. Prof. services"))</f>
        <v>A. Distribution</v>
      </c>
      <c r="N803" s="39" t="n">
        <v>0.27845781344179</v>
      </c>
      <c r="O803" s="39" t="n">
        <v>0.227373537097647</v>
      </c>
      <c r="P803" s="39" t="n">
        <v>0.187916648827669</v>
      </c>
      <c r="Q803" s="39" t="n">
        <v>0.190812985392281</v>
      </c>
      <c r="R803" s="39" t="n">
        <v>0.0704954769216739</v>
      </c>
      <c r="S803" s="39" t="n">
        <v>0.0449435383189401</v>
      </c>
      <c r="T803" s="38" t="n">
        <f aca="false">N803*Scorecard!$C$18+O803*Scorecard!$C$19+P803*Scorecard!$C$20+Q803*Scorecard!$C$21+R803*Scorecard!$C$22+S803*Scorecard!$C$23</f>
        <v>4.09456977037676</v>
      </c>
      <c r="U803" s="38" t="n">
        <f aca="false">N803*Scorecard!$D$18+O803*Scorecard!$D$19+P803*Scorecard!$D$20+Q803*Scorecard!$D$21+R803*Scorecard!$D$22+S803*Scorecard!$D$23</f>
        <v>2.81116753002544</v>
      </c>
      <c r="V803" s="38" t="n">
        <f aca="false">N803*Scorecard!$E$18+O803*Scorecard!$E$19+P803*Scorecard!$E$20+Q803*Scorecard!$E$21+R803*Scorecard!$E$22+S803*Scorecard!$E$23</f>
        <v>3.43153130531175</v>
      </c>
    </row>
    <row r="804" customFormat="false" ht="15" hidden="false" customHeight="false" outlineLevel="0" collapsed="false">
      <c r="A804" s="0" t="n">
        <v>799</v>
      </c>
      <c r="B804" s="38" t="n">
        <f aca="false">E804*Scorecard!$C$18+F804*Scorecard!$C$19+G804*Scorecard!$C$20+H804*Scorecard!$C$21+I804*Scorecard!$C$22+J804*Scorecard!$C$23</f>
        <v>3.84101518071789</v>
      </c>
      <c r="C804" s="38" t="n">
        <f aca="false">E804*Scorecard!$D$18+F804*Scorecard!$D$19+G804*Scorecard!$D$20+H804*Scorecard!$D$21+I804*Scorecard!$D$22+J804*Scorecard!$D$23</f>
        <v>2.27978610187122</v>
      </c>
      <c r="D804" s="0" t="str">
        <f aca="false">IF(AND(B804&gt;=C804,B804&gt;=K804),"A. Distribution",IF(C804&gt;=K804,"B. Manufacturing","C. Prof. services"))</f>
        <v>A. Distribution</v>
      </c>
      <c r="E804" s="39" t="n">
        <v>0.041855905392237</v>
      </c>
      <c r="F804" s="39" t="n">
        <v>0.00551354264934451</v>
      </c>
      <c r="G804" s="39" t="n">
        <v>0.424451156819551</v>
      </c>
      <c r="H804" s="39" t="n">
        <v>0.386664385554379</v>
      </c>
      <c r="I804" s="39" t="n">
        <v>0.0817777236018946</v>
      </c>
      <c r="J804" s="39" t="n">
        <v>0.0597372859825936</v>
      </c>
      <c r="K804" s="38" t="n">
        <f aca="false">E804*Scorecard!$E$18+F804*Scorecard!$E$19+G804*Scorecard!$E$20+H804*Scorecard!$E$21+I804*Scorecard!$E$22+J804*Scorecard!$E$23</f>
        <v>3.73958220190475</v>
      </c>
      <c r="M804" s="0" t="str">
        <f aca="false">IF(AND(T804&gt;=U804,T804&gt;=V804),"A. Distribution",IF(U804&gt;=V804,"B. Manufacturing","C. Prof. services"))</f>
        <v>A. Distribution</v>
      </c>
      <c r="N804" s="39" t="n">
        <v>0.268335687734202</v>
      </c>
      <c r="O804" s="39" t="n">
        <v>0.171800724997274</v>
      </c>
      <c r="P804" s="39" t="n">
        <v>0.176219541711766</v>
      </c>
      <c r="Q804" s="39" t="n">
        <v>0.0672812335540174</v>
      </c>
      <c r="R804" s="39" t="n">
        <v>0.206233388764409</v>
      </c>
      <c r="S804" s="39" t="n">
        <v>0.110129423238332</v>
      </c>
      <c r="T804" s="38" t="n">
        <f aca="false">N804*Scorecard!$C$18+O804*Scorecard!$C$19+P804*Scorecard!$C$20+Q804*Scorecard!$C$21+R804*Scorecard!$C$22+S804*Scorecard!$C$23</f>
        <v>3.92274847998435</v>
      </c>
      <c r="U804" s="38" t="n">
        <f aca="false">N804*Scorecard!$D$18+O804*Scorecard!$D$19+P804*Scorecard!$D$20+Q804*Scorecard!$D$21+R804*Scorecard!$D$22+S804*Scorecard!$D$23</f>
        <v>2.87352515435926</v>
      </c>
      <c r="V804" s="38" t="n">
        <f aca="false">N804*Scorecard!$E$18+O804*Scorecard!$E$19+P804*Scorecard!$E$20+Q804*Scorecard!$E$21+R804*Scorecard!$E$22+S804*Scorecard!$E$23</f>
        <v>3.34978792449045</v>
      </c>
    </row>
    <row r="805" customFormat="false" ht="15" hidden="false" customHeight="false" outlineLevel="0" collapsed="false">
      <c r="A805" s="0" t="n">
        <v>800</v>
      </c>
      <c r="B805" s="38" t="n">
        <f aca="false">E805*Scorecard!$C$18+F805*Scorecard!$C$19+G805*Scorecard!$C$20+H805*Scorecard!$C$21+I805*Scorecard!$C$22+J805*Scorecard!$C$23</f>
        <v>3.12160807859602</v>
      </c>
      <c r="C805" s="38" t="n">
        <f aca="false">E805*Scorecard!$D$18+F805*Scorecard!$D$19+G805*Scorecard!$D$20+H805*Scorecard!$D$21+I805*Scorecard!$D$22+J805*Scorecard!$D$23</f>
        <v>2.34160015219675</v>
      </c>
      <c r="D805" s="0" t="str">
        <f aca="false">IF(AND(B805&gt;=C805,B805&gt;=K805),"A. Distribution",IF(C805&gt;=K805,"B. Manufacturing","C. Prof. services"))</f>
        <v>C. Prof. services</v>
      </c>
      <c r="E805" s="39" t="n">
        <v>0.146181763826289</v>
      </c>
      <c r="F805" s="39" t="n">
        <v>0.0741020700106494</v>
      </c>
      <c r="G805" s="39" t="n">
        <v>0.0759291898606183</v>
      </c>
      <c r="H805" s="39" t="n">
        <v>0.0737037658937982</v>
      </c>
      <c r="I805" s="39" t="n">
        <v>0.163675257674046</v>
      </c>
      <c r="J805" s="39" t="n">
        <v>0.4664079527346</v>
      </c>
      <c r="K805" s="38" t="n">
        <f aca="false">E805*Scorecard!$E$18+F805*Scorecard!$E$19+G805*Scorecard!$E$20+H805*Scorecard!$E$21+I805*Scorecard!$E$22+J805*Scorecard!$E$23</f>
        <v>3.77462587031123</v>
      </c>
      <c r="M805" s="0" t="str">
        <f aca="false">IF(AND(T805&gt;=U805,T805&gt;=V805),"A. Distribution",IF(U805&gt;=V805,"B. Manufacturing","C. Prof. services"))</f>
        <v>A. Distribution</v>
      </c>
      <c r="N805" s="39" t="n">
        <v>0.171349675363411</v>
      </c>
      <c r="O805" s="39" t="n">
        <v>0.154731729024658</v>
      </c>
      <c r="P805" s="39" t="n">
        <v>0.319574362202468</v>
      </c>
      <c r="Q805" s="39" t="n">
        <v>0.101448096989812</v>
      </c>
      <c r="R805" s="39" t="n">
        <v>0.0640131959674292</v>
      </c>
      <c r="S805" s="39" t="n">
        <v>0.188882940452222</v>
      </c>
      <c r="T805" s="38" t="n">
        <f aca="false">N805*Scorecard!$C$18+O805*Scorecard!$C$19+P805*Scorecard!$C$20+Q805*Scorecard!$C$21+R805*Scorecard!$C$22+S805*Scorecard!$C$23</f>
        <v>3.75227764384723</v>
      </c>
      <c r="U805" s="38" t="n">
        <f aca="false">N805*Scorecard!$D$18+O805*Scorecard!$D$19+P805*Scorecard!$D$20+Q805*Scorecard!$D$21+R805*Scorecard!$D$22+S805*Scorecard!$D$23</f>
        <v>2.44923422612075</v>
      </c>
      <c r="V805" s="38" t="n">
        <f aca="false">N805*Scorecard!$E$18+O805*Scorecard!$E$19+P805*Scorecard!$E$20+Q805*Scorecard!$E$21+R805*Scorecard!$E$22+S805*Scorecard!$E$23</f>
        <v>3.68392551612862</v>
      </c>
    </row>
    <row r="806" customFormat="false" ht="15" hidden="false" customHeight="false" outlineLevel="0" collapsed="false">
      <c r="A806" s="0" t="n">
        <v>801</v>
      </c>
      <c r="B806" s="38" t="n">
        <f aca="false">E806*Scorecard!$C$18+F806*Scorecard!$C$19+G806*Scorecard!$C$20+H806*Scorecard!$C$21+I806*Scorecard!$C$22+J806*Scorecard!$C$23</f>
        <v>4.2388444623011</v>
      </c>
      <c r="C806" s="38" t="n">
        <f aca="false">E806*Scorecard!$D$18+F806*Scorecard!$D$19+G806*Scorecard!$D$20+H806*Scorecard!$D$21+I806*Scorecard!$D$22+J806*Scorecard!$D$23</f>
        <v>2.51925596436953</v>
      </c>
      <c r="D806" s="0" t="str">
        <f aca="false">IF(AND(B806&gt;=C806,B806&gt;=K806),"A. Distribution",IF(C806&gt;=K806,"B. Manufacturing","C. Prof. services"))</f>
        <v>A. Distribution</v>
      </c>
      <c r="E806" s="39" t="n">
        <v>0.117839139129868</v>
      </c>
      <c r="F806" s="39" t="n">
        <v>0.548728893719434</v>
      </c>
      <c r="G806" s="39" t="n">
        <v>0.0308315257082594</v>
      </c>
      <c r="H806" s="39" t="n">
        <v>0.146427440596274</v>
      </c>
      <c r="I806" s="39" t="n">
        <v>0.0138500685002696</v>
      </c>
      <c r="J806" s="39" t="n">
        <v>0.142322932345895</v>
      </c>
      <c r="K806" s="38" t="n">
        <f aca="false">E806*Scorecard!$E$18+F806*Scorecard!$E$19+G806*Scorecard!$E$20+H806*Scorecard!$E$21+I806*Scorecard!$E$22+J806*Scorecard!$E$23</f>
        <v>3.28530468150373</v>
      </c>
      <c r="M806" s="0" t="str">
        <f aca="false">IF(AND(T806&gt;=U806,T806&gt;=V806),"A. Distribution",IF(U806&gt;=V806,"B. Manufacturing","C. Prof. services"))</f>
        <v>A. Distribution</v>
      </c>
      <c r="N806" s="39" t="n">
        <v>0.260463782632826</v>
      </c>
      <c r="O806" s="39" t="n">
        <v>0.114801746613263</v>
      </c>
      <c r="P806" s="39" t="n">
        <v>0.340260109760057</v>
      </c>
      <c r="Q806" s="39" t="n">
        <v>0.107012207511768</v>
      </c>
      <c r="R806" s="39" t="n">
        <v>0.080395157709623</v>
      </c>
      <c r="S806" s="39" t="n">
        <v>0.0970669957724623</v>
      </c>
      <c r="T806" s="38" t="n">
        <f aca="false">N806*Scorecard!$C$18+O806*Scorecard!$C$19+P806*Scorecard!$C$20+Q806*Scorecard!$C$21+R806*Scorecard!$C$22+S806*Scorecard!$C$23</f>
        <v>3.88822533062275</v>
      </c>
      <c r="U806" s="38" t="n">
        <f aca="false">N806*Scorecard!$D$18+O806*Scorecard!$D$19+P806*Scorecard!$D$20+Q806*Scorecard!$D$21+R806*Scorecard!$D$22+S806*Scorecard!$D$23</f>
        <v>2.67776187945129</v>
      </c>
      <c r="V806" s="38" t="n">
        <f aca="false">N806*Scorecard!$E$18+O806*Scorecard!$E$19+P806*Scorecard!$E$20+Q806*Scorecard!$E$21+R806*Scorecard!$E$22+S806*Scorecard!$E$23</f>
        <v>3.61206981082477</v>
      </c>
    </row>
    <row r="807" customFormat="false" ht="15" hidden="false" customHeight="false" outlineLevel="0" collapsed="false">
      <c r="A807" s="0" t="n">
        <v>802</v>
      </c>
      <c r="B807" s="38" t="n">
        <f aca="false">E807*Scorecard!$C$18+F807*Scorecard!$C$19+G807*Scorecard!$C$20+H807*Scorecard!$C$21+I807*Scorecard!$C$22+J807*Scorecard!$C$23</f>
        <v>3.97636159890017</v>
      </c>
      <c r="C807" s="38" t="n">
        <f aca="false">E807*Scorecard!$D$18+F807*Scorecard!$D$19+G807*Scorecard!$D$20+H807*Scorecard!$D$21+I807*Scorecard!$D$22+J807*Scorecard!$D$23</f>
        <v>3.06734266945416</v>
      </c>
      <c r="D807" s="0" t="str">
        <f aca="false">IF(AND(B807&gt;=C807,B807&gt;=K807),"A. Distribution",IF(C807&gt;=K807,"B. Manufacturing","C. Prof. services"))</f>
        <v>A. Distribution</v>
      </c>
      <c r="E807" s="39" t="n">
        <v>0.394423206362414</v>
      </c>
      <c r="F807" s="39" t="n">
        <v>0.0587836048231953</v>
      </c>
      <c r="G807" s="39" t="n">
        <v>0.0820650891928419</v>
      </c>
      <c r="H807" s="39" t="n">
        <v>0.355472367061055</v>
      </c>
      <c r="I807" s="39" t="n">
        <v>0.103029390661121</v>
      </c>
      <c r="J807" s="39" t="n">
        <v>0.00622634189937286</v>
      </c>
      <c r="K807" s="38" t="n">
        <f aca="false">E807*Scorecard!$E$18+F807*Scorecard!$E$19+G807*Scorecard!$E$20+H807*Scorecard!$E$21+I807*Scorecard!$E$22+J807*Scorecard!$E$23</f>
        <v>3.44764508607564</v>
      </c>
      <c r="M807" s="0" t="str">
        <f aca="false">IF(AND(T807&gt;=U807,T807&gt;=V807),"A. Distribution",IF(U807&gt;=V807,"B. Manufacturing","C. Prof. services"))</f>
        <v>A. Distribution</v>
      </c>
      <c r="N807" s="39" t="n">
        <v>0.124881357878596</v>
      </c>
      <c r="O807" s="39" t="n">
        <v>0.148345540919801</v>
      </c>
      <c r="P807" s="39" t="n">
        <v>0.253878300655464</v>
      </c>
      <c r="Q807" s="39" t="n">
        <v>0.173595795102396</v>
      </c>
      <c r="R807" s="39" t="n">
        <v>0.252337239920872</v>
      </c>
      <c r="S807" s="39" t="n">
        <v>0.0469617655228714</v>
      </c>
      <c r="T807" s="38" t="n">
        <f aca="false">N807*Scorecard!$C$18+O807*Scorecard!$C$19+P807*Scorecard!$C$20+Q807*Scorecard!$C$21+R807*Scorecard!$C$22+S807*Scorecard!$C$23</f>
        <v>4.02569063999701</v>
      </c>
      <c r="U807" s="38" t="n">
        <f aca="false">N807*Scorecard!$D$18+O807*Scorecard!$D$19+P807*Scorecard!$D$20+Q807*Scorecard!$D$21+R807*Scorecard!$D$22+S807*Scorecard!$D$23</f>
        <v>2.69496982674533</v>
      </c>
      <c r="V807" s="38" t="n">
        <f aca="false">N807*Scorecard!$E$18+O807*Scorecard!$E$19+P807*Scorecard!$E$20+Q807*Scorecard!$E$21+R807*Scorecard!$E$22+S807*Scorecard!$E$23</f>
        <v>3.30635580100674</v>
      </c>
    </row>
    <row r="808" customFormat="false" ht="15" hidden="false" customHeight="false" outlineLevel="0" collapsed="false">
      <c r="A808" s="0" t="n">
        <v>803</v>
      </c>
      <c r="B808" s="38" t="n">
        <f aca="false">E808*Scorecard!$C$18+F808*Scorecard!$C$19+G808*Scorecard!$C$20+H808*Scorecard!$C$21+I808*Scorecard!$C$22+J808*Scorecard!$C$23</f>
        <v>4.09416065503619</v>
      </c>
      <c r="C808" s="38" t="n">
        <f aca="false">E808*Scorecard!$D$18+F808*Scorecard!$D$19+G808*Scorecard!$D$20+H808*Scorecard!$D$21+I808*Scorecard!$D$22+J808*Scorecard!$D$23</f>
        <v>2.73531782406522</v>
      </c>
      <c r="D808" s="0" t="str">
        <f aca="false">IF(AND(B808&gt;=C808,B808&gt;=K808),"A. Distribution",IF(C808&gt;=K808,"B. Manufacturing","C. Prof. services"))</f>
        <v>A. Distribution</v>
      </c>
      <c r="E808" s="39" t="n">
        <v>0.212690239282565</v>
      </c>
      <c r="F808" s="39" t="n">
        <v>0.202741673906149</v>
      </c>
      <c r="G808" s="39" t="n">
        <v>0.0483024203014616</v>
      </c>
      <c r="H808" s="39" t="n">
        <v>0.460134734993882</v>
      </c>
      <c r="I808" s="39" t="n">
        <v>0.0551684222909567</v>
      </c>
      <c r="J808" s="39" t="n">
        <v>0.0209625092249858</v>
      </c>
      <c r="K808" s="38" t="n">
        <f aca="false">E808*Scorecard!$E$18+F808*Scorecard!$E$19+G808*Scorecard!$E$20+H808*Scorecard!$E$21+I808*Scorecard!$E$22+J808*Scorecard!$E$23</f>
        <v>3.41932692399561</v>
      </c>
      <c r="M808" s="0" t="str">
        <f aca="false">IF(AND(T808&gt;=U808,T808&gt;=V808),"A. Distribution",IF(U808&gt;=V808,"B. Manufacturing","C. Prof. services"))</f>
        <v>A. Distribution</v>
      </c>
      <c r="N808" s="39" t="n">
        <v>0.387251836972163</v>
      </c>
      <c r="O808" s="39" t="n">
        <v>0.157065452158725</v>
      </c>
      <c r="P808" s="39" t="n">
        <v>0.193330956540377</v>
      </c>
      <c r="Q808" s="39" t="n">
        <v>0.109005762317574</v>
      </c>
      <c r="R808" s="39" t="n">
        <v>0.0680140914882405</v>
      </c>
      <c r="S808" s="39" t="n">
        <v>0.0853319005229224</v>
      </c>
      <c r="T808" s="38" t="n">
        <f aca="false">N808*Scorecard!$C$18+O808*Scorecard!$C$19+P808*Scorecard!$C$20+Q808*Scorecard!$C$21+R808*Scorecard!$C$22+S808*Scorecard!$C$23</f>
        <v>3.94356501637527</v>
      </c>
      <c r="U808" s="38" t="n">
        <f aca="false">N808*Scorecard!$D$18+O808*Scorecard!$D$19+P808*Scorecard!$D$20+Q808*Scorecard!$D$21+R808*Scorecard!$D$22+S808*Scorecard!$D$23</f>
        <v>2.9466303632597</v>
      </c>
      <c r="V808" s="38" t="n">
        <f aca="false">N808*Scorecard!$E$18+O808*Scorecard!$E$19+P808*Scorecard!$E$20+Q808*Scorecard!$E$21+R808*Scorecard!$E$22+S808*Scorecard!$E$23</f>
        <v>3.51226891847795</v>
      </c>
    </row>
    <row r="809" customFormat="false" ht="15" hidden="false" customHeight="false" outlineLevel="0" collapsed="false">
      <c r="A809" s="0" t="n">
        <v>804</v>
      </c>
      <c r="B809" s="38" t="n">
        <f aca="false">E809*Scorecard!$C$18+F809*Scorecard!$C$19+G809*Scorecard!$C$20+H809*Scorecard!$C$21+I809*Scorecard!$C$22+J809*Scorecard!$C$23</f>
        <v>3.33993810158886</v>
      </c>
      <c r="C809" s="38" t="n">
        <f aca="false">E809*Scorecard!$D$18+F809*Scorecard!$D$19+G809*Scorecard!$D$20+H809*Scorecard!$D$21+I809*Scorecard!$D$22+J809*Scorecard!$D$23</f>
        <v>2.5534909915193</v>
      </c>
      <c r="D809" s="0" t="str">
        <f aca="false">IF(AND(B809&gt;=C809,B809&gt;=K809),"A. Distribution",IF(C809&gt;=K809,"B. Manufacturing","C. Prof. services"))</f>
        <v>C. Prof. services</v>
      </c>
      <c r="E809" s="39" t="n">
        <v>0.0638666366429991</v>
      </c>
      <c r="F809" s="39" t="n">
        <v>0.00474970078818836</v>
      </c>
      <c r="G809" s="39" t="n">
        <v>0.0758090475270987</v>
      </c>
      <c r="H809" s="39" t="n">
        <v>0.121290461908658</v>
      </c>
      <c r="I809" s="39" t="n">
        <v>0.410976735798005</v>
      </c>
      <c r="J809" s="39" t="n">
        <v>0.323307417335051</v>
      </c>
      <c r="K809" s="38" t="n">
        <f aca="false">E809*Scorecard!$E$18+F809*Scorecard!$E$19+G809*Scorecard!$E$20+H809*Scorecard!$E$21+I809*Scorecard!$E$22+J809*Scorecard!$E$23</f>
        <v>3.39939641032017</v>
      </c>
      <c r="M809" s="0" t="str">
        <f aca="false">IF(AND(T809&gt;=U809,T809&gt;=V809),"A. Distribution",IF(U809&gt;=V809,"B. Manufacturing","C. Prof. services"))</f>
        <v>A. Distribution</v>
      </c>
      <c r="N809" s="39" t="n">
        <v>0.233903344294752</v>
      </c>
      <c r="O809" s="39" t="n">
        <v>0.163777279003758</v>
      </c>
      <c r="P809" s="39" t="n">
        <v>0.122797453129851</v>
      </c>
      <c r="Q809" s="39" t="n">
        <v>0.202410346529415</v>
      </c>
      <c r="R809" s="39" t="n">
        <v>0.206066996937192</v>
      </c>
      <c r="S809" s="39" t="n">
        <v>0.0710445801050315</v>
      </c>
      <c r="T809" s="38" t="n">
        <f aca="false">N809*Scorecard!$C$18+O809*Scorecard!$C$19+P809*Scorecard!$C$20+Q809*Scorecard!$C$21+R809*Scorecard!$C$22+S809*Scorecard!$C$23</f>
        <v>3.98109894074203</v>
      </c>
      <c r="U809" s="38" t="n">
        <f aca="false">N809*Scorecard!$D$18+O809*Scorecard!$D$19+P809*Scorecard!$D$20+Q809*Scorecard!$D$21+R809*Scorecard!$D$22+S809*Scorecard!$D$23</f>
        <v>2.85842125467102</v>
      </c>
      <c r="V809" s="38" t="n">
        <f aca="false">N809*Scorecard!$E$18+O809*Scorecard!$E$19+P809*Scorecard!$E$20+Q809*Scorecard!$E$21+R809*Scorecard!$E$22+S809*Scorecard!$E$23</f>
        <v>3.31313290779083</v>
      </c>
    </row>
    <row r="810" customFormat="false" ht="15" hidden="false" customHeight="false" outlineLevel="0" collapsed="false">
      <c r="A810" s="0" t="n">
        <v>805</v>
      </c>
      <c r="B810" s="38" t="n">
        <f aca="false">E810*Scorecard!$C$18+F810*Scorecard!$C$19+G810*Scorecard!$C$20+H810*Scorecard!$C$21+I810*Scorecard!$C$22+J810*Scorecard!$C$23</f>
        <v>3.29585757860469</v>
      </c>
      <c r="C810" s="38" t="n">
        <f aca="false">E810*Scorecard!$D$18+F810*Scorecard!$D$19+G810*Scorecard!$D$20+H810*Scorecard!$D$21+I810*Scorecard!$D$22+J810*Scorecard!$D$23</f>
        <v>2.46743822014482</v>
      </c>
      <c r="D810" s="0" t="str">
        <f aca="false">IF(AND(B810&gt;=C810,B810&gt;=K810),"A. Distribution",IF(C810&gt;=K810,"B. Manufacturing","C. Prof. services"))</f>
        <v>C. Prof. services</v>
      </c>
      <c r="E810" s="39" t="n">
        <v>0.117678013178761</v>
      </c>
      <c r="F810" s="39" t="n">
        <v>0.00814382536134326</v>
      </c>
      <c r="G810" s="39" t="n">
        <v>0.105700621551528</v>
      </c>
      <c r="H810" s="39" t="n">
        <v>0.164850883507019</v>
      </c>
      <c r="I810" s="39" t="n">
        <v>0.261088916637344</v>
      </c>
      <c r="J810" s="39" t="n">
        <v>0.342537739764006</v>
      </c>
      <c r="K810" s="38" t="n">
        <f aca="false">E810*Scorecard!$E$18+F810*Scorecard!$E$19+G810*Scorecard!$E$20+H810*Scorecard!$E$21+I810*Scorecard!$E$22+J810*Scorecard!$E$23</f>
        <v>3.61361895335788</v>
      </c>
      <c r="M810" s="0" t="str">
        <f aca="false">IF(AND(T810&gt;=U810,T810&gt;=V810),"A. Distribution",IF(U810&gt;=V810,"B. Manufacturing","C. Prof. services"))</f>
        <v>A. Distribution</v>
      </c>
      <c r="N810" s="39" t="n">
        <v>0.181786407219166</v>
      </c>
      <c r="O810" s="39" t="n">
        <v>0.229435196231125</v>
      </c>
      <c r="P810" s="39" t="n">
        <v>0.20581549895364</v>
      </c>
      <c r="Q810" s="39" t="n">
        <v>0.13454220889344</v>
      </c>
      <c r="R810" s="39" t="n">
        <v>0.154328964124318</v>
      </c>
      <c r="S810" s="39" t="n">
        <v>0.0940917245783114</v>
      </c>
      <c r="T810" s="38" t="n">
        <f aca="false">N810*Scorecard!$C$18+O810*Scorecard!$C$19+P810*Scorecard!$C$20+Q810*Scorecard!$C$21+R810*Scorecard!$C$22+S810*Scorecard!$C$23</f>
        <v>4.01215970131481</v>
      </c>
      <c r="U810" s="38" t="n">
        <f aca="false">N810*Scorecard!$D$18+O810*Scorecard!$D$19+P810*Scorecard!$D$20+Q810*Scorecard!$D$21+R810*Scorecard!$D$22+S810*Scorecard!$D$23</f>
        <v>2.68741661260948</v>
      </c>
      <c r="V810" s="38" t="n">
        <f aca="false">N810*Scorecard!$E$18+O810*Scorecard!$E$19+P810*Scorecard!$E$20+Q810*Scorecard!$E$21+R810*Scorecard!$E$22+S810*Scorecard!$E$23</f>
        <v>3.38065609379253</v>
      </c>
    </row>
    <row r="811" customFormat="false" ht="15" hidden="false" customHeight="false" outlineLevel="0" collapsed="false">
      <c r="A811" s="0" t="n">
        <v>806</v>
      </c>
      <c r="B811" s="38" t="n">
        <f aca="false">E811*Scorecard!$C$18+F811*Scorecard!$C$19+G811*Scorecard!$C$20+H811*Scorecard!$C$21+I811*Scorecard!$C$22+J811*Scorecard!$C$23</f>
        <v>3.85736769371071</v>
      </c>
      <c r="C811" s="38" t="n">
        <f aca="false">E811*Scorecard!$D$18+F811*Scorecard!$D$19+G811*Scorecard!$D$20+H811*Scorecard!$D$21+I811*Scorecard!$D$22+J811*Scorecard!$D$23</f>
        <v>2.61706136994624</v>
      </c>
      <c r="D811" s="0" t="str">
        <f aca="false">IF(AND(B811&gt;=C811,B811&gt;=K811),"A. Distribution",IF(C811&gt;=K811,"B. Manufacturing","C. Prof. services"))</f>
        <v>A. Distribution</v>
      </c>
      <c r="E811" s="39" t="n">
        <v>0.136535642812067</v>
      </c>
      <c r="F811" s="39" t="n">
        <v>0.0194457330636575</v>
      </c>
      <c r="G811" s="39" t="n">
        <v>0.459225495525494</v>
      </c>
      <c r="H811" s="39" t="n">
        <v>0.0467195607764453</v>
      </c>
      <c r="I811" s="39" t="n">
        <v>0.26503258119212</v>
      </c>
      <c r="J811" s="39" t="n">
        <v>0.0730409866302161</v>
      </c>
      <c r="K811" s="38" t="n">
        <f aca="false">E811*Scorecard!$E$18+F811*Scorecard!$E$19+G811*Scorecard!$E$20+H811*Scorecard!$E$21+I811*Scorecard!$E$22+J811*Scorecard!$E$23</f>
        <v>3.48799624997155</v>
      </c>
      <c r="M811" s="0" t="str">
        <f aca="false">IF(AND(T811&gt;=U811,T811&gt;=V811),"A. Distribution",IF(U811&gt;=V811,"B. Manufacturing","C. Prof. services"))</f>
        <v>A. Distribution</v>
      </c>
      <c r="N811" s="39" t="n">
        <v>0.232241196094062</v>
      </c>
      <c r="O811" s="39" t="n">
        <v>0.135237649105216</v>
      </c>
      <c r="P811" s="39" t="n">
        <v>0.149366302715268</v>
      </c>
      <c r="Q811" s="39" t="n">
        <v>0.211188451030709</v>
      </c>
      <c r="R811" s="39" t="n">
        <v>0.133244013536093</v>
      </c>
      <c r="S811" s="39" t="n">
        <v>0.138722387518652</v>
      </c>
      <c r="T811" s="38" t="n">
        <f aca="false">N811*Scorecard!$C$18+O811*Scorecard!$C$19+P811*Scorecard!$C$20+Q811*Scorecard!$C$21+R811*Scorecard!$C$22+S811*Scorecard!$C$23</f>
        <v>3.81639129861858</v>
      </c>
      <c r="U811" s="38" t="n">
        <f aca="false">N811*Scorecard!$D$18+O811*Scorecard!$D$19+P811*Scorecard!$D$20+Q811*Scorecard!$D$21+R811*Scorecard!$D$22+S811*Scorecard!$D$23</f>
        <v>2.71156913482736</v>
      </c>
      <c r="V811" s="38" t="n">
        <f aca="false">N811*Scorecard!$E$18+O811*Scorecard!$E$19+P811*Scorecard!$E$20+Q811*Scorecard!$E$21+R811*Scorecard!$E$22+S811*Scorecard!$E$23</f>
        <v>3.50042263549693</v>
      </c>
    </row>
    <row r="812" customFormat="false" ht="15" hidden="false" customHeight="false" outlineLevel="0" collapsed="false">
      <c r="A812" s="0" t="n">
        <v>807</v>
      </c>
      <c r="B812" s="38" t="n">
        <f aca="false">E812*Scorecard!$C$18+F812*Scorecard!$C$19+G812*Scorecard!$C$20+H812*Scorecard!$C$21+I812*Scorecard!$C$22+J812*Scorecard!$C$23</f>
        <v>4.13579968998182</v>
      </c>
      <c r="C812" s="38" t="n">
        <f aca="false">E812*Scorecard!$D$18+F812*Scorecard!$D$19+G812*Scorecard!$D$20+H812*Scorecard!$D$21+I812*Scorecard!$D$22+J812*Scorecard!$D$23</f>
        <v>2.40313816960731</v>
      </c>
      <c r="D812" s="0" t="str">
        <f aca="false">IF(AND(B812&gt;=C812,B812&gt;=K812),"A. Distribution",IF(C812&gt;=K812,"B. Manufacturing","C. Prof. services"))</f>
        <v>A. Distribution</v>
      </c>
      <c r="E812" s="39" t="n">
        <v>0.041675870791997</v>
      </c>
      <c r="F812" s="39" t="n">
        <v>0.373941652355463</v>
      </c>
      <c r="G812" s="39" t="n">
        <v>0.128651677831632</v>
      </c>
      <c r="H812" s="39" t="n">
        <v>0.28835773358188</v>
      </c>
      <c r="I812" s="39" t="n">
        <v>0.0655104523185355</v>
      </c>
      <c r="J812" s="39" t="n">
        <v>0.101862613120493</v>
      </c>
      <c r="K812" s="38" t="n">
        <f aca="false">E812*Scorecard!$E$18+F812*Scorecard!$E$19+G812*Scorecard!$E$20+H812*Scorecard!$E$21+I812*Scorecard!$E$22+J812*Scorecard!$E$23</f>
        <v>3.37957565419149</v>
      </c>
      <c r="M812" s="0" t="str">
        <f aca="false">IF(AND(T812&gt;=U812,T812&gt;=V812),"A. Distribution",IF(U812&gt;=V812,"B. Manufacturing","C. Prof. services"))</f>
        <v>A. Distribution</v>
      </c>
      <c r="N812" s="39" t="n">
        <v>0.181413784629596</v>
      </c>
      <c r="O812" s="39" t="n">
        <v>0.22498055064084</v>
      </c>
      <c r="P812" s="39" t="n">
        <v>0.288558149983784</v>
      </c>
      <c r="Q812" s="39" t="n">
        <v>0.0634868425604116</v>
      </c>
      <c r="R812" s="39" t="n">
        <v>0.145099202055983</v>
      </c>
      <c r="S812" s="39" t="n">
        <v>0.096461470129386</v>
      </c>
      <c r="T812" s="38" t="n">
        <f aca="false">N812*Scorecard!$C$18+O812*Scorecard!$C$19+P812*Scorecard!$C$20+Q812*Scorecard!$C$21+R812*Scorecard!$C$22+S812*Scorecard!$C$23</f>
        <v>4.01065173870514</v>
      </c>
      <c r="U812" s="38" t="n">
        <f aca="false">N812*Scorecard!$D$18+O812*Scorecard!$D$19+P812*Scorecard!$D$20+Q812*Scorecard!$D$21+R812*Scorecard!$D$22+S812*Scorecard!$D$23</f>
        <v>2.6500441214837</v>
      </c>
      <c r="V812" s="38" t="n">
        <f aca="false">N812*Scorecard!$E$18+O812*Scorecard!$E$19+P812*Scorecard!$E$20+Q812*Scorecard!$E$21+R812*Scorecard!$E$22+S812*Scorecard!$E$23</f>
        <v>3.4259761777699</v>
      </c>
    </row>
    <row r="813" customFormat="false" ht="15" hidden="false" customHeight="false" outlineLevel="0" collapsed="false">
      <c r="A813" s="0" t="n">
        <v>808</v>
      </c>
      <c r="B813" s="38" t="n">
        <f aca="false">E813*Scorecard!$C$18+F813*Scorecard!$C$19+G813*Scorecard!$C$20+H813*Scorecard!$C$21+I813*Scorecard!$C$22+J813*Scorecard!$C$23</f>
        <v>3.96783543651222</v>
      </c>
      <c r="C813" s="38" t="n">
        <f aca="false">E813*Scorecard!$D$18+F813*Scorecard!$D$19+G813*Scorecard!$D$20+H813*Scorecard!$D$21+I813*Scorecard!$D$22+J813*Scorecard!$D$23</f>
        <v>2.59065086358543</v>
      </c>
      <c r="D813" s="0" t="str">
        <f aca="false">IF(AND(B813&gt;=C813,B813&gt;=K813),"A. Distribution",IF(C813&gt;=K813,"B. Manufacturing","C. Prof. services"))</f>
        <v>A. Distribution</v>
      </c>
      <c r="E813" s="39" t="n">
        <v>0.139161326856023</v>
      </c>
      <c r="F813" s="39" t="n">
        <v>0.314818670067572</v>
      </c>
      <c r="G813" s="39" t="n">
        <v>0.109102622300939</v>
      </c>
      <c r="H813" s="39" t="n">
        <v>0.140552228722562</v>
      </c>
      <c r="I813" s="39" t="n">
        <v>0.136032234685646</v>
      </c>
      <c r="J813" s="39" t="n">
        <v>0.160332917367258</v>
      </c>
      <c r="K813" s="38" t="n">
        <f aca="false">E813*Scorecard!$E$18+F813*Scorecard!$E$19+G813*Scorecard!$E$20+H813*Scorecard!$E$21+I813*Scorecard!$E$22+J813*Scorecard!$E$23</f>
        <v>3.3615497102043</v>
      </c>
      <c r="M813" s="0" t="str">
        <f aca="false">IF(AND(T813&gt;=U813,T813&gt;=V813),"A. Distribution",IF(U813&gt;=V813,"B. Manufacturing","C. Prof. services"))</f>
        <v>A. Distribution</v>
      </c>
      <c r="N813" s="39" t="n">
        <v>0.225757611026436</v>
      </c>
      <c r="O813" s="39" t="n">
        <v>0.188356250441741</v>
      </c>
      <c r="P813" s="39" t="n">
        <v>0.230739241179453</v>
      </c>
      <c r="Q813" s="39" t="n">
        <v>0.157494357109283</v>
      </c>
      <c r="R813" s="39" t="n">
        <v>0.132763727458753</v>
      </c>
      <c r="S813" s="39" t="n">
        <v>0.0648888127843349</v>
      </c>
      <c r="T813" s="38" t="n">
        <f aca="false">N813*Scorecard!$C$18+O813*Scorecard!$C$19+P813*Scorecard!$C$20+Q813*Scorecard!$C$21+R813*Scorecard!$C$22+S813*Scorecard!$C$23</f>
        <v>4.02348316566674</v>
      </c>
      <c r="U813" s="38" t="n">
        <f aca="false">N813*Scorecard!$D$18+O813*Scorecard!$D$19+P813*Scorecard!$D$20+Q813*Scorecard!$D$21+R813*Scorecard!$D$22+S813*Scorecard!$D$23</f>
        <v>2.74717714143733</v>
      </c>
      <c r="V813" s="38" t="n">
        <f aca="false">N813*Scorecard!$E$18+O813*Scorecard!$E$19+P813*Scorecard!$E$20+Q813*Scorecard!$E$21+R813*Scorecard!$E$22+S813*Scorecard!$E$23</f>
        <v>3.42161123727334</v>
      </c>
    </row>
    <row r="814" customFormat="false" ht="15" hidden="false" customHeight="false" outlineLevel="0" collapsed="false">
      <c r="A814" s="0" t="n">
        <v>809</v>
      </c>
      <c r="B814" s="38" t="n">
        <f aca="false">E814*Scorecard!$C$18+F814*Scorecard!$C$19+G814*Scorecard!$C$20+H814*Scorecard!$C$21+I814*Scorecard!$C$22+J814*Scorecard!$C$23</f>
        <v>4.06221897933872</v>
      </c>
      <c r="C814" s="38" t="n">
        <f aca="false">E814*Scorecard!$D$18+F814*Scorecard!$D$19+G814*Scorecard!$D$20+H814*Scorecard!$D$21+I814*Scorecard!$D$22+J814*Scorecard!$D$23</f>
        <v>3.20237615132333</v>
      </c>
      <c r="D814" s="0" t="str">
        <f aca="false">IF(AND(B814&gt;=C814,B814&gt;=K814),"A. Distribution",IF(C814&gt;=K814,"B. Manufacturing","C. Prof. services"))</f>
        <v>A. Distribution</v>
      </c>
      <c r="E814" s="39" t="n">
        <v>0.0264642920221272</v>
      </c>
      <c r="F814" s="39" t="n">
        <v>0.108181891285664</v>
      </c>
      <c r="G814" s="39" t="n">
        <v>0.010476357627249</v>
      </c>
      <c r="H814" s="39" t="n">
        <v>0.00860753155782074</v>
      </c>
      <c r="I814" s="39" t="n">
        <v>0.824814571109669</v>
      </c>
      <c r="J814" s="39" t="n">
        <v>0.0214553563974705</v>
      </c>
      <c r="K814" s="38" t="n">
        <f aca="false">E814*Scorecard!$E$18+F814*Scorecard!$E$19+G814*Scorecard!$E$20+H814*Scorecard!$E$21+I814*Scorecard!$E$22+J814*Scorecard!$E$23</f>
        <v>2.49063918408854</v>
      </c>
      <c r="M814" s="0" t="str">
        <f aca="false">IF(AND(T814&gt;=U814,T814&gt;=V814),"A. Distribution",IF(U814&gt;=V814,"B. Manufacturing","C. Prof. services"))</f>
        <v>A. Distribution</v>
      </c>
      <c r="N814" s="39" t="n">
        <v>0.156913329379489</v>
      </c>
      <c r="O814" s="39" t="n">
        <v>0.246227749525339</v>
      </c>
      <c r="P814" s="39" t="n">
        <v>0.114936903273565</v>
      </c>
      <c r="Q814" s="39" t="n">
        <v>0.249470868952574</v>
      </c>
      <c r="R814" s="39" t="n">
        <v>0.116685505509595</v>
      </c>
      <c r="S814" s="39" t="n">
        <v>0.115765643359439</v>
      </c>
      <c r="T814" s="38" t="n">
        <f aca="false">N814*Scorecard!$C$18+O814*Scorecard!$C$19+P814*Scorecard!$C$20+Q814*Scorecard!$C$21+R814*Scorecard!$C$22+S814*Scorecard!$C$23</f>
        <v>3.97521776561053</v>
      </c>
      <c r="U814" s="38" t="n">
        <f aca="false">N814*Scorecard!$D$18+O814*Scorecard!$D$19+P814*Scorecard!$D$20+Q814*Scorecard!$D$21+R814*Scorecard!$D$22+S814*Scorecard!$D$23</f>
        <v>2.61855066680534</v>
      </c>
      <c r="V814" s="38" t="n">
        <f aca="false">N814*Scorecard!$E$18+O814*Scorecard!$E$19+P814*Scorecard!$E$20+Q814*Scorecard!$E$21+R814*Scorecard!$E$22+S814*Scorecard!$E$23</f>
        <v>3.40900543818287</v>
      </c>
    </row>
    <row r="815" customFormat="false" ht="15" hidden="false" customHeight="false" outlineLevel="0" collapsed="false">
      <c r="A815" s="0" t="n">
        <v>810</v>
      </c>
      <c r="B815" s="38" t="n">
        <f aca="false">E815*Scorecard!$C$18+F815*Scorecard!$C$19+G815*Scorecard!$C$20+H815*Scorecard!$C$21+I815*Scorecard!$C$22+J815*Scorecard!$C$23</f>
        <v>3.31553553216665</v>
      </c>
      <c r="C815" s="38" t="n">
        <f aca="false">E815*Scorecard!$D$18+F815*Scorecard!$D$19+G815*Scorecard!$D$20+H815*Scorecard!$D$21+I815*Scorecard!$D$22+J815*Scorecard!$D$23</f>
        <v>2.38237412570622</v>
      </c>
      <c r="D815" s="0" t="str">
        <f aca="false">IF(AND(B815&gt;=C815,B815&gt;=K815),"A. Distribution",IF(C815&gt;=K815,"B. Manufacturing","C. Prof. services"))</f>
        <v>C. Prof. services</v>
      </c>
      <c r="E815" s="39" t="n">
        <v>0.192849230977253</v>
      </c>
      <c r="F815" s="39" t="n">
        <v>0.0816681875679136</v>
      </c>
      <c r="G815" s="39" t="n">
        <v>0.0454436239384314</v>
      </c>
      <c r="H815" s="39" t="n">
        <v>0.28623317403034</v>
      </c>
      <c r="I815" s="39" t="n">
        <v>0.0339019731219613</v>
      </c>
      <c r="J815" s="39" t="n">
        <v>0.359903810364101</v>
      </c>
      <c r="K815" s="38" t="n">
        <f aca="false">E815*Scorecard!$E$18+F815*Scorecard!$E$19+G815*Scorecard!$E$20+H815*Scorecard!$E$21+I815*Scorecard!$E$22+J815*Scorecard!$E$23</f>
        <v>3.83577529651172</v>
      </c>
      <c r="M815" s="0" t="str">
        <f aca="false">IF(AND(T815&gt;=U815,T815&gt;=V815),"A. Distribution",IF(U815&gt;=V815,"B. Manufacturing","C. Prof. services"))</f>
        <v>A. Distribution</v>
      </c>
      <c r="N815" s="39" t="n">
        <v>0.267462386489815</v>
      </c>
      <c r="O815" s="39" t="n">
        <v>0.283563586199751</v>
      </c>
      <c r="P815" s="39" t="n">
        <v>0.155602078781228</v>
      </c>
      <c r="Q815" s="39" t="n">
        <v>0.132299846551349</v>
      </c>
      <c r="R815" s="39" t="n">
        <v>0.0673462077739106</v>
      </c>
      <c r="S815" s="39" t="n">
        <v>0.093725894203946</v>
      </c>
      <c r="T815" s="38" t="n">
        <f aca="false">N815*Scorecard!$C$18+O815*Scorecard!$C$19+P815*Scorecard!$C$20+Q815*Scorecard!$C$21+R815*Scorecard!$C$22+S815*Scorecard!$C$23</f>
        <v>4.06038272008975</v>
      </c>
      <c r="U815" s="38" t="n">
        <f aca="false">N815*Scorecard!$D$18+O815*Scorecard!$D$19+P815*Scorecard!$D$20+Q815*Scorecard!$D$21+R815*Scorecard!$D$22+S815*Scorecard!$D$23</f>
        <v>2.77299892249663</v>
      </c>
      <c r="V815" s="38" t="n">
        <f aca="false">N815*Scorecard!$E$18+O815*Scorecard!$E$19+P815*Scorecard!$E$20+Q815*Scorecard!$E$21+R815*Scorecard!$E$22+S815*Scorecard!$E$23</f>
        <v>3.4186367163129</v>
      </c>
    </row>
    <row r="816" customFormat="false" ht="15" hidden="false" customHeight="false" outlineLevel="0" collapsed="false">
      <c r="A816" s="0" t="n">
        <v>811</v>
      </c>
      <c r="B816" s="38" t="n">
        <f aca="false">E816*Scorecard!$C$18+F816*Scorecard!$C$19+G816*Scorecard!$C$20+H816*Scorecard!$C$21+I816*Scorecard!$C$22+J816*Scorecard!$C$23</f>
        <v>3.81582460912886</v>
      </c>
      <c r="C816" s="38" t="n">
        <f aca="false">E816*Scorecard!$D$18+F816*Scorecard!$D$19+G816*Scorecard!$D$20+H816*Scorecard!$D$21+I816*Scorecard!$D$22+J816*Scorecard!$D$23</f>
        <v>2.68217125081474</v>
      </c>
      <c r="D816" s="0" t="str">
        <f aca="false">IF(AND(B816&gt;=C816,B816&gt;=K816),"A. Distribution",IF(C816&gt;=K816,"B. Manufacturing","C. Prof. services"))</f>
        <v>A. Distribution</v>
      </c>
      <c r="E816" s="39" t="n">
        <v>0.180841527992112</v>
      </c>
      <c r="F816" s="39" t="n">
        <v>0.0233517914488083</v>
      </c>
      <c r="G816" s="39" t="n">
        <v>0.149746573385454</v>
      </c>
      <c r="H816" s="39" t="n">
        <v>0.4038953377038</v>
      </c>
      <c r="I816" s="39" t="n">
        <v>0.167420749381578</v>
      </c>
      <c r="J816" s="39" t="n">
        <v>0.0747440200882466</v>
      </c>
      <c r="K816" s="38" t="n">
        <f aca="false">E816*Scorecard!$E$18+F816*Scorecard!$E$19+G816*Scorecard!$E$20+H816*Scorecard!$E$21+I816*Scorecard!$E$22+J816*Scorecard!$E$23</f>
        <v>3.50789153407277</v>
      </c>
      <c r="M816" s="0" t="str">
        <f aca="false">IF(AND(T816&gt;=U816,T816&gt;=V816),"A. Distribution",IF(U816&gt;=V816,"B. Manufacturing","C. Prof. services"))</f>
        <v>A. Distribution</v>
      </c>
      <c r="N816" s="39" t="n">
        <v>0.251350920828808</v>
      </c>
      <c r="O816" s="39" t="n">
        <v>0.179849135294453</v>
      </c>
      <c r="P816" s="39" t="n">
        <v>0.284162572137779</v>
      </c>
      <c r="Q816" s="39" t="n">
        <v>0.118407482075935</v>
      </c>
      <c r="R816" s="39" t="n">
        <v>0.100707193902468</v>
      </c>
      <c r="S816" s="39" t="n">
        <v>0.0655226957605567</v>
      </c>
      <c r="T816" s="38" t="n">
        <f aca="false">N816*Scorecard!$C$18+O816*Scorecard!$C$19+P816*Scorecard!$C$20+Q816*Scorecard!$C$21+R816*Scorecard!$C$22+S816*Scorecard!$C$23</f>
        <v>4.01586511406322</v>
      </c>
      <c r="U816" s="38" t="n">
        <f aca="false">N816*Scorecard!$D$18+O816*Scorecard!$D$19+P816*Scorecard!$D$20+Q816*Scorecard!$D$21+R816*Scorecard!$D$22+S816*Scorecard!$D$23</f>
        <v>2.73997165520176</v>
      </c>
      <c r="V816" s="38" t="n">
        <f aca="false">N816*Scorecard!$E$18+O816*Scorecard!$E$19+P816*Scorecard!$E$20+Q816*Scorecard!$E$21+R816*Scorecard!$E$22+S816*Scorecard!$E$23</f>
        <v>3.48551407886003</v>
      </c>
    </row>
    <row r="817" customFormat="false" ht="15" hidden="false" customHeight="false" outlineLevel="0" collapsed="false">
      <c r="A817" s="0" t="n">
        <v>812</v>
      </c>
      <c r="B817" s="38" t="n">
        <f aca="false">E817*Scorecard!$C$18+F817*Scorecard!$C$19+G817*Scorecard!$C$20+H817*Scorecard!$C$21+I817*Scorecard!$C$22+J817*Scorecard!$C$23</f>
        <v>3.17336153789913</v>
      </c>
      <c r="C817" s="38" t="n">
        <f aca="false">E817*Scorecard!$D$18+F817*Scorecard!$D$19+G817*Scorecard!$D$20+H817*Scorecard!$D$21+I817*Scorecard!$D$22+J817*Scorecard!$D$23</f>
        <v>2.10880048611669</v>
      </c>
      <c r="D817" s="0" t="str">
        <f aca="false">IF(AND(B817&gt;=C817,B817&gt;=K817),"A. Distribution",IF(C817&gt;=K817,"B. Manufacturing","C. Prof. services"))</f>
        <v>C. Prof. services</v>
      </c>
      <c r="E817" s="39" t="n">
        <v>0.0562021583122501</v>
      </c>
      <c r="F817" s="39" t="n">
        <v>0.0246496553242153</v>
      </c>
      <c r="G817" s="39" t="n">
        <v>0.280939407653008</v>
      </c>
      <c r="H817" s="39" t="n">
        <v>0.0983822084869599</v>
      </c>
      <c r="I817" s="39" t="n">
        <v>0.121739026789678</v>
      </c>
      <c r="J817" s="39" t="n">
        <v>0.418087543433888</v>
      </c>
      <c r="K817" s="38" t="n">
        <f aca="false">E817*Scorecard!$E$18+F817*Scorecard!$E$19+G817*Scorecard!$E$20+H817*Scorecard!$E$21+I817*Scorecard!$E$22+J817*Scorecard!$E$23</f>
        <v>3.91639517260708</v>
      </c>
      <c r="M817" s="0" t="str">
        <f aca="false">IF(AND(T817&gt;=U817,T817&gt;=V817),"A. Distribution",IF(U817&gt;=V817,"B. Manufacturing","C. Prof. services"))</f>
        <v>A. Distribution</v>
      </c>
      <c r="N817" s="39" t="n">
        <v>0.176968652970631</v>
      </c>
      <c r="O817" s="39" t="n">
        <v>0.244831562886259</v>
      </c>
      <c r="P817" s="39" t="n">
        <v>0.281124984475793</v>
      </c>
      <c r="Q817" s="39" t="n">
        <v>0.129006209290927</v>
      </c>
      <c r="R817" s="39" t="n">
        <v>0.146136292621593</v>
      </c>
      <c r="S817" s="39" t="n">
        <v>0.0219322977547977</v>
      </c>
      <c r="T817" s="38" t="n">
        <f aca="false">N817*Scorecard!$C$18+O817*Scorecard!$C$19+P817*Scorecard!$C$20+Q817*Scorecard!$C$21+R817*Scorecard!$C$22+S817*Scorecard!$C$23</f>
        <v>4.17285823075886</v>
      </c>
      <c r="U817" s="38" t="n">
        <f aca="false">N817*Scorecard!$D$18+O817*Scorecard!$D$19+P817*Scorecard!$D$20+Q817*Scorecard!$D$21+R817*Scorecard!$D$22+S817*Scorecard!$D$23</f>
        <v>2.70936441973785</v>
      </c>
      <c r="V817" s="38" t="n">
        <f aca="false">N817*Scorecard!$E$18+O817*Scorecard!$E$19+P817*Scorecard!$E$20+Q817*Scorecard!$E$21+R817*Scorecard!$E$22+S817*Scorecard!$E$23</f>
        <v>3.34404557984385</v>
      </c>
    </row>
    <row r="818" customFormat="false" ht="15" hidden="false" customHeight="false" outlineLevel="0" collapsed="false">
      <c r="A818" s="0" t="n">
        <v>813</v>
      </c>
      <c r="B818" s="38" t="n">
        <f aca="false">E818*Scorecard!$C$18+F818*Scorecard!$C$19+G818*Scorecard!$C$20+H818*Scorecard!$C$21+I818*Scorecard!$C$22+J818*Scorecard!$C$23</f>
        <v>3.17288980068071</v>
      </c>
      <c r="C818" s="38" t="n">
        <f aca="false">E818*Scorecard!$D$18+F818*Scorecard!$D$19+G818*Scorecard!$D$20+H818*Scorecard!$D$21+I818*Scorecard!$D$22+J818*Scorecard!$D$23</f>
        <v>2.21605473165809</v>
      </c>
      <c r="D818" s="0" t="str">
        <f aca="false">IF(AND(B818&gt;=C818,B818&gt;=K818),"A. Distribution",IF(C818&gt;=K818,"B. Manufacturing","C. Prof. services"))</f>
        <v>C. Prof. services</v>
      </c>
      <c r="E818" s="39" t="n">
        <v>0.0294598700528385</v>
      </c>
      <c r="F818" s="39" t="n">
        <v>0.0219840904445194</v>
      </c>
      <c r="G818" s="39" t="n">
        <v>0.0296632666993723</v>
      </c>
      <c r="H818" s="39" t="n">
        <v>0.322847031363731</v>
      </c>
      <c r="I818" s="39" t="n">
        <v>0.190074694029062</v>
      </c>
      <c r="J818" s="39" t="n">
        <v>0.405971047410477</v>
      </c>
      <c r="K818" s="38" t="n">
        <f aca="false">E818*Scorecard!$E$18+F818*Scorecard!$E$19+G818*Scorecard!$E$20+H818*Scorecard!$E$21+I818*Scorecard!$E$22+J818*Scorecard!$E$23</f>
        <v>3.73958246227606</v>
      </c>
      <c r="M818" s="0" t="str">
        <f aca="false">IF(AND(T818&gt;=U818,T818&gt;=V818),"A. Distribution",IF(U818&gt;=V818,"B. Manufacturing","C. Prof. services"))</f>
        <v>A. Distribution</v>
      </c>
      <c r="N818" s="39" t="n">
        <v>0.0895449223696203</v>
      </c>
      <c r="O818" s="39" t="n">
        <v>0.107435912580185</v>
      </c>
      <c r="P818" s="39" t="n">
        <v>0.259845359386232</v>
      </c>
      <c r="Q818" s="39" t="n">
        <v>0.20435526538438</v>
      </c>
      <c r="R818" s="39" t="n">
        <v>0.298029315410869</v>
      </c>
      <c r="S818" s="39" t="n">
        <v>0.0407892248687132</v>
      </c>
      <c r="T818" s="38" t="n">
        <f aca="false">N818*Scorecard!$C$18+O818*Scorecard!$C$19+P818*Scorecard!$C$20+Q818*Scorecard!$C$21+R818*Scorecard!$C$22+S818*Scorecard!$C$23</f>
        <v>3.99664879032871</v>
      </c>
      <c r="U818" s="38" t="n">
        <f aca="false">N818*Scorecard!$D$18+O818*Scorecard!$D$19+P818*Scorecard!$D$20+Q818*Scorecard!$D$21+R818*Scorecard!$D$22+S818*Scorecard!$D$23</f>
        <v>2.67479554870576</v>
      </c>
      <c r="V818" s="38" t="n">
        <f aca="false">N818*Scorecard!$E$18+O818*Scorecard!$E$19+P818*Scorecard!$E$20+Q818*Scorecard!$E$21+R818*Scorecard!$E$22+S818*Scorecard!$E$23</f>
        <v>3.2836261962014</v>
      </c>
    </row>
    <row r="819" customFormat="false" ht="15" hidden="false" customHeight="false" outlineLevel="0" collapsed="false">
      <c r="A819" s="0" t="n">
        <v>814</v>
      </c>
      <c r="B819" s="38" t="n">
        <f aca="false">E819*Scorecard!$C$18+F819*Scorecard!$C$19+G819*Scorecard!$C$20+H819*Scorecard!$C$21+I819*Scorecard!$C$22+J819*Scorecard!$C$23</f>
        <v>2.96077725087445</v>
      </c>
      <c r="C819" s="38" t="n">
        <f aca="false">E819*Scorecard!$D$18+F819*Scorecard!$D$19+G819*Scorecard!$D$20+H819*Scorecard!$D$21+I819*Scorecard!$D$22+J819*Scorecard!$D$23</f>
        <v>1.96602216733334</v>
      </c>
      <c r="D819" s="0" t="str">
        <f aca="false">IF(AND(B819&gt;=C819,B819&gt;=K819),"A. Distribution",IF(C819&gt;=K819,"B. Manufacturing","C. Prof. services"))</f>
        <v>C. Prof. services</v>
      </c>
      <c r="E819" s="39" t="n">
        <v>0.0241697524424694</v>
      </c>
      <c r="F819" s="39" t="n">
        <v>0.0642968231171341</v>
      </c>
      <c r="G819" s="39" t="n">
        <v>0.039874797616595</v>
      </c>
      <c r="H819" s="39" t="n">
        <v>0.285873622563941</v>
      </c>
      <c r="I819" s="39" t="n">
        <v>0.0503969991299745</v>
      </c>
      <c r="J819" s="39" t="n">
        <v>0.535388005129887</v>
      </c>
      <c r="K819" s="38" t="n">
        <f aca="false">E819*Scorecard!$E$18+F819*Scorecard!$E$19+G819*Scorecard!$E$20+H819*Scorecard!$E$21+I819*Scorecard!$E$22+J819*Scorecard!$E$23</f>
        <v>4.00124851676543</v>
      </c>
      <c r="M819" s="0" t="str">
        <f aca="false">IF(AND(T819&gt;=U819,T819&gt;=V819),"A. Distribution",IF(U819&gt;=V819,"B. Manufacturing","C. Prof. services"))</f>
        <v>A. Distribution</v>
      </c>
      <c r="N819" s="39" t="n">
        <v>0.287160905928339</v>
      </c>
      <c r="O819" s="39" t="n">
        <v>0.138757018016175</v>
      </c>
      <c r="P819" s="39" t="n">
        <v>0.160392037526886</v>
      </c>
      <c r="Q819" s="39" t="n">
        <v>0.189400740669209</v>
      </c>
      <c r="R819" s="39" t="n">
        <v>0.142942800003464</v>
      </c>
      <c r="S819" s="39" t="n">
        <v>0.081346497855926</v>
      </c>
      <c r="T819" s="38" t="n">
        <f aca="false">N819*Scorecard!$C$18+O819*Scorecard!$C$19+P819*Scorecard!$C$20+Q819*Scorecard!$C$21+R819*Scorecard!$C$22+S819*Scorecard!$C$23</f>
        <v>3.93260075921809</v>
      </c>
      <c r="U819" s="38" t="n">
        <f aca="false">N819*Scorecard!$D$18+O819*Scorecard!$D$19+P819*Scorecard!$D$20+Q819*Scorecard!$D$21+R819*Scorecard!$D$22+S819*Scorecard!$D$23</f>
        <v>2.85980575259732</v>
      </c>
      <c r="V819" s="38" t="n">
        <f aca="false">N819*Scorecard!$E$18+O819*Scorecard!$E$19+P819*Scorecard!$E$20+Q819*Scorecard!$E$21+R819*Scorecard!$E$22+S819*Scorecard!$E$23</f>
        <v>3.43102898423684</v>
      </c>
    </row>
    <row r="820" customFormat="false" ht="15" hidden="false" customHeight="false" outlineLevel="0" collapsed="false">
      <c r="A820" s="0" t="n">
        <v>815</v>
      </c>
      <c r="B820" s="38" t="n">
        <f aca="false">E820*Scorecard!$C$18+F820*Scorecard!$C$19+G820*Scorecard!$C$20+H820*Scorecard!$C$21+I820*Scorecard!$C$22+J820*Scorecard!$C$23</f>
        <v>4.28377720387281</v>
      </c>
      <c r="C820" s="38" t="n">
        <f aca="false">E820*Scorecard!$D$18+F820*Scorecard!$D$19+G820*Scorecard!$D$20+H820*Scorecard!$D$21+I820*Scorecard!$D$22+J820*Scorecard!$D$23</f>
        <v>2.72647736586396</v>
      </c>
      <c r="D820" s="0" t="str">
        <f aca="false">IF(AND(B820&gt;=C820,B820&gt;=K820),"A. Distribution",IF(C820&gt;=K820,"B. Manufacturing","C. Prof. services"))</f>
        <v>A. Distribution</v>
      </c>
      <c r="E820" s="39" t="n">
        <v>0.090126675439958</v>
      </c>
      <c r="F820" s="39" t="n">
        <v>0.458888988647838</v>
      </c>
      <c r="G820" s="39" t="n">
        <v>0.0914789703507278</v>
      </c>
      <c r="H820" s="39" t="n">
        <v>0.0259503722337364</v>
      </c>
      <c r="I820" s="39" t="n">
        <v>0.25101517477246</v>
      </c>
      <c r="J820" s="39" t="n">
        <v>0.0825398185552793</v>
      </c>
      <c r="K820" s="38" t="n">
        <f aca="false">E820*Scorecard!$E$18+F820*Scorecard!$E$19+G820*Scorecard!$E$20+H820*Scorecard!$E$21+I820*Scorecard!$E$22+J820*Scorecard!$E$23</f>
        <v>3.02078765422699</v>
      </c>
      <c r="M820" s="0" t="str">
        <f aca="false">IF(AND(T820&gt;=U820,T820&gt;=V820),"A. Distribution",IF(U820&gt;=V820,"B. Manufacturing","C. Prof. services"))</f>
        <v>A. Distribution</v>
      </c>
      <c r="N820" s="39" t="n">
        <v>0.130039984821385</v>
      </c>
      <c r="O820" s="39" t="n">
        <v>0.293326328082029</v>
      </c>
      <c r="P820" s="39" t="n">
        <v>0.257157052988304</v>
      </c>
      <c r="Q820" s="39" t="n">
        <v>0.0732152263920781</v>
      </c>
      <c r="R820" s="39" t="n">
        <v>0.198556594202057</v>
      </c>
      <c r="S820" s="39" t="n">
        <v>0.0477048135141464</v>
      </c>
      <c r="T820" s="38" t="n">
        <f aca="false">N820*Scorecard!$C$18+O820*Scorecard!$C$19+P820*Scorecard!$C$20+Q820*Scorecard!$C$21+R820*Scorecard!$C$22+S820*Scorecard!$C$23</f>
        <v>4.17958722685449</v>
      </c>
      <c r="U820" s="38" t="n">
        <f aca="false">N820*Scorecard!$D$18+O820*Scorecard!$D$19+P820*Scorecard!$D$20+Q820*Scorecard!$D$21+R820*Scorecard!$D$22+S820*Scorecard!$D$23</f>
        <v>2.68080540716776</v>
      </c>
      <c r="V820" s="38" t="n">
        <f aca="false">N820*Scorecard!$E$18+O820*Scorecard!$E$19+P820*Scorecard!$E$20+Q820*Scorecard!$E$21+R820*Scorecard!$E$22+S820*Scorecard!$E$23</f>
        <v>3.25330361787242</v>
      </c>
    </row>
    <row r="821" customFormat="false" ht="15" hidden="false" customHeight="false" outlineLevel="0" collapsed="false">
      <c r="A821" s="0" t="n">
        <v>816</v>
      </c>
      <c r="B821" s="38" t="n">
        <f aca="false">E821*Scorecard!$C$18+F821*Scorecard!$C$19+G821*Scorecard!$C$20+H821*Scorecard!$C$21+I821*Scorecard!$C$22+J821*Scorecard!$C$23</f>
        <v>3.92719679323515</v>
      </c>
      <c r="C821" s="38" t="n">
        <f aca="false">E821*Scorecard!$D$18+F821*Scorecard!$D$19+G821*Scorecard!$D$20+H821*Scorecard!$D$21+I821*Scorecard!$D$22+J821*Scorecard!$D$23</f>
        <v>2.44474628679079</v>
      </c>
      <c r="D821" s="0" t="str">
        <f aca="false">IF(AND(B821&gt;=C821,B821&gt;=K821),"A. Distribution",IF(C821&gt;=K821,"B. Manufacturing","C. Prof. services"))</f>
        <v>A. Distribution</v>
      </c>
      <c r="E821" s="39" t="n">
        <v>0.0176447943214253</v>
      </c>
      <c r="F821" s="39" t="n">
        <v>0.0458419595544995</v>
      </c>
      <c r="G821" s="39" t="n">
        <v>0.0558240336550523</v>
      </c>
      <c r="H821" s="39" t="n">
        <v>0.72380159388211</v>
      </c>
      <c r="I821" s="39" t="n">
        <v>0.137268380450317</v>
      </c>
      <c r="J821" s="39" t="n">
        <v>0.0196192381365968</v>
      </c>
      <c r="K821" s="38" t="n">
        <f aca="false">E821*Scorecard!$E$18+F821*Scorecard!$E$19+G821*Scorecard!$E$20+H821*Scorecard!$E$21+I821*Scorecard!$E$22+J821*Scorecard!$E$23</f>
        <v>3.48066371141998</v>
      </c>
      <c r="M821" s="0" t="str">
        <f aca="false">IF(AND(T821&gt;=U821,T821&gt;=V821),"A. Distribution",IF(U821&gt;=V821,"B. Manufacturing","C. Prof. services"))</f>
        <v>A. Distribution</v>
      </c>
      <c r="N821" s="39" t="n">
        <v>0.123021321205945</v>
      </c>
      <c r="O821" s="39" t="n">
        <v>0.184174953121084</v>
      </c>
      <c r="P821" s="39" t="n">
        <v>0.270564636032479</v>
      </c>
      <c r="Q821" s="39" t="n">
        <v>0.111383597460917</v>
      </c>
      <c r="R821" s="39" t="n">
        <v>0.232460113581745</v>
      </c>
      <c r="S821" s="39" t="n">
        <v>0.078395378597831</v>
      </c>
      <c r="T821" s="38" t="n">
        <f aca="false">N821*Scorecard!$C$18+O821*Scorecard!$C$19+P821*Scorecard!$C$20+Q821*Scorecard!$C$21+R821*Scorecard!$C$22+S821*Scorecard!$C$23</f>
        <v>4.00550556319054</v>
      </c>
      <c r="U821" s="38" t="n">
        <f aca="false">N821*Scorecard!$D$18+O821*Scorecard!$D$19+P821*Scorecard!$D$20+Q821*Scorecard!$D$21+R821*Scorecard!$D$22+S821*Scorecard!$D$23</f>
        <v>2.64978763498655</v>
      </c>
      <c r="V821" s="38" t="n">
        <f aca="false">N821*Scorecard!$E$18+O821*Scorecard!$E$19+P821*Scorecard!$E$20+Q821*Scorecard!$E$21+R821*Scorecard!$E$22+S821*Scorecard!$E$23</f>
        <v>3.33364881085433</v>
      </c>
    </row>
    <row r="822" customFormat="false" ht="15" hidden="false" customHeight="false" outlineLevel="0" collapsed="false">
      <c r="A822" s="0" t="n">
        <v>817</v>
      </c>
      <c r="B822" s="38" t="n">
        <f aca="false">E822*Scorecard!$C$18+F822*Scorecard!$C$19+G822*Scorecard!$C$20+H822*Scorecard!$C$21+I822*Scorecard!$C$22+J822*Scorecard!$C$23</f>
        <v>4.23811944657214</v>
      </c>
      <c r="C822" s="38" t="n">
        <f aca="false">E822*Scorecard!$D$18+F822*Scorecard!$D$19+G822*Scorecard!$D$20+H822*Scorecard!$D$21+I822*Scorecard!$D$22+J822*Scorecard!$D$23</f>
        <v>2.68290990140522</v>
      </c>
      <c r="D822" s="0" t="str">
        <f aca="false">IF(AND(B822&gt;=C822,B822&gt;=K822),"A. Distribution",IF(C822&gt;=K822,"B. Manufacturing","C. Prof. services"))</f>
        <v>A. Distribution</v>
      </c>
      <c r="E822" s="39" t="n">
        <v>0.162416104013952</v>
      </c>
      <c r="F822" s="39" t="n">
        <v>0.360005100457957</v>
      </c>
      <c r="G822" s="39" t="n">
        <v>0.141884192740016</v>
      </c>
      <c r="H822" s="39" t="n">
        <v>0.195548230006625</v>
      </c>
      <c r="I822" s="39" t="n">
        <v>0.096258696448098</v>
      </c>
      <c r="J822" s="39" t="n">
        <v>0.0438876763333514</v>
      </c>
      <c r="K822" s="38" t="n">
        <f aca="false">E822*Scorecard!$E$18+F822*Scorecard!$E$19+G822*Scorecard!$E$20+H822*Scorecard!$E$21+I822*Scorecard!$E$22+J822*Scorecard!$E$23</f>
        <v>3.28598572035483</v>
      </c>
      <c r="M822" s="0" t="str">
        <f aca="false">IF(AND(T822&gt;=U822,T822&gt;=V822),"A. Distribution",IF(U822&gt;=V822,"B. Manufacturing","C. Prof. services"))</f>
        <v>C. Prof. services</v>
      </c>
      <c r="N822" s="39" t="n">
        <v>0.223475180370365</v>
      </c>
      <c r="O822" s="39" t="n">
        <v>0.124292195871614</v>
      </c>
      <c r="P822" s="39" t="n">
        <v>0.193346957841793</v>
      </c>
      <c r="Q822" s="39" t="n">
        <v>0.0907588202438484</v>
      </c>
      <c r="R822" s="39" t="n">
        <v>0.124317743919041</v>
      </c>
      <c r="S822" s="39" t="n">
        <v>0.243809101753339</v>
      </c>
      <c r="T822" s="38" t="n">
        <f aca="false">N822*Scorecard!$C$18+O822*Scorecard!$C$19+P822*Scorecard!$C$20+Q822*Scorecard!$C$21+R822*Scorecard!$C$22+S822*Scorecard!$C$23</f>
        <v>3.60895257540585</v>
      </c>
      <c r="U822" s="38" t="n">
        <f aca="false">N822*Scorecard!$D$18+O822*Scorecard!$D$19+P822*Scorecard!$D$20+Q822*Scorecard!$D$21+R822*Scorecard!$D$22+S822*Scorecard!$D$23</f>
        <v>2.58839055644764</v>
      </c>
      <c r="V822" s="38" t="n">
        <f aca="false">N822*Scorecard!$E$18+O822*Scorecard!$E$19+P822*Scorecard!$E$20+Q822*Scorecard!$E$21+R822*Scorecard!$E$22+S822*Scorecard!$E$23</f>
        <v>3.62470042587392</v>
      </c>
    </row>
    <row r="823" customFormat="false" ht="15" hidden="false" customHeight="false" outlineLevel="0" collapsed="false">
      <c r="A823" s="0" t="n">
        <v>818</v>
      </c>
      <c r="B823" s="38" t="n">
        <f aca="false">E823*Scorecard!$C$18+F823*Scorecard!$C$19+G823*Scorecard!$C$20+H823*Scorecard!$C$21+I823*Scorecard!$C$22+J823*Scorecard!$C$23</f>
        <v>3.82849878596959</v>
      </c>
      <c r="C823" s="38" t="n">
        <f aca="false">E823*Scorecard!$D$18+F823*Scorecard!$D$19+G823*Scorecard!$D$20+H823*Scorecard!$D$21+I823*Scorecard!$D$22+J823*Scorecard!$D$23</f>
        <v>3.12852226869384</v>
      </c>
      <c r="D823" s="0" t="str">
        <f aca="false">IF(AND(B823&gt;=C823,B823&gt;=K823),"A. Distribution",IF(C823&gt;=K823,"B. Manufacturing","C. Prof. services"))</f>
        <v>A. Distribution</v>
      </c>
      <c r="E823" s="39" t="n">
        <v>0.318040778241133</v>
      </c>
      <c r="F823" s="39" t="n">
        <v>0.0554864854131433</v>
      </c>
      <c r="G823" s="39" t="n">
        <v>0.114187257302713</v>
      </c>
      <c r="H823" s="39" t="n">
        <v>0.045363848225059</v>
      </c>
      <c r="I823" s="39" t="n">
        <v>0.368639005429729</v>
      </c>
      <c r="J823" s="39" t="n">
        <v>0.0982826253882237</v>
      </c>
      <c r="K823" s="38" t="n">
        <f aca="false">E823*Scorecard!$E$18+F823*Scorecard!$E$19+G823*Scorecard!$E$20+H823*Scorecard!$E$21+I823*Scorecard!$E$22+J823*Scorecard!$E$23</f>
        <v>3.19454332873973</v>
      </c>
      <c r="M823" s="0" t="str">
        <f aca="false">IF(AND(T823&gt;=U823,T823&gt;=V823),"A. Distribution",IF(U823&gt;=V823,"B. Manufacturing","C. Prof. services"))</f>
        <v>A. Distribution</v>
      </c>
      <c r="N823" s="39" t="n">
        <v>0.181369793052856</v>
      </c>
      <c r="O823" s="39" t="n">
        <v>0.124588278809107</v>
      </c>
      <c r="P823" s="39" t="n">
        <v>0.224090184006656</v>
      </c>
      <c r="Q823" s="39" t="n">
        <v>0.166138366905521</v>
      </c>
      <c r="R823" s="39" t="n">
        <v>0.165625796991263</v>
      </c>
      <c r="S823" s="39" t="n">
        <v>0.138187580234597</v>
      </c>
      <c r="T823" s="38" t="n">
        <f aca="false">N823*Scorecard!$C$18+O823*Scorecard!$C$19+P823*Scorecard!$C$20+Q823*Scorecard!$C$21+R823*Scorecard!$C$22+S823*Scorecard!$C$23</f>
        <v>3.8157500166202</v>
      </c>
      <c r="U823" s="38" t="n">
        <f aca="false">N823*Scorecard!$D$18+O823*Scorecard!$D$19+P823*Scorecard!$D$20+Q823*Scorecard!$D$21+R823*Scorecard!$D$22+S823*Scorecard!$D$23</f>
        <v>2.63327252436621</v>
      </c>
      <c r="V823" s="38" t="n">
        <f aca="false">N823*Scorecard!$E$18+O823*Scorecard!$E$19+P823*Scorecard!$E$20+Q823*Scorecard!$E$21+R823*Scorecard!$E$22+S823*Scorecard!$E$23</f>
        <v>3.49908545737263</v>
      </c>
    </row>
    <row r="824" customFormat="false" ht="15" hidden="false" customHeight="false" outlineLevel="0" collapsed="false">
      <c r="A824" s="0" t="n">
        <v>819</v>
      </c>
      <c r="B824" s="38" t="n">
        <f aca="false">E824*Scorecard!$C$18+F824*Scorecard!$C$19+G824*Scorecard!$C$20+H824*Scorecard!$C$21+I824*Scorecard!$C$22+J824*Scorecard!$C$23</f>
        <v>3.83906061079646</v>
      </c>
      <c r="C824" s="38" t="n">
        <f aca="false">E824*Scorecard!$D$18+F824*Scorecard!$D$19+G824*Scorecard!$D$20+H824*Scorecard!$D$21+I824*Scorecard!$D$22+J824*Scorecard!$D$23</f>
        <v>2.5959847869761</v>
      </c>
      <c r="D824" s="0" t="str">
        <f aca="false">IF(AND(B824&gt;=C824,B824&gt;=K824),"A. Distribution",IF(C824&gt;=K824,"B. Manufacturing","C. Prof. services"))</f>
        <v>A. Distribution</v>
      </c>
      <c r="E824" s="39" t="n">
        <v>0.0265371477666412</v>
      </c>
      <c r="F824" s="39" t="n">
        <v>0.174696061936479</v>
      </c>
      <c r="G824" s="39" t="n">
        <v>0.216893855148772</v>
      </c>
      <c r="H824" s="39" t="n">
        <v>0.0216181640809765</v>
      </c>
      <c r="I824" s="39" t="n">
        <v>0.394667021393919</v>
      </c>
      <c r="J824" s="39" t="n">
        <v>0.165587749673213</v>
      </c>
      <c r="K824" s="38" t="n">
        <f aca="false">E824*Scorecard!$E$18+F824*Scorecard!$E$19+G824*Scorecard!$E$20+H824*Scorecard!$E$21+I824*Scorecard!$E$22+J824*Scorecard!$E$23</f>
        <v>3.19582816964803</v>
      </c>
      <c r="M824" s="0" t="str">
        <f aca="false">IF(AND(T824&gt;=U824,T824&gt;=V824),"A. Distribution",IF(U824&gt;=V824,"B. Manufacturing","C. Prof. services"))</f>
        <v>A. Distribution</v>
      </c>
      <c r="N824" s="39" t="n">
        <v>0.162583857130298</v>
      </c>
      <c r="O824" s="39" t="n">
        <v>0.257165426758455</v>
      </c>
      <c r="P824" s="39" t="n">
        <v>0.196370013106527</v>
      </c>
      <c r="Q824" s="39" t="n">
        <v>0.0728423904968609</v>
      </c>
      <c r="R824" s="39" t="n">
        <v>0.209037794048155</v>
      </c>
      <c r="S824" s="39" t="n">
        <v>0.102000518459704</v>
      </c>
      <c r="T824" s="38" t="n">
        <f aca="false">N824*Scorecard!$C$18+O824*Scorecard!$C$19+P824*Scorecard!$C$20+Q824*Scorecard!$C$21+R824*Scorecard!$C$22+S824*Scorecard!$C$23</f>
        <v>4.03226224647516</v>
      </c>
      <c r="U824" s="38" t="n">
        <f aca="false">N824*Scorecard!$D$18+O824*Scorecard!$D$19+P824*Scorecard!$D$20+Q824*Scorecard!$D$21+R824*Scorecard!$D$22+S824*Scorecard!$D$23</f>
        <v>2.71421134297597</v>
      </c>
      <c r="V824" s="38" t="n">
        <f aca="false">N824*Scorecard!$E$18+O824*Scorecard!$E$19+P824*Scorecard!$E$20+Q824*Scorecard!$E$21+R824*Scorecard!$E$22+S824*Scorecard!$E$23</f>
        <v>3.29005985866797</v>
      </c>
    </row>
    <row r="825" customFormat="false" ht="15" hidden="false" customHeight="false" outlineLevel="0" collapsed="false">
      <c r="A825" s="0" t="n">
        <v>820</v>
      </c>
      <c r="B825" s="38" t="n">
        <f aca="false">E825*Scorecard!$C$18+F825*Scorecard!$C$19+G825*Scorecard!$C$20+H825*Scorecard!$C$21+I825*Scorecard!$C$22+J825*Scorecard!$C$23</f>
        <v>3.54091822344364</v>
      </c>
      <c r="C825" s="38" t="n">
        <f aca="false">E825*Scorecard!$D$18+F825*Scorecard!$D$19+G825*Scorecard!$D$20+H825*Scorecard!$D$21+I825*Scorecard!$D$22+J825*Scorecard!$D$23</f>
        <v>2.05737825015767</v>
      </c>
      <c r="D825" s="0" t="str">
        <f aca="false">IF(AND(B825&gt;=C825,B825&gt;=K825),"A. Distribution",IF(C825&gt;=K825,"B. Manufacturing","C. Prof. services"))</f>
        <v>C. Prof. services</v>
      </c>
      <c r="E825" s="39" t="n">
        <v>0.0197056585789808</v>
      </c>
      <c r="F825" s="39" t="n">
        <v>0.315370812611058</v>
      </c>
      <c r="G825" s="39" t="n">
        <v>0.163993573333912</v>
      </c>
      <c r="H825" s="39" t="n">
        <v>0.115701315985296</v>
      </c>
      <c r="I825" s="39" t="n">
        <v>0.00502683910995436</v>
      </c>
      <c r="J825" s="39" t="n">
        <v>0.380201800380799</v>
      </c>
      <c r="K825" s="38" t="n">
        <f aca="false">E825*Scorecard!$E$18+F825*Scorecard!$E$19+G825*Scorecard!$E$20+H825*Scorecard!$E$21+I825*Scorecard!$E$22+J825*Scorecard!$E$23</f>
        <v>3.75702676995444</v>
      </c>
      <c r="M825" s="0" t="str">
        <f aca="false">IF(AND(T825&gt;=U825,T825&gt;=V825),"A. Distribution",IF(U825&gt;=V825,"B. Manufacturing","C. Prof. services"))</f>
        <v>A. Distribution</v>
      </c>
      <c r="N825" s="39" t="n">
        <v>0.200341245218408</v>
      </c>
      <c r="O825" s="39" t="n">
        <v>0.0929424162035486</v>
      </c>
      <c r="P825" s="39" t="n">
        <v>0.22166498445418</v>
      </c>
      <c r="Q825" s="39" t="n">
        <v>0.297442495258705</v>
      </c>
      <c r="R825" s="39" t="n">
        <v>0.0591591046483812</v>
      </c>
      <c r="S825" s="39" t="n">
        <v>0.128449754216777</v>
      </c>
      <c r="T825" s="38" t="n">
        <f aca="false">N825*Scorecard!$C$18+O825*Scorecard!$C$19+P825*Scorecard!$C$20+Q825*Scorecard!$C$21+R825*Scorecard!$C$22+S825*Scorecard!$C$23</f>
        <v>3.78790855251885</v>
      </c>
      <c r="U825" s="38" t="n">
        <f aca="false">N825*Scorecard!$D$18+O825*Scorecard!$D$19+P825*Scorecard!$D$20+Q825*Scorecard!$D$21+R825*Scorecard!$D$22+S825*Scorecard!$D$23</f>
        <v>2.55618476445599</v>
      </c>
      <c r="V825" s="38" t="n">
        <f aca="false">N825*Scorecard!$E$18+O825*Scorecard!$E$19+P825*Scorecard!$E$20+Q825*Scorecard!$E$21+R825*Scorecard!$E$22+S825*Scorecard!$E$23</f>
        <v>3.65706248578641</v>
      </c>
    </row>
    <row r="826" customFormat="false" ht="15" hidden="false" customHeight="false" outlineLevel="0" collapsed="false">
      <c r="A826" s="0" t="n">
        <v>821</v>
      </c>
      <c r="B826" s="38" t="n">
        <f aca="false">E826*Scorecard!$C$18+F826*Scorecard!$C$19+G826*Scorecard!$C$20+H826*Scorecard!$C$21+I826*Scorecard!$C$22+J826*Scorecard!$C$23</f>
        <v>3.33040747408161</v>
      </c>
      <c r="C826" s="38" t="n">
        <f aca="false">E826*Scorecard!$D$18+F826*Scorecard!$D$19+G826*Scorecard!$D$20+H826*Scorecard!$D$21+I826*Scorecard!$D$22+J826*Scorecard!$D$23</f>
        <v>2.57793310440992</v>
      </c>
      <c r="D826" s="0" t="str">
        <f aca="false">IF(AND(B826&gt;=C826,B826&gt;=K826),"A. Distribution",IF(C826&gt;=K826,"B. Manufacturing","C. Prof. services"))</f>
        <v>C. Prof. services</v>
      </c>
      <c r="E826" s="39" t="n">
        <v>0.09909215372227</v>
      </c>
      <c r="F826" s="39" t="n">
        <v>0.0831086955085857</v>
      </c>
      <c r="G826" s="39" t="n">
        <v>0.0109999177183186</v>
      </c>
      <c r="H826" s="39" t="n">
        <v>0.063284058052219</v>
      </c>
      <c r="I826" s="39" t="n">
        <v>0.37455190604928</v>
      </c>
      <c r="J826" s="39" t="n">
        <v>0.368963268949328</v>
      </c>
      <c r="K826" s="38" t="n">
        <f aca="false">E826*Scorecard!$E$18+F826*Scorecard!$E$19+G826*Scorecard!$E$20+H826*Scorecard!$E$21+I826*Scorecard!$E$22+J826*Scorecard!$E$23</f>
        <v>3.39062157521246</v>
      </c>
      <c r="M826" s="0" t="str">
        <f aca="false">IF(AND(T826&gt;=U826,T826&gt;=V826),"A. Distribution",IF(U826&gt;=V826,"B. Manufacturing","C. Prof. services"))</f>
        <v>A. Distribution</v>
      </c>
      <c r="N826" s="39" t="n">
        <v>0.178818264344413</v>
      </c>
      <c r="O826" s="39" t="n">
        <v>0.165328852340127</v>
      </c>
      <c r="P826" s="39" t="n">
        <v>0.234529538891191</v>
      </c>
      <c r="Q826" s="39" t="n">
        <v>0.171886876029033</v>
      </c>
      <c r="R826" s="39" t="n">
        <v>0.214291879008356</v>
      </c>
      <c r="S826" s="39" t="n">
        <v>0.0351445893868806</v>
      </c>
      <c r="T826" s="38" t="n">
        <f aca="false">N826*Scorecard!$C$18+O826*Scorecard!$C$19+P826*Scorecard!$C$20+Q826*Scorecard!$C$21+R826*Scorecard!$C$22+S826*Scorecard!$C$23</f>
        <v>4.06216202061863</v>
      </c>
      <c r="U826" s="38" t="n">
        <f aca="false">N826*Scorecard!$D$18+O826*Scorecard!$D$19+P826*Scorecard!$D$20+Q826*Scorecard!$D$21+R826*Scorecard!$D$22+S826*Scorecard!$D$23</f>
        <v>2.76778320719958</v>
      </c>
      <c r="V826" s="38" t="n">
        <f aca="false">N826*Scorecard!$E$18+O826*Scorecard!$E$19+P826*Scorecard!$E$20+Q826*Scorecard!$E$21+R826*Scorecard!$E$22+S826*Scorecard!$E$23</f>
        <v>3.31714575157214</v>
      </c>
    </row>
    <row r="827" customFormat="false" ht="15" hidden="false" customHeight="false" outlineLevel="0" collapsed="false">
      <c r="A827" s="0" t="n">
        <v>822</v>
      </c>
      <c r="B827" s="38" t="n">
        <f aca="false">E827*Scorecard!$C$18+F827*Scorecard!$C$19+G827*Scorecard!$C$20+H827*Scorecard!$C$21+I827*Scorecard!$C$22+J827*Scorecard!$C$23</f>
        <v>3.59555885409934</v>
      </c>
      <c r="C827" s="38" t="n">
        <f aca="false">E827*Scorecard!$D$18+F827*Scorecard!$D$19+G827*Scorecard!$D$20+H827*Scorecard!$D$21+I827*Scorecard!$D$22+J827*Scorecard!$D$23</f>
        <v>2.13500713564125</v>
      </c>
      <c r="D827" s="0" t="str">
        <f aca="false">IF(AND(B827&gt;=C827,B827&gt;=K827),"A. Distribution",IF(C827&gt;=K827,"B. Manufacturing","C. Prof. services"))</f>
        <v>C. Prof. services</v>
      </c>
      <c r="E827" s="39" t="n">
        <v>0.0244874290364771</v>
      </c>
      <c r="F827" s="39" t="n">
        <v>0.135451478233461</v>
      </c>
      <c r="G827" s="39" t="n">
        <v>0.333573551680691</v>
      </c>
      <c r="H827" s="39" t="n">
        <v>0.178839669665733</v>
      </c>
      <c r="I827" s="39" t="n">
        <v>0.068319607305802</v>
      </c>
      <c r="J827" s="39" t="n">
        <v>0.259328264077836</v>
      </c>
      <c r="K827" s="38" t="n">
        <f aca="false">E827*Scorecard!$E$18+F827*Scorecard!$E$19+G827*Scorecard!$E$20+H827*Scorecard!$E$21+I827*Scorecard!$E$22+J827*Scorecard!$E$23</f>
        <v>3.78313685390783</v>
      </c>
      <c r="M827" s="0" t="str">
        <f aca="false">IF(AND(T827&gt;=U827,T827&gt;=V827),"A. Distribution",IF(U827&gt;=V827,"B. Manufacturing","C. Prof. services"))</f>
        <v>A. Distribution</v>
      </c>
      <c r="N827" s="39" t="n">
        <v>0.329055178106567</v>
      </c>
      <c r="O827" s="39" t="n">
        <v>0.229693091234082</v>
      </c>
      <c r="P827" s="39" t="n">
        <v>0.0938790227347532</v>
      </c>
      <c r="Q827" s="39" t="n">
        <v>0.118005344412506</v>
      </c>
      <c r="R827" s="39" t="n">
        <v>0.159491842783714</v>
      </c>
      <c r="S827" s="39" t="n">
        <v>0.069875520728377</v>
      </c>
      <c r="T827" s="38" t="n">
        <f aca="false">N827*Scorecard!$C$18+O827*Scorecard!$C$19+P827*Scorecard!$C$20+Q827*Scorecard!$C$21+R827*Scorecard!$C$22+S827*Scorecard!$C$23</f>
        <v>4.05080812666069</v>
      </c>
      <c r="U827" s="38" t="n">
        <f aca="false">N827*Scorecard!$D$18+O827*Scorecard!$D$19+P827*Scorecard!$D$20+Q827*Scorecard!$D$21+R827*Scorecard!$D$22+S827*Scorecard!$D$23</f>
        <v>2.99968477975599</v>
      </c>
      <c r="V827" s="38" t="n">
        <f aca="false">N827*Scorecard!$E$18+O827*Scorecard!$E$19+P827*Scorecard!$E$20+Q827*Scorecard!$E$21+R827*Scorecard!$E$22+S827*Scorecard!$E$23</f>
        <v>3.29140915259963</v>
      </c>
    </row>
    <row r="828" customFormat="false" ht="15" hidden="false" customHeight="false" outlineLevel="0" collapsed="false">
      <c r="A828" s="0" t="n">
        <v>823</v>
      </c>
      <c r="B828" s="38" t="n">
        <f aca="false">E828*Scorecard!$C$18+F828*Scorecard!$C$19+G828*Scorecard!$C$20+H828*Scorecard!$C$21+I828*Scorecard!$C$22+J828*Scorecard!$C$23</f>
        <v>3.82506806061798</v>
      </c>
      <c r="C828" s="38" t="n">
        <f aca="false">E828*Scorecard!$D$18+F828*Scorecard!$D$19+G828*Scorecard!$D$20+H828*Scorecard!$D$21+I828*Scorecard!$D$22+J828*Scorecard!$D$23</f>
        <v>2.82072113844503</v>
      </c>
      <c r="D828" s="0" t="str">
        <f aca="false">IF(AND(B828&gt;=C828,B828&gt;=K828),"A. Distribution",IF(C828&gt;=K828,"B. Manufacturing","C. Prof. services"))</f>
        <v>A. Distribution</v>
      </c>
      <c r="E828" s="39" t="n">
        <v>0.159973125106604</v>
      </c>
      <c r="F828" s="39" t="n">
        <v>0.173591603350212</v>
      </c>
      <c r="G828" s="39" t="n">
        <v>0.0423669480617204</v>
      </c>
      <c r="H828" s="39" t="n">
        <v>0.126609162812223</v>
      </c>
      <c r="I828" s="39" t="n">
        <v>0.336440357995654</v>
      </c>
      <c r="J828" s="39" t="n">
        <v>0.161018802673587</v>
      </c>
      <c r="K828" s="38" t="n">
        <f aca="false">E828*Scorecard!$E$18+F828*Scorecard!$E$19+G828*Scorecard!$E$20+H828*Scorecard!$E$21+I828*Scorecard!$E$22+J828*Scorecard!$E$23</f>
        <v>3.19085236091772</v>
      </c>
      <c r="M828" s="0" t="str">
        <f aca="false">IF(AND(T828&gt;=U828,T828&gt;=V828),"A. Distribution",IF(U828&gt;=V828,"B. Manufacturing","C. Prof. services"))</f>
        <v>A. Distribution</v>
      </c>
      <c r="N828" s="39" t="n">
        <v>0.125010409388783</v>
      </c>
      <c r="O828" s="39" t="n">
        <v>0.103731711159889</v>
      </c>
      <c r="P828" s="39" t="n">
        <v>0.263951833723829</v>
      </c>
      <c r="Q828" s="39" t="n">
        <v>0.311189435930473</v>
      </c>
      <c r="R828" s="39" t="n">
        <v>0.131910231963882</v>
      </c>
      <c r="S828" s="39" t="n">
        <v>0.064206377833145</v>
      </c>
      <c r="T828" s="38" t="n">
        <f aca="false">N828*Scorecard!$C$18+O828*Scorecard!$C$19+P828*Scorecard!$C$20+Q828*Scorecard!$C$21+R828*Scorecard!$C$22+S828*Scorecard!$C$23</f>
        <v>3.93175142894773</v>
      </c>
      <c r="U828" s="38" t="n">
        <f aca="false">N828*Scorecard!$D$18+O828*Scorecard!$D$19+P828*Scorecard!$D$20+Q828*Scorecard!$D$21+R828*Scorecard!$D$22+S828*Scorecard!$D$23</f>
        <v>2.54262076757197</v>
      </c>
      <c r="V828" s="38" t="n">
        <f aca="false">N828*Scorecard!$E$18+O828*Scorecard!$E$19+P828*Scorecard!$E$20+Q828*Scorecard!$E$21+R828*Scorecard!$E$22+S828*Scorecard!$E$23</f>
        <v>3.52395790173611</v>
      </c>
    </row>
    <row r="829" customFormat="false" ht="15" hidden="false" customHeight="false" outlineLevel="0" collapsed="false">
      <c r="A829" s="0" t="n">
        <v>824</v>
      </c>
      <c r="B829" s="38" t="n">
        <f aca="false">E829*Scorecard!$C$18+F829*Scorecard!$C$19+G829*Scorecard!$C$20+H829*Scorecard!$C$21+I829*Scorecard!$C$22+J829*Scorecard!$C$23</f>
        <v>3.99248887876301</v>
      </c>
      <c r="C829" s="38" t="n">
        <f aca="false">E829*Scorecard!$D$18+F829*Scorecard!$D$19+G829*Scorecard!$D$20+H829*Scorecard!$D$21+I829*Scorecard!$D$22+J829*Scorecard!$D$23</f>
        <v>2.81892904212181</v>
      </c>
      <c r="D829" s="0" t="str">
        <f aca="false">IF(AND(B829&gt;=C829,B829&gt;=K829),"A. Distribution",IF(C829&gt;=K829,"B. Manufacturing","C. Prof. services"))</f>
        <v>A. Distribution</v>
      </c>
      <c r="E829" s="39" t="n">
        <v>0.210198460342625</v>
      </c>
      <c r="F829" s="39" t="n">
        <v>0.0992748960790316</v>
      </c>
      <c r="G829" s="39" t="n">
        <v>0.35456254023095</v>
      </c>
      <c r="H829" s="39" t="n">
        <v>0.0259952239233845</v>
      </c>
      <c r="I829" s="39" t="n">
        <v>0.266414448996137</v>
      </c>
      <c r="J829" s="39" t="n">
        <v>0.0435544304278709</v>
      </c>
      <c r="K829" s="38" t="n">
        <f aca="false">E829*Scorecard!$E$18+F829*Scorecard!$E$19+G829*Scorecard!$E$20+H829*Scorecard!$E$21+I829*Scorecard!$E$22+J829*Scorecard!$E$23</f>
        <v>3.3454676098332</v>
      </c>
      <c r="M829" s="0" t="str">
        <f aca="false">IF(AND(T829&gt;=U829,T829&gt;=V829),"A. Distribution",IF(U829&gt;=V829,"B. Manufacturing","C. Prof. services"))</f>
        <v>A. Distribution</v>
      </c>
      <c r="N829" s="39" t="n">
        <v>0.131979704545611</v>
      </c>
      <c r="O829" s="39" t="n">
        <v>0.336872035900006</v>
      </c>
      <c r="P829" s="39" t="n">
        <v>0.254441560415945</v>
      </c>
      <c r="Q829" s="39" t="n">
        <v>0.0936777700278381</v>
      </c>
      <c r="R829" s="39" t="n">
        <v>0.0940159041452584</v>
      </c>
      <c r="S829" s="39" t="n">
        <v>0.0890130249653414</v>
      </c>
      <c r="T829" s="38" t="n">
        <f aca="false">N829*Scorecard!$C$18+O829*Scorecard!$C$19+P829*Scorecard!$C$20+Q829*Scorecard!$C$21+R829*Scorecard!$C$22+S829*Scorecard!$C$23</f>
        <v>4.13815592685088</v>
      </c>
      <c r="U829" s="38" t="n">
        <f aca="false">N829*Scorecard!$D$18+O829*Scorecard!$D$19+P829*Scorecard!$D$20+Q829*Scorecard!$D$21+R829*Scorecard!$D$22+S829*Scorecard!$D$23</f>
        <v>2.55374388063602</v>
      </c>
      <c r="V829" s="38" t="n">
        <f aca="false">N829*Scorecard!$E$18+O829*Scorecard!$E$19+P829*Scorecard!$E$20+Q829*Scorecard!$E$21+R829*Scorecard!$E$22+S829*Scorecard!$E$23</f>
        <v>3.38847770303174</v>
      </c>
    </row>
    <row r="830" customFormat="false" ht="15" hidden="false" customHeight="false" outlineLevel="0" collapsed="false">
      <c r="A830" s="0" t="n">
        <v>825</v>
      </c>
      <c r="B830" s="38" t="n">
        <f aca="false">E830*Scorecard!$C$18+F830*Scorecard!$C$19+G830*Scorecard!$C$20+H830*Scorecard!$C$21+I830*Scorecard!$C$22+J830*Scorecard!$C$23</f>
        <v>3.95583252541738</v>
      </c>
      <c r="C830" s="38" t="n">
        <f aca="false">E830*Scorecard!$D$18+F830*Scorecard!$D$19+G830*Scorecard!$D$20+H830*Scorecard!$D$21+I830*Scorecard!$D$22+J830*Scorecard!$D$23</f>
        <v>2.46631673554731</v>
      </c>
      <c r="D830" s="0" t="str">
        <f aca="false">IF(AND(B830&gt;=C830,B830&gt;=K830),"A. Distribution",IF(C830&gt;=K830,"B. Manufacturing","C. Prof. services"))</f>
        <v>A. Distribution</v>
      </c>
      <c r="E830" s="39" t="n">
        <v>0.0495074511374844</v>
      </c>
      <c r="F830" s="39" t="n">
        <v>0.378055789938434</v>
      </c>
      <c r="G830" s="39" t="n">
        <v>0.0898002844713593</v>
      </c>
      <c r="H830" s="39" t="n">
        <v>0.100042782976487</v>
      </c>
      <c r="I830" s="39" t="n">
        <v>0.178859290218439</v>
      </c>
      <c r="J830" s="39" t="n">
        <v>0.203734401257797</v>
      </c>
      <c r="K830" s="38" t="n">
        <f aca="false">E830*Scorecard!$E$18+F830*Scorecard!$E$19+G830*Scorecard!$E$20+H830*Scorecard!$E$21+I830*Scorecard!$E$22+J830*Scorecard!$E$23</f>
        <v>3.2943524010073</v>
      </c>
      <c r="M830" s="0" t="str">
        <f aca="false">IF(AND(T830&gt;=U830,T830&gt;=V830),"A. Distribution",IF(U830&gt;=V830,"B. Manufacturing","C. Prof. services"))</f>
        <v>A. Distribution</v>
      </c>
      <c r="N830" s="39" t="n">
        <v>0.192713542994033</v>
      </c>
      <c r="O830" s="39" t="n">
        <v>0.240604847065385</v>
      </c>
      <c r="P830" s="39" t="n">
        <v>0.182367583997531</v>
      </c>
      <c r="Q830" s="39" t="n">
        <v>0.190711075607753</v>
      </c>
      <c r="R830" s="39" t="n">
        <v>0.109710932006992</v>
      </c>
      <c r="S830" s="39" t="n">
        <v>0.0838920183283075</v>
      </c>
      <c r="T830" s="38" t="n">
        <f aca="false">N830*Scorecard!$C$18+O830*Scorecard!$C$19+P830*Scorecard!$C$20+Q830*Scorecard!$C$21+R830*Scorecard!$C$22+S830*Scorecard!$C$23</f>
        <v>4.03679923184361</v>
      </c>
      <c r="U830" s="38" t="n">
        <f aca="false">N830*Scorecard!$D$18+O830*Scorecard!$D$19+P830*Scorecard!$D$20+Q830*Scorecard!$D$21+R830*Scorecard!$D$22+S830*Scorecard!$D$23</f>
        <v>2.67747089852776</v>
      </c>
      <c r="V830" s="38" t="n">
        <f aca="false">N830*Scorecard!$E$18+O830*Scorecard!$E$19+P830*Scorecard!$E$20+Q830*Scorecard!$E$21+R830*Scorecard!$E$22+S830*Scorecard!$E$23</f>
        <v>3.41273366682762</v>
      </c>
    </row>
    <row r="831" customFormat="false" ht="15" hidden="false" customHeight="false" outlineLevel="0" collapsed="false">
      <c r="A831" s="0" t="n">
        <v>826</v>
      </c>
      <c r="B831" s="38" t="n">
        <f aca="false">E831*Scorecard!$C$18+F831*Scorecard!$C$19+G831*Scorecard!$C$20+H831*Scorecard!$C$21+I831*Scorecard!$C$22+J831*Scorecard!$C$23</f>
        <v>3.28576384360569</v>
      </c>
      <c r="C831" s="38" t="n">
        <f aca="false">E831*Scorecard!$D$18+F831*Scorecard!$D$19+G831*Scorecard!$D$20+H831*Scorecard!$D$21+I831*Scorecard!$D$22+J831*Scorecard!$D$23</f>
        <v>2.49124227869468</v>
      </c>
      <c r="D831" s="0" t="str">
        <f aca="false">IF(AND(B831&gt;=C831,B831&gt;=K831),"A. Distribution",IF(C831&gt;=K831,"B. Manufacturing","C. Prof. services"))</f>
        <v>C. Prof. services</v>
      </c>
      <c r="E831" s="39" t="n">
        <v>0.244604836955717</v>
      </c>
      <c r="F831" s="39" t="n">
        <v>0.193908740461885</v>
      </c>
      <c r="G831" s="39" t="n">
        <v>0.00186175358147772</v>
      </c>
      <c r="H831" s="39" t="n">
        <v>0.0404436523076704</v>
      </c>
      <c r="I831" s="39" t="n">
        <v>0.0771067482683285</v>
      </c>
      <c r="J831" s="39" t="n">
        <v>0.442074268424922</v>
      </c>
      <c r="K831" s="38" t="n">
        <f aca="false">E831*Scorecard!$E$18+F831*Scorecard!$E$19+G831*Scorecard!$E$20+H831*Scorecard!$E$21+I831*Scorecard!$E$22+J831*Scorecard!$E$23</f>
        <v>3.72519074682496</v>
      </c>
      <c r="M831" s="0" t="str">
        <f aca="false">IF(AND(T831&gt;=U831,T831&gt;=V831),"A. Distribution",IF(U831&gt;=V831,"B. Manufacturing","C. Prof. services"))</f>
        <v>A. Distribution</v>
      </c>
      <c r="N831" s="39" t="n">
        <v>0.287455928530346</v>
      </c>
      <c r="O831" s="39" t="n">
        <v>0.235711222058504</v>
      </c>
      <c r="P831" s="39" t="n">
        <v>0.173893555673243</v>
      </c>
      <c r="Q831" s="39" t="n">
        <v>0.147734586131603</v>
      </c>
      <c r="R831" s="39" t="n">
        <v>0.1239786579263</v>
      </c>
      <c r="S831" s="39" t="n">
        <v>0.0312260496800036</v>
      </c>
      <c r="T831" s="38" t="n">
        <f aca="false">N831*Scorecard!$C$18+O831*Scorecard!$C$19+P831*Scorecard!$C$20+Q831*Scorecard!$C$21+R831*Scorecard!$C$22+S831*Scorecard!$C$23</f>
        <v>4.1342617258012</v>
      </c>
      <c r="U831" s="38" t="n">
        <f aca="false">N831*Scorecard!$D$18+O831*Scorecard!$D$19+P831*Scorecard!$D$20+Q831*Scorecard!$D$21+R831*Scorecard!$D$22+S831*Scorecard!$D$23</f>
        <v>2.89936840413311</v>
      </c>
      <c r="V831" s="38" t="n">
        <f aca="false">N831*Scorecard!$E$18+O831*Scorecard!$E$19+P831*Scorecard!$E$20+Q831*Scorecard!$E$21+R831*Scorecard!$E$22+S831*Scorecard!$E$23</f>
        <v>3.33515596888202</v>
      </c>
    </row>
    <row r="832" customFormat="false" ht="15" hidden="false" customHeight="false" outlineLevel="0" collapsed="false">
      <c r="A832" s="0" t="n">
        <v>827</v>
      </c>
      <c r="B832" s="38" t="n">
        <f aca="false">E832*Scorecard!$C$18+F832*Scorecard!$C$19+G832*Scorecard!$C$20+H832*Scorecard!$C$21+I832*Scorecard!$C$22+J832*Scorecard!$C$23</f>
        <v>3.73090876138514</v>
      </c>
      <c r="C832" s="38" t="n">
        <f aca="false">E832*Scorecard!$D$18+F832*Scorecard!$D$19+G832*Scorecard!$D$20+H832*Scorecard!$D$21+I832*Scorecard!$D$22+J832*Scorecard!$D$23</f>
        <v>2.76620798495456</v>
      </c>
      <c r="D832" s="0" t="str">
        <f aca="false">IF(AND(B832&gt;=C832,B832&gt;=K832),"A. Distribution",IF(C832&gt;=K832,"B. Manufacturing","C. Prof. services"))</f>
        <v>A. Distribution</v>
      </c>
      <c r="E832" s="39" t="n">
        <v>0.288494197124419</v>
      </c>
      <c r="F832" s="39" t="n">
        <v>0.0738059363597832</v>
      </c>
      <c r="G832" s="39" t="n">
        <v>0.0522964272292623</v>
      </c>
      <c r="H832" s="39" t="n">
        <v>0.365130776194875</v>
      </c>
      <c r="I832" s="39" t="n">
        <v>0.0800767371939388</v>
      </c>
      <c r="J832" s="39" t="n">
        <v>0.140195925897721</v>
      </c>
      <c r="K832" s="38" t="n">
        <f aca="false">E832*Scorecard!$E$18+F832*Scorecard!$E$19+G832*Scorecard!$E$20+H832*Scorecard!$E$21+I832*Scorecard!$E$22+J832*Scorecard!$E$23</f>
        <v>3.58473257173065</v>
      </c>
      <c r="M832" s="0" t="str">
        <f aca="false">IF(AND(T832&gt;=U832,T832&gt;=V832),"A. Distribution",IF(U832&gt;=V832,"B. Manufacturing","C. Prof. services"))</f>
        <v>A. Distribution</v>
      </c>
      <c r="N832" s="39" t="n">
        <v>0.0490860208734085</v>
      </c>
      <c r="O832" s="39" t="n">
        <v>0.322863688751755</v>
      </c>
      <c r="P832" s="39" t="n">
        <v>0.117351369291002</v>
      </c>
      <c r="Q832" s="39" t="n">
        <v>0.104310678552238</v>
      </c>
      <c r="R832" s="39" t="n">
        <v>0.367233514114053</v>
      </c>
      <c r="S832" s="39" t="n">
        <v>0.0391547284175429</v>
      </c>
      <c r="T832" s="38" t="n">
        <f aca="false">N832*Scorecard!$C$18+O832*Scorecard!$C$19+P832*Scorecard!$C$20+Q832*Scorecard!$C$21+R832*Scorecard!$C$22+S832*Scorecard!$C$23</f>
        <v>4.22937373693397</v>
      </c>
      <c r="U832" s="38" t="n">
        <f aca="false">N832*Scorecard!$D$18+O832*Scorecard!$D$19+P832*Scorecard!$D$20+Q832*Scorecard!$D$21+R832*Scorecard!$D$22+S832*Scorecard!$D$23</f>
        <v>2.77091876425771</v>
      </c>
      <c r="V832" s="38" t="n">
        <f aca="false">N832*Scorecard!$E$18+O832*Scorecard!$E$19+P832*Scorecard!$E$20+Q832*Scorecard!$E$21+R832*Scorecard!$E$22+S832*Scorecard!$E$23</f>
        <v>2.96289167009613</v>
      </c>
    </row>
    <row r="833" customFormat="false" ht="15" hidden="false" customHeight="false" outlineLevel="0" collapsed="false">
      <c r="A833" s="0" t="n">
        <v>828</v>
      </c>
      <c r="B833" s="38" t="n">
        <f aca="false">E833*Scorecard!$C$18+F833*Scorecard!$C$19+G833*Scorecard!$C$20+H833*Scorecard!$C$21+I833*Scorecard!$C$22+J833*Scorecard!$C$23</f>
        <v>3.85101417255419</v>
      </c>
      <c r="C833" s="38" t="n">
        <f aca="false">E833*Scorecard!$D$18+F833*Scorecard!$D$19+G833*Scorecard!$D$20+H833*Scorecard!$D$21+I833*Scorecard!$D$22+J833*Scorecard!$D$23</f>
        <v>2.87242011398155</v>
      </c>
      <c r="D833" s="0" t="str">
        <f aca="false">IF(AND(B833&gt;=C833,B833&gt;=K833),"A. Distribution",IF(C833&gt;=K833,"B. Manufacturing","C. Prof. services"))</f>
        <v>A. Distribution</v>
      </c>
      <c r="E833" s="39" t="n">
        <v>0.141927255894169</v>
      </c>
      <c r="F833" s="39" t="n">
        <v>0.0783548689092523</v>
      </c>
      <c r="G833" s="39" t="n">
        <v>0.0973431060400006</v>
      </c>
      <c r="H833" s="39" t="n">
        <v>0.178425282978768</v>
      </c>
      <c r="I833" s="39" t="n">
        <v>0.405589293077591</v>
      </c>
      <c r="J833" s="39" t="n">
        <v>0.0983601931002192</v>
      </c>
      <c r="K833" s="38" t="n">
        <f aca="false">E833*Scorecard!$E$18+F833*Scorecard!$E$19+G833*Scorecard!$E$20+H833*Scorecard!$E$21+I833*Scorecard!$E$22+J833*Scorecard!$E$23</f>
        <v>3.15019537376334</v>
      </c>
      <c r="M833" s="0" t="str">
        <f aca="false">IF(AND(T833&gt;=U833,T833&gt;=V833),"A. Distribution",IF(U833&gt;=V833,"B. Manufacturing","C. Prof. services"))</f>
        <v>A. Distribution</v>
      </c>
      <c r="N833" s="39" t="n">
        <v>0.130245526719054</v>
      </c>
      <c r="O833" s="39" t="n">
        <v>0.231721773353115</v>
      </c>
      <c r="P833" s="39" t="n">
        <v>0.280301583577864</v>
      </c>
      <c r="Q833" s="39" t="n">
        <v>0.12615668684251</v>
      </c>
      <c r="R833" s="39" t="n">
        <v>0.175989904459859</v>
      </c>
      <c r="S833" s="39" t="n">
        <v>0.0555845250475971</v>
      </c>
      <c r="T833" s="38" t="n">
        <f aca="false">N833*Scorecard!$C$18+O833*Scorecard!$C$19+P833*Scorecard!$C$20+Q833*Scorecard!$C$21+R833*Scorecard!$C$22+S833*Scorecard!$C$23</f>
        <v>4.09650227333346</v>
      </c>
      <c r="U833" s="38" t="n">
        <f aca="false">N833*Scorecard!$D$18+O833*Scorecard!$D$19+P833*Scorecard!$D$20+Q833*Scorecard!$D$21+R833*Scorecard!$D$22+S833*Scorecard!$D$23</f>
        <v>2.63002726149019</v>
      </c>
      <c r="V833" s="38" t="n">
        <f aca="false">N833*Scorecard!$E$18+O833*Scorecard!$E$19+P833*Scorecard!$E$20+Q833*Scorecard!$E$21+R833*Scorecard!$E$22+S833*Scorecard!$E$23</f>
        <v>3.35107993085948</v>
      </c>
    </row>
    <row r="834" customFormat="false" ht="15" hidden="false" customHeight="false" outlineLevel="0" collapsed="false">
      <c r="A834" s="0" t="n">
        <v>829</v>
      </c>
      <c r="B834" s="38" t="n">
        <f aca="false">E834*Scorecard!$C$18+F834*Scorecard!$C$19+G834*Scorecard!$C$20+H834*Scorecard!$C$21+I834*Scorecard!$C$22+J834*Scorecard!$C$23</f>
        <v>2.73164697988141</v>
      </c>
      <c r="C834" s="38" t="n">
        <f aca="false">E834*Scorecard!$D$18+F834*Scorecard!$D$19+G834*Scorecard!$D$20+H834*Scorecard!$D$21+I834*Scorecard!$D$22+J834*Scorecard!$D$23</f>
        <v>2.22322819558521</v>
      </c>
      <c r="D834" s="0" t="str">
        <f aca="false">IF(AND(B834&gt;=C834,B834&gt;=K834),"A. Distribution",IF(C834&gt;=K834,"B. Manufacturing","C. Prof. services"))</f>
        <v>C. Prof. services</v>
      </c>
      <c r="E834" s="39" t="n">
        <v>0.222919739123878</v>
      </c>
      <c r="F834" s="39" t="n">
        <v>0.0235809261628483</v>
      </c>
      <c r="G834" s="39" t="n">
        <v>0.0550684086361533</v>
      </c>
      <c r="H834" s="39" t="n">
        <v>0.00390299470438926</v>
      </c>
      <c r="I834" s="39" t="n">
        <v>0.057719986334644</v>
      </c>
      <c r="J834" s="39" t="n">
        <v>0.636807945038087</v>
      </c>
      <c r="K834" s="38" t="n">
        <f aca="false">E834*Scorecard!$E$18+F834*Scorecard!$E$19+G834*Scorecard!$E$20+H834*Scorecard!$E$21+I834*Scorecard!$E$22+J834*Scorecard!$E$23</f>
        <v>4.08127656146591</v>
      </c>
      <c r="M834" s="0" t="str">
        <f aca="false">IF(AND(T834&gt;=U834,T834&gt;=V834),"A. Distribution",IF(U834&gt;=V834,"B. Manufacturing","C. Prof. services"))</f>
        <v>A. Distribution</v>
      </c>
      <c r="N834" s="39" t="n">
        <v>0.0600519124749399</v>
      </c>
      <c r="O834" s="39" t="n">
        <v>0.330698720399009</v>
      </c>
      <c r="P834" s="39" t="n">
        <v>0.20810792181627</v>
      </c>
      <c r="Q834" s="39" t="n">
        <v>0.130692227831488</v>
      </c>
      <c r="R834" s="39" t="n">
        <v>0.125027428200263</v>
      </c>
      <c r="S834" s="39" t="n">
        <v>0.145421789278031</v>
      </c>
      <c r="T834" s="38" t="n">
        <f aca="false">N834*Scorecard!$C$18+O834*Scorecard!$C$19+P834*Scorecard!$C$20+Q834*Scorecard!$C$21+R834*Scorecard!$C$22+S834*Scorecard!$C$23</f>
        <v>4.02095160340749</v>
      </c>
      <c r="U834" s="38" t="n">
        <f aca="false">N834*Scorecard!$D$18+O834*Scorecard!$D$19+P834*Scorecard!$D$20+Q834*Scorecard!$D$21+R834*Scorecard!$D$22+S834*Scorecard!$D$23</f>
        <v>2.42890119060465</v>
      </c>
      <c r="V834" s="38" t="n">
        <f aca="false">N834*Scorecard!$E$18+O834*Scorecard!$E$19+P834*Scorecard!$E$20+Q834*Scorecard!$E$21+R834*Scorecard!$E$22+S834*Scorecard!$E$23</f>
        <v>3.39623223309439</v>
      </c>
    </row>
    <row r="835" customFormat="false" ht="15" hidden="false" customHeight="false" outlineLevel="0" collapsed="false">
      <c r="A835" s="0" t="n">
        <v>830</v>
      </c>
      <c r="B835" s="38" t="n">
        <f aca="false">E835*Scorecard!$C$18+F835*Scorecard!$C$19+G835*Scorecard!$C$20+H835*Scorecard!$C$21+I835*Scorecard!$C$22+J835*Scorecard!$C$23</f>
        <v>4.00007412637017</v>
      </c>
      <c r="C835" s="38" t="n">
        <f aca="false">E835*Scorecard!$D$18+F835*Scorecard!$D$19+G835*Scorecard!$D$20+H835*Scorecard!$D$21+I835*Scorecard!$D$22+J835*Scorecard!$D$23</f>
        <v>2.79235472395778</v>
      </c>
      <c r="D835" s="0" t="str">
        <f aca="false">IF(AND(B835&gt;=C835,B835&gt;=K835),"A. Distribution",IF(C835&gt;=K835,"B. Manufacturing","C. Prof. services"))</f>
        <v>A. Distribution</v>
      </c>
      <c r="E835" s="39" t="n">
        <v>0.268721194024266</v>
      </c>
      <c r="F835" s="39" t="n">
        <v>0.306391659708332</v>
      </c>
      <c r="G835" s="39" t="n">
        <v>0.00603925283882833</v>
      </c>
      <c r="H835" s="39" t="n">
        <v>0.224067043462309</v>
      </c>
      <c r="I835" s="39" t="n">
        <v>0.0644811396031336</v>
      </c>
      <c r="J835" s="39" t="n">
        <v>0.130299710363132</v>
      </c>
      <c r="K835" s="38" t="n">
        <f aca="false">E835*Scorecard!$E$18+F835*Scorecard!$E$19+G835*Scorecard!$E$20+H835*Scorecard!$E$21+I835*Scorecard!$E$22+J835*Scorecard!$E$23</f>
        <v>3.38376550783425</v>
      </c>
      <c r="M835" s="0" t="str">
        <f aca="false">IF(AND(T835&gt;=U835,T835&gt;=V835),"A. Distribution",IF(U835&gt;=V835,"B. Manufacturing","C. Prof. services"))</f>
        <v>A. Distribution</v>
      </c>
      <c r="N835" s="39" t="n">
        <v>0.272107908026989</v>
      </c>
      <c r="O835" s="39" t="n">
        <v>0.207642620376542</v>
      </c>
      <c r="P835" s="39" t="n">
        <v>0.248225498070396</v>
      </c>
      <c r="Q835" s="39" t="n">
        <v>0.0863593572238504</v>
      </c>
      <c r="R835" s="39" t="n">
        <v>0.137520446116709</v>
      </c>
      <c r="S835" s="39" t="n">
        <v>0.0481441701855125</v>
      </c>
      <c r="T835" s="38" t="n">
        <f aca="false">N835*Scorecard!$C$18+O835*Scorecard!$C$19+P835*Scorecard!$C$20+Q835*Scorecard!$C$21+R835*Scorecard!$C$22+S835*Scorecard!$C$23</f>
        <v>4.08020234305872</v>
      </c>
      <c r="U835" s="38" t="n">
        <f aca="false">N835*Scorecard!$D$18+O835*Scorecard!$D$19+P835*Scorecard!$D$20+Q835*Scorecard!$D$21+R835*Scorecard!$D$22+S835*Scorecard!$D$23</f>
        <v>2.84510098793277</v>
      </c>
      <c r="V835" s="38" t="n">
        <f aca="false">N835*Scorecard!$E$18+O835*Scorecard!$E$19+P835*Scorecard!$E$20+Q835*Scorecard!$E$21+R835*Scorecard!$E$22+S835*Scorecard!$E$23</f>
        <v>3.38234700734353</v>
      </c>
    </row>
    <row r="836" customFormat="false" ht="15" hidden="false" customHeight="false" outlineLevel="0" collapsed="false">
      <c r="A836" s="0" t="n">
        <v>831</v>
      </c>
      <c r="B836" s="38" t="n">
        <f aca="false">E836*Scorecard!$C$18+F836*Scorecard!$C$19+G836*Scorecard!$C$20+H836*Scorecard!$C$21+I836*Scorecard!$C$22+J836*Scorecard!$C$23</f>
        <v>3.55638140307733</v>
      </c>
      <c r="C836" s="38" t="n">
        <f aca="false">E836*Scorecard!$D$18+F836*Scorecard!$D$19+G836*Scorecard!$D$20+H836*Scorecard!$D$21+I836*Scorecard!$D$22+J836*Scorecard!$D$23</f>
        <v>2.88428548249987</v>
      </c>
      <c r="D836" s="0" t="str">
        <f aca="false">IF(AND(B836&gt;=C836,B836&gt;=K836),"A. Distribution",IF(C836&gt;=K836,"B. Manufacturing","C. Prof. services"))</f>
        <v>A. Distribution</v>
      </c>
      <c r="E836" s="39" t="n">
        <v>0.240224756073127</v>
      </c>
      <c r="F836" s="39" t="n">
        <v>0.0905829538504964</v>
      </c>
      <c r="G836" s="39" t="n">
        <v>0.0138850758962143</v>
      </c>
      <c r="H836" s="39" t="n">
        <v>0.0546401670008999</v>
      </c>
      <c r="I836" s="39" t="n">
        <v>0.346153461912985</v>
      </c>
      <c r="J836" s="39" t="n">
        <v>0.254513585266278</v>
      </c>
      <c r="K836" s="38" t="n">
        <f aca="false">E836*Scorecard!$E$18+F836*Scorecard!$E$19+G836*Scorecard!$E$20+H836*Scorecard!$E$21+I836*Scorecard!$E$22+J836*Scorecard!$E$23</f>
        <v>3.30405446328639</v>
      </c>
      <c r="M836" s="0" t="str">
        <f aca="false">IF(AND(T836&gt;=U836,T836&gt;=V836),"A. Distribution",IF(U836&gt;=V836,"B. Manufacturing","C. Prof. services"))</f>
        <v>A. Distribution</v>
      </c>
      <c r="N836" s="39" t="n">
        <v>0.134822441855678</v>
      </c>
      <c r="O836" s="39" t="n">
        <v>0.248460788637398</v>
      </c>
      <c r="P836" s="39" t="n">
        <v>0.221113752991683</v>
      </c>
      <c r="Q836" s="39" t="n">
        <v>0.126664995533703</v>
      </c>
      <c r="R836" s="39" t="n">
        <v>0.139797468125142</v>
      </c>
      <c r="S836" s="39" t="n">
        <v>0.129140552856396</v>
      </c>
      <c r="T836" s="38" t="n">
        <f aca="false">N836*Scorecard!$C$18+O836*Scorecard!$C$19+P836*Scorecard!$C$20+Q836*Scorecard!$C$21+R836*Scorecard!$C$22+S836*Scorecard!$C$23</f>
        <v>3.96570699669904</v>
      </c>
      <c r="U836" s="38" t="n">
        <f aca="false">N836*Scorecard!$D$18+O836*Scorecard!$D$19+P836*Scorecard!$D$20+Q836*Scorecard!$D$21+R836*Scorecard!$D$22+S836*Scorecard!$D$23</f>
        <v>2.56327169444277</v>
      </c>
      <c r="V836" s="38" t="n">
        <f aca="false">N836*Scorecard!$E$18+O836*Scorecard!$E$19+P836*Scorecard!$E$20+Q836*Scorecard!$E$21+R836*Scorecard!$E$22+S836*Scorecard!$E$23</f>
        <v>3.42571504410999</v>
      </c>
    </row>
    <row r="837" customFormat="false" ht="15" hidden="false" customHeight="false" outlineLevel="0" collapsed="false">
      <c r="A837" s="0" t="n">
        <v>832</v>
      </c>
      <c r="B837" s="38" t="n">
        <f aca="false">E837*Scorecard!$C$18+F837*Scorecard!$C$19+G837*Scorecard!$C$20+H837*Scorecard!$C$21+I837*Scorecard!$C$22+J837*Scorecard!$C$23</f>
        <v>3.98820125841645</v>
      </c>
      <c r="C837" s="38" t="n">
        <f aca="false">E837*Scorecard!$D$18+F837*Scorecard!$D$19+G837*Scorecard!$D$20+H837*Scorecard!$D$21+I837*Scorecard!$D$22+J837*Scorecard!$D$23</f>
        <v>3.62506644368429</v>
      </c>
      <c r="D837" s="0" t="str">
        <f aca="false">IF(AND(B837&gt;=C837,B837&gt;=K837),"A. Distribution",IF(C837&gt;=K837,"B. Manufacturing","C. Prof. services"))</f>
        <v>A. Distribution</v>
      </c>
      <c r="E837" s="39" t="n">
        <v>0.73682338975334</v>
      </c>
      <c r="F837" s="39" t="n">
        <v>0.0639218296907744</v>
      </c>
      <c r="G837" s="39" t="n">
        <v>0.0787040239954751</v>
      </c>
      <c r="H837" s="39" t="n">
        <v>0.0479522652366778</v>
      </c>
      <c r="I837" s="39" t="n">
        <v>0.0669002337383818</v>
      </c>
      <c r="J837" s="39" t="n">
        <v>0.00569825758535134</v>
      </c>
      <c r="K837" s="38" t="n">
        <f aca="false">E837*Scorecard!$E$18+F837*Scorecard!$E$19+G837*Scorecard!$E$20+H837*Scorecard!$E$21+I837*Scorecard!$E$22+J837*Scorecard!$E$23</f>
        <v>3.43083747833693</v>
      </c>
      <c r="M837" s="0" t="str">
        <f aca="false">IF(AND(T837&gt;=U837,T837&gt;=V837),"A. Distribution",IF(U837&gt;=V837,"B. Manufacturing","C. Prof. services"))</f>
        <v>A. Distribution</v>
      </c>
      <c r="N837" s="39" t="n">
        <v>0.349920729504513</v>
      </c>
      <c r="O837" s="39" t="n">
        <v>0.326825960528074</v>
      </c>
      <c r="P837" s="39" t="n">
        <v>0.121399537437464</v>
      </c>
      <c r="Q837" s="39" t="n">
        <v>0.0517250047724497</v>
      </c>
      <c r="R837" s="39" t="n">
        <v>0.12893854768648</v>
      </c>
      <c r="S837" s="39" t="n">
        <v>0.0211902200710197</v>
      </c>
      <c r="T837" s="38" t="n">
        <f aca="false">N837*Scorecard!$C$18+O837*Scorecard!$C$19+P837*Scorecard!$C$20+Q837*Scorecard!$C$21+R837*Scorecard!$C$22+S837*Scorecard!$C$23</f>
        <v>4.25077811499457</v>
      </c>
      <c r="U837" s="38" t="n">
        <f aca="false">N837*Scorecard!$D$18+O837*Scorecard!$D$19+P837*Scorecard!$D$20+Q837*Scorecard!$D$21+R837*Scorecard!$D$22+S837*Scorecard!$D$23</f>
        <v>3.05759959361805</v>
      </c>
      <c r="V837" s="38" t="n">
        <f aca="false">N837*Scorecard!$E$18+O837*Scorecard!$E$19+P837*Scorecard!$E$20+Q837*Scorecard!$E$21+R837*Scorecard!$E$22+S837*Scorecard!$E$23</f>
        <v>3.21312121286126</v>
      </c>
    </row>
    <row r="838" customFormat="false" ht="15" hidden="false" customHeight="false" outlineLevel="0" collapsed="false">
      <c r="A838" s="0" t="n">
        <v>833</v>
      </c>
      <c r="B838" s="38" t="n">
        <f aca="false">E838*Scorecard!$C$18+F838*Scorecard!$C$19+G838*Scorecard!$C$20+H838*Scorecard!$C$21+I838*Scorecard!$C$22+J838*Scorecard!$C$23</f>
        <v>3.95490098013054</v>
      </c>
      <c r="C838" s="38" t="n">
        <f aca="false">E838*Scorecard!$D$18+F838*Scorecard!$D$19+G838*Scorecard!$D$20+H838*Scorecard!$D$21+I838*Scorecard!$D$22+J838*Scorecard!$D$23</f>
        <v>2.7227713009185</v>
      </c>
      <c r="D838" s="0" t="str">
        <f aca="false">IF(AND(B838&gt;=C838,B838&gt;=K838),"A. Distribution",IF(C838&gt;=K838,"B. Manufacturing","C. Prof. services"))</f>
        <v>A. Distribution</v>
      </c>
      <c r="E838" s="39" t="n">
        <v>0.313302925480489</v>
      </c>
      <c r="F838" s="39" t="n">
        <v>0.202934152521781</v>
      </c>
      <c r="G838" s="39" t="n">
        <v>0.264223118138593</v>
      </c>
      <c r="H838" s="39" t="n">
        <v>0.11363339838031</v>
      </c>
      <c r="I838" s="39" t="n">
        <v>0.000588892209957497</v>
      </c>
      <c r="J838" s="39" t="n">
        <v>0.105317513268869</v>
      </c>
      <c r="K838" s="38" t="n">
        <f aca="false">E838*Scorecard!$E$18+F838*Scorecard!$E$19+G838*Scorecard!$E$20+H838*Scorecard!$E$21+I838*Scorecard!$E$22+J838*Scorecard!$E$23</f>
        <v>3.61526789941755</v>
      </c>
      <c r="M838" s="0" t="str">
        <f aca="false">IF(AND(T838&gt;=U838,T838&gt;=V838),"A. Distribution",IF(U838&gt;=V838,"B. Manufacturing","C. Prof. services"))</f>
        <v>A. Distribution</v>
      </c>
      <c r="N838" s="39" t="n">
        <v>0.415212223908211</v>
      </c>
      <c r="O838" s="39" t="n">
        <v>0.205962411099684</v>
      </c>
      <c r="P838" s="39" t="n">
        <v>0.128823609333269</v>
      </c>
      <c r="Q838" s="39" t="n">
        <v>0.146892041040061</v>
      </c>
      <c r="R838" s="39" t="n">
        <v>0.0587842503342908</v>
      </c>
      <c r="S838" s="39" t="n">
        <v>0.0443254642844837</v>
      </c>
      <c r="T838" s="38" t="n">
        <f aca="false">N838*Scorecard!$C$18+O838*Scorecard!$C$19+P838*Scorecard!$C$20+Q838*Scorecard!$C$21+R838*Scorecard!$C$22+S838*Scorecard!$C$23</f>
        <v>4.06814772982222</v>
      </c>
      <c r="U838" s="38" t="n">
        <f aca="false">N838*Scorecard!$D$18+O838*Scorecard!$D$19+P838*Scorecard!$D$20+Q838*Scorecard!$D$21+R838*Scorecard!$D$22+S838*Scorecard!$D$23</f>
        <v>3.04838012278923</v>
      </c>
      <c r="V838" s="38" t="n">
        <f aca="false">N838*Scorecard!$E$18+O838*Scorecard!$E$19+P838*Scorecard!$E$20+Q838*Scorecard!$E$21+R838*Scorecard!$E$22+S838*Scorecard!$E$23</f>
        <v>3.4223248897557</v>
      </c>
    </row>
    <row r="839" customFormat="false" ht="15" hidden="false" customHeight="false" outlineLevel="0" collapsed="false">
      <c r="A839" s="0" t="n">
        <v>834</v>
      </c>
      <c r="B839" s="38" t="n">
        <f aca="false">E839*Scorecard!$C$18+F839*Scorecard!$C$19+G839*Scorecard!$C$20+H839*Scorecard!$C$21+I839*Scorecard!$C$22+J839*Scorecard!$C$23</f>
        <v>3.7951374395934</v>
      </c>
      <c r="C839" s="38" t="n">
        <f aca="false">E839*Scorecard!$D$18+F839*Scorecard!$D$19+G839*Scorecard!$D$20+H839*Scorecard!$D$21+I839*Scorecard!$D$22+J839*Scorecard!$D$23</f>
        <v>2.5071293111947</v>
      </c>
      <c r="D839" s="0" t="str">
        <f aca="false">IF(AND(B839&gt;=C839,B839&gt;=K839),"A. Distribution",IF(C839&gt;=K839,"B. Manufacturing","C. Prof. services"))</f>
        <v>A. Distribution</v>
      </c>
      <c r="E839" s="39" t="n">
        <v>0.0111258536521351</v>
      </c>
      <c r="F839" s="39" t="n">
        <v>0.335775622011839</v>
      </c>
      <c r="G839" s="39" t="n">
        <v>0.00551773748373266</v>
      </c>
      <c r="H839" s="39" t="n">
        <v>0.0657406654085135</v>
      </c>
      <c r="I839" s="39" t="n">
        <v>0.315509457308765</v>
      </c>
      <c r="J839" s="39" t="n">
        <v>0.266330664135015</v>
      </c>
      <c r="K839" s="38" t="n">
        <f aca="false">E839*Scorecard!$E$18+F839*Scorecard!$E$19+G839*Scorecard!$E$20+H839*Scorecard!$E$21+I839*Scorecard!$E$22+J839*Scorecard!$E$23</f>
        <v>3.17884836715934</v>
      </c>
      <c r="M839" s="0" t="str">
        <f aca="false">IF(AND(T839&gt;=U839,T839&gt;=V839),"A. Distribution",IF(U839&gt;=V839,"B. Manufacturing","C. Prof. services"))</f>
        <v>A. Distribution</v>
      </c>
      <c r="N839" s="39" t="n">
        <v>0.169373485768977</v>
      </c>
      <c r="O839" s="39" t="n">
        <v>0.157676986119695</v>
      </c>
      <c r="P839" s="39" t="n">
        <v>0.168787785214953</v>
      </c>
      <c r="Q839" s="39" t="n">
        <v>0.180075898991446</v>
      </c>
      <c r="R839" s="39" t="n">
        <v>0.225170455764337</v>
      </c>
      <c r="S839" s="39" t="n">
        <v>0.0989153881405918</v>
      </c>
      <c r="T839" s="38" t="n">
        <f aca="false">N839*Scorecard!$C$18+O839*Scorecard!$C$19+P839*Scorecard!$C$20+Q839*Scorecard!$C$21+R839*Scorecard!$C$22+S839*Scorecard!$C$23</f>
        <v>3.92684447564387</v>
      </c>
      <c r="U839" s="38" t="n">
        <f aca="false">N839*Scorecard!$D$18+O839*Scorecard!$D$19+P839*Scorecard!$D$20+Q839*Scorecard!$D$21+R839*Scorecard!$D$22+S839*Scorecard!$D$23</f>
        <v>2.72963164194602</v>
      </c>
      <c r="V839" s="38" t="n">
        <f aca="false">N839*Scorecard!$E$18+O839*Scorecard!$E$19+P839*Scorecard!$E$20+Q839*Scorecard!$E$21+R839*Scorecard!$E$22+S839*Scorecard!$E$23</f>
        <v>3.34209096412457</v>
      </c>
    </row>
    <row r="840" customFormat="false" ht="15" hidden="false" customHeight="false" outlineLevel="0" collapsed="false">
      <c r="A840" s="0" t="n">
        <v>835</v>
      </c>
      <c r="B840" s="38" t="n">
        <f aca="false">E840*Scorecard!$C$18+F840*Scorecard!$C$19+G840*Scorecard!$C$20+H840*Scorecard!$C$21+I840*Scorecard!$C$22+J840*Scorecard!$C$23</f>
        <v>3.60855395840176</v>
      </c>
      <c r="C840" s="38" t="n">
        <f aca="false">E840*Scorecard!$D$18+F840*Scorecard!$D$19+G840*Scorecard!$D$20+H840*Scorecard!$D$21+I840*Scorecard!$D$22+J840*Scorecard!$D$23</f>
        <v>2.72123743821265</v>
      </c>
      <c r="D840" s="0" t="str">
        <f aca="false">IF(AND(B840&gt;=C840,B840&gt;=K840),"A. Distribution",IF(C840&gt;=K840,"B. Manufacturing","C. Prof. services"))</f>
        <v>A. Distribution</v>
      </c>
      <c r="E840" s="39" t="n">
        <v>0.203811078733943</v>
      </c>
      <c r="F840" s="39" t="n">
        <v>0.118512224678132</v>
      </c>
      <c r="G840" s="39" t="n">
        <v>0.0261233015199739</v>
      </c>
      <c r="H840" s="39" t="n">
        <v>0.180620959264312</v>
      </c>
      <c r="I840" s="39" t="n">
        <v>0.233865976629591</v>
      </c>
      <c r="J840" s="39" t="n">
        <v>0.237066459174048</v>
      </c>
      <c r="K840" s="38" t="n">
        <f aca="false">E840*Scorecard!$E$18+F840*Scorecard!$E$19+G840*Scorecard!$E$20+H840*Scorecard!$E$21+I840*Scorecard!$E$22+J840*Scorecard!$E$23</f>
        <v>3.42609486580582</v>
      </c>
      <c r="M840" s="0" t="str">
        <f aca="false">IF(AND(T840&gt;=U840,T840&gt;=V840),"A. Distribution",IF(U840&gt;=V840,"B. Manufacturing","C. Prof. services"))</f>
        <v>A. Distribution</v>
      </c>
      <c r="N840" s="39" t="n">
        <v>0.24553098835766</v>
      </c>
      <c r="O840" s="39" t="n">
        <v>0.131986059036655</v>
      </c>
      <c r="P840" s="39" t="n">
        <v>0.259272880357205</v>
      </c>
      <c r="Q840" s="39" t="n">
        <v>0.128240375065606</v>
      </c>
      <c r="R840" s="39" t="n">
        <v>0.179076386121329</v>
      </c>
      <c r="S840" s="39" t="n">
        <v>0.0558933110615445</v>
      </c>
      <c r="T840" s="38" t="n">
        <f aca="false">N840*Scorecard!$C$18+O840*Scorecard!$C$19+P840*Scorecard!$C$20+Q840*Scorecard!$C$21+R840*Scorecard!$C$22+S840*Scorecard!$C$23</f>
        <v>3.98666857080431</v>
      </c>
      <c r="U840" s="38" t="n">
        <f aca="false">N840*Scorecard!$D$18+O840*Scorecard!$D$19+P840*Scorecard!$D$20+Q840*Scorecard!$D$21+R840*Scorecard!$D$22+S840*Scorecard!$D$23</f>
        <v>2.81501544326979</v>
      </c>
      <c r="V840" s="38" t="n">
        <f aca="false">N840*Scorecard!$E$18+O840*Scorecard!$E$19+P840*Scorecard!$E$20+Q840*Scorecard!$E$21+R840*Scorecard!$E$22+S840*Scorecard!$E$23</f>
        <v>3.40699170457675</v>
      </c>
    </row>
    <row r="841" customFormat="false" ht="15" hidden="false" customHeight="false" outlineLevel="0" collapsed="false">
      <c r="A841" s="0" t="n">
        <v>836</v>
      </c>
      <c r="B841" s="38" t="n">
        <f aca="false">E841*Scorecard!$C$18+F841*Scorecard!$C$19+G841*Scorecard!$C$20+H841*Scorecard!$C$21+I841*Scorecard!$C$22+J841*Scorecard!$C$23</f>
        <v>4.01054168272643</v>
      </c>
      <c r="C841" s="38" t="n">
        <f aca="false">E841*Scorecard!$D$18+F841*Scorecard!$D$19+G841*Scorecard!$D$20+H841*Scorecard!$D$21+I841*Scorecard!$D$22+J841*Scorecard!$D$23</f>
        <v>2.60574531342799</v>
      </c>
      <c r="D841" s="0" t="str">
        <f aca="false">IF(AND(B841&gt;=C841,B841&gt;=K841),"A. Distribution",IF(C841&gt;=K841,"B. Manufacturing","C. Prof. services"))</f>
        <v>A. Distribution</v>
      </c>
      <c r="E841" s="39" t="n">
        <v>0.232012780981024</v>
      </c>
      <c r="F841" s="39" t="n">
        <v>0.153571726690525</v>
      </c>
      <c r="G841" s="39" t="n">
        <v>0.326889261540883</v>
      </c>
      <c r="H841" s="39" t="n">
        <v>0.227520466132481</v>
      </c>
      <c r="I841" s="39" t="n">
        <v>0.0100622531471258</v>
      </c>
      <c r="J841" s="39" t="n">
        <v>0.0499435115079612</v>
      </c>
      <c r="K841" s="38" t="n">
        <f aca="false">E841*Scorecard!$E$18+F841*Scorecard!$E$19+G841*Scorecard!$E$20+H841*Scorecard!$E$21+I841*Scorecard!$E$22+J841*Scorecard!$E$23</f>
        <v>3.63419575044825</v>
      </c>
      <c r="M841" s="0" t="str">
        <f aca="false">IF(AND(T841&gt;=U841,T841&gt;=V841),"A. Distribution",IF(U841&gt;=V841,"B. Manufacturing","C. Prof. services"))</f>
        <v>A. Distribution</v>
      </c>
      <c r="N841" s="39" t="n">
        <v>0.143421073187117</v>
      </c>
      <c r="O841" s="39" t="n">
        <v>0.299509462416573</v>
      </c>
      <c r="P841" s="39" t="n">
        <v>0.142976477556417</v>
      </c>
      <c r="Q841" s="39" t="n">
        <v>0.156578558671626</v>
      </c>
      <c r="R841" s="39" t="n">
        <v>0.165744462272799</v>
      </c>
      <c r="S841" s="39" t="n">
        <v>0.0917699658954681</v>
      </c>
      <c r="T841" s="38" t="n">
        <f aca="false">N841*Scorecard!$C$18+O841*Scorecard!$C$19+P841*Scorecard!$C$20+Q841*Scorecard!$C$21+R841*Scorecard!$C$22+S841*Scorecard!$C$23</f>
        <v>4.08758328406666</v>
      </c>
      <c r="U841" s="38" t="n">
        <f aca="false">N841*Scorecard!$D$18+O841*Scorecard!$D$19+P841*Scorecard!$D$20+Q841*Scorecard!$D$21+R841*Scorecard!$D$22+S841*Scorecard!$D$23</f>
        <v>2.66973944310081</v>
      </c>
      <c r="V841" s="38" t="n">
        <f aca="false">N841*Scorecard!$E$18+O841*Scorecard!$E$19+P841*Scorecard!$E$20+Q841*Scorecard!$E$21+R841*Scorecard!$E$22+S841*Scorecard!$E$23</f>
        <v>3.28867607007102</v>
      </c>
    </row>
    <row r="842" customFormat="false" ht="15" hidden="false" customHeight="false" outlineLevel="0" collapsed="false">
      <c r="A842" s="0" t="n">
        <v>837</v>
      </c>
      <c r="B842" s="38" t="n">
        <f aca="false">E842*Scorecard!$C$18+F842*Scorecard!$C$19+G842*Scorecard!$C$20+H842*Scorecard!$C$21+I842*Scorecard!$C$22+J842*Scorecard!$C$23</f>
        <v>4.31914378650399</v>
      </c>
      <c r="C842" s="38" t="n">
        <f aca="false">E842*Scorecard!$D$18+F842*Scorecard!$D$19+G842*Scorecard!$D$20+H842*Scorecard!$D$21+I842*Scorecard!$D$22+J842*Scorecard!$D$23</f>
        <v>2.50031314866967</v>
      </c>
      <c r="D842" s="0" t="str">
        <f aca="false">IF(AND(B842&gt;=C842,B842&gt;=K842),"A. Distribution",IF(C842&gt;=K842,"B. Manufacturing","C. Prof. services"))</f>
        <v>A. Distribution</v>
      </c>
      <c r="E842" s="39" t="n">
        <v>0.112182967703965</v>
      </c>
      <c r="F842" s="39" t="n">
        <v>0.527423339068393</v>
      </c>
      <c r="G842" s="39" t="n">
        <v>0.217883237491152</v>
      </c>
      <c r="H842" s="39" t="n">
        <v>0.0142793206111789</v>
      </c>
      <c r="I842" s="39" t="n">
        <v>0.0293640655972877</v>
      </c>
      <c r="J842" s="39" t="n">
        <v>0.0988670695280238</v>
      </c>
      <c r="K842" s="38" t="n">
        <f aca="false">E842*Scorecard!$E$18+F842*Scorecard!$E$19+G842*Scorecard!$E$20+H842*Scorecard!$E$21+I842*Scorecard!$E$22+J842*Scorecard!$E$23</f>
        <v>3.30923915542697</v>
      </c>
      <c r="M842" s="0" t="str">
        <f aca="false">IF(AND(T842&gt;=U842,T842&gt;=V842),"A. Distribution",IF(U842&gt;=V842,"B. Manufacturing","C. Prof. services"))</f>
        <v>A. Distribution</v>
      </c>
      <c r="N842" s="39" t="n">
        <v>0.293215691050837</v>
      </c>
      <c r="O842" s="39" t="n">
        <v>0.17329029449</v>
      </c>
      <c r="P842" s="39" t="n">
        <v>0.149660862423827</v>
      </c>
      <c r="Q842" s="39" t="n">
        <v>0.0916306586031872</v>
      </c>
      <c r="R842" s="39" t="n">
        <v>0.189764303837947</v>
      </c>
      <c r="S842" s="39" t="n">
        <v>0.102438189594202</v>
      </c>
      <c r="T842" s="38" t="n">
        <f aca="false">N842*Scorecard!$C$18+O842*Scorecard!$C$19+P842*Scorecard!$C$20+Q842*Scorecard!$C$21+R842*Scorecard!$C$22+S842*Scorecard!$C$23</f>
        <v>3.93499931677809</v>
      </c>
      <c r="U842" s="38" t="n">
        <f aca="false">N842*Scorecard!$D$18+O842*Scorecard!$D$19+P842*Scorecard!$D$20+Q842*Scorecard!$D$21+R842*Scorecard!$D$22+S842*Scorecard!$D$23</f>
        <v>2.91365879998897</v>
      </c>
      <c r="V842" s="38" t="n">
        <f aca="false">N842*Scorecard!$E$18+O842*Scorecard!$E$19+P842*Scorecard!$E$20+Q842*Scorecard!$E$21+R842*Scorecard!$E$22+S842*Scorecard!$E$23</f>
        <v>3.35120656360125</v>
      </c>
    </row>
    <row r="843" customFormat="false" ht="15" hidden="false" customHeight="false" outlineLevel="0" collapsed="false">
      <c r="A843" s="0" t="n">
        <v>838</v>
      </c>
      <c r="B843" s="38" t="n">
        <f aca="false">E843*Scorecard!$C$18+F843*Scorecard!$C$19+G843*Scorecard!$C$20+H843*Scorecard!$C$21+I843*Scorecard!$C$22+J843*Scorecard!$C$23</f>
        <v>3.08712241553895</v>
      </c>
      <c r="C843" s="38" t="n">
        <f aca="false">E843*Scorecard!$D$18+F843*Scorecard!$D$19+G843*Scorecard!$D$20+H843*Scorecard!$D$21+I843*Scorecard!$D$22+J843*Scorecard!$D$23</f>
        <v>2.22107030737051</v>
      </c>
      <c r="D843" s="0" t="str">
        <f aca="false">IF(AND(B843&gt;=C843,B843&gt;=K843),"A. Distribution",IF(C843&gt;=K843,"B. Manufacturing","C. Prof. services"))</f>
        <v>C. Prof. services</v>
      </c>
      <c r="E843" s="39" t="n">
        <v>0.043813196639252</v>
      </c>
      <c r="F843" s="39" t="n">
        <v>0.0313087610479437</v>
      </c>
      <c r="G843" s="39" t="n">
        <v>0.0559604156701176</v>
      </c>
      <c r="H843" s="39" t="n">
        <v>0.191486746389329</v>
      </c>
      <c r="I843" s="39" t="n">
        <v>0.217412922204402</v>
      </c>
      <c r="J843" s="39" t="n">
        <v>0.460017958048955</v>
      </c>
      <c r="K843" s="38" t="n">
        <f aca="false">E843*Scorecard!$E$18+F843*Scorecard!$E$19+G843*Scorecard!$E$20+H843*Scorecard!$E$21+I843*Scorecard!$E$22+J843*Scorecard!$E$23</f>
        <v>3.74568252162945</v>
      </c>
      <c r="M843" s="0" t="str">
        <f aca="false">IF(AND(T843&gt;=U843,T843&gt;=V843),"A. Distribution",IF(U843&gt;=V843,"B. Manufacturing","C. Prof. services"))</f>
        <v>A. Distribution</v>
      </c>
      <c r="N843" s="39" t="n">
        <v>0.233430524679976</v>
      </c>
      <c r="O843" s="39" t="n">
        <v>0.120166279817624</v>
      </c>
      <c r="P843" s="39" t="n">
        <v>0.152101588700199</v>
      </c>
      <c r="Q843" s="39" t="n">
        <v>0.227210972999669</v>
      </c>
      <c r="R843" s="39" t="n">
        <v>0.164110208761036</v>
      </c>
      <c r="S843" s="39" t="n">
        <v>0.102980425041496</v>
      </c>
      <c r="T843" s="38" t="n">
        <f aca="false">N843*Scorecard!$C$18+O843*Scorecard!$C$19+P843*Scorecard!$C$20+Q843*Scorecard!$C$21+R843*Scorecard!$C$22+S843*Scorecard!$C$23</f>
        <v>3.87098193078824</v>
      </c>
      <c r="U843" s="38" t="n">
        <f aca="false">N843*Scorecard!$D$18+O843*Scorecard!$D$19+P843*Scorecard!$D$20+Q843*Scorecard!$D$21+R843*Scorecard!$D$22+S843*Scorecard!$D$23</f>
        <v>2.7696982412985</v>
      </c>
      <c r="V843" s="38" t="n">
        <f aca="false">N843*Scorecard!$E$18+O843*Scorecard!$E$19+P843*Scorecard!$E$20+Q843*Scorecard!$E$21+R843*Scorecard!$E$22+S843*Scorecard!$E$23</f>
        <v>3.44328831009387</v>
      </c>
    </row>
    <row r="844" customFormat="false" ht="15" hidden="false" customHeight="false" outlineLevel="0" collapsed="false">
      <c r="A844" s="0" t="n">
        <v>839</v>
      </c>
      <c r="B844" s="38" t="n">
        <f aca="false">E844*Scorecard!$C$18+F844*Scorecard!$C$19+G844*Scorecard!$C$20+H844*Scorecard!$C$21+I844*Scorecard!$C$22+J844*Scorecard!$C$23</f>
        <v>3.95528497414493</v>
      </c>
      <c r="C844" s="38" t="n">
        <f aca="false">E844*Scorecard!$D$18+F844*Scorecard!$D$19+G844*Scorecard!$D$20+H844*Scorecard!$D$21+I844*Scorecard!$D$22+J844*Scorecard!$D$23</f>
        <v>2.9465798996717</v>
      </c>
      <c r="D844" s="0" t="str">
        <f aca="false">IF(AND(B844&gt;=C844,B844&gt;=K844),"A. Distribution",IF(C844&gt;=K844,"B. Manufacturing","C. Prof. services"))</f>
        <v>A. Distribution</v>
      </c>
      <c r="E844" s="39" t="n">
        <v>0.33632568663068</v>
      </c>
      <c r="F844" s="39" t="n">
        <v>0.166954743954716</v>
      </c>
      <c r="G844" s="39" t="n">
        <v>0.223690511863287</v>
      </c>
      <c r="H844" s="39" t="n">
        <v>0.0181771156295302</v>
      </c>
      <c r="I844" s="39" t="n">
        <v>0.163497606289298</v>
      </c>
      <c r="J844" s="39" t="n">
        <v>0.0913543356324887</v>
      </c>
      <c r="K844" s="38" t="n">
        <f aca="false">E844*Scorecard!$E$18+F844*Scorecard!$E$19+G844*Scorecard!$E$20+H844*Scorecard!$E$21+I844*Scorecard!$E$22+J844*Scorecard!$E$23</f>
        <v>3.39948685242343</v>
      </c>
      <c r="M844" s="0" t="str">
        <f aca="false">IF(AND(T844&gt;=U844,T844&gt;=V844),"A. Distribution",IF(U844&gt;=V844,"B. Manufacturing","C. Prof. services"))</f>
        <v>A. Distribution</v>
      </c>
      <c r="N844" s="39" t="n">
        <v>0.16704099003918</v>
      </c>
      <c r="O844" s="39" t="n">
        <v>0.13124567800597</v>
      </c>
      <c r="P844" s="39" t="n">
        <v>0.292027212788081</v>
      </c>
      <c r="Q844" s="39" t="n">
        <v>0.247846324146799</v>
      </c>
      <c r="R844" s="39" t="n">
        <v>0.139713964690509</v>
      </c>
      <c r="S844" s="39" t="n">
        <v>0.0221258303294611</v>
      </c>
      <c r="T844" s="38" t="n">
        <f aca="false">N844*Scorecard!$C$18+O844*Scorecard!$C$19+P844*Scorecard!$C$20+Q844*Scorecard!$C$21+R844*Scorecard!$C$22+S844*Scorecard!$C$23</f>
        <v>4.04687724862649</v>
      </c>
      <c r="U844" s="38" t="n">
        <f aca="false">N844*Scorecard!$D$18+O844*Scorecard!$D$19+P844*Scorecard!$D$20+Q844*Scorecard!$D$21+R844*Scorecard!$D$22+S844*Scorecard!$D$23</f>
        <v>2.65517143849753</v>
      </c>
      <c r="V844" s="38" t="n">
        <f aca="false">N844*Scorecard!$E$18+O844*Scorecard!$E$19+P844*Scorecard!$E$20+Q844*Scorecard!$E$21+R844*Scorecard!$E$22+S844*Scorecard!$E$23</f>
        <v>3.45672316307854</v>
      </c>
    </row>
    <row r="845" customFormat="false" ht="15" hidden="false" customHeight="false" outlineLevel="0" collapsed="false">
      <c r="A845" s="0" t="n">
        <v>840</v>
      </c>
      <c r="B845" s="38" t="n">
        <f aca="false">E845*Scorecard!$C$18+F845*Scorecard!$C$19+G845*Scorecard!$C$20+H845*Scorecard!$C$21+I845*Scorecard!$C$22+J845*Scorecard!$C$23</f>
        <v>3.24130807949586</v>
      </c>
      <c r="C845" s="38" t="n">
        <f aca="false">E845*Scorecard!$D$18+F845*Scorecard!$D$19+G845*Scorecard!$D$20+H845*Scorecard!$D$21+I845*Scorecard!$D$22+J845*Scorecard!$D$23</f>
        <v>2.3356434809748</v>
      </c>
      <c r="D845" s="0" t="str">
        <f aca="false">IF(AND(B845&gt;=C845,B845&gt;=K845),"A. Distribution",IF(C845&gt;=K845,"B. Manufacturing","C. Prof. services"))</f>
        <v>C. Prof. services</v>
      </c>
      <c r="E845" s="39" t="n">
        <v>0.0407897379955188</v>
      </c>
      <c r="F845" s="39" t="n">
        <v>0.147853367800646</v>
      </c>
      <c r="G845" s="39" t="n">
        <v>0.0438659251533238</v>
      </c>
      <c r="H845" s="39" t="n">
        <v>0.0217944701188787</v>
      </c>
      <c r="I845" s="39" t="n">
        <v>0.295235476445535</v>
      </c>
      <c r="J845" s="39" t="n">
        <v>0.450461022486097</v>
      </c>
      <c r="K845" s="38" t="n">
        <f aca="false">E845*Scorecard!$E$18+F845*Scorecard!$E$19+G845*Scorecard!$E$20+H845*Scorecard!$E$21+I845*Scorecard!$E$22+J845*Scorecard!$E$23</f>
        <v>3.52889164292486</v>
      </c>
      <c r="M845" s="0" t="str">
        <f aca="false">IF(AND(T845&gt;=U845,T845&gt;=V845),"A. Distribution",IF(U845&gt;=V845,"B. Manufacturing","C. Prof. services"))</f>
        <v>A. Distribution</v>
      </c>
      <c r="N845" s="39" t="n">
        <v>0.17330790505965</v>
      </c>
      <c r="O845" s="39" t="n">
        <v>0.319848448777582</v>
      </c>
      <c r="P845" s="39" t="n">
        <v>0.137456945980906</v>
      </c>
      <c r="Q845" s="39" t="n">
        <v>0.107308204766267</v>
      </c>
      <c r="R845" s="39" t="n">
        <v>0.198339980910396</v>
      </c>
      <c r="S845" s="39" t="n">
        <v>0.0637385145051994</v>
      </c>
      <c r="T845" s="38" t="n">
        <f aca="false">N845*Scorecard!$C$18+O845*Scorecard!$C$19+P845*Scorecard!$C$20+Q845*Scorecard!$C$21+R845*Scorecard!$C$22+S845*Scorecard!$C$23</f>
        <v>4.1668945655017</v>
      </c>
      <c r="U845" s="38" t="n">
        <f aca="false">N845*Scorecard!$D$18+O845*Scorecard!$D$19+P845*Scorecard!$D$20+Q845*Scorecard!$D$21+R845*Scorecard!$D$22+S845*Scorecard!$D$23</f>
        <v>2.784061293249</v>
      </c>
      <c r="V845" s="38" t="n">
        <f aca="false">N845*Scorecard!$E$18+O845*Scorecard!$E$19+P845*Scorecard!$E$20+Q845*Scorecard!$E$21+R845*Scorecard!$E$22+S845*Scorecard!$E$23</f>
        <v>3.19719152684892</v>
      </c>
    </row>
    <row r="846" customFormat="false" ht="15" hidden="false" customHeight="false" outlineLevel="0" collapsed="false">
      <c r="A846" s="0" t="n">
        <v>841</v>
      </c>
      <c r="B846" s="38" t="n">
        <f aca="false">E846*Scorecard!$C$18+F846*Scorecard!$C$19+G846*Scorecard!$C$20+H846*Scorecard!$C$21+I846*Scorecard!$C$22+J846*Scorecard!$C$23</f>
        <v>3.03531026042796</v>
      </c>
      <c r="C846" s="38" t="n">
        <f aca="false">E846*Scorecard!$D$18+F846*Scorecard!$D$19+G846*Scorecard!$D$20+H846*Scorecard!$D$21+I846*Scorecard!$D$22+J846*Scorecard!$D$23</f>
        <v>2.39592364389128</v>
      </c>
      <c r="D846" s="0" t="str">
        <f aca="false">IF(AND(B846&gt;=C846,B846&gt;=K846),"A. Distribution",IF(C846&gt;=K846,"B. Manufacturing","C. Prof. services"))</f>
        <v>C. Prof. services</v>
      </c>
      <c r="E846" s="39" t="n">
        <v>0.139542271625803</v>
      </c>
      <c r="F846" s="39" t="n">
        <v>0.001088155511048</v>
      </c>
      <c r="G846" s="39" t="n">
        <v>0.109785837023287</v>
      </c>
      <c r="H846" s="39" t="n">
        <v>0.0121006519947501</v>
      </c>
      <c r="I846" s="39" t="n">
        <v>0.260847761742762</v>
      </c>
      <c r="J846" s="39" t="n">
        <v>0.476635322102351</v>
      </c>
      <c r="K846" s="38" t="n">
        <f aca="false">E846*Scorecard!$E$18+F846*Scorecard!$E$19+G846*Scorecard!$E$20+H846*Scorecard!$E$21+I846*Scorecard!$E$22+J846*Scorecard!$E$23</f>
        <v>3.72853292940689</v>
      </c>
      <c r="M846" s="0" t="str">
        <f aca="false">IF(AND(T846&gt;=U846,T846&gt;=V846),"A. Distribution",IF(U846&gt;=V846,"B. Manufacturing","C. Prof. services"))</f>
        <v>A. Distribution</v>
      </c>
      <c r="N846" s="39" t="n">
        <v>0.179894893800163</v>
      </c>
      <c r="O846" s="39" t="n">
        <v>0.0663690460722143</v>
      </c>
      <c r="P846" s="39" t="n">
        <v>0.306209289493827</v>
      </c>
      <c r="Q846" s="39" t="n">
        <v>0.186053348860797</v>
      </c>
      <c r="R846" s="39" t="n">
        <v>0.216041943427961</v>
      </c>
      <c r="S846" s="39" t="n">
        <v>0.0454314783450376</v>
      </c>
      <c r="T846" s="38" t="n">
        <f aca="false">N846*Scorecard!$C$18+O846*Scorecard!$C$19+P846*Scorecard!$C$20+Q846*Scorecard!$C$21+R846*Scorecard!$C$22+S846*Scorecard!$C$23</f>
        <v>3.94101555157036</v>
      </c>
      <c r="U846" s="38" t="n">
        <f aca="false">N846*Scorecard!$D$18+O846*Scorecard!$D$19+P846*Scorecard!$D$20+Q846*Scorecard!$D$21+R846*Scorecard!$D$22+S846*Scorecard!$D$23</f>
        <v>2.71886111845209</v>
      </c>
      <c r="V846" s="38" t="n">
        <f aca="false">N846*Scorecard!$E$18+O846*Scorecard!$E$19+P846*Scorecard!$E$20+Q846*Scorecard!$E$21+R846*Scorecard!$E$22+S846*Scorecard!$E$23</f>
        <v>3.4324988783822</v>
      </c>
    </row>
    <row r="847" customFormat="false" ht="15" hidden="false" customHeight="false" outlineLevel="0" collapsed="false">
      <c r="A847" s="0" t="n">
        <v>842</v>
      </c>
      <c r="B847" s="38" t="n">
        <f aca="false">E847*Scorecard!$C$18+F847*Scorecard!$C$19+G847*Scorecard!$C$20+H847*Scorecard!$C$21+I847*Scorecard!$C$22+J847*Scorecard!$C$23</f>
        <v>3.93036106192364</v>
      </c>
      <c r="C847" s="38" t="n">
        <f aca="false">E847*Scorecard!$D$18+F847*Scorecard!$D$19+G847*Scorecard!$D$20+H847*Scorecard!$D$21+I847*Scorecard!$D$22+J847*Scorecard!$D$23</f>
        <v>2.42456493754557</v>
      </c>
      <c r="D847" s="0" t="str">
        <f aca="false">IF(AND(B847&gt;=C847,B847&gt;=K847),"A. Distribution",IF(C847&gt;=K847,"B. Manufacturing","C. Prof. services"))</f>
        <v>A. Distribution</v>
      </c>
      <c r="E847" s="39" t="n">
        <v>0.166203507900164</v>
      </c>
      <c r="F847" s="39" t="n">
        <v>0.050983148371827</v>
      </c>
      <c r="G847" s="39" t="n">
        <v>0.513164633784697</v>
      </c>
      <c r="H847" s="39" t="n">
        <v>0.212168131381594</v>
      </c>
      <c r="I847" s="39" t="n">
        <v>0.015272127225922</v>
      </c>
      <c r="J847" s="39" t="n">
        <v>0.042208451335797</v>
      </c>
      <c r="K847" s="38" t="n">
        <f aca="false">E847*Scorecard!$E$18+F847*Scorecard!$E$19+G847*Scorecard!$E$20+H847*Scorecard!$E$21+I847*Scorecard!$E$22+J847*Scorecard!$E$23</f>
        <v>3.78220717683007</v>
      </c>
      <c r="M847" s="0" t="str">
        <f aca="false">IF(AND(T847&gt;=U847,T847&gt;=V847),"A. Distribution",IF(U847&gt;=V847,"B. Manufacturing","C. Prof. services"))</f>
        <v>A. Distribution</v>
      </c>
      <c r="N847" s="39" t="n">
        <v>0.267764672083643</v>
      </c>
      <c r="O847" s="39" t="n">
        <v>0.138918589670271</v>
      </c>
      <c r="P847" s="39" t="n">
        <v>0.229171222110126</v>
      </c>
      <c r="Q847" s="39" t="n">
        <v>0.124872717816435</v>
      </c>
      <c r="R847" s="39" t="n">
        <v>0.152609497457984</v>
      </c>
      <c r="S847" s="39" t="n">
        <v>0.0866633008615413</v>
      </c>
      <c r="T847" s="38" t="n">
        <f aca="false">N847*Scorecard!$C$18+O847*Scorecard!$C$19+P847*Scorecard!$C$20+Q847*Scorecard!$C$21+R847*Scorecard!$C$22+S847*Scorecard!$C$23</f>
        <v>3.93063891819003</v>
      </c>
      <c r="U847" s="38" t="n">
        <f aca="false">N847*Scorecard!$D$18+O847*Scorecard!$D$19+P847*Scorecard!$D$20+Q847*Scorecard!$D$21+R847*Scorecard!$D$22+S847*Scorecard!$D$23</f>
        <v>2.81201689847458</v>
      </c>
      <c r="V847" s="38" t="n">
        <f aca="false">N847*Scorecard!$E$18+O847*Scorecard!$E$19+P847*Scorecard!$E$20+Q847*Scorecard!$E$21+R847*Scorecard!$E$22+S847*Scorecard!$E$23</f>
        <v>3.44818642782962</v>
      </c>
    </row>
    <row r="848" customFormat="false" ht="15" hidden="false" customHeight="false" outlineLevel="0" collapsed="false">
      <c r="A848" s="0" t="n">
        <v>843</v>
      </c>
      <c r="B848" s="38" t="n">
        <f aca="false">E848*Scorecard!$C$18+F848*Scorecard!$C$19+G848*Scorecard!$C$20+H848*Scorecard!$C$21+I848*Scorecard!$C$22+J848*Scorecard!$C$23</f>
        <v>3.94215682292549</v>
      </c>
      <c r="C848" s="38" t="n">
        <f aca="false">E848*Scorecard!$D$18+F848*Scorecard!$D$19+G848*Scorecard!$D$20+H848*Scorecard!$D$21+I848*Scorecard!$D$22+J848*Scorecard!$D$23</f>
        <v>3.03577206062017</v>
      </c>
      <c r="D848" s="0" t="str">
        <f aca="false">IF(AND(B848&gt;=C848,B848&gt;=K848),"A. Distribution",IF(C848&gt;=K848,"B. Manufacturing","C. Prof. services"))</f>
        <v>A. Distribution</v>
      </c>
      <c r="E848" s="39" t="n">
        <v>0.409971000801964</v>
      </c>
      <c r="F848" s="39" t="n">
        <v>0.0706483194882955</v>
      </c>
      <c r="G848" s="39" t="n">
        <v>0.221627162147761</v>
      </c>
      <c r="H848" s="39" t="n">
        <v>0.149162215827093</v>
      </c>
      <c r="I848" s="39" t="n">
        <v>0.108839335698588</v>
      </c>
      <c r="J848" s="39" t="n">
        <v>0.0397519660362992</v>
      </c>
      <c r="K848" s="38" t="n">
        <f aca="false">E848*Scorecard!$E$18+F848*Scorecard!$E$19+G848*Scorecard!$E$20+H848*Scorecard!$E$21+I848*Scorecard!$E$22+J848*Scorecard!$E$23</f>
        <v>3.50024633158926</v>
      </c>
      <c r="M848" s="0" t="str">
        <f aca="false">IF(AND(T848&gt;=U848,T848&gt;=V848),"A. Distribution",IF(U848&gt;=V848,"B. Manufacturing","C. Prof. services"))</f>
        <v>A. Distribution</v>
      </c>
      <c r="N848" s="39" t="n">
        <v>0.157869157527791</v>
      </c>
      <c r="O848" s="39" t="n">
        <v>0.0939017488952718</v>
      </c>
      <c r="P848" s="39" t="n">
        <v>0.318004624615184</v>
      </c>
      <c r="Q848" s="39" t="n">
        <v>0.0321077736673832</v>
      </c>
      <c r="R848" s="39" t="n">
        <v>0.215937533120528</v>
      </c>
      <c r="S848" s="39" t="n">
        <v>0.182179162173842</v>
      </c>
      <c r="T848" s="38" t="n">
        <f aca="false">N848*Scorecard!$C$18+O848*Scorecard!$C$19+P848*Scorecard!$C$20+Q848*Scorecard!$C$21+R848*Scorecard!$C$22+S848*Scorecard!$C$23</f>
        <v>3.71340898806161</v>
      </c>
      <c r="U848" s="38" t="n">
        <f aca="false">N848*Scorecard!$D$18+O848*Scorecard!$D$19+P848*Scorecard!$D$20+Q848*Scorecard!$D$21+R848*Scorecard!$D$22+S848*Scorecard!$D$23</f>
        <v>2.57537619075433</v>
      </c>
      <c r="V848" s="38" t="n">
        <f aca="false">N848*Scorecard!$E$18+O848*Scorecard!$E$19+P848*Scorecard!$E$20+Q848*Scorecard!$E$21+R848*Scorecard!$E$22+S848*Scorecard!$E$23</f>
        <v>3.5294983928356</v>
      </c>
    </row>
    <row r="849" customFormat="false" ht="15" hidden="false" customHeight="false" outlineLevel="0" collapsed="false">
      <c r="A849" s="0" t="n">
        <v>844</v>
      </c>
      <c r="B849" s="38" t="n">
        <f aca="false">E849*Scorecard!$C$18+F849*Scorecard!$C$19+G849*Scorecard!$C$20+H849*Scorecard!$C$21+I849*Scorecard!$C$22+J849*Scorecard!$C$23</f>
        <v>3.44501592356779</v>
      </c>
      <c r="C849" s="38" t="n">
        <f aca="false">E849*Scorecard!$D$18+F849*Scorecard!$D$19+G849*Scorecard!$D$20+H849*Scorecard!$D$21+I849*Scorecard!$D$22+J849*Scorecard!$D$23</f>
        <v>2.27549193425966</v>
      </c>
      <c r="D849" s="0" t="str">
        <f aca="false">IF(AND(B849&gt;=C849,B849&gt;=K849),"A. Distribution",IF(C849&gt;=K849,"B. Manufacturing","C. Prof. services"))</f>
        <v>C. Prof. services</v>
      </c>
      <c r="E849" s="39" t="n">
        <v>0.172734728519907</v>
      </c>
      <c r="F849" s="39" t="n">
        <v>0.140966642515482</v>
      </c>
      <c r="G849" s="39" t="n">
        <v>0.300562207437671</v>
      </c>
      <c r="H849" s="39" t="n">
        <v>0.0400797480107175</v>
      </c>
      <c r="I849" s="39" t="n">
        <v>0.00677477909542374</v>
      </c>
      <c r="J849" s="39" t="n">
        <v>0.338881894420799</v>
      </c>
      <c r="K849" s="38" t="n">
        <f aca="false">E849*Scorecard!$E$18+F849*Scorecard!$E$19+G849*Scorecard!$E$20+H849*Scorecard!$E$21+I849*Scorecard!$E$22+J849*Scorecard!$E$23</f>
        <v>3.8901588715929</v>
      </c>
      <c r="M849" s="0" t="str">
        <f aca="false">IF(AND(T849&gt;=U849,T849&gt;=V849),"A. Distribution",IF(U849&gt;=V849,"B. Manufacturing","C. Prof. services"))</f>
        <v>A. Distribution</v>
      </c>
      <c r="N849" s="39" t="n">
        <v>0.123933676081645</v>
      </c>
      <c r="O849" s="39" t="n">
        <v>0.191986811391183</v>
      </c>
      <c r="P849" s="39" t="n">
        <v>0.117768168177903</v>
      </c>
      <c r="Q849" s="39" t="n">
        <v>0.123060690341845</v>
      </c>
      <c r="R849" s="39" t="n">
        <v>0.274976180089582</v>
      </c>
      <c r="S849" s="39" t="n">
        <v>0.168274473917843</v>
      </c>
      <c r="T849" s="38" t="n">
        <f aca="false">N849*Scorecard!$C$18+O849*Scorecard!$C$19+P849*Scorecard!$C$20+Q849*Scorecard!$C$21+R849*Scorecard!$C$22+S849*Scorecard!$C$23</f>
        <v>3.83222776718279</v>
      </c>
      <c r="U849" s="38" t="n">
        <f aca="false">N849*Scorecard!$D$18+O849*Scorecard!$D$19+P849*Scorecard!$D$20+Q849*Scorecard!$D$21+R849*Scorecard!$D$22+S849*Scorecard!$D$23</f>
        <v>2.67093251225332</v>
      </c>
      <c r="V849" s="38" t="n">
        <f aca="false">N849*Scorecard!$E$18+O849*Scorecard!$E$19+P849*Scorecard!$E$20+Q849*Scorecard!$E$21+R849*Scorecard!$E$22+S849*Scorecard!$E$23</f>
        <v>3.29411292189834</v>
      </c>
    </row>
    <row r="850" customFormat="false" ht="15" hidden="false" customHeight="false" outlineLevel="0" collapsed="false">
      <c r="A850" s="0" t="n">
        <v>845</v>
      </c>
      <c r="B850" s="38" t="n">
        <f aca="false">E850*Scorecard!$C$18+F850*Scorecard!$C$19+G850*Scorecard!$C$20+H850*Scorecard!$C$21+I850*Scorecard!$C$22+J850*Scorecard!$C$23</f>
        <v>3.75959274134055</v>
      </c>
      <c r="C850" s="38" t="n">
        <f aca="false">E850*Scorecard!$D$18+F850*Scorecard!$D$19+G850*Scorecard!$D$20+H850*Scorecard!$D$21+I850*Scorecard!$D$22+J850*Scorecard!$D$23</f>
        <v>2.2945441330629</v>
      </c>
      <c r="D850" s="0" t="str">
        <f aca="false">IF(AND(B850&gt;=C850,B850&gt;=K850),"A. Distribution",IF(C850&gt;=K850,"B. Manufacturing","C. Prof. services"))</f>
        <v>C. Prof. services</v>
      </c>
      <c r="E850" s="39" t="n">
        <v>0.104580148931173</v>
      </c>
      <c r="F850" s="39" t="n">
        <v>0.000453898948322637</v>
      </c>
      <c r="G850" s="39" t="n">
        <v>0.504315002106868</v>
      </c>
      <c r="H850" s="39" t="n">
        <v>0.238854153796468</v>
      </c>
      <c r="I850" s="39" t="n">
        <v>0.0484327563078668</v>
      </c>
      <c r="J850" s="39" t="n">
        <v>0.103364039909302</v>
      </c>
      <c r="K850" s="38" t="n">
        <f aca="false">E850*Scorecard!$E$18+F850*Scorecard!$E$19+G850*Scorecard!$E$20+H850*Scorecard!$E$21+I850*Scorecard!$E$22+J850*Scorecard!$E$23</f>
        <v>3.84000305518054</v>
      </c>
      <c r="M850" s="0" t="str">
        <f aca="false">IF(AND(T850&gt;=U850,T850&gt;=V850),"A. Distribution",IF(U850&gt;=V850,"B. Manufacturing","C. Prof. services"))</f>
        <v>A. Distribution</v>
      </c>
      <c r="N850" s="39" t="n">
        <v>0.349227836534038</v>
      </c>
      <c r="O850" s="39" t="n">
        <v>0.226129160025997</v>
      </c>
      <c r="P850" s="39" t="n">
        <v>0.0837209038456592</v>
      </c>
      <c r="Q850" s="39" t="n">
        <v>0.102320941324638</v>
      </c>
      <c r="R850" s="39" t="n">
        <v>0.176328813610933</v>
      </c>
      <c r="S850" s="39" t="n">
        <v>0.062272344658735</v>
      </c>
      <c r="T850" s="38" t="n">
        <f aca="false">N850*Scorecard!$C$18+O850*Scorecard!$C$19+P850*Scorecard!$C$20+Q850*Scorecard!$C$21+R850*Scorecard!$C$22+S850*Scorecard!$C$23</f>
        <v>4.06252095360353</v>
      </c>
      <c r="U850" s="38" t="n">
        <f aca="false">N850*Scorecard!$D$18+O850*Scorecard!$D$19+P850*Scorecard!$D$20+Q850*Scorecard!$D$21+R850*Scorecard!$D$22+S850*Scorecard!$D$23</f>
        <v>3.06027865533688</v>
      </c>
      <c r="V850" s="38" t="n">
        <f aca="false">N850*Scorecard!$E$18+O850*Scorecard!$E$19+P850*Scorecard!$E$20+Q850*Scorecard!$E$21+R850*Scorecard!$E$22+S850*Scorecard!$E$23</f>
        <v>3.25884943269882</v>
      </c>
    </row>
    <row r="851" customFormat="false" ht="15" hidden="false" customHeight="false" outlineLevel="0" collapsed="false">
      <c r="A851" s="0" t="n">
        <v>846</v>
      </c>
      <c r="B851" s="38" t="n">
        <f aca="false">E851*Scorecard!$C$18+F851*Scorecard!$C$19+G851*Scorecard!$C$20+H851*Scorecard!$C$21+I851*Scorecard!$C$22+J851*Scorecard!$C$23</f>
        <v>4.03011188540742</v>
      </c>
      <c r="C851" s="38" t="n">
        <f aca="false">E851*Scorecard!$D$18+F851*Scorecard!$D$19+G851*Scorecard!$D$20+H851*Scorecard!$D$21+I851*Scorecard!$D$22+J851*Scorecard!$D$23</f>
        <v>2.70323177435084</v>
      </c>
      <c r="D851" s="0" t="str">
        <f aca="false">IF(AND(B851&gt;=C851,B851&gt;=K851),"A. Distribution",IF(C851&gt;=K851,"B. Manufacturing","C. Prof. services"))</f>
        <v>A. Distribution</v>
      </c>
      <c r="E851" s="39" t="n">
        <v>0.164884452767569</v>
      </c>
      <c r="F851" s="39" t="n">
        <v>0.140979336937956</v>
      </c>
      <c r="G851" s="39" t="n">
        <v>0.280045548592166</v>
      </c>
      <c r="H851" s="39" t="n">
        <v>0.17796837732369</v>
      </c>
      <c r="I851" s="39" t="n">
        <v>0.196895677378267</v>
      </c>
      <c r="J851" s="39" t="n">
        <v>0.0392266070003521</v>
      </c>
      <c r="K851" s="38" t="n">
        <f aca="false">E851*Scorecard!$E$18+F851*Scorecard!$E$19+G851*Scorecard!$E$20+H851*Scorecard!$E$21+I851*Scorecard!$E$22+J851*Scorecard!$E$23</f>
        <v>3.38226665401295</v>
      </c>
      <c r="M851" s="0" t="str">
        <f aca="false">IF(AND(T851&gt;=U851,T851&gt;=V851),"A. Distribution",IF(U851&gt;=V851,"B. Manufacturing","C. Prof. services"))</f>
        <v>A. Distribution</v>
      </c>
      <c r="N851" s="39" t="n">
        <v>0.216982241755791</v>
      </c>
      <c r="O851" s="39" t="n">
        <v>0.283333170325198</v>
      </c>
      <c r="P851" s="39" t="n">
        <v>0.173092952821956</v>
      </c>
      <c r="Q851" s="39" t="n">
        <v>0.0525202035492902</v>
      </c>
      <c r="R851" s="39" t="n">
        <v>0.19876719096989</v>
      </c>
      <c r="S851" s="39" t="n">
        <v>0.0753042405778759</v>
      </c>
      <c r="T851" s="38" t="n">
        <f aca="false">N851*Scorecard!$C$18+O851*Scorecard!$C$19+P851*Scorecard!$C$20+Q851*Scorecard!$C$21+R851*Scorecard!$C$22+S851*Scorecard!$C$23</f>
        <v>4.10964480267893</v>
      </c>
      <c r="U851" s="38" t="n">
        <f aca="false">N851*Scorecard!$D$18+O851*Scorecard!$D$19+P851*Scorecard!$D$20+Q851*Scorecard!$D$21+R851*Scorecard!$D$22+S851*Scorecard!$D$23</f>
        <v>2.83185603881769</v>
      </c>
      <c r="V851" s="38" t="n">
        <f aca="false">N851*Scorecard!$E$18+O851*Scorecard!$E$19+P851*Scorecard!$E$20+Q851*Scorecard!$E$21+R851*Scorecard!$E$22+S851*Scorecard!$E$23</f>
        <v>3.2419960440107</v>
      </c>
    </row>
    <row r="852" customFormat="false" ht="15" hidden="false" customHeight="false" outlineLevel="0" collapsed="false">
      <c r="A852" s="0" t="n">
        <v>847</v>
      </c>
      <c r="B852" s="38" t="n">
        <f aca="false">E852*Scorecard!$C$18+F852*Scorecard!$C$19+G852*Scorecard!$C$20+H852*Scorecard!$C$21+I852*Scorecard!$C$22+J852*Scorecard!$C$23</f>
        <v>2.97560419403621</v>
      </c>
      <c r="C852" s="38" t="n">
        <f aca="false">E852*Scorecard!$D$18+F852*Scorecard!$D$19+G852*Scorecard!$D$20+H852*Scorecard!$D$21+I852*Scorecard!$D$22+J852*Scorecard!$D$23</f>
        <v>2.50417507594018</v>
      </c>
      <c r="D852" s="0" t="str">
        <f aca="false">IF(AND(B852&gt;=C852,B852&gt;=K852),"A. Distribution",IF(C852&gt;=K852,"B. Manufacturing","C. Prof. services"))</f>
        <v>C. Prof. services</v>
      </c>
      <c r="E852" s="39" t="n">
        <v>0.307737470996701</v>
      </c>
      <c r="F852" s="39" t="n">
        <v>0.062290070818157</v>
      </c>
      <c r="G852" s="39" t="n">
        <v>0.00716328897208532</v>
      </c>
      <c r="H852" s="39" t="n">
        <v>0.00892536689898488</v>
      </c>
      <c r="I852" s="39" t="n">
        <v>0.0833753447450813</v>
      </c>
      <c r="J852" s="39" t="n">
        <v>0.530508457568991</v>
      </c>
      <c r="K852" s="38" t="n">
        <f aca="false">E852*Scorecard!$E$18+F852*Scorecard!$E$19+G852*Scorecard!$E$20+H852*Scorecard!$E$21+I852*Scorecard!$E$22+J852*Scorecard!$E$23</f>
        <v>3.89504185869919</v>
      </c>
      <c r="M852" s="0" t="str">
        <f aca="false">IF(AND(T852&gt;=U852,T852&gt;=V852),"A. Distribution",IF(U852&gt;=V852,"B. Manufacturing","C. Prof. services"))</f>
        <v>A. Distribution</v>
      </c>
      <c r="N852" s="39" t="n">
        <v>0.212063274288452</v>
      </c>
      <c r="O852" s="39" t="n">
        <v>0.26747176643909</v>
      </c>
      <c r="P852" s="39" t="n">
        <v>0.125058247699464</v>
      </c>
      <c r="Q852" s="39" t="n">
        <v>0.128656743611603</v>
      </c>
      <c r="R852" s="39" t="n">
        <v>0.150127735855281</v>
      </c>
      <c r="S852" s="39" t="n">
        <v>0.11662223210611</v>
      </c>
      <c r="T852" s="38" t="n">
        <f aca="false">N852*Scorecard!$C$18+O852*Scorecard!$C$19+P852*Scorecard!$C$20+Q852*Scorecard!$C$21+R852*Scorecard!$C$22+S852*Scorecard!$C$23</f>
        <v>4.00333858688623</v>
      </c>
      <c r="U852" s="38" t="n">
        <f aca="false">N852*Scorecard!$D$18+O852*Scorecard!$D$19+P852*Scorecard!$D$20+Q852*Scorecard!$D$21+R852*Scorecard!$D$22+S852*Scorecard!$D$23</f>
        <v>2.7502422556589</v>
      </c>
      <c r="V852" s="38" t="n">
        <f aca="false">N852*Scorecard!$E$18+O852*Scorecard!$E$19+P852*Scorecard!$E$20+Q852*Scorecard!$E$21+R852*Scorecard!$E$22+S852*Scorecard!$E$23</f>
        <v>3.34024049139129</v>
      </c>
    </row>
    <row r="853" customFormat="false" ht="15" hidden="false" customHeight="false" outlineLevel="0" collapsed="false">
      <c r="A853" s="0" t="n">
        <v>848</v>
      </c>
      <c r="B853" s="38" t="n">
        <f aca="false">E853*Scorecard!$C$18+F853*Scorecard!$C$19+G853*Scorecard!$C$20+H853*Scorecard!$C$21+I853*Scorecard!$C$22+J853*Scorecard!$C$23</f>
        <v>3.8049415608786</v>
      </c>
      <c r="C853" s="38" t="n">
        <f aca="false">E853*Scorecard!$D$18+F853*Scorecard!$D$19+G853*Scorecard!$D$20+H853*Scorecard!$D$21+I853*Scorecard!$D$22+J853*Scorecard!$D$23</f>
        <v>2.23762012690034</v>
      </c>
      <c r="D853" s="0" t="str">
        <f aca="false">IF(AND(B853&gt;=C853,B853&gt;=K853),"A. Distribution",IF(C853&gt;=K853,"B. Manufacturing","C. Prof. services"))</f>
        <v>C. Prof. services</v>
      </c>
      <c r="E853" s="39" t="n">
        <v>0.0894480082988291</v>
      </c>
      <c r="F853" s="39" t="n">
        <v>0.0296915788834135</v>
      </c>
      <c r="G853" s="39" t="n">
        <v>0.605119319629887</v>
      </c>
      <c r="H853" s="39" t="n">
        <v>0.135106345214944</v>
      </c>
      <c r="I853" s="39" t="n">
        <v>0.0391293788767164</v>
      </c>
      <c r="J853" s="39" t="n">
        <v>0.10150536909621</v>
      </c>
      <c r="K853" s="38" t="n">
        <f aca="false">E853*Scorecard!$E$18+F853*Scorecard!$E$19+G853*Scorecard!$E$20+H853*Scorecard!$E$21+I853*Scorecard!$E$22+J853*Scorecard!$E$23</f>
        <v>3.86112787727048</v>
      </c>
      <c r="M853" s="0" t="str">
        <f aca="false">IF(AND(T853&gt;=U853,T853&gt;=V853),"A. Distribution",IF(U853&gt;=V853,"B. Manufacturing","C. Prof. services"))</f>
        <v>A. Distribution</v>
      </c>
      <c r="N853" s="39" t="n">
        <v>0.255065554271242</v>
      </c>
      <c r="O853" s="39" t="n">
        <v>0.27497337986875</v>
      </c>
      <c r="P853" s="39" t="n">
        <v>0.170477340491066</v>
      </c>
      <c r="Q853" s="39" t="n">
        <v>0.0609031791076294</v>
      </c>
      <c r="R853" s="39" t="n">
        <v>0.143174215475178</v>
      </c>
      <c r="S853" s="39" t="n">
        <v>0.0954063307861339</v>
      </c>
      <c r="T853" s="38" t="n">
        <f aca="false">N853*Scorecard!$C$18+O853*Scorecard!$C$19+P853*Scorecard!$C$20+Q853*Scorecard!$C$21+R853*Scorecard!$C$22+S853*Scorecard!$C$23</f>
        <v>4.05711997504723</v>
      </c>
      <c r="U853" s="38" t="n">
        <f aca="false">N853*Scorecard!$D$18+O853*Scorecard!$D$19+P853*Scorecard!$D$20+Q853*Scorecard!$D$21+R853*Scorecard!$D$22+S853*Scorecard!$D$23</f>
        <v>2.82275883720955</v>
      </c>
      <c r="V853" s="38" t="n">
        <f aca="false">N853*Scorecard!$E$18+O853*Scorecard!$E$19+P853*Scorecard!$E$20+Q853*Scorecard!$E$21+R853*Scorecard!$E$22+S853*Scorecard!$E$23</f>
        <v>3.3329138210981</v>
      </c>
    </row>
    <row r="854" customFormat="false" ht="15" hidden="false" customHeight="false" outlineLevel="0" collapsed="false">
      <c r="A854" s="0" t="n">
        <v>849</v>
      </c>
      <c r="B854" s="38" t="n">
        <f aca="false">E854*Scorecard!$C$18+F854*Scorecard!$C$19+G854*Scorecard!$C$20+H854*Scorecard!$C$21+I854*Scorecard!$C$22+J854*Scorecard!$C$23</f>
        <v>4.00000669724681</v>
      </c>
      <c r="C854" s="38" t="n">
        <f aca="false">E854*Scorecard!$D$18+F854*Scorecard!$D$19+G854*Scorecard!$D$20+H854*Scorecard!$D$21+I854*Scorecard!$D$22+J854*Scorecard!$D$23</f>
        <v>2.62940809593676</v>
      </c>
      <c r="D854" s="0" t="str">
        <f aca="false">IF(AND(B854&gt;=C854,B854&gt;=K854),"A. Distribution",IF(C854&gt;=K854,"B. Manufacturing","C. Prof. services"))</f>
        <v>A. Distribution</v>
      </c>
      <c r="E854" s="39" t="n">
        <v>0.0921208594130993</v>
      </c>
      <c r="F854" s="39" t="n">
        <v>0.160733821474844</v>
      </c>
      <c r="G854" s="39" t="n">
        <v>0.122817671465645</v>
      </c>
      <c r="H854" s="39" t="n">
        <v>0.354475604691705</v>
      </c>
      <c r="I854" s="39" t="n">
        <v>0.212284001258328</v>
      </c>
      <c r="J854" s="39" t="n">
        <v>0.0575680416963787</v>
      </c>
      <c r="K854" s="38" t="n">
        <f aca="false">E854*Scorecard!$E$18+F854*Scorecard!$E$19+G854*Scorecard!$E$20+H854*Scorecard!$E$21+I854*Scorecard!$E$22+J854*Scorecard!$E$23</f>
        <v>3.32082533620063</v>
      </c>
      <c r="M854" s="0" t="str">
        <f aca="false">IF(AND(T854&gt;=U854,T854&gt;=V854),"A. Distribution",IF(U854&gt;=V854,"B. Manufacturing","C. Prof. services"))</f>
        <v>A. Distribution</v>
      </c>
      <c r="N854" s="39" t="n">
        <v>0.110160989249943</v>
      </c>
      <c r="O854" s="39" t="n">
        <v>0.192048540987442</v>
      </c>
      <c r="P854" s="39" t="n">
        <v>0.271651010250256</v>
      </c>
      <c r="Q854" s="39" t="n">
        <v>0.144730995669428</v>
      </c>
      <c r="R854" s="39" t="n">
        <v>0.197557699756902</v>
      </c>
      <c r="S854" s="39" t="n">
        <v>0.0838507640860304</v>
      </c>
      <c r="T854" s="38" t="n">
        <f aca="false">N854*Scorecard!$C$18+O854*Scorecard!$C$19+P854*Scorecard!$C$20+Q854*Scorecard!$C$21+R854*Scorecard!$C$22+S854*Scorecard!$C$23</f>
        <v>3.99990769289281</v>
      </c>
      <c r="U854" s="38" t="n">
        <f aca="false">N854*Scorecard!$D$18+O854*Scorecard!$D$19+P854*Scorecard!$D$20+Q854*Scorecard!$D$21+R854*Scorecard!$D$22+S854*Scorecard!$D$23</f>
        <v>2.58842197001437</v>
      </c>
      <c r="V854" s="38" t="n">
        <f aca="false">N854*Scorecard!$E$18+O854*Scorecard!$E$19+P854*Scorecard!$E$20+Q854*Scorecard!$E$21+R854*Scorecard!$E$22+S854*Scorecard!$E$23</f>
        <v>3.38065916617705</v>
      </c>
    </row>
    <row r="855" customFormat="false" ht="15" hidden="false" customHeight="false" outlineLevel="0" collapsed="false">
      <c r="A855" s="0" t="n">
        <v>850</v>
      </c>
      <c r="B855" s="38" t="n">
        <f aca="false">E855*Scorecard!$C$18+F855*Scorecard!$C$19+G855*Scorecard!$C$20+H855*Scorecard!$C$21+I855*Scorecard!$C$22+J855*Scorecard!$C$23</f>
        <v>3.71096509077685</v>
      </c>
      <c r="C855" s="38" t="n">
        <f aca="false">E855*Scorecard!$D$18+F855*Scorecard!$D$19+G855*Scorecard!$D$20+H855*Scorecard!$D$21+I855*Scorecard!$D$22+J855*Scorecard!$D$23</f>
        <v>3.18358342662506</v>
      </c>
      <c r="D855" s="0" t="str">
        <f aca="false">IF(AND(B855&gt;=C855,B855&gt;=K855),"A. Distribution",IF(C855&gt;=K855,"B. Manufacturing","C. Prof. services"))</f>
        <v>A. Distribution</v>
      </c>
      <c r="E855" s="39" t="n">
        <v>0.451540749707632</v>
      </c>
      <c r="F855" s="39" t="n">
        <v>0.057195534014236</v>
      </c>
      <c r="G855" s="39" t="n">
        <v>0.0921673639930495</v>
      </c>
      <c r="H855" s="39" t="n">
        <v>0.00881819397709905</v>
      </c>
      <c r="I855" s="39" t="n">
        <v>0.235764394053131</v>
      </c>
      <c r="J855" s="39" t="n">
        <v>0.154513764254852</v>
      </c>
      <c r="K855" s="38" t="n">
        <f aca="false">E855*Scorecard!$E$18+F855*Scorecard!$E$19+G855*Scorecard!$E$20+H855*Scorecard!$E$21+I855*Scorecard!$E$22+J855*Scorecard!$E$23</f>
        <v>3.38728119919919</v>
      </c>
      <c r="M855" s="0" t="str">
        <f aca="false">IF(AND(T855&gt;=U855,T855&gt;=V855),"A. Distribution",IF(U855&gt;=V855,"B. Manufacturing","C. Prof. services"))</f>
        <v>A. Distribution</v>
      </c>
      <c r="N855" s="39" t="n">
        <v>0.249496082227788</v>
      </c>
      <c r="O855" s="39" t="n">
        <v>0.126018270615735</v>
      </c>
      <c r="P855" s="39" t="n">
        <v>0.193113456768983</v>
      </c>
      <c r="Q855" s="39" t="n">
        <v>0.144911626504925</v>
      </c>
      <c r="R855" s="39" t="n">
        <v>0.213603579498968</v>
      </c>
      <c r="S855" s="39" t="n">
        <v>0.0728569843836006</v>
      </c>
      <c r="T855" s="38" t="n">
        <f aca="false">N855*Scorecard!$C$18+O855*Scorecard!$C$19+P855*Scorecard!$C$20+Q855*Scorecard!$C$21+R855*Scorecard!$C$22+S855*Scorecard!$C$23</f>
        <v>3.94465875402704</v>
      </c>
      <c r="U855" s="38" t="n">
        <f aca="false">N855*Scorecard!$D$18+O855*Scorecard!$D$19+P855*Scorecard!$D$20+Q855*Scorecard!$D$21+R855*Scorecard!$D$22+S855*Scorecard!$D$23</f>
        <v>2.86230208464568</v>
      </c>
      <c r="V855" s="38" t="n">
        <f aca="false">N855*Scorecard!$E$18+O855*Scorecard!$E$19+P855*Scorecard!$E$20+Q855*Scorecard!$E$21+R855*Scorecard!$E$22+S855*Scorecard!$E$23</f>
        <v>3.35762576007533</v>
      </c>
    </row>
    <row r="856" customFormat="false" ht="15" hidden="false" customHeight="false" outlineLevel="0" collapsed="false">
      <c r="A856" s="0" t="n">
        <v>851</v>
      </c>
      <c r="B856" s="38" t="n">
        <f aca="false">E856*Scorecard!$C$18+F856*Scorecard!$C$19+G856*Scorecard!$C$20+H856*Scorecard!$C$21+I856*Scorecard!$C$22+J856*Scorecard!$C$23</f>
        <v>3.85844368309701</v>
      </c>
      <c r="C856" s="38" t="n">
        <f aca="false">E856*Scorecard!$D$18+F856*Scorecard!$D$19+G856*Scorecard!$D$20+H856*Scorecard!$D$21+I856*Scorecard!$D$22+J856*Scorecard!$D$23</f>
        <v>2.5278540367305</v>
      </c>
      <c r="D856" s="0" t="str">
        <f aca="false">IF(AND(B856&gt;=C856,B856&gt;=K856),"A. Distribution",IF(C856&gt;=K856,"B. Manufacturing","C. Prof. services"))</f>
        <v>A. Distribution</v>
      </c>
      <c r="E856" s="39" t="n">
        <v>0.136316762337164</v>
      </c>
      <c r="F856" s="39" t="n">
        <v>0.33611327052552</v>
      </c>
      <c r="G856" s="39" t="n">
        <v>0.0502126295460139</v>
      </c>
      <c r="H856" s="39" t="n">
        <v>0.142928687157733</v>
      </c>
      <c r="I856" s="39" t="n">
        <v>0.108766398073918</v>
      </c>
      <c r="J856" s="39" t="n">
        <v>0.225662252359651</v>
      </c>
      <c r="K856" s="38" t="n">
        <f aca="false">E856*Scorecard!$E$18+F856*Scorecard!$E$19+G856*Scorecard!$E$20+H856*Scorecard!$E$21+I856*Scorecard!$E$22+J856*Scorecard!$E$23</f>
        <v>3.4148473977118</v>
      </c>
      <c r="M856" s="0" t="str">
        <f aca="false">IF(AND(T856&gt;=U856,T856&gt;=V856),"A. Distribution",IF(U856&gt;=V856,"B. Manufacturing","C. Prof. services"))</f>
        <v>A. Distribution</v>
      </c>
      <c r="N856" s="39" t="n">
        <v>0.307845309479725</v>
      </c>
      <c r="O856" s="39" t="n">
        <v>0.302901763353544</v>
      </c>
      <c r="P856" s="39" t="n">
        <v>0.109730681433006</v>
      </c>
      <c r="Q856" s="39" t="n">
        <v>0.118140887023205</v>
      </c>
      <c r="R856" s="39" t="n">
        <v>0.0605551438171551</v>
      </c>
      <c r="S856" s="39" t="n">
        <v>0.100826214893364</v>
      </c>
      <c r="T856" s="38" t="n">
        <f aca="false">N856*Scorecard!$C$18+O856*Scorecard!$C$19+P856*Scorecard!$C$20+Q856*Scorecard!$C$21+R856*Scorecard!$C$22+S856*Scorecard!$C$23</f>
        <v>4.06380367753772</v>
      </c>
      <c r="U856" s="38" t="n">
        <f aca="false">N856*Scorecard!$D$18+O856*Scorecard!$D$19+P856*Scorecard!$D$20+Q856*Scorecard!$D$21+R856*Scorecard!$D$22+S856*Scorecard!$D$23</f>
        <v>2.84820961308771</v>
      </c>
      <c r="V856" s="38" t="n">
        <f aca="false">N856*Scorecard!$E$18+O856*Scorecard!$E$19+P856*Scorecard!$E$20+Q856*Scorecard!$E$21+R856*Scorecard!$E$22+S856*Scorecard!$E$23</f>
        <v>3.394827928351</v>
      </c>
    </row>
    <row r="857" customFormat="false" ht="15" hidden="false" customHeight="false" outlineLevel="0" collapsed="false">
      <c r="A857" s="0" t="n">
        <v>852</v>
      </c>
      <c r="B857" s="38" t="n">
        <f aca="false">E857*Scorecard!$C$18+F857*Scorecard!$C$19+G857*Scorecard!$C$20+H857*Scorecard!$C$21+I857*Scorecard!$C$22+J857*Scorecard!$C$23</f>
        <v>4.19547449907043</v>
      </c>
      <c r="C857" s="38" t="n">
        <f aca="false">E857*Scorecard!$D$18+F857*Scorecard!$D$19+G857*Scorecard!$D$20+H857*Scorecard!$D$21+I857*Scorecard!$D$22+J857*Scorecard!$D$23</f>
        <v>3.11115841937759</v>
      </c>
      <c r="D857" s="0" t="str">
        <f aca="false">IF(AND(B857&gt;=C857,B857&gt;=K857),"A. Distribution",IF(C857&gt;=K857,"B. Manufacturing","C. Prof. services"))</f>
        <v>A. Distribution</v>
      </c>
      <c r="E857" s="39" t="n">
        <v>0.456289667742819</v>
      </c>
      <c r="F857" s="39" t="n">
        <v>0.336952683335</v>
      </c>
      <c r="G857" s="39" t="n">
        <v>0.103186216743677</v>
      </c>
      <c r="H857" s="39" t="n">
        <v>0.0345719641292697</v>
      </c>
      <c r="I857" s="39" t="n">
        <v>0.0184399628533518</v>
      </c>
      <c r="J857" s="39" t="n">
        <v>0.0505595051958818</v>
      </c>
      <c r="K857" s="38" t="n">
        <f aca="false">E857*Scorecard!$E$18+F857*Scorecard!$E$19+G857*Scorecard!$E$20+H857*Scorecard!$E$21+I857*Scorecard!$E$22+J857*Scorecard!$E$23</f>
        <v>3.35229405497341</v>
      </c>
      <c r="M857" s="0" t="str">
        <f aca="false">IF(AND(T857&gt;=U857,T857&gt;=V857),"A. Distribution",IF(U857&gt;=V857,"B. Manufacturing","C. Prof. services"))</f>
        <v>A. Distribution</v>
      </c>
      <c r="N857" s="39" t="n">
        <v>0.131784679304403</v>
      </c>
      <c r="O857" s="39" t="n">
        <v>0.171471449825643</v>
      </c>
      <c r="P857" s="39" t="n">
        <v>0.146629182140174</v>
      </c>
      <c r="Q857" s="39" t="n">
        <v>0.372670820188238</v>
      </c>
      <c r="R857" s="39" t="n">
        <v>0.111526521973905</v>
      </c>
      <c r="S857" s="39" t="n">
        <v>0.0659173465676377</v>
      </c>
      <c r="T857" s="38" t="n">
        <f aca="false">N857*Scorecard!$C$18+O857*Scorecard!$C$19+P857*Scorecard!$C$20+Q857*Scorecard!$C$21+R857*Scorecard!$C$22+S857*Scorecard!$C$23</f>
        <v>3.98890069065007</v>
      </c>
      <c r="U857" s="38" t="n">
        <f aca="false">N857*Scorecard!$D$18+O857*Scorecard!$D$19+P857*Scorecard!$D$20+Q857*Scorecard!$D$21+R857*Scorecard!$D$22+S857*Scorecard!$D$23</f>
        <v>2.58215336586613</v>
      </c>
      <c r="V857" s="38" t="n">
        <f aca="false">N857*Scorecard!$E$18+O857*Scorecard!$E$19+P857*Scorecard!$E$20+Q857*Scorecard!$E$21+R857*Scorecard!$E$22+S857*Scorecard!$E$23</f>
        <v>3.45431339962945</v>
      </c>
    </row>
    <row r="858" customFormat="false" ht="15" hidden="false" customHeight="false" outlineLevel="0" collapsed="false">
      <c r="A858" s="0" t="n">
        <v>853</v>
      </c>
      <c r="B858" s="38" t="n">
        <f aca="false">E858*Scorecard!$C$18+F858*Scorecard!$C$19+G858*Scorecard!$C$20+H858*Scorecard!$C$21+I858*Scorecard!$C$22+J858*Scorecard!$C$23</f>
        <v>4.37623105837644</v>
      </c>
      <c r="C858" s="38" t="n">
        <f aca="false">E858*Scorecard!$D$18+F858*Scorecard!$D$19+G858*Scorecard!$D$20+H858*Scorecard!$D$21+I858*Scorecard!$D$22+J858*Scorecard!$D$23</f>
        <v>2.61104688179899</v>
      </c>
      <c r="D858" s="0" t="str">
        <f aca="false">IF(AND(B858&gt;=C858,B858&gt;=K858),"A. Distribution",IF(C858&gt;=K858,"B. Manufacturing","C. Prof. services"))</f>
        <v>A. Distribution</v>
      </c>
      <c r="E858" s="39" t="n">
        <v>0.111199076649898</v>
      </c>
      <c r="F858" s="39" t="n">
        <v>0.590381435695103</v>
      </c>
      <c r="G858" s="39" t="n">
        <v>0.0983588708142767</v>
      </c>
      <c r="H858" s="39" t="n">
        <v>0.00569324060145886</v>
      </c>
      <c r="I858" s="39" t="n">
        <v>0.0920628200361251</v>
      </c>
      <c r="J858" s="39" t="n">
        <v>0.102304556203138</v>
      </c>
      <c r="K858" s="38" t="n">
        <f aca="false">E858*Scorecard!$E$18+F858*Scorecard!$E$19+G858*Scorecard!$E$20+H858*Scorecard!$E$21+I858*Scorecard!$E$22+J858*Scorecard!$E$23</f>
        <v>3.13449688337094</v>
      </c>
      <c r="M858" s="0" t="str">
        <f aca="false">IF(AND(T858&gt;=U858,T858&gt;=V858),"A. Distribution",IF(U858&gt;=V858,"B. Manufacturing","C. Prof. services"))</f>
        <v>A. Distribution</v>
      </c>
      <c r="N858" s="39" t="n">
        <v>0.187024041983508</v>
      </c>
      <c r="O858" s="39" t="n">
        <v>0.198113555908137</v>
      </c>
      <c r="P858" s="39" t="n">
        <v>0.141706991503277</v>
      </c>
      <c r="Q858" s="39" t="n">
        <v>0.157456456200606</v>
      </c>
      <c r="R858" s="39" t="n">
        <v>0.26675740450313</v>
      </c>
      <c r="S858" s="39" t="n">
        <v>0.0489415499013414</v>
      </c>
      <c r="T858" s="38" t="n">
        <f aca="false">N858*Scorecard!$C$18+O858*Scorecard!$C$19+P858*Scorecard!$C$20+Q858*Scorecard!$C$21+R858*Scorecard!$C$22+S858*Scorecard!$C$23</f>
        <v>4.0682488739649</v>
      </c>
      <c r="U858" s="38" t="n">
        <f aca="false">N858*Scorecard!$D$18+O858*Scorecard!$D$19+P858*Scorecard!$D$20+Q858*Scorecard!$D$21+R858*Scorecard!$D$22+S858*Scorecard!$D$23</f>
        <v>2.86059236340329</v>
      </c>
      <c r="V858" s="38" t="n">
        <f aca="false">N858*Scorecard!$E$18+O858*Scorecard!$E$19+P858*Scorecard!$E$20+Q858*Scorecard!$E$21+R858*Scorecard!$E$22+S858*Scorecard!$E$23</f>
        <v>3.19802546608216</v>
      </c>
    </row>
    <row r="859" customFormat="false" ht="15" hidden="false" customHeight="false" outlineLevel="0" collapsed="false">
      <c r="A859" s="0" t="n">
        <v>854</v>
      </c>
      <c r="B859" s="38" t="n">
        <f aca="false">E859*Scorecard!$C$18+F859*Scorecard!$C$19+G859*Scorecard!$C$20+H859*Scorecard!$C$21+I859*Scorecard!$C$22+J859*Scorecard!$C$23</f>
        <v>3.42691301009757</v>
      </c>
      <c r="C859" s="38" t="n">
        <f aca="false">E859*Scorecard!$D$18+F859*Scorecard!$D$19+G859*Scorecard!$D$20+H859*Scorecard!$D$21+I859*Scorecard!$D$22+J859*Scorecard!$D$23</f>
        <v>2.30209634616079</v>
      </c>
      <c r="D859" s="0" t="str">
        <f aca="false">IF(AND(B859&gt;=C859,B859&gt;=K859),"A. Distribution",IF(C859&gt;=K859,"B. Manufacturing","C. Prof. services"))</f>
        <v>C. Prof. services</v>
      </c>
      <c r="E859" s="39" t="n">
        <v>0.0742689128420176</v>
      </c>
      <c r="F859" s="39" t="n">
        <v>0.208547318130185</v>
      </c>
      <c r="G859" s="39" t="n">
        <v>0.139205510141279</v>
      </c>
      <c r="H859" s="39" t="n">
        <v>0.019384914874729</v>
      </c>
      <c r="I859" s="39" t="n">
        <v>0.171801963602319</v>
      </c>
      <c r="J859" s="39" t="n">
        <v>0.386791380409469</v>
      </c>
      <c r="K859" s="38" t="n">
        <f aca="false">E859*Scorecard!$E$18+F859*Scorecard!$E$19+G859*Scorecard!$E$20+H859*Scorecard!$E$21+I859*Scorecard!$E$22+J859*Scorecard!$E$23</f>
        <v>3.61427733295041</v>
      </c>
      <c r="M859" s="0" t="str">
        <f aca="false">IF(AND(T859&gt;=U859,T859&gt;=V859),"A. Distribution",IF(U859&gt;=V859,"B. Manufacturing","C. Prof. services"))</f>
        <v>A. Distribution</v>
      </c>
      <c r="N859" s="39" t="n">
        <v>0.0801324115440665</v>
      </c>
      <c r="O859" s="39" t="n">
        <v>0.315660868192085</v>
      </c>
      <c r="P859" s="39" t="n">
        <v>0.159020999562806</v>
      </c>
      <c r="Q859" s="39" t="n">
        <v>0.159647771602871</v>
      </c>
      <c r="R859" s="39" t="n">
        <v>0.197277599599797</v>
      </c>
      <c r="S859" s="39" t="n">
        <v>0.0882603494983745</v>
      </c>
      <c r="T859" s="38" t="n">
        <f aca="false">N859*Scorecard!$C$18+O859*Scorecard!$C$19+P859*Scorecard!$C$20+Q859*Scorecard!$C$21+R859*Scorecard!$C$22+S859*Scorecard!$C$23</f>
        <v>4.11550445547993</v>
      </c>
      <c r="U859" s="38" t="n">
        <f aca="false">N859*Scorecard!$D$18+O859*Scorecard!$D$19+P859*Scorecard!$D$20+Q859*Scorecard!$D$21+R859*Scorecard!$D$22+S859*Scorecard!$D$23</f>
        <v>2.59493804014674</v>
      </c>
      <c r="V859" s="38" t="n">
        <f aca="false">N859*Scorecard!$E$18+O859*Scorecard!$E$19+P859*Scorecard!$E$20+Q859*Scorecard!$E$21+R859*Scorecard!$E$22+S859*Scorecard!$E$23</f>
        <v>3.24569776517341</v>
      </c>
    </row>
    <row r="860" customFormat="false" ht="15" hidden="false" customHeight="false" outlineLevel="0" collapsed="false">
      <c r="A860" s="0" t="n">
        <v>855</v>
      </c>
      <c r="B860" s="38" t="n">
        <f aca="false">E860*Scorecard!$C$18+F860*Scorecard!$C$19+G860*Scorecard!$C$20+H860*Scorecard!$C$21+I860*Scorecard!$C$22+J860*Scorecard!$C$23</f>
        <v>3.88784456000542</v>
      </c>
      <c r="C860" s="38" t="n">
        <f aca="false">E860*Scorecard!$D$18+F860*Scorecard!$D$19+G860*Scorecard!$D$20+H860*Scorecard!$D$21+I860*Scorecard!$D$22+J860*Scorecard!$D$23</f>
        <v>2.58965231974967</v>
      </c>
      <c r="D860" s="0" t="str">
        <f aca="false">IF(AND(B860&gt;=C860,B860&gt;=K860),"A. Distribution",IF(C860&gt;=K860,"B. Manufacturing","C. Prof. services"))</f>
        <v>A. Distribution</v>
      </c>
      <c r="E860" s="39" t="n">
        <v>0.197798121416945</v>
      </c>
      <c r="F860" s="39" t="n">
        <v>0.0138528103821067</v>
      </c>
      <c r="G860" s="39" t="n">
        <v>0.469814799051453</v>
      </c>
      <c r="H860" s="39" t="n">
        <v>0.150331173523968</v>
      </c>
      <c r="I860" s="39" t="n">
        <v>0.121238392841362</v>
      </c>
      <c r="J860" s="39" t="n">
        <v>0.0469647027841653</v>
      </c>
      <c r="K860" s="38" t="n">
        <f aca="false">E860*Scorecard!$E$18+F860*Scorecard!$E$19+G860*Scorecard!$E$20+H860*Scorecard!$E$21+I860*Scorecard!$E$22+J860*Scorecard!$E$23</f>
        <v>3.65678567087466</v>
      </c>
      <c r="M860" s="0" t="str">
        <f aca="false">IF(AND(T860&gt;=U860,T860&gt;=V860),"A. Distribution",IF(U860&gt;=V860,"B. Manufacturing","C. Prof. services"))</f>
        <v>C. Prof. services</v>
      </c>
      <c r="N860" s="39" t="n">
        <v>0.172461988800142</v>
      </c>
      <c r="O860" s="39" t="n">
        <v>0.121848818939897</v>
      </c>
      <c r="P860" s="39" t="n">
        <v>0.282305527858849</v>
      </c>
      <c r="Q860" s="39" t="n">
        <v>0.144949207464758</v>
      </c>
      <c r="R860" s="39" t="n">
        <v>0.0480711348748644</v>
      </c>
      <c r="S860" s="39" t="n">
        <v>0.230363322061489</v>
      </c>
      <c r="T860" s="38" t="n">
        <f aca="false">N860*Scorecard!$C$18+O860*Scorecard!$C$19+P860*Scorecard!$C$20+Q860*Scorecard!$C$21+R860*Scorecard!$C$22+S860*Scorecard!$C$23</f>
        <v>3.63165739630853</v>
      </c>
      <c r="U860" s="38" t="n">
        <f aca="false">N860*Scorecard!$D$18+O860*Scorecard!$D$19+P860*Scorecard!$D$20+Q860*Scorecard!$D$21+R860*Scorecard!$D$22+S860*Scorecard!$D$23</f>
        <v>2.40478119972566</v>
      </c>
      <c r="V860" s="38" t="n">
        <f aca="false">N860*Scorecard!$E$18+O860*Scorecard!$E$19+P860*Scorecard!$E$20+Q860*Scorecard!$E$21+R860*Scorecard!$E$22+S860*Scorecard!$E$23</f>
        <v>3.75576084711095</v>
      </c>
    </row>
    <row r="861" customFormat="false" ht="15" hidden="false" customHeight="false" outlineLevel="0" collapsed="false">
      <c r="A861" s="0" t="n">
        <v>856</v>
      </c>
      <c r="B861" s="38" t="n">
        <f aca="false">E861*Scorecard!$C$18+F861*Scorecard!$C$19+G861*Scorecard!$C$20+H861*Scorecard!$C$21+I861*Scorecard!$C$22+J861*Scorecard!$C$23</f>
        <v>3.87414450418349</v>
      </c>
      <c r="C861" s="38" t="n">
        <f aca="false">E861*Scorecard!$D$18+F861*Scorecard!$D$19+G861*Scorecard!$D$20+H861*Scorecard!$D$21+I861*Scorecard!$D$22+J861*Scorecard!$D$23</f>
        <v>2.99583779267363</v>
      </c>
      <c r="D861" s="0" t="str">
        <f aca="false">IF(AND(B861&gt;=C861,B861&gt;=K861),"A. Distribution",IF(C861&gt;=K861,"B. Manufacturing","C. Prof. services"))</f>
        <v>A. Distribution</v>
      </c>
      <c r="E861" s="39" t="n">
        <v>0.448050932505791</v>
      </c>
      <c r="F861" s="39" t="n">
        <v>0.30678950678144</v>
      </c>
      <c r="G861" s="39" t="n">
        <v>0.00856350484093434</v>
      </c>
      <c r="H861" s="39" t="n">
        <v>0.026641297234033</v>
      </c>
      <c r="I861" s="39" t="n">
        <v>0.0130538465412281</v>
      </c>
      <c r="J861" s="39" t="n">
        <v>0.196900912096573</v>
      </c>
      <c r="K861" s="38" t="n">
        <f aca="false">E861*Scorecard!$E$18+F861*Scorecard!$E$19+G861*Scorecard!$E$20+H861*Scorecard!$E$21+I861*Scorecard!$E$22+J861*Scorecard!$E$23</f>
        <v>3.47721270154002</v>
      </c>
      <c r="M861" s="0" t="str">
        <f aca="false">IF(AND(T861&gt;=U861,T861&gt;=V861),"A. Distribution",IF(U861&gt;=V861,"B. Manufacturing","C. Prof. services"))</f>
        <v>A. Distribution</v>
      </c>
      <c r="N861" s="39" t="n">
        <v>0.132050949594515</v>
      </c>
      <c r="O861" s="39" t="n">
        <v>0.330496056436095</v>
      </c>
      <c r="P861" s="39" t="n">
        <v>0.238103037149339</v>
      </c>
      <c r="Q861" s="39" t="n">
        <v>0.0637887396675053</v>
      </c>
      <c r="R861" s="39" t="n">
        <v>0.152085899109333</v>
      </c>
      <c r="S861" s="39" t="n">
        <v>0.0834753180432134</v>
      </c>
      <c r="T861" s="38" t="n">
        <f aca="false">N861*Scorecard!$C$18+O861*Scorecard!$C$19+P861*Scorecard!$C$20+Q861*Scorecard!$C$21+R861*Scorecard!$C$22+S861*Scorecard!$C$23</f>
        <v>4.14607020175655</v>
      </c>
      <c r="U861" s="38" t="n">
        <f aca="false">N861*Scorecard!$D$18+O861*Scorecard!$D$19+P861*Scorecard!$D$20+Q861*Scorecard!$D$21+R861*Scorecard!$D$22+S861*Scorecard!$D$23</f>
        <v>2.62196777088264</v>
      </c>
      <c r="V861" s="38" t="n">
        <f aca="false">N861*Scorecard!$E$18+O861*Scorecard!$E$19+P861*Scorecard!$E$20+Q861*Scorecard!$E$21+R861*Scorecard!$E$22+S861*Scorecard!$E$23</f>
        <v>3.30628590635049</v>
      </c>
    </row>
    <row r="862" customFormat="false" ht="15" hidden="false" customHeight="false" outlineLevel="0" collapsed="false">
      <c r="A862" s="0" t="n">
        <v>857</v>
      </c>
      <c r="B862" s="38" t="n">
        <f aca="false">E862*Scorecard!$C$18+F862*Scorecard!$C$19+G862*Scorecard!$C$20+H862*Scorecard!$C$21+I862*Scorecard!$C$22+J862*Scorecard!$C$23</f>
        <v>4.0719403251647</v>
      </c>
      <c r="C862" s="38" t="n">
        <f aca="false">E862*Scorecard!$D$18+F862*Scorecard!$D$19+G862*Scorecard!$D$20+H862*Scorecard!$D$21+I862*Scorecard!$D$22+J862*Scorecard!$D$23</f>
        <v>3.07265708295866</v>
      </c>
      <c r="D862" s="0" t="str">
        <f aca="false">IF(AND(B862&gt;=C862,B862&gt;=K862),"A. Distribution",IF(C862&gt;=K862,"B. Manufacturing","C. Prof. services"))</f>
        <v>A. Distribution</v>
      </c>
      <c r="E862" s="39" t="n">
        <v>0.422653217021845</v>
      </c>
      <c r="F862" s="39" t="n">
        <v>0.182360008526822</v>
      </c>
      <c r="G862" s="39" t="n">
        <v>0.0624454558288608</v>
      </c>
      <c r="H862" s="39" t="n">
        <v>0.26785972033666</v>
      </c>
      <c r="I862" s="39" t="n">
        <v>0.0408695088314572</v>
      </c>
      <c r="J862" s="39" t="n">
        <v>0.0238120894543553</v>
      </c>
      <c r="K862" s="38" t="n">
        <f aca="false">E862*Scorecard!$E$18+F862*Scorecard!$E$19+G862*Scorecard!$E$20+H862*Scorecard!$E$21+I862*Scorecard!$E$22+J862*Scorecard!$E$23</f>
        <v>3.4268553418742</v>
      </c>
      <c r="M862" s="0" t="str">
        <f aca="false">IF(AND(T862&gt;=U862,T862&gt;=V862),"A. Distribution",IF(U862&gt;=V862,"B. Manufacturing","C. Prof. services"))</f>
        <v>A. Distribution</v>
      </c>
      <c r="N862" s="39" t="n">
        <v>0.099946139880415</v>
      </c>
      <c r="O862" s="39" t="n">
        <v>0.235531909810636</v>
      </c>
      <c r="P862" s="39" t="n">
        <v>0.278344669649691</v>
      </c>
      <c r="Q862" s="39" t="n">
        <v>0.140675155747432</v>
      </c>
      <c r="R862" s="39" t="n">
        <v>0.120484706602918</v>
      </c>
      <c r="S862" s="39" t="n">
        <v>0.125017418308908</v>
      </c>
      <c r="T862" s="38" t="n">
        <f aca="false">N862*Scorecard!$C$18+O862*Scorecard!$C$19+P862*Scorecard!$C$20+Q862*Scorecard!$C$21+R862*Scorecard!$C$22+S862*Scorecard!$C$23</f>
        <v>3.96231488968263</v>
      </c>
      <c r="U862" s="38" t="n">
        <f aca="false">N862*Scorecard!$D$18+O862*Scorecard!$D$19+P862*Scorecard!$D$20+Q862*Scorecard!$D$21+R862*Scorecard!$D$22+S862*Scorecard!$D$23</f>
        <v>2.46626216221785</v>
      </c>
      <c r="V862" s="38" t="n">
        <f aca="false">N862*Scorecard!$E$18+O862*Scorecard!$E$19+P862*Scorecard!$E$20+Q862*Scorecard!$E$21+R862*Scorecard!$E$22+S862*Scorecard!$E$23</f>
        <v>3.48415323821944</v>
      </c>
    </row>
    <row r="863" customFormat="false" ht="15" hidden="false" customHeight="false" outlineLevel="0" collapsed="false">
      <c r="A863" s="0" t="n">
        <v>858</v>
      </c>
      <c r="B863" s="38" t="n">
        <f aca="false">E863*Scorecard!$C$18+F863*Scorecard!$C$19+G863*Scorecard!$C$20+H863*Scorecard!$C$21+I863*Scorecard!$C$22+J863*Scorecard!$C$23</f>
        <v>3.29562674007214</v>
      </c>
      <c r="C863" s="38" t="n">
        <f aca="false">E863*Scorecard!$D$18+F863*Scorecard!$D$19+G863*Scorecard!$D$20+H863*Scorecard!$D$21+I863*Scorecard!$D$22+J863*Scorecard!$D$23</f>
        <v>2.45380171340541</v>
      </c>
      <c r="D863" s="0" t="str">
        <f aca="false">IF(AND(B863&gt;=C863,B863&gt;=K863),"A. Distribution",IF(C863&gt;=K863,"B. Manufacturing","C. Prof. services"))</f>
        <v>C. Prof. services</v>
      </c>
      <c r="E863" s="39" t="n">
        <v>0.141656088044158</v>
      </c>
      <c r="F863" s="39" t="n">
        <v>0.0573979276569299</v>
      </c>
      <c r="G863" s="39" t="n">
        <v>0.0731440550006947</v>
      </c>
      <c r="H863" s="39" t="n">
        <v>0.154683083601476</v>
      </c>
      <c r="I863" s="39" t="n">
        <v>0.206253403428551</v>
      </c>
      <c r="J863" s="39" t="n">
        <v>0.366865442268191</v>
      </c>
      <c r="K863" s="38" t="n">
        <f aca="false">E863*Scorecard!$E$18+F863*Scorecard!$E$19+G863*Scorecard!$E$20+H863*Scorecard!$E$21+I863*Scorecard!$E$22+J863*Scorecard!$E$23</f>
        <v>3.64963451483884</v>
      </c>
      <c r="M863" s="0" t="str">
        <f aca="false">IF(AND(T863&gt;=U863,T863&gt;=V863),"A. Distribution",IF(U863&gt;=V863,"B. Manufacturing","C. Prof. services"))</f>
        <v>A. Distribution</v>
      </c>
      <c r="N863" s="39" t="n">
        <v>0.0838863360405583</v>
      </c>
      <c r="O863" s="39" t="n">
        <v>0.266418294331647</v>
      </c>
      <c r="P863" s="39" t="n">
        <v>0.27485012238496</v>
      </c>
      <c r="Q863" s="39" t="n">
        <v>0.237271711208782</v>
      </c>
      <c r="R863" s="39" t="n">
        <v>0.103460144382063</v>
      </c>
      <c r="S863" s="39" t="n">
        <v>0.0341133916519899</v>
      </c>
      <c r="T863" s="38" t="n">
        <f aca="false">N863*Scorecard!$C$18+O863*Scorecard!$C$19+P863*Scorecard!$C$20+Q863*Scorecard!$C$21+R863*Scorecard!$C$22+S863*Scorecard!$C$23</f>
        <v>4.16589038179014</v>
      </c>
      <c r="U863" s="38" t="n">
        <f aca="false">N863*Scorecard!$D$18+O863*Scorecard!$D$19+P863*Scorecard!$D$20+Q863*Scorecard!$D$21+R863*Scorecard!$D$22+S863*Scorecard!$D$23</f>
        <v>2.50111773728697</v>
      </c>
      <c r="V863" s="38" t="n">
        <f aca="false">N863*Scorecard!$E$18+O863*Scorecard!$E$19+P863*Scorecard!$E$20+Q863*Scorecard!$E$21+R863*Scorecard!$E$22+S863*Scorecard!$E$23</f>
        <v>3.40658942583188</v>
      </c>
    </row>
    <row r="864" customFormat="false" ht="15" hidden="false" customHeight="false" outlineLevel="0" collapsed="false">
      <c r="A864" s="0" t="n">
        <v>859</v>
      </c>
      <c r="B864" s="38" t="n">
        <f aca="false">E864*Scorecard!$C$18+F864*Scorecard!$C$19+G864*Scorecard!$C$20+H864*Scorecard!$C$21+I864*Scorecard!$C$22+J864*Scorecard!$C$23</f>
        <v>3.81941048942708</v>
      </c>
      <c r="C864" s="38" t="n">
        <f aca="false">E864*Scorecard!$D$18+F864*Scorecard!$D$19+G864*Scorecard!$D$20+H864*Scorecard!$D$21+I864*Scorecard!$D$22+J864*Scorecard!$D$23</f>
        <v>2.52241145790447</v>
      </c>
      <c r="D864" s="0" t="str">
        <f aca="false">IF(AND(B864&gt;=C864,B864&gt;=K864),"A. Distribution",IF(C864&gt;=K864,"B. Manufacturing","C. Prof. services"))</f>
        <v>A. Distribution</v>
      </c>
      <c r="E864" s="39" t="n">
        <v>0.173240261388969</v>
      </c>
      <c r="F864" s="39" t="n">
        <v>0.400982436583163</v>
      </c>
      <c r="G864" s="39" t="n">
        <v>0.0115661499923669</v>
      </c>
      <c r="H864" s="39" t="n">
        <v>0.0769195818874253</v>
      </c>
      <c r="I864" s="39" t="n">
        <v>0.0576041122831227</v>
      </c>
      <c r="J864" s="39" t="n">
        <v>0.279687457864953</v>
      </c>
      <c r="K864" s="38" t="n">
        <f aca="false">E864*Scorecard!$E$18+F864*Scorecard!$E$19+G864*Scorecard!$E$20+H864*Scorecard!$E$21+I864*Scorecard!$E$22+J864*Scorecard!$E$23</f>
        <v>3.45271464147947</v>
      </c>
      <c r="M864" s="0" t="str">
        <f aca="false">IF(AND(T864&gt;=U864,T864&gt;=V864),"A. Distribution",IF(U864&gt;=V864,"B. Manufacturing","C. Prof. services"))</f>
        <v>A. Distribution</v>
      </c>
      <c r="N864" s="39" t="n">
        <v>0.123840311778293</v>
      </c>
      <c r="O864" s="39" t="n">
        <v>0.235403954254408</v>
      </c>
      <c r="P864" s="39" t="n">
        <v>0.165328452785564</v>
      </c>
      <c r="Q864" s="39" t="n">
        <v>0.0832002728477007</v>
      </c>
      <c r="R864" s="39" t="n">
        <v>0.318422251962511</v>
      </c>
      <c r="S864" s="39" t="n">
        <v>0.0738047563715236</v>
      </c>
      <c r="T864" s="38" t="n">
        <f aca="false">N864*Scorecard!$C$18+O864*Scorecard!$C$19+P864*Scorecard!$C$20+Q864*Scorecard!$C$21+R864*Scorecard!$C$22+S864*Scorecard!$C$23</f>
        <v>4.06888682443241</v>
      </c>
      <c r="U864" s="38" t="n">
        <f aca="false">N864*Scorecard!$D$18+O864*Scorecard!$D$19+P864*Scorecard!$D$20+Q864*Scorecard!$D$21+R864*Scorecard!$D$22+S864*Scorecard!$D$23</f>
        <v>2.78725828688057</v>
      </c>
      <c r="V864" s="38" t="n">
        <f aca="false">N864*Scorecard!$E$18+O864*Scorecard!$E$19+P864*Scorecard!$E$20+Q864*Scorecard!$E$21+R864*Scorecard!$E$22+S864*Scorecard!$E$23</f>
        <v>3.1356489188441</v>
      </c>
    </row>
    <row r="865" customFormat="false" ht="15" hidden="false" customHeight="false" outlineLevel="0" collapsed="false">
      <c r="A865" s="0" t="n">
        <v>860</v>
      </c>
      <c r="B865" s="38" t="n">
        <f aca="false">E865*Scorecard!$C$18+F865*Scorecard!$C$19+G865*Scorecard!$C$20+H865*Scorecard!$C$21+I865*Scorecard!$C$22+J865*Scorecard!$C$23</f>
        <v>4.27199400145729</v>
      </c>
      <c r="C865" s="38" t="n">
        <f aca="false">E865*Scorecard!$D$18+F865*Scorecard!$D$19+G865*Scorecard!$D$20+H865*Scorecard!$D$21+I865*Scorecard!$D$22+J865*Scorecard!$D$23</f>
        <v>2.33550639057779</v>
      </c>
      <c r="D865" s="0" t="str">
        <f aca="false">IF(AND(B865&gt;=C865,B865&gt;=K865),"A. Distribution",IF(C865&gt;=K865,"B. Manufacturing","C. Prof. services"))</f>
        <v>A. Distribution</v>
      </c>
      <c r="E865" s="39" t="n">
        <v>0.0158180462193131</v>
      </c>
      <c r="F865" s="39" t="n">
        <v>0.531027990512159</v>
      </c>
      <c r="G865" s="39" t="n">
        <v>0.0964467676355562</v>
      </c>
      <c r="H865" s="39" t="n">
        <v>0.230473925631216</v>
      </c>
      <c r="I865" s="39" t="n">
        <v>0.00976811577311457</v>
      </c>
      <c r="J865" s="39" t="n">
        <v>0.116465154228641</v>
      </c>
      <c r="K865" s="38" t="n">
        <f aca="false">E865*Scorecard!$E$18+F865*Scorecard!$E$19+G865*Scorecard!$E$20+H865*Scorecard!$E$21+I865*Scorecard!$E$22+J865*Scorecard!$E$23</f>
        <v>3.32386013659452</v>
      </c>
      <c r="M865" s="0" t="str">
        <f aca="false">IF(AND(T865&gt;=U865,T865&gt;=V865),"A. Distribution",IF(U865&gt;=V865,"B. Manufacturing","C. Prof. services"))</f>
        <v>A. Distribution</v>
      </c>
      <c r="N865" s="39" t="n">
        <v>0.178694455180749</v>
      </c>
      <c r="O865" s="39" t="n">
        <v>0.292037756683774</v>
      </c>
      <c r="P865" s="39" t="n">
        <v>0.189540201090927</v>
      </c>
      <c r="Q865" s="39" t="n">
        <v>0.168046143111188</v>
      </c>
      <c r="R865" s="39" t="n">
        <v>0.0853222937421775</v>
      </c>
      <c r="S865" s="39" t="n">
        <v>0.0863591501911849</v>
      </c>
      <c r="T865" s="38" t="n">
        <f aca="false">N865*Scorecard!$C$18+O865*Scorecard!$C$19+P865*Scorecard!$C$20+Q865*Scorecard!$C$21+R865*Scorecard!$C$22+S865*Scorecard!$C$23</f>
        <v>4.0868655848174</v>
      </c>
      <c r="U865" s="38" t="n">
        <f aca="false">N865*Scorecard!$D$18+O865*Scorecard!$D$19+P865*Scorecard!$D$20+Q865*Scorecard!$D$21+R865*Scorecard!$D$22+S865*Scorecard!$D$23</f>
        <v>2.6359805892787</v>
      </c>
      <c r="V865" s="38" t="n">
        <f aca="false">N865*Scorecard!$E$18+O865*Scorecard!$E$19+P865*Scorecard!$E$20+Q865*Scorecard!$E$21+R865*Scorecard!$E$22+S865*Scorecard!$E$23</f>
        <v>3.40755464201951</v>
      </c>
    </row>
    <row r="866" customFormat="false" ht="15" hidden="false" customHeight="false" outlineLevel="0" collapsed="false">
      <c r="A866" s="0" t="n">
        <v>861</v>
      </c>
      <c r="B866" s="38" t="n">
        <f aca="false">E866*Scorecard!$C$18+F866*Scorecard!$C$19+G866*Scorecard!$C$20+H866*Scorecard!$C$21+I866*Scorecard!$C$22+J866*Scorecard!$C$23</f>
        <v>3.85479575519456</v>
      </c>
      <c r="C866" s="38" t="n">
        <f aca="false">E866*Scorecard!$D$18+F866*Scorecard!$D$19+G866*Scorecard!$D$20+H866*Scorecard!$D$21+I866*Scorecard!$D$22+J866*Scorecard!$D$23</f>
        <v>2.88607799561841</v>
      </c>
      <c r="D866" s="0" t="str">
        <f aca="false">IF(AND(B866&gt;=C866,B866&gt;=K866),"A. Distribution",IF(C866&gt;=K866,"B. Manufacturing","C. Prof. services"))</f>
        <v>A. Distribution</v>
      </c>
      <c r="E866" s="39" t="n">
        <v>0.174978283139832</v>
      </c>
      <c r="F866" s="39" t="n">
        <v>0.106921540311067</v>
      </c>
      <c r="G866" s="39" t="n">
        <v>0.0896658624321529</v>
      </c>
      <c r="H866" s="39" t="n">
        <v>0.153108127770904</v>
      </c>
      <c r="I866" s="39" t="n">
        <v>0.364536259842095</v>
      </c>
      <c r="J866" s="39" t="n">
        <v>0.11078992650395</v>
      </c>
      <c r="K866" s="38" t="n">
        <f aca="false">E866*Scorecard!$E$18+F866*Scorecard!$E$19+G866*Scorecard!$E$20+H866*Scorecard!$E$21+I866*Scorecard!$E$22+J866*Scorecard!$E$23</f>
        <v>3.18243933141425</v>
      </c>
      <c r="M866" s="0" t="str">
        <f aca="false">IF(AND(T866&gt;=U866,T866&gt;=V866),"A. Distribution",IF(U866&gt;=V866,"B. Manufacturing","C. Prof. services"))</f>
        <v>A. Distribution</v>
      </c>
      <c r="N866" s="39" t="n">
        <v>0.31171763706767</v>
      </c>
      <c r="O866" s="39" t="n">
        <v>0.1937903801938</v>
      </c>
      <c r="P866" s="39" t="n">
        <v>0.182280164031548</v>
      </c>
      <c r="Q866" s="39" t="n">
        <v>0.106836058754176</v>
      </c>
      <c r="R866" s="39" t="n">
        <v>0.0603453458147156</v>
      </c>
      <c r="S866" s="39" t="n">
        <v>0.145030414138091</v>
      </c>
      <c r="T866" s="38" t="n">
        <f aca="false">N866*Scorecard!$C$18+O866*Scorecard!$C$19+P866*Scorecard!$C$20+Q866*Scorecard!$C$21+R866*Scorecard!$C$22+S866*Scorecard!$C$23</f>
        <v>3.86719110108665</v>
      </c>
      <c r="U866" s="38" t="n">
        <f aca="false">N866*Scorecard!$D$18+O866*Scorecard!$D$19+P866*Scorecard!$D$20+Q866*Scorecard!$D$21+R866*Scorecard!$D$22+S866*Scorecard!$D$23</f>
        <v>2.77254935159489</v>
      </c>
      <c r="V866" s="38" t="n">
        <f aca="false">N866*Scorecard!$E$18+O866*Scorecard!$E$19+P866*Scorecard!$E$20+Q866*Scorecard!$E$21+R866*Scorecard!$E$22+S866*Scorecard!$E$23</f>
        <v>3.54947478883021</v>
      </c>
    </row>
    <row r="867" customFormat="false" ht="15" hidden="false" customHeight="false" outlineLevel="0" collapsed="false">
      <c r="A867" s="0" t="n">
        <v>862</v>
      </c>
      <c r="B867" s="38" t="n">
        <f aca="false">E867*Scorecard!$C$18+F867*Scorecard!$C$19+G867*Scorecard!$C$20+H867*Scorecard!$C$21+I867*Scorecard!$C$22+J867*Scorecard!$C$23</f>
        <v>3.96132366455657</v>
      </c>
      <c r="C867" s="38" t="n">
        <f aca="false">E867*Scorecard!$D$18+F867*Scorecard!$D$19+G867*Scorecard!$D$20+H867*Scorecard!$D$21+I867*Scorecard!$D$22+J867*Scorecard!$D$23</f>
        <v>3.07003387000343</v>
      </c>
      <c r="D867" s="0" t="str">
        <f aca="false">IF(AND(B867&gt;=C867,B867&gt;=K867),"A. Distribution",IF(C867&gt;=K867,"B. Manufacturing","C. Prof. services"))</f>
        <v>A. Distribution</v>
      </c>
      <c r="E867" s="39" t="n">
        <v>0.450827363157333</v>
      </c>
      <c r="F867" s="39" t="n">
        <v>0.106118381949223</v>
      </c>
      <c r="G867" s="39" t="n">
        <v>0.133730843133758</v>
      </c>
      <c r="H867" s="39" t="n">
        <v>0.224179152109166</v>
      </c>
      <c r="I867" s="39" t="n">
        <v>0.0429223553730908</v>
      </c>
      <c r="J867" s="39" t="n">
        <v>0.04222190427743</v>
      </c>
      <c r="K867" s="38" t="n">
        <f aca="false">E867*Scorecard!$E$18+F867*Scorecard!$E$19+G867*Scorecard!$E$20+H867*Scorecard!$E$21+I867*Scorecard!$E$22+J867*Scorecard!$E$23</f>
        <v>3.52397917187022</v>
      </c>
      <c r="M867" s="0" t="str">
        <f aca="false">IF(AND(T867&gt;=U867,T867&gt;=V867),"A. Distribution",IF(U867&gt;=V867,"B. Manufacturing","C. Prof. services"))</f>
        <v>A. Distribution</v>
      </c>
      <c r="N867" s="39" t="n">
        <v>0.22190568603131</v>
      </c>
      <c r="O867" s="39" t="n">
        <v>0.169286779737458</v>
      </c>
      <c r="P867" s="39" t="n">
        <v>0.121524205642693</v>
      </c>
      <c r="Q867" s="39" t="n">
        <v>0.193596712819651</v>
      </c>
      <c r="R867" s="39" t="n">
        <v>0.0911156241190398</v>
      </c>
      <c r="S867" s="39" t="n">
        <v>0.202570991649848</v>
      </c>
      <c r="T867" s="38" t="n">
        <f aca="false">N867*Scorecard!$C$18+O867*Scorecard!$C$19+P867*Scorecard!$C$20+Q867*Scorecard!$C$21+R867*Scorecard!$C$22+S867*Scorecard!$C$23</f>
        <v>3.72546854584191</v>
      </c>
      <c r="U867" s="38" t="n">
        <f aca="false">N867*Scorecard!$D$18+O867*Scorecard!$D$19+P867*Scorecard!$D$20+Q867*Scorecard!$D$21+R867*Scorecard!$D$22+S867*Scorecard!$D$23</f>
        <v>2.61546125073059</v>
      </c>
      <c r="V867" s="38" t="n">
        <f aca="false">N867*Scorecard!$E$18+O867*Scorecard!$E$19+P867*Scorecard!$E$20+Q867*Scorecard!$E$21+R867*Scorecard!$E$22+S867*Scorecard!$E$23</f>
        <v>3.57278096547428</v>
      </c>
    </row>
    <row r="868" customFormat="false" ht="15" hidden="false" customHeight="false" outlineLevel="0" collapsed="false">
      <c r="A868" s="0" t="n">
        <v>863</v>
      </c>
      <c r="B868" s="38" t="n">
        <f aca="false">E868*Scorecard!$C$18+F868*Scorecard!$C$19+G868*Scorecard!$C$20+H868*Scorecard!$C$21+I868*Scorecard!$C$22+J868*Scorecard!$C$23</f>
        <v>3.81561280632096</v>
      </c>
      <c r="C868" s="38" t="n">
        <f aca="false">E868*Scorecard!$D$18+F868*Scorecard!$D$19+G868*Scorecard!$D$20+H868*Scorecard!$D$21+I868*Scorecard!$D$22+J868*Scorecard!$D$23</f>
        <v>2.924608722756</v>
      </c>
      <c r="D868" s="0" t="str">
        <f aca="false">IF(AND(B868&gt;=C868,B868&gt;=K868),"A. Distribution",IF(C868&gt;=K868,"B. Manufacturing","C. Prof. services"))</f>
        <v>A. Distribution</v>
      </c>
      <c r="E868" s="39" t="n">
        <v>0.381864813808809</v>
      </c>
      <c r="F868" s="39" t="n">
        <v>0.126989010760753</v>
      </c>
      <c r="G868" s="39" t="n">
        <v>0.15723602759118</v>
      </c>
      <c r="H868" s="39" t="n">
        <v>0.109516624925693</v>
      </c>
      <c r="I868" s="39" t="n">
        <v>0.0899350075855415</v>
      </c>
      <c r="J868" s="39" t="n">
        <v>0.134458515328023</v>
      </c>
      <c r="K868" s="38" t="n">
        <f aca="false">E868*Scorecard!$E$18+F868*Scorecard!$E$19+G868*Scorecard!$E$20+H868*Scorecard!$E$21+I868*Scorecard!$E$22+J868*Scorecard!$E$23</f>
        <v>3.53877697715219</v>
      </c>
      <c r="M868" s="0" t="str">
        <f aca="false">IF(AND(T868&gt;=U868,T868&gt;=V868),"A. Distribution",IF(U868&gt;=V868,"B. Manufacturing","C. Prof. services"))</f>
        <v>A. Distribution</v>
      </c>
      <c r="N868" s="39" t="n">
        <v>0.145105575730123</v>
      </c>
      <c r="O868" s="39" t="n">
        <v>0.197941123744153</v>
      </c>
      <c r="P868" s="39" t="n">
        <v>0.223270092291302</v>
      </c>
      <c r="Q868" s="39" t="n">
        <v>0.158693160843203</v>
      </c>
      <c r="R868" s="39" t="n">
        <v>0.212221813449402</v>
      </c>
      <c r="S868" s="39" t="n">
        <v>0.0627682339418184</v>
      </c>
      <c r="T868" s="38" t="n">
        <f aca="false">N868*Scorecard!$C$18+O868*Scorecard!$C$19+P868*Scorecard!$C$20+Q868*Scorecard!$C$21+R868*Scorecard!$C$22+S868*Scorecard!$C$23</f>
        <v>4.04365531640535</v>
      </c>
      <c r="U868" s="38" t="n">
        <f aca="false">N868*Scorecard!$D$18+O868*Scorecard!$D$19+P868*Scorecard!$D$20+Q868*Scorecard!$D$21+R868*Scorecard!$D$22+S868*Scorecard!$D$23</f>
        <v>2.69642200932406</v>
      </c>
      <c r="V868" s="38" t="n">
        <f aca="false">N868*Scorecard!$E$18+O868*Scorecard!$E$19+P868*Scorecard!$E$20+Q868*Scorecard!$E$21+R868*Scorecard!$E$22+S868*Scorecard!$E$23</f>
        <v>3.31659414318648</v>
      </c>
    </row>
    <row r="869" customFormat="false" ht="15" hidden="false" customHeight="false" outlineLevel="0" collapsed="false">
      <c r="A869" s="0" t="n">
        <v>864</v>
      </c>
      <c r="B869" s="38" t="n">
        <f aca="false">E869*Scorecard!$C$18+F869*Scorecard!$C$19+G869*Scorecard!$C$20+H869*Scorecard!$C$21+I869*Scorecard!$C$22+J869*Scorecard!$C$23</f>
        <v>3.1968786717939</v>
      </c>
      <c r="C869" s="38" t="n">
        <f aca="false">E869*Scorecard!$D$18+F869*Scorecard!$D$19+G869*Scorecard!$D$20+H869*Scorecard!$D$21+I869*Scorecard!$D$22+J869*Scorecard!$D$23</f>
        <v>2.15090129290176</v>
      </c>
      <c r="D869" s="0" t="str">
        <f aca="false">IF(AND(B869&gt;=C869,B869&gt;=K869),"A. Distribution",IF(C869&gt;=K869,"B. Manufacturing","C. Prof. services"))</f>
        <v>C. Prof. services</v>
      </c>
      <c r="E869" s="39" t="n">
        <v>0.124579444048802</v>
      </c>
      <c r="F869" s="39" t="n">
        <v>0.0484674731103252</v>
      </c>
      <c r="G869" s="39" t="n">
        <v>0.250966938662081</v>
      </c>
      <c r="H869" s="39" t="n">
        <v>0.130924409469786</v>
      </c>
      <c r="I869" s="39" t="n">
        <v>0.031321965725119</v>
      </c>
      <c r="J869" s="39" t="n">
        <v>0.413739768983888</v>
      </c>
      <c r="K869" s="38" t="n">
        <f aca="false">E869*Scorecard!$E$18+F869*Scorecard!$E$19+G869*Scorecard!$E$20+H869*Scorecard!$E$21+I869*Scorecard!$E$22+J869*Scorecard!$E$23</f>
        <v>3.99161474174077</v>
      </c>
      <c r="M869" s="0" t="str">
        <f aca="false">IF(AND(T869&gt;=U869,T869&gt;=V869),"A. Distribution",IF(U869&gt;=V869,"B. Manufacturing","C. Prof. services"))</f>
        <v>A. Distribution</v>
      </c>
      <c r="N869" s="39" t="n">
        <v>0.149785169125661</v>
      </c>
      <c r="O869" s="39" t="n">
        <v>0.189155553728302</v>
      </c>
      <c r="P869" s="39" t="n">
        <v>0.27048918909253</v>
      </c>
      <c r="Q869" s="39" t="n">
        <v>0.159671570177771</v>
      </c>
      <c r="R869" s="39" t="n">
        <v>0.173898879770399</v>
      </c>
      <c r="S869" s="39" t="n">
        <v>0.0569996381053367</v>
      </c>
      <c r="T869" s="38" t="n">
        <f aca="false">N869*Scorecard!$C$18+O869*Scorecard!$C$19+P869*Scorecard!$C$20+Q869*Scorecard!$C$21+R869*Scorecard!$C$22+S869*Scorecard!$C$23</f>
        <v>4.04592580443524</v>
      </c>
      <c r="U869" s="38" t="n">
        <f aca="false">N869*Scorecard!$D$18+O869*Scorecard!$D$19+P869*Scorecard!$D$20+Q869*Scorecard!$D$21+R869*Scorecard!$D$22+S869*Scorecard!$D$23</f>
        <v>2.65330988658127</v>
      </c>
      <c r="V869" s="38" t="n">
        <f aca="false">N869*Scorecard!$E$18+O869*Scorecard!$E$19+P869*Scorecard!$E$20+Q869*Scorecard!$E$21+R869*Scorecard!$E$22+S869*Scorecard!$E$23</f>
        <v>3.38542529720606</v>
      </c>
    </row>
    <row r="870" customFormat="false" ht="15" hidden="false" customHeight="false" outlineLevel="0" collapsed="false">
      <c r="A870" s="0" t="n">
        <v>865</v>
      </c>
      <c r="B870" s="38" t="n">
        <f aca="false">E870*Scorecard!$C$18+F870*Scorecard!$C$19+G870*Scorecard!$C$20+H870*Scorecard!$C$21+I870*Scorecard!$C$22+J870*Scorecard!$C$23</f>
        <v>3.41337151112811</v>
      </c>
      <c r="C870" s="38" t="n">
        <f aca="false">E870*Scorecard!$D$18+F870*Scorecard!$D$19+G870*Scorecard!$D$20+H870*Scorecard!$D$21+I870*Scorecard!$D$22+J870*Scorecard!$D$23</f>
        <v>2.54977516857605</v>
      </c>
      <c r="D870" s="0" t="str">
        <f aca="false">IF(AND(B870&gt;=C870,B870&gt;=K870),"A. Distribution",IF(C870&gt;=K870,"B. Manufacturing","C. Prof. services"))</f>
        <v>C. Prof. services</v>
      </c>
      <c r="E870" s="39" t="n">
        <v>0.237128377175612</v>
      </c>
      <c r="F870" s="39" t="n">
        <v>0.0557774482167289</v>
      </c>
      <c r="G870" s="39" t="n">
        <v>0.125240117478081</v>
      </c>
      <c r="H870" s="39" t="n">
        <v>0.173987618119014</v>
      </c>
      <c r="I870" s="39" t="n">
        <v>0.105556240399251</v>
      </c>
      <c r="J870" s="39" t="n">
        <v>0.302310198611312</v>
      </c>
      <c r="K870" s="38" t="n">
        <f aca="false">E870*Scorecard!$E$18+F870*Scorecard!$E$19+G870*Scorecard!$E$20+H870*Scorecard!$E$21+I870*Scorecard!$E$22+J870*Scorecard!$E$23</f>
        <v>3.73307581415307</v>
      </c>
      <c r="M870" s="0" t="str">
        <f aca="false">IF(AND(T870&gt;=U870,T870&gt;=V870),"A. Distribution",IF(U870&gt;=V870,"B. Manufacturing","C. Prof. services"))</f>
        <v>A. Distribution</v>
      </c>
      <c r="N870" s="39" t="n">
        <v>0.204513577095479</v>
      </c>
      <c r="O870" s="39" t="n">
        <v>0.29642012016234</v>
      </c>
      <c r="P870" s="39" t="n">
        <v>0.171153362707785</v>
      </c>
      <c r="Q870" s="39" t="n">
        <v>0.154422910100594</v>
      </c>
      <c r="R870" s="39" t="n">
        <v>0.0525535439393642</v>
      </c>
      <c r="S870" s="39" t="n">
        <v>0.120936485994438</v>
      </c>
      <c r="T870" s="38" t="n">
        <f aca="false">N870*Scorecard!$C$18+O870*Scorecard!$C$19+P870*Scorecard!$C$20+Q870*Scorecard!$C$21+R870*Scorecard!$C$22+S870*Scorecard!$C$23</f>
        <v>4.02148825409001</v>
      </c>
      <c r="U870" s="38" t="n">
        <f aca="false">N870*Scorecard!$D$18+O870*Scorecard!$D$19+P870*Scorecard!$D$20+Q870*Scorecard!$D$21+R870*Scorecard!$D$22+S870*Scorecard!$D$23</f>
        <v>2.62558207321764</v>
      </c>
      <c r="V870" s="38" t="n">
        <f aca="false">N870*Scorecard!$E$18+O870*Scorecard!$E$19+P870*Scorecard!$E$20+Q870*Scorecard!$E$21+R870*Scorecard!$E$22+S870*Scorecard!$E$23</f>
        <v>3.465766497797</v>
      </c>
    </row>
    <row r="871" customFormat="false" ht="15" hidden="false" customHeight="false" outlineLevel="0" collapsed="false">
      <c r="A871" s="0" t="n">
        <v>866</v>
      </c>
      <c r="B871" s="38" t="n">
        <f aca="false">E871*Scorecard!$C$18+F871*Scorecard!$C$19+G871*Scorecard!$C$20+H871*Scorecard!$C$21+I871*Scorecard!$C$22+J871*Scorecard!$C$23</f>
        <v>3.94847148154938</v>
      </c>
      <c r="C871" s="38" t="n">
        <f aca="false">E871*Scorecard!$D$18+F871*Scorecard!$D$19+G871*Scorecard!$D$20+H871*Scorecard!$D$21+I871*Scorecard!$D$22+J871*Scorecard!$D$23</f>
        <v>2.5513068092294</v>
      </c>
      <c r="D871" s="0" t="str">
        <f aca="false">IF(AND(B871&gt;=C871,B871&gt;=K871),"A. Distribution",IF(C871&gt;=K871,"B. Manufacturing","C. Prof. services"))</f>
        <v>A. Distribution</v>
      </c>
      <c r="E871" s="39" t="n">
        <v>0.183287330481222</v>
      </c>
      <c r="F871" s="39" t="n">
        <v>0.0980010514030343</v>
      </c>
      <c r="G871" s="39" t="n">
        <v>0.220071714389721</v>
      </c>
      <c r="H871" s="39" t="n">
        <v>0.43801749045614</v>
      </c>
      <c r="I871" s="39" t="n">
        <v>0.0168137231990309</v>
      </c>
      <c r="J871" s="39" t="n">
        <v>0.0438086900708528</v>
      </c>
      <c r="K871" s="38" t="n">
        <f aca="false">E871*Scorecard!$E$18+F871*Scorecard!$E$19+G871*Scorecard!$E$20+H871*Scorecard!$E$21+I871*Scorecard!$E$22+J871*Scorecard!$E$23</f>
        <v>3.64182009370669</v>
      </c>
      <c r="M871" s="0" t="str">
        <f aca="false">IF(AND(T871&gt;=U871,T871&gt;=V871),"A. Distribution",IF(U871&gt;=V871,"B. Manufacturing","C. Prof. services"))</f>
        <v>A. Distribution</v>
      </c>
      <c r="N871" s="39" t="n">
        <v>0.226624242333772</v>
      </c>
      <c r="O871" s="39" t="n">
        <v>0.264169211530551</v>
      </c>
      <c r="P871" s="39" t="n">
        <v>0.181476762933452</v>
      </c>
      <c r="Q871" s="39" t="n">
        <v>0.0540830960933438</v>
      </c>
      <c r="R871" s="39" t="n">
        <v>0.212843362372908</v>
      </c>
      <c r="S871" s="39" t="n">
        <v>0.0608033247359739</v>
      </c>
      <c r="T871" s="38" t="n">
        <f aca="false">N871*Scorecard!$C$18+O871*Scorecard!$C$19+P871*Scorecard!$C$20+Q871*Scorecard!$C$21+R871*Scorecard!$C$22+S871*Scorecard!$C$23</f>
        <v>4.11854014787879</v>
      </c>
      <c r="U871" s="38" t="n">
        <f aca="false">N871*Scorecard!$D$18+O871*Scorecard!$D$19+P871*Scorecard!$D$20+Q871*Scorecard!$D$21+R871*Scorecard!$D$22+S871*Scorecard!$D$23</f>
        <v>2.86768653471073</v>
      </c>
      <c r="V871" s="38" t="n">
        <f aca="false">N871*Scorecard!$E$18+O871*Scorecard!$E$19+P871*Scorecard!$E$20+Q871*Scorecard!$E$21+R871*Scorecard!$E$22+S871*Scorecard!$E$23</f>
        <v>3.22886158909838</v>
      </c>
    </row>
    <row r="872" customFormat="false" ht="15" hidden="false" customHeight="false" outlineLevel="0" collapsed="false">
      <c r="A872" s="0" t="n">
        <v>867</v>
      </c>
      <c r="B872" s="38" t="n">
        <f aca="false">E872*Scorecard!$C$18+F872*Scorecard!$C$19+G872*Scorecard!$C$20+H872*Scorecard!$C$21+I872*Scorecard!$C$22+J872*Scorecard!$C$23</f>
        <v>4.07521066773297</v>
      </c>
      <c r="C872" s="38" t="n">
        <f aca="false">E872*Scorecard!$D$18+F872*Scorecard!$D$19+G872*Scorecard!$D$20+H872*Scorecard!$D$21+I872*Scorecard!$D$22+J872*Scorecard!$D$23</f>
        <v>3.08998910629372</v>
      </c>
      <c r="D872" s="0" t="str">
        <f aca="false">IF(AND(B872&gt;=C872,B872&gt;=K872),"A. Distribution",IF(C872&gt;=K872,"B. Manufacturing","C. Prof. services"))</f>
        <v>A. Distribution</v>
      </c>
      <c r="E872" s="39" t="n">
        <v>0.140683442270662</v>
      </c>
      <c r="F872" s="39" t="n">
        <v>0.186210669833922</v>
      </c>
      <c r="G872" s="39" t="n">
        <v>0.053749165918358</v>
      </c>
      <c r="H872" s="39" t="n">
        <v>0.0294095838190219</v>
      </c>
      <c r="I872" s="39" t="n">
        <v>0.541679096780861</v>
      </c>
      <c r="J872" s="39" t="n">
        <v>0.0482680413771762</v>
      </c>
      <c r="K872" s="38" t="n">
        <f aca="false">E872*Scorecard!$E$18+F872*Scorecard!$E$19+G872*Scorecard!$E$20+H872*Scorecard!$E$21+I872*Scorecard!$E$22+J872*Scorecard!$E$23</f>
        <v>2.81875698697901</v>
      </c>
      <c r="M872" s="0" t="str">
        <f aca="false">IF(AND(T872&gt;=U872,T872&gt;=V872),"A. Distribution",IF(U872&gt;=V872,"B. Manufacturing","C. Prof. services"))</f>
        <v>A. Distribution</v>
      </c>
      <c r="N872" s="39" t="n">
        <v>0.0958790181935648</v>
      </c>
      <c r="O872" s="39" t="n">
        <v>0.205264500447118</v>
      </c>
      <c r="P872" s="39" t="n">
        <v>0.36698348504418</v>
      </c>
      <c r="Q872" s="39" t="n">
        <v>0.0906568354767596</v>
      </c>
      <c r="R872" s="39" t="n">
        <v>0.100173834247018</v>
      </c>
      <c r="S872" s="39" t="n">
        <v>0.14104232659136</v>
      </c>
      <c r="T872" s="38" t="n">
        <f aca="false">N872*Scorecard!$C$18+O872*Scorecard!$C$19+P872*Scorecard!$C$20+Q872*Scorecard!$C$21+R872*Scorecard!$C$22+S872*Scorecard!$C$23</f>
        <v>3.90571370318525</v>
      </c>
      <c r="U872" s="38" t="n">
        <f aca="false">N872*Scorecard!$D$18+O872*Scorecard!$D$19+P872*Scorecard!$D$20+Q872*Scorecard!$D$21+R872*Scorecard!$D$22+S872*Scorecard!$D$23</f>
        <v>2.39228489066737</v>
      </c>
      <c r="V872" s="38" t="n">
        <f aca="false">N872*Scorecard!$E$18+O872*Scorecard!$E$19+P872*Scorecard!$E$20+Q872*Scorecard!$E$21+R872*Scorecard!$E$22+S872*Scorecard!$E$23</f>
        <v>3.58059337479838</v>
      </c>
    </row>
    <row r="873" customFormat="false" ht="15" hidden="false" customHeight="false" outlineLevel="0" collapsed="false">
      <c r="A873" s="0" t="n">
        <v>868</v>
      </c>
      <c r="B873" s="38" t="n">
        <f aca="false">E873*Scorecard!$C$18+F873*Scorecard!$C$19+G873*Scorecard!$C$20+H873*Scorecard!$C$21+I873*Scorecard!$C$22+J873*Scorecard!$C$23</f>
        <v>4.28115675309271</v>
      </c>
      <c r="C873" s="38" t="n">
        <f aca="false">E873*Scorecard!$D$18+F873*Scorecard!$D$19+G873*Scorecard!$D$20+H873*Scorecard!$D$21+I873*Scorecard!$D$22+J873*Scorecard!$D$23</f>
        <v>2.65359352552049</v>
      </c>
      <c r="D873" s="0" t="str">
        <f aca="false">IF(AND(B873&gt;=C873,B873&gt;=K873),"A. Distribution",IF(C873&gt;=K873,"B. Manufacturing","C. Prof. services"))</f>
        <v>A. Distribution</v>
      </c>
      <c r="E873" s="39" t="n">
        <v>0.0493043578128472</v>
      </c>
      <c r="F873" s="39" t="n">
        <v>0.31778687916573</v>
      </c>
      <c r="G873" s="39" t="n">
        <v>0.290420851953393</v>
      </c>
      <c r="H873" s="39" t="n">
        <v>0.0437520399214188</v>
      </c>
      <c r="I873" s="39" t="n">
        <v>0.284757205961225</v>
      </c>
      <c r="J873" s="39" t="n">
        <v>0.0139786651853856</v>
      </c>
      <c r="K873" s="38" t="n">
        <f aca="false">E873*Scorecard!$E$18+F873*Scorecard!$E$19+G873*Scorecard!$E$20+H873*Scorecard!$E$21+I873*Scorecard!$E$22+J873*Scorecard!$E$23</f>
        <v>3.11353390861634</v>
      </c>
      <c r="M873" s="0" t="str">
        <f aca="false">IF(AND(T873&gt;=U873,T873&gt;=V873),"A. Distribution",IF(U873&gt;=V873,"B. Manufacturing","C. Prof. services"))</f>
        <v>A. Distribution</v>
      </c>
      <c r="N873" s="39" t="n">
        <v>0.19092558991897</v>
      </c>
      <c r="O873" s="39" t="n">
        <v>0.279845947331585</v>
      </c>
      <c r="P873" s="39" t="n">
        <v>0.186616622851988</v>
      </c>
      <c r="Q873" s="39" t="n">
        <v>0.123824183495217</v>
      </c>
      <c r="R873" s="39" t="n">
        <v>0.100913159934697</v>
      </c>
      <c r="S873" s="39" t="n">
        <v>0.117874496467543</v>
      </c>
      <c r="T873" s="38" t="n">
        <f aca="false">N873*Scorecard!$C$18+O873*Scorecard!$C$19+P873*Scorecard!$C$20+Q873*Scorecard!$C$21+R873*Scorecard!$C$22+S873*Scorecard!$C$23</f>
        <v>4.01542602668654</v>
      </c>
      <c r="U873" s="38" t="n">
        <f aca="false">N873*Scorecard!$D$18+O873*Scorecard!$D$19+P873*Scorecard!$D$20+Q873*Scorecard!$D$21+R873*Scorecard!$D$22+S873*Scorecard!$D$23</f>
        <v>2.64637352366752</v>
      </c>
      <c r="V873" s="38" t="n">
        <f aca="false">N873*Scorecard!$E$18+O873*Scorecard!$E$19+P873*Scorecard!$E$20+Q873*Scorecard!$E$21+R873*Scorecard!$E$22+S873*Scorecard!$E$23</f>
        <v>3.4202496936013</v>
      </c>
    </row>
    <row r="874" customFormat="false" ht="15" hidden="false" customHeight="false" outlineLevel="0" collapsed="false">
      <c r="A874" s="0" t="n">
        <v>869</v>
      </c>
      <c r="B874" s="38" t="n">
        <f aca="false">E874*Scorecard!$C$18+F874*Scorecard!$C$19+G874*Scorecard!$C$20+H874*Scorecard!$C$21+I874*Scorecard!$C$22+J874*Scorecard!$C$23</f>
        <v>3.37262111971256</v>
      </c>
      <c r="C874" s="38" t="n">
        <f aca="false">E874*Scorecard!$D$18+F874*Scorecard!$D$19+G874*Scorecard!$D$20+H874*Scorecard!$D$21+I874*Scorecard!$D$22+J874*Scorecard!$D$23</f>
        <v>2.58363835850862</v>
      </c>
      <c r="D874" s="0" t="str">
        <f aca="false">IF(AND(B874&gt;=C874,B874&gt;=K874),"A. Distribution",IF(C874&gt;=K874,"B. Manufacturing","C. Prof. services"))</f>
        <v>C. Prof. services</v>
      </c>
      <c r="E874" s="39" t="n">
        <v>0.225496377291933</v>
      </c>
      <c r="F874" s="39" t="n">
        <v>0.0758730043078106</v>
      </c>
      <c r="G874" s="39" t="n">
        <v>0.0998576801848816</v>
      </c>
      <c r="H874" s="39" t="n">
        <v>0.0882106670652801</v>
      </c>
      <c r="I874" s="39" t="n">
        <v>0.172740892519933</v>
      </c>
      <c r="J874" s="39" t="n">
        <v>0.337821378630161</v>
      </c>
      <c r="K874" s="38" t="n">
        <f aca="false">E874*Scorecard!$E$18+F874*Scorecard!$E$19+G874*Scorecard!$E$20+H874*Scorecard!$E$21+I874*Scorecard!$E$22+J874*Scorecard!$E$23</f>
        <v>3.64870371959509</v>
      </c>
      <c r="M874" s="0" t="str">
        <f aca="false">IF(AND(T874&gt;=U874,T874&gt;=V874),"A. Distribution",IF(U874&gt;=V874,"B. Manufacturing","C. Prof. services"))</f>
        <v>A. Distribution</v>
      </c>
      <c r="N874" s="39" t="n">
        <v>0.10416522368739</v>
      </c>
      <c r="O874" s="39" t="n">
        <v>0.120958804151994</v>
      </c>
      <c r="P874" s="39" t="n">
        <v>0.231487164842508</v>
      </c>
      <c r="Q874" s="39" t="n">
        <v>0.275664799043439</v>
      </c>
      <c r="R874" s="39" t="n">
        <v>0.134720628206498</v>
      </c>
      <c r="S874" s="39" t="n">
        <v>0.133003380068171</v>
      </c>
      <c r="T874" s="38" t="n">
        <f aca="false">N874*Scorecard!$C$18+O874*Scorecard!$C$19+P874*Scorecard!$C$20+Q874*Scorecard!$C$21+R874*Scorecard!$C$22+S874*Scorecard!$C$23</f>
        <v>3.81688591060889</v>
      </c>
      <c r="U874" s="38" t="n">
        <f aca="false">N874*Scorecard!$D$18+O874*Scorecard!$D$19+P874*Scorecard!$D$20+Q874*Scorecard!$D$21+R874*Scorecard!$D$22+S874*Scorecard!$D$23</f>
        <v>2.46853712163842</v>
      </c>
      <c r="V874" s="38" t="n">
        <f aca="false">N874*Scorecard!$E$18+O874*Scorecard!$E$19+P874*Scorecard!$E$20+Q874*Scorecard!$E$21+R874*Scorecard!$E$22+S874*Scorecard!$E$23</f>
        <v>3.55512057959711</v>
      </c>
    </row>
    <row r="875" customFormat="false" ht="15" hidden="false" customHeight="false" outlineLevel="0" collapsed="false">
      <c r="A875" s="0" t="n">
        <v>870</v>
      </c>
      <c r="B875" s="38" t="n">
        <f aca="false">E875*Scorecard!$C$18+F875*Scorecard!$C$19+G875*Scorecard!$C$20+H875*Scorecard!$C$21+I875*Scorecard!$C$22+J875*Scorecard!$C$23</f>
        <v>3.59003294578892</v>
      </c>
      <c r="C875" s="38" t="n">
        <f aca="false">E875*Scorecard!$D$18+F875*Scorecard!$D$19+G875*Scorecard!$D$20+H875*Scorecard!$D$21+I875*Scorecard!$D$22+J875*Scorecard!$D$23</f>
        <v>2.60728830108847</v>
      </c>
      <c r="D875" s="0" t="str">
        <f aca="false">IF(AND(B875&gt;=C875,B875&gt;=K875),"A. Distribution",IF(C875&gt;=K875,"B. Manufacturing","C. Prof. services"))</f>
        <v>C. Prof. services</v>
      </c>
      <c r="E875" s="39" t="n">
        <v>0.201371709248222</v>
      </c>
      <c r="F875" s="39" t="n">
        <v>0.0676348567483435</v>
      </c>
      <c r="G875" s="39" t="n">
        <v>0.03703175200243</v>
      </c>
      <c r="H875" s="39" t="n">
        <v>0.359001462002561</v>
      </c>
      <c r="I875" s="39" t="n">
        <v>0.123584315854373</v>
      </c>
      <c r="J875" s="39" t="n">
        <v>0.211375904144071</v>
      </c>
      <c r="K875" s="38" t="n">
        <f aca="false">E875*Scorecard!$E$18+F875*Scorecard!$E$19+G875*Scorecard!$E$20+H875*Scorecard!$E$21+I875*Scorecard!$E$22+J875*Scorecard!$E$23</f>
        <v>3.60075149389941</v>
      </c>
      <c r="M875" s="0" t="str">
        <f aca="false">IF(AND(T875&gt;=U875,T875&gt;=V875),"A. Distribution",IF(U875&gt;=V875,"B. Manufacturing","C. Prof. services"))</f>
        <v>A. Distribution</v>
      </c>
      <c r="N875" s="39" t="n">
        <v>0.183881939262686</v>
      </c>
      <c r="O875" s="39" t="n">
        <v>0.194345297373285</v>
      </c>
      <c r="P875" s="39" t="n">
        <v>0.234236474828541</v>
      </c>
      <c r="Q875" s="39" t="n">
        <v>0.11067838309735</v>
      </c>
      <c r="R875" s="39" t="n">
        <v>0.126771522404492</v>
      </c>
      <c r="S875" s="39" t="n">
        <v>0.150086383033646</v>
      </c>
      <c r="T875" s="38" t="n">
        <f aca="false">N875*Scorecard!$C$18+O875*Scorecard!$C$19+P875*Scorecard!$C$20+Q875*Scorecard!$C$21+R875*Scorecard!$C$22+S875*Scorecard!$C$23</f>
        <v>3.86748358327613</v>
      </c>
      <c r="U875" s="38" t="n">
        <f aca="false">N875*Scorecard!$D$18+O875*Scorecard!$D$19+P875*Scorecard!$D$20+Q875*Scorecard!$D$21+R875*Scorecard!$D$22+S875*Scorecard!$D$23</f>
        <v>2.60135085681218</v>
      </c>
      <c r="V875" s="38" t="n">
        <f aca="false">N875*Scorecard!$E$18+O875*Scorecard!$E$19+P875*Scorecard!$E$20+Q875*Scorecard!$E$21+R875*Scorecard!$E$22+S875*Scorecard!$E$23</f>
        <v>3.50328802428228</v>
      </c>
    </row>
    <row r="876" customFormat="false" ht="15" hidden="false" customHeight="false" outlineLevel="0" collapsed="false">
      <c r="A876" s="0" t="n">
        <v>871</v>
      </c>
      <c r="B876" s="38" t="n">
        <f aca="false">E876*Scorecard!$C$18+F876*Scorecard!$C$19+G876*Scorecard!$C$20+H876*Scorecard!$C$21+I876*Scorecard!$C$22+J876*Scorecard!$C$23</f>
        <v>2.78416476442279</v>
      </c>
      <c r="C876" s="38" t="n">
        <f aca="false">E876*Scorecard!$D$18+F876*Scorecard!$D$19+G876*Scorecard!$D$20+H876*Scorecard!$D$21+I876*Scorecard!$D$22+J876*Scorecard!$D$23</f>
        <v>2.04871019490836</v>
      </c>
      <c r="D876" s="0" t="str">
        <f aca="false">IF(AND(B876&gt;=C876,B876&gt;=K876),"A. Distribution",IF(C876&gt;=K876,"B. Manufacturing","C. Prof. services"))</f>
        <v>C. Prof. services</v>
      </c>
      <c r="E876" s="39" t="n">
        <v>0.138838101758759</v>
      </c>
      <c r="F876" s="39" t="n">
        <v>0.0797475748884796</v>
      </c>
      <c r="G876" s="39" t="n">
        <v>0.0531882961505969</v>
      </c>
      <c r="H876" s="39" t="n">
        <v>0.0721905763910858</v>
      </c>
      <c r="I876" s="39" t="n">
        <v>0.0177067655620436</v>
      </c>
      <c r="J876" s="39" t="n">
        <v>0.638328685249035</v>
      </c>
      <c r="K876" s="38" t="n">
        <f aca="false">E876*Scorecard!$E$18+F876*Scorecard!$E$19+G876*Scorecard!$E$20+H876*Scorecard!$E$21+I876*Scorecard!$E$22+J876*Scorecard!$E$23</f>
        <v>4.10128994257892</v>
      </c>
      <c r="M876" s="0" t="str">
        <f aca="false">IF(AND(T876&gt;=U876,T876&gt;=V876),"A. Distribution",IF(U876&gt;=V876,"B. Manufacturing","C. Prof. services"))</f>
        <v>A. Distribution</v>
      </c>
      <c r="N876" s="39" t="n">
        <v>0.230151563902733</v>
      </c>
      <c r="O876" s="39" t="n">
        <v>0.214378460243909</v>
      </c>
      <c r="P876" s="39" t="n">
        <v>0.210029366837332</v>
      </c>
      <c r="Q876" s="39" t="n">
        <v>0.0969362978914299</v>
      </c>
      <c r="R876" s="39" t="n">
        <v>0.180789112540437</v>
      </c>
      <c r="S876" s="39" t="n">
        <v>0.0677151985841597</v>
      </c>
      <c r="T876" s="38" t="n">
        <f aca="false">N876*Scorecard!$C$18+O876*Scorecard!$C$19+P876*Scorecard!$C$20+Q876*Scorecard!$C$21+R876*Scorecard!$C$22+S876*Scorecard!$C$23</f>
        <v>4.05002499399357</v>
      </c>
      <c r="U876" s="38" t="n">
        <f aca="false">N876*Scorecard!$D$18+O876*Scorecard!$D$19+P876*Scorecard!$D$20+Q876*Scorecard!$D$21+R876*Scorecard!$D$22+S876*Scorecard!$D$23</f>
        <v>2.81477426410336</v>
      </c>
      <c r="V876" s="38" t="n">
        <f aca="false">N876*Scorecard!$E$18+O876*Scorecard!$E$19+P876*Scorecard!$E$20+Q876*Scorecard!$E$21+R876*Scorecard!$E$22+S876*Scorecard!$E$23</f>
        <v>3.32948320116179</v>
      </c>
    </row>
    <row r="877" customFormat="false" ht="15" hidden="false" customHeight="false" outlineLevel="0" collapsed="false">
      <c r="A877" s="0" t="n">
        <v>872</v>
      </c>
      <c r="B877" s="38" t="n">
        <f aca="false">E877*Scorecard!$C$18+F877*Scorecard!$C$19+G877*Scorecard!$C$20+H877*Scorecard!$C$21+I877*Scorecard!$C$22+J877*Scorecard!$C$23</f>
        <v>4.1332620138877</v>
      </c>
      <c r="C877" s="38" t="n">
        <f aca="false">E877*Scorecard!$D$18+F877*Scorecard!$D$19+G877*Scorecard!$D$20+H877*Scorecard!$D$21+I877*Scorecard!$D$22+J877*Scorecard!$D$23</f>
        <v>2.70116214746556</v>
      </c>
      <c r="D877" s="0" t="str">
        <f aca="false">IF(AND(B877&gt;=C877,B877&gt;=K877),"A. Distribution",IF(C877&gt;=K877,"B. Manufacturing","C. Prof. services"))</f>
        <v>A. Distribution</v>
      </c>
      <c r="E877" s="39" t="n">
        <v>0.0420711505824182</v>
      </c>
      <c r="F877" s="39" t="n">
        <v>0.178231252202476</v>
      </c>
      <c r="G877" s="39" t="n">
        <v>0.0995314216074225</v>
      </c>
      <c r="H877" s="39" t="n">
        <v>0.368404931512337</v>
      </c>
      <c r="I877" s="39" t="n">
        <v>0.310813427147956</v>
      </c>
      <c r="J877" s="39" t="n">
        <v>0.000947816947390602</v>
      </c>
      <c r="K877" s="38" t="n">
        <f aca="false">E877*Scorecard!$E$18+F877*Scorecard!$E$19+G877*Scorecard!$E$20+H877*Scorecard!$E$21+I877*Scorecard!$E$22+J877*Scorecard!$E$23</f>
        <v>3.12784839345925</v>
      </c>
      <c r="M877" s="0" t="str">
        <f aca="false">IF(AND(T877&gt;=U877,T877&gt;=V877),"A. Distribution",IF(U877&gt;=V877,"B. Manufacturing","C. Prof. services"))</f>
        <v>A. Distribution</v>
      </c>
      <c r="N877" s="39" t="n">
        <v>0.111342663995869</v>
      </c>
      <c r="O877" s="39" t="n">
        <v>0.139788862911657</v>
      </c>
      <c r="P877" s="39" t="n">
        <v>0.219383558674953</v>
      </c>
      <c r="Q877" s="39" t="n">
        <v>0.229599347314067</v>
      </c>
      <c r="R877" s="39" t="n">
        <v>0.258250390283952</v>
      </c>
      <c r="S877" s="39" t="n">
        <v>0.0416351768195019</v>
      </c>
      <c r="T877" s="38" t="n">
        <f aca="false">N877*Scorecard!$C$18+O877*Scorecard!$C$19+P877*Scorecard!$C$20+Q877*Scorecard!$C$21+R877*Scorecard!$C$22+S877*Scorecard!$C$23</f>
        <v>4.0228397018086</v>
      </c>
      <c r="U877" s="38" t="n">
        <f aca="false">N877*Scorecard!$D$18+O877*Scorecard!$D$19+P877*Scorecard!$D$20+Q877*Scorecard!$D$21+R877*Scorecard!$D$22+S877*Scorecard!$D$23</f>
        <v>2.68995867098139</v>
      </c>
      <c r="V877" s="38" t="n">
        <f aca="false">N877*Scorecard!$E$18+O877*Scorecard!$E$19+P877*Scorecard!$E$20+Q877*Scorecard!$E$21+R877*Scorecard!$E$22+S877*Scorecard!$E$23</f>
        <v>3.29251780601627</v>
      </c>
    </row>
    <row r="878" customFormat="false" ht="15" hidden="false" customHeight="false" outlineLevel="0" collapsed="false">
      <c r="A878" s="0" t="n">
        <v>873</v>
      </c>
      <c r="B878" s="38" t="n">
        <f aca="false">E878*Scorecard!$C$18+F878*Scorecard!$C$19+G878*Scorecard!$C$20+H878*Scorecard!$C$21+I878*Scorecard!$C$22+J878*Scorecard!$C$23</f>
        <v>3.87015084434813</v>
      </c>
      <c r="C878" s="38" t="n">
        <f aca="false">E878*Scorecard!$D$18+F878*Scorecard!$D$19+G878*Scorecard!$D$20+H878*Scorecard!$D$21+I878*Scorecard!$D$22+J878*Scorecard!$D$23</f>
        <v>2.59228688294745</v>
      </c>
      <c r="D878" s="0" t="str">
        <f aca="false">IF(AND(B878&gt;=C878,B878&gt;=K878),"A. Distribution",IF(C878&gt;=K878,"B. Manufacturing","C. Prof. services"))</f>
        <v>A. Distribution</v>
      </c>
      <c r="E878" s="39" t="n">
        <v>0.0296904678842575</v>
      </c>
      <c r="F878" s="39" t="n">
        <v>0.129063329545134</v>
      </c>
      <c r="G878" s="39" t="n">
        <v>0.0673241128132599</v>
      </c>
      <c r="H878" s="39" t="n">
        <v>0.35328963824877</v>
      </c>
      <c r="I878" s="39" t="n">
        <v>0.31140166773709</v>
      </c>
      <c r="J878" s="39" t="n">
        <v>0.109230783771489</v>
      </c>
      <c r="K878" s="38" t="n">
        <f aca="false">E878*Scorecard!$E$18+F878*Scorecard!$E$19+G878*Scorecard!$E$20+H878*Scorecard!$E$21+I878*Scorecard!$E$22+J878*Scorecard!$E$23</f>
        <v>3.25091986737278</v>
      </c>
      <c r="M878" s="0" t="str">
        <f aca="false">IF(AND(T878&gt;=U878,T878&gt;=V878),"A. Distribution",IF(U878&gt;=V878,"B. Manufacturing","C. Prof. services"))</f>
        <v>A. Distribution</v>
      </c>
      <c r="N878" s="39" t="n">
        <v>0.182441182288424</v>
      </c>
      <c r="O878" s="39" t="n">
        <v>0.291455152523448</v>
      </c>
      <c r="P878" s="39" t="n">
        <v>0.215078231642586</v>
      </c>
      <c r="Q878" s="39" t="n">
        <v>0.116228734476936</v>
      </c>
      <c r="R878" s="39" t="n">
        <v>0.120831675858368</v>
      </c>
      <c r="S878" s="39" t="n">
        <v>0.0739650232102379</v>
      </c>
      <c r="T878" s="38" t="n">
        <f aca="false">N878*Scorecard!$C$18+O878*Scorecard!$C$19+P878*Scorecard!$C$20+Q878*Scorecard!$C$21+R878*Scorecard!$C$22+S878*Scorecard!$C$23</f>
        <v>4.11635377818147</v>
      </c>
      <c r="U878" s="38" t="n">
        <f aca="false">N878*Scorecard!$D$18+O878*Scorecard!$D$19+P878*Scorecard!$D$20+Q878*Scorecard!$D$21+R878*Scorecard!$D$22+S878*Scorecard!$D$23</f>
        <v>2.68164972672852</v>
      </c>
      <c r="V878" s="38" t="n">
        <f aca="false">N878*Scorecard!$E$18+O878*Scorecard!$E$19+P878*Scorecard!$E$20+Q878*Scorecard!$E$21+R878*Scorecard!$E$22+S878*Scorecard!$E$23</f>
        <v>3.35794540435863</v>
      </c>
    </row>
    <row r="879" customFormat="false" ht="15" hidden="false" customHeight="false" outlineLevel="0" collapsed="false">
      <c r="A879" s="0" t="n">
        <v>874</v>
      </c>
      <c r="B879" s="38" t="n">
        <f aca="false">E879*Scorecard!$C$18+F879*Scorecard!$C$19+G879*Scorecard!$C$20+H879*Scorecard!$C$21+I879*Scorecard!$C$22+J879*Scorecard!$C$23</f>
        <v>4.09092892341187</v>
      </c>
      <c r="C879" s="38" t="n">
        <f aca="false">E879*Scorecard!$D$18+F879*Scorecard!$D$19+G879*Scorecard!$D$20+H879*Scorecard!$D$21+I879*Scorecard!$D$22+J879*Scorecard!$D$23</f>
        <v>2.6903821578633</v>
      </c>
      <c r="D879" s="0" t="str">
        <f aca="false">IF(AND(B879&gt;=C879,B879&gt;=K879),"A. Distribution",IF(C879&gt;=K879,"B. Manufacturing","C. Prof. services"))</f>
        <v>A. Distribution</v>
      </c>
      <c r="E879" s="39" t="n">
        <v>0.025822990907568</v>
      </c>
      <c r="F879" s="39" t="n">
        <v>0.151373511721356</v>
      </c>
      <c r="G879" s="39" t="n">
        <v>0.18052739799537</v>
      </c>
      <c r="H879" s="39" t="n">
        <v>0.259915372557075</v>
      </c>
      <c r="I879" s="39" t="n">
        <v>0.367178071909756</v>
      </c>
      <c r="J879" s="39" t="n">
        <v>0.0151826549088751</v>
      </c>
      <c r="K879" s="38" t="n">
        <f aca="false">E879*Scorecard!$E$18+F879*Scorecard!$E$19+G879*Scorecard!$E$20+H879*Scorecard!$E$21+I879*Scorecard!$E$22+J879*Scorecard!$E$23</f>
        <v>3.11673747760437</v>
      </c>
      <c r="M879" s="0" t="str">
        <f aca="false">IF(AND(T879&gt;=U879,T879&gt;=V879),"A. Distribution",IF(U879&gt;=V879,"B. Manufacturing","C. Prof. services"))</f>
        <v>A. Distribution</v>
      </c>
      <c r="N879" s="39" t="n">
        <v>0.164625046705037</v>
      </c>
      <c r="O879" s="39" t="n">
        <v>0.301669980273934</v>
      </c>
      <c r="P879" s="39" t="n">
        <v>0.134282420318542</v>
      </c>
      <c r="Q879" s="39" t="n">
        <v>0.163878944146859</v>
      </c>
      <c r="R879" s="39" t="n">
        <v>0.0607669128705214</v>
      </c>
      <c r="S879" s="39" t="n">
        <v>0.174776695685108</v>
      </c>
      <c r="T879" s="38" t="n">
        <f aca="false">N879*Scorecard!$C$18+O879*Scorecard!$C$19+P879*Scorecard!$C$20+Q879*Scorecard!$C$21+R879*Scorecard!$C$22+S879*Scorecard!$C$23</f>
        <v>3.92124132294178</v>
      </c>
      <c r="U879" s="38" t="n">
        <f aca="false">N879*Scorecard!$D$18+O879*Scorecard!$D$19+P879*Scorecard!$D$20+Q879*Scorecard!$D$21+R879*Scorecard!$D$22+S879*Scorecard!$D$23</f>
        <v>2.53445048538586</v>
      </c>
      <c r="V879" s="38" t="n">
        <f aca="false">N879*Scorecard!$E$18+O879*Scorecard!$E$19+P879*Scorecard!$E$20+Q879*Scorecard!$E$21+R879*Scorecard!$E$22+S879*Scorecard!$E$23</f>
        <v>3.48957302821186</v>
      </c>
    </row>
    <row r="880" customFormat="false" ht="15" hidden="false" customHeight="false" outlineLevel="0" collapsed="false">
      <c r="A880" s="0" t="n">
        <v>875</v>
      </c>
      <c r="B880" s="38" t="n">
        <f aca="false">E880*Scorecard!$C$18+F880*Scorecard!$C$19+G880*Scorecard!$C$20+H880*Scorecard!$C$21+I880*Scorecard!$C$22+J880*Scorecard!$C$23</f>
        <v>3.88340253193137</v>
      </c>
      <c r="C880" s="38" t="n">
        <f aca="false">E880*Scorecard!$D$18+F880*Scorecard!$D$19+G880*Scorecard!$D$20+H880*Scorecard!$D$21+I880*Scorecard!$D$22+J880*Scorecard!$D$23</f>
        <v>3.56265394024613</v>
      </c>
      <c r="D880" s="0" t="str">
        <f aca="false">IF(AND(B880&gt;=C880,B880&gt;=K880),"A. Distribution",IF(C880&gt;=K880,"B. Manufacturing","C. Prof. services"))</f>
        <v>A. Distribution</v>
      </c>
      <c r="E880" s="39" t="n">
        <v>0.597597302305296</v>
      </c>
      <c r="F880" s="39" t="n">
        <v>0.0258622401386595</v>
      </c>
      <c r="G880" s="39" t="n">
        <v>0.0250499348463647</v>
      </c>
      <c r="H880" s="39" t="n">
        <v>0.0448076815607127</v>
      </c>
      <c r="I880" s="39" t="n">
        <v>0.261856593169811</v>
      </c>
      <c r="J880" s="39" t="n">
        <v>0.0448262479791562</v>
      </c>
      <c r="K880" s="38" t="n">
        <f aca="false">E880*Scorecard!$E$18+F880*Scorecard!$E$19+G880*Scorecard!$E$20+H880*Scorecard!$E$21+I880*Scorecard!$E$22+J880*Scorecard!$E$23</f>
        <v>3.24160639111757</v>
      </c>
      <c r="M880" s="0" t="str">
        <f aca="false">IF(AND(T880&gt;=U880,T880&gt;=V880),"A. Distribution",IF(U880&gt;=V880,"B. Manufacturing","C. Prof. services"))</f>
        <v>C. Prof. services</v>
      </c>
      <c r="N880" s="39" t="n">
        <v>0.18787237424109</v>
      </c>
      <c r="O880" s="39" t="n">
        <v>0.0912438292919903</v>
      </c>
      <c r="P880" s="39" t="n">
        <v>0.308209846059699</v>
      </c>
      <c r="Q880" s="39" t="n">
        <v>0.124133150425764</v>
      </c>
      <c r="R880" s="39" t="n">
        <v>0.0662068166087133</v>
      </c>
      <c r="S880" s="39" t="n">
        <v>0.222333983372744</v>
      </c>
      <c r="T880" s="38" t="n">
        <f aca="false">N880*Scorecard!$C$18+O880*Scorecard!$C$19+P880*Scorecard!$C$20+Q880*Scorecard!$C$21+R880*Scorecard!$C$22+S880*Scorecard!$C$23</f>
        <v>3.61811677629901</v>
      </c>
      <c r="U880" s="38" t="n">
        <f aca="false">N880*Scorecard!$D$18+O880*Scorecard!$D$19+P880*Scorecard!$D$20+Q880*Scorecard!$D$21+R880*Scorecard!$D$22+S880*Scorecard!$D$23</f>
        <v>2.44185736854181</v>
      </c>
      <c r="V880" s="38" t="n">
        <f aca="false">N880*Scorecard!$E$18+O880*Scorecard!$E$19+P880*Scorecard!$E$20+Q880*Scorecard!$E$21+R880*Scorecard!$E$22+S880*Scorecard!$E$23</f>
        <v>3.75720843054231</v>
      </c>
    </row>
    <row r="881" customFormat="false" ht="15" hidden="false" customHeight="false" outlineLevel="0" collapsed="false">
      <c r="A881" s="0" t="n">
        <v>876</v>
      </c>
      <c r="B881" s="38" t="n">
        <f aca="false">E881*Scorecard!$C$18+F881*Scorecard!$C$19+G881*Scorecard!$C$20+H881*Scorecard!$C$21+I881*Scorecard!$C$22+J881*Scorecard!$C$23</f>
        <v>3.38760352220508</v>
      </c>
      <c r="C881" s="38" t="n">
        <f aca="false">E881*Scorecard!$D$18+F881*Scorecard!$D$19+G881*Scorecard!$D$20+H881*Scorecard!$D$21+I881*Scorecard!$D$22+J881*Scorecard!$D$23</f>
        <v>2.39704954742673</v>
      </c>
      <c r="D881" s="0" t="str">
        <f aca="false">IF(AND(B881&gt;=C881,B881&gt;=K881),"A. Distribution",IF(C881&gt;=K881,"B. Manufacturing","C. Prof. services"))</f>
        <v>C. Prof. services</v>
      </c>
      <c r="E881" s="39" t="n">
        <v>0.177863725934487</v>
      </c>
      <c r="F881" s="39" t="n">
        <v>0.205415987796145</v>
      </c>
      <c r="G881" s="39" t="n">
        <v>0.0394203671576891</v>
      </c>
      <c r="H881" s="39" t="n">
        <v>0.111239684467149</v>
      </c>
      <c r="I881" s="39" t="n">
        <v>0.0702871246797051</v>
      </c>
      <c r="J881" s="39" t="n">
        <v>0.395773109964826</v>
      </c>
      <c r="K881" s="38" t="n">
        <f aca="false">E881*Scorecard!$E$18+F881*Scorecard!$E$19+G881*Scorecard!$E$20+H881*Scorecard!$E$21+I881*Scorecard!$E$22+J881*Scorecard!$E$23</f>
        <v>3.70986534868453</v>
      </c>
      <c r="M881" s="0" t="str">
        <f aca="false">IF(AND(T881&gt;=U881,T881&gt;=V881),"A. Distribution",IF(U881&gt;=V881,"B. Manufacturing","C. Prof. services"))</f>
        <v>A. Distribution</v>
      </c>
      <c r="N881" s="39" t="n">
        <v>0.193871031080544</v>
      </c>
      <c r="O881" s="39" t="n">
        <v>0.153163805256608</v>
      </c>
      <c r="P881" s="39" t="n">
        <v>0.238142072175959</v>
      </c>
      <c r="Q881" s="39" t="n">
        <v>0.085943767231232</v>
      </c>
      <c r="R881" s="39" t="n">
        <v>0.123011129598921</v>
      </c>
      <c r="S881" s="39" t="n">
        <v>0.205868194656737</v>
      </c>
      <c r="T881" s="38" t="n">
        <f aca="false">N881*Scorecard!$C$18+O881*Scorecard!$C$19+P881*Scorecard!$C$20+Q881*Scorecard!$C$21+R881*Scorecard!$C$22+S881*Scorecard!$C$23</f>
        <v>3.71660164535145</v>
      </c>
      <c r="U881" s="38" t="n">
        <f aca="false">N881*Scorecard!$D$18+O881*Scorecard!$D$19+P881*Scorecard!$D$20+Q881*Scorecard!$D$21+R881*Scorecard!$D$22+S881*Scorecard!$D$23</f>
        <v>2.55960943727568</v>
      </c>
      <c r="V881" s="38" t="n">
        <f aca="false">N881*Scorecard!$E$18+O881*Scorecard!$E$19+P881*Scorecard!$E$20+Q881*Scorecard!$E$21+R881*Scorecard!$E$22+S881*Scorecard!$E$23</f>
        <v>3.58977102503377</v>
      </c>
    </row>
    <row r="882" customFormat="false" ht="15" hidden="false" customHeight="false" outlineLevel="0" collapsed="false">
      <c r="A882" s="0" t="n">
        <v>877</v>
      </c>
      <c r="B882" s="38" t="n">
        <f aca="false">E882*Scorecard!$C$18+F882*Scorecard!$C$19+G882*Scorecard!$C$20+H882*Scorecard!$C$21+I882*Scorecard!$C$22+J882*Scorecard!$C$23</f>
        <v>2.98006631797022</v>
      </c>
      <c r="C882" s="38" t="n">
        <f aca="false">E882*Scorecard!$D$18+F882*Scorecard!$D$19+G882*Scorecard!$D$20+H882*Scorecard!$D$21+I882*Scorecard!$D$22+J882*Scorecard!$D$23</f>
        <v>2.15225548348229</v>
      </c>
      <c r="D882" s="0" t="str">
        <f aca="false">IF(AND(B882&gt;=C882,B882&gt;=K882),"A. Distribution",IF(C882&gt;=K882,"B. Manufacturing","C. Prof. services"))</f>
        <v>C. Prof. services</v>
      </c>
      <c r="E882" s="39" t="n">
        <v>0.120238433028819</v>
      </c>
      <c r="F882" s="39" t="n">
        <v>0.00102309979818744</v>
      </c>
      <c r="G882" s="39" t="n">
        <v>0.134683253006267</v>
      </c>
      <c r="H882" s="39" t="n">
        <v>0.166202855186877</v>
      </c>
      <c r="I882" s="39" t="n">
        <v>0.0811549734732816</v>
      </c>
      <c r="J882" s="39" t="n">
        <v>0.496697385506568</v>
      </c>
      <c r="K882" s="38" t="n">
        <f aca="false">E882*Scorecard!$E$18+F882*Scorecard!$E$19+G882*Scorecard!$E$20+H882*Scorecard!$E$21+I882*Scorecard!$E$22+J882*Scorecard!$E$23</f>
        <v>3.99738451610823</v>
      </c>
      <c r="M882" s="0" t="str">
        <f aca="false">IF(AND(T882&gt;=U882,T882&gt;=V882),"A. Distribution",IF(U882&gt;=V882,"B. Manufacturing","C. Prof. services"))</f>
        <v>A. Distribution</v>
      </c>
      <c r="N882" s="39" t="n">
        <v>0.324049690364846</v>
      </c>
      <c r="O882" s="39" t="n">
        <v>0.140524222447998</v>
      </c>
      <c r="P882" s="39" t="n">
        <v>0.18582392039168</v>
      </c>
      <c r="Q882" s="39" t="n">
        <v>0.207828584158815</v>
      </c>
      <c r="R882" s="39" t="n">
        <v>0.0997932313872911</v>
      </c>
      <c r="S882" s="39" t="n">
        <v>0.0419803512493698</v>
      </c>
      <c r="T882" s="38" t="n">
        <f aca="false">N882*Scorecard!$C$18+O882*Scorecard!$C$19+P882*Scorecard!$C$20+Q882*Scorecard!$C$21+R882*Scorecard!$C$22+S882*Scorecard!$C$23</f>
        <v>4.00815296449367</v>
      </c>
      <c r="U882" s="38" t="n">
        <f aca="false">N882*Scorecard!$D$18+O882*Scorecard!$D$19+P882*Scorecard!$D$20+Q882*Scorecard!$D$21+R882*Scorecard!$D$22+S882*Scorecard!$D$23</f>
        <v>2.90291785337229</v>
      </c>
      <c r="V882" s="38" t="n">
        <f aca="false">N882*Scorecard!$E$18+O882*Scorecard!$E$19+P882*Scorecard!$E$20+Q882*Scorecard!$E$21+R882*Scorecard!$E$22+S882*Scorecard!$E$23</f>
        <v>3.45667905474925</v>
      </c>
    </row>
    <row r="883" customFormat="false" ht="15" hidden="false" customHeight="false" outlineLevel="0" collapsed="false">
      <c r="A883" s="0" t="n">
        <v>878</v>
      </c>
      <c r="B883" s="38" t="n">
        <f aca="false">E883*Scorecard!$C$18+F883*Scorecard!$C$19+G883*Scorecard!$C$20+H883*Scorecard!$C$21+I883*Scorecard!$C$22+J883*Scorecard!$C$23</f>
        <v>3.21302384402915</v>
      </c>
      <c r="C883" s="38" t="n">
        <f aca="false">E883*Scorecard!$D$18+F883*Scorecard!$D$19+G883*Scorecard!$D$20+H883*Scorecard!$D$21+I883*Scorecard!$D$22+J883*Scorecard!$D$23</f>
        <v>2.5691026287849</v>
      </c>
      <c r="D883" s="0" t="str">
        <f aca="false">IF(AND(B883&gt;=C883,B883&gt;=K883),"A. Distribution",IF(C883&gt;=K883,"B. Manufacturing","C. Prof. services"))</f>
        <v>C. Prof. services</v>
      </c>
      <c r="E883" s="39" t="n">
        <v>0.326750150785276</v>
      </c>
      <c r="F883" s="39" t="n">
        <v>0.089895568176141</v>
      </c>
      <c r="G883" s="39" t="n">
        <v>0.0621684130774028</v>
      </c>
      <c r="H883" s="39" t="n">
        <v>0.0581669406168332</v>
      </c>
      <c r="I883" s="39" t="n">
        <v>0.0408336836666578</v>
      </c>
      <c r="J883" s="39" t="n">
        <v>0.422185243677689</v>
      </c>
      <c r="K883" s="38" t="n">
        <f aca="false">E883*Scorecard!$E$18+F883*Scorecard!$E$19+G883*Scorecard!$E$20+H883*Scorecard!$E$21+I883*Scorecard!$E$22+J883*Scorecard!$E$23</f>
        <v>3.85317226044618</v>
      </c>
      <c r="M883" s="0" t="str">
        <f aca="false">IF(AND(T883&gt;=U883,T883&gt;=V883),"A. Distribution",IF(U883&gt;=V883,"B. Manufacturing","C. Prof. services"))</f>
        <v>A. Distribution</v>
      </c>
      <c r="N883" s="39" t="n">
        <v>0.279218861165258</v>
      </c>
      <c r="O883" s="39" t="n">
        <v>0.120631351028257</v>
      </c>
      <c r="P883" s="39" t="n">
        <v>0.143469432395944</v>
      </c>
      <c r="Q883" s="39" t="n">
        <v>0.0710782346309917</v>
      </c>
      <c r="R883" s="39" t="n">
        <v>0.280196049191311</v>
      </c>
      <c r="S883" s="39" t="n">
        <v>0.105406071588239</v>
      </c>
      <c r="T883" s="38" t="n">
        <f aca="false">N883*Scorecard!$C$18+O883*Scorecard!$C$19+P883*Scorecard!$C$20+Q883*Scorecard!$C$21+R883*Scorecard!$C$22+S883*Scorecard!$C$23</f>
        <v>3.87974290535914</v>
      </c>
      <c r="U883" s="38" t="n">
        <f aca="false">N883*Scorecard!$D$18+O883*Scorecard!$D$19+P883*Scorecard!$D$20+Q883*Scorecard!$D$21+R883*Scorecard!$D$22+S883*Scorecard!$D$23</f>
        <v>2.97052069589298</v>
      </c>
      <c r="V883" s="38" t="n">
        <f aca="false">N883*Scorecard!$E$18+O883*Scorecard!$E$19+P883*Scorecard!$E$20+Q883*Scorecard!$E$21+R883*Scorecard!$E$22+S883*Scorecard!$E$23</f>
        <v>3.27863798257772</v>
      </c>
    </row>
    <row r="884" customFormat="false" ht="15" hidden="false" customHeight="false" outlineLevel="0" collapsed="false">
      <c r="A884" s="0" t="n">
        <v>879</v>
      </c>
      <c r="B884" s="38" t="n">
        <f aca="false">E884*Scorecard!$C$18+F884*Scorecard!$C$19+G884*Scorecard!$C$20+H884*Scorecard!$C$21+I884*Scorecard!$C$22+J884*Scorecard!$C$23</f>
        <v>3.99138829023887</v>
      </c>
      <c r="C884" s="38" t="n">
        <f aca="false">E884*Scorecard!$D$18+F884*Scorecard!$D$19+G884*Scorecard!$D$20+H884*Scorecard!$D$21+I884*Scorecard!$D$22+J884*Scorecard!$D$23</f>
        <v>2.97783957380864</v>
      </c>
      <c r="D884" s="0" t="str">
        <f aca="false">IF(AND(B884&gt;=C884,B884&gt;=K884),"A. Distribution",IF(C884&gt;=K884,"B. Manufacturing","C. Prof. services"))</f>
        <v>A. Distribution</v>
      </c>
      <c r="E884" s="39" t="n">
        <v>0.0936899152366706</v>
      </c>
      <c r="F884" s="39" t="n">
        <v>0.0223919068854837</v>
      </c>
      <c r="G884" s="39" t="n">
        <v>0.271554034353882</v>
      </c>
      <c r="H884" s="39" t="n">
        <v>0.0196657953210464</v>
      </c>
      <c r="I884" s="39" t="n">
        <v>0.582017070797068</v>
      </c>
      <c r="J884" s="39" t="n">
        <v>0.0106812774058495</v>
      </c>
      <c r="K884" s="38" t="n">
        <f aca="false">E884*Scorecard!$E$18+F884*Scorecard!$E$19+G884*Scorecard!$E$20+H884*Scorecard!$E$21+I884*Scorecard!$E$22+J884*Scorecard!$E$23</f>
        <v>2.95524793322723</v>
      </c>
      <c r="M884" s="0" t="str">
        <f aca="false">IF(AND(T884&gt;=U884,T884&gt;=V884),"A. Distribution",IF(U884&gt;=V884,"B. Manufacturing","C. Prof. services"))</f>
        <v>A. Distribution</v>
      </c>
      <c r="N884" s="39" t="n">
        <v>0.205351259926783</v>
      </c>
      <c r="O884" s="39" t="n">
        <v>0.106864539986009</v>
      </c>
      <c r="P884" s="39" t="n">
        <v>0.184757505752727</v>
      </c>
      <c r="Q884" s="39" t="n">
        <v>0.141476058776221</v>
      </c>
      <c r="R884" s="39" t="n">
        <v>0.259009321201086</v>
      </c>
      <c r="S884" s="39" t="n">
        <v>0.102541314357174</v>
      </c>
      <c r="T884" s="38" t="n">
        <f aca="false">N884*Scorecard!$C$18+O884*Scorecard!$C$19+P884*Scorecard!$C$20+Q884*Scorecard!$C$21+R884*Scorecard!$C$22+S884*Scorecard!$C$23</f>
        <v>3.87005079316531</v>
      </c>
      <c r="U884" s="38" t="n">
        <f aca="false">N884*Scorecard!$D$18+O884*Scorecard!$D$19+P884*Scorecard!$D$20+Q884*Scorecard!$D$21+R884*Scorecard!$D$22+S884*Scorecard!$D$23</f>
        <v>2.80752780157406</v>
      </c>
      <c r="V884" s="38" t="n">
        <f aca="false">N884*Scorecard!$E$18+O884*Scorecard!$E$19+P884*Scorecard!$E$20+Q884*Scorecard!$E$21+R884*Scorecard!$E$22+S884*Scorecard!$E$23</f>
        <v>3.34288299321346</v>
      </c>
    </row>
    <row r="885" customFormat="false" ht="15" hidden="false" customHeight="false" outlineLevel="0" collapsed="false">
      <c r="A885" s="0" t="n">
        <v>880</v>
      </c>
      <c r="B885" s="38" t="n">
        <f aca="false">E885*Scorecard!$C$18+F885*Scorecard!$C$19+G885*Scorecard!$C$20+H885*Scorecard!$C$21+I885*Scorecard!$C$22+J885*Scorecard!$C$23</f>
        <v>3.93607009822294</v>
      </c>
      <c r="C885" s="38" t="n">
        <f aca="false">E885*Scorecard!$D$18+F885*Scorecard!$D$19+G885*Scorecard!$D$20+H885*Scorecard!$D$21+I885*Scorecard!$D$22+J885*Scorecard!$D$23</f>
        <v>2.78677903287616</v>
      </c>
      <c r="D885" s="0" t="str">
        <f aca="false">IF(AND(B885&gt;=C885,B885&gt;=K885),"A. Distribution",IF(C885&gt;=K885,"B. Manufacturing","C. Prof. services"))</f>
        <v>A. Distribution</v>
      </c>
      <c r="E885" s="39" t="n">
        <v>0.127088213030354</v>
      </c>
      <c r="F885" s="39" t="n">
        <v>0.154603723960647</v>
      </c>
      <c r="G885" s="39" t="n">
        <v>0.223559830410296</v>
      </c>
      <c r="H885" s="39" t="n">
        <v>0.022240377980163</v>
      </c>
      <c r="I885" s="39" t="n">
        <v>0.369540999820838</v>
      </c>
      <c r="J885" s="39" t="n">
        <v>0.102966854797702</v>
      </c>
      <c r="K885" s="38" t="n">
        <f aca="false">E885*Scorecard!$E$18+F885*Scorecard!$E$19+G885*Scorecard!$E$20+H885*Scorecard!$E$21+I885*Scorecard!$E$22+J885*Scorecard!$E$23</f>
        <v>3.17993496238472</v>
      </c>
      <c r="M885" s="0" t="str">
        <f aca="false">IF(AND(T885&gt;=U885,T885&gt;=V885),"A. Distribution",IF(U885&gt;=V885,"B. Manufacturing","C. Prof. services"))</f>
        <v>A. Distribution</v>
      </c>
      <c r="N885" s="39" t="n">
        <v>0.302123138810863</v>
      </c>
      <c r="O885" s="39" t="n">
        <v>0.226560659443333</v>
      </c>
      <c r="P885" s="39" t="n">
        <v>0.0592749334160464</v>
      </c>
      <c r="Q885" s="39" t="n">
        <v>0.181323721905309</v>
      </c>
      <c r="R885" s="39" t="n">
        <v>0.143764743049862</v>
      </c>
      <c r="S885" s="39" t="n">
        <v>0.0869528033745862</v>
      </c>
      <c r="T885" s="38" t="n">
        <f aca="false">N885*Scorecard!$C$18+O885*Scorecard!$C$19+P885*Scorecard!$C$20+Q885*Scorecard!$C$21+R885*Scorecard!$C$22+S885*Scorecard!$C$23</f>
        <v>4.00886082374158</v>
      </c>
      <c r="U885" s="38" t="n">
        <f aca="false">N885*Scorecard!$D$18+O885*Scorecard!$D$19+P885*Scorecard!$D$20+Q885*Scorecard!$D$21+R885*Scorecard!$D$22+S885*Scorecard!$D$23</f>
        <v>2.93253140164827</v>
      </c>
      <c r="V885" s="38" t="n">
        <f aca="false">N885*Scorecard!$E$18+O885*Scorecard!$E$19+P885*Scorecard!$E$20+Q885*Scorecard!$E$21+R885*Scorecard!$E$22+S885*Scorecard!$E$23</f>
        <v>3.32266082649397</v>
      </c>
    </row>
    <row r="886" customFormat="false" ht="15" hidden="false" customHeight="false" outlineLevel="0" collapsed="false">
      <c r="A886" s="0" t="n">
        <v>881</v>
      </c>
      <c r="B886" s="38" t="n">
        <f aca="false">E886*Scorecard!$C$18+F886*Scorecard!$C$19+G886*Scorecard!$C$20+H886*Scorecard!$C$21+I886*Scorecard!$C$22+J886*Scorecard!$C$23</f>
        <v>4.00327357237195</v>
      </c>
      <c r="C886" s="38" t="n">
        <f aca="false">E886*Scorecard!$D$18+F886*Scorecard!$D$19+G886*Scorecard!$D$20+H886*Scorecard!$D$21+I886*Scorecard!$D$22+J886*Scorecard!$D$23</f>
        <v>2.69275003996961</v>
      </c>
      <c r="D886" s="0" t="str">
        <f aca="false">IF(AND(B886&gt;=C886,B886&gt;=K886),"A. Distribution",IF(C886&gt;=K886,"B. Manufacturing","C. Prof. services"))</f>
        <v>A. Distribution</v>
      </c>
      <c r="E886" s="39" t="n">
        <v>0.252530564949993</v>
      </c>
      <c r="F886" s="39" t="n">
        <v>0.107161250087101</v>
      </c>
      <c r="G886" s="39" t="n">
        <v>0.166470776905937</v>
      </c>
      <c r="H886" s="39" t="n">
        <v>0.456458513877666</v>
      </c>
      <c r="I886" s="39" t="n">
        <v>0.000164323609092169</v>
      </c>
      <c r="J886" s="39" t="n">
        <v>0.0172145705702106</v>
      </c>
      <c r="K886" s="38" t="n">
        <f aca="false">E886*Scorecard!$E$18+F886*Scorecard!$E$19+G886*Scorecard!$E$20+H886*Scorecard!$E$21+I886*Scorecard!$E$22+J886*Scorecard!$E$23</f>
        <v>3.60466909132581</v>
      </c>
      <c r="M886" s="0" t="str">
        <f aca="false">IF(AND(T886&gt;=U886,T886&gt;=V886),"A. Distribution",IF(U886&gt;=V886,"B. Manufacturing","C. Prof. services"))</f>
        <v>A. Distribution</v>
      </c>
      <c r="N886" s="39" t="n">
        <v>0.160154928776946</v>
      </c>
      <c r="O886" s="39" t="n">
        <v>0.177776597367236</v>
      </c>
      <c r="P886" s="39" t="n">
        <v>0.147408359735292</v>
      </c>
      <c r="Q886" s="39" t="n">
        <v>0.204425948387084</v>
      </c>
      <c r="R886" s="39" t="n">
        <v>0.0839237291745827</v>
      </c>
      <c r="S886" s="39" t="n">
        <v>0.22631043655886</v>
      </c>
      <c r="T886" s="38" t="n">
        <f aca="false">N886*Scorecard!$C$18+O886*Scorecard!$C$19+P886*Scorecard!$C$20+Q886*Scorecard!$C$21+R886*Scorecard!$C$22+S886*Scorecard!$C$23</f>
        <v>3.6902703861258</v>
      </c>
      <c r="U886" s="38" t="n">
        <f aca="false">N886*Scorecard!$D$18+O886*Scorecard!$D$19+P886*Scorecard!$D$20+Q886*Scorecard!$D$21+R886*Scorecard!$D$22+S886*Scorecard!$D$23</f>
        <v>2.47672369319279</v>
      </c>
      <c r="V886" s="38" t="n">
        <f aca="false">N886*Scorecard!$E$18+O886*Scorecard!$E$19+P886*Scorecard!$E$20+Q886*Scorecard!$E$21+R886*Scorecard!$E$22+S886*Scorecard!$E$23</f>
        <v>3.61382193548455</v>
      </c>
    </row>
    <row r="887" customFormat="false" ht="15" hidden="false" customHeight="false" outlineLevel="0" collapsed="false">
      <c r="A887" s="0" t="n">
        <v>882</v>
      </c>
      <c r="B887" s="38" t="n">
        <f aca="false">E887*Scorecard!$C$18+F887*Scorecard!$C$19+G887*Scorecard!$C$20+H887*Scorecard!$C$21+I887*Scorecard!$C$22+J887*Scorecard!$C$23</f>
        <v>3.68782855587345</v>
      </c>
      <c r="C887" s="38" t="n">
        <f aca="false">E887*Scorecard!$D$18+F887*Scorecard!$D$19+G887*Scorecard!$D$20+H887*Scorecard!$D$21+I887*Scorecard!$D$22+J887*Scorecard!$D$23</f>
        <v>2.37194701754891</v>
      </c>
      <c r="D887" s="0" t="str">
        <f aca="false">IF(AND(B887&gt;=C887,B887&gt;=K887),"A. Distribution",IF(C887&gt;=K887,"B. Manufacturing","C. Prof. services"))</f>
        <v>A. Distribution</v>
      </c>
      <c r="E887" s="39" t="n">
        <v>0.142256856255627</v>
      </c>
      <c r="F887" s="39" t="n">
        <v>0.240907812251358</v>
      </c>
      <c r="G887" s="39" t="n">
        <v>0.155930481880079</v>
      </c>
      <c r="H887" s="39" t="n">
        <v>0.171435562757392</v>
      </c>
      <c r="I887" s="39" t="n">
        <v>0.0278764717906869</v>
      </c>
      <c r="J887" s="39" t="n">
        <v>0.261592815064857</v>
      </c>
      <c r="K887" s="38" t="n">
        <f aca="false">E887*Scorecard!$E$18+F887*Scorecard!$E$19+G887*Scorecard!$E$20+H887*Scorecard!$E$21+I887*Scorecard!$E$22+J887*Scorecard!$E$23</f>
        <v>3.66914828737403</v>
      </c>
      <c r="M887" s="0" t="str">
        <f aca="false">IF(AND(T887&gt;=U887,T887&gt;=V887),"A. Distribution",IF(U887&gt;=V887,"B. Manufacturing","C. Prof. services"))</f>
        <v>A. Distribution</v>
      </c>
      <c r="N887" s="39" t="n">
        <v>0.248662923983625</v>
      </c>
      <c r="O887" s="39" t="n">
        <v>0.28557798576412</v>
      </c>
      <c r="P887" s="39" t="n">
        <v>0.124416060846498</v>
      </c>
      <c r="Q887" s="39" t="n">
        <v>0.1063160289239</v>
      </c>
      <c r="R887" s="39" t="n">
        <v>0.146142804245999</v>
      </c>
      <c r="S887" s="39" t="n">
        <v>0.0888841962358591</v>
      </c>
      <c r="T887" s="38" t="n">
        <f aca="false">N887*Scorecard!$C$18+O887*Scorecard!$C$19+P887*Scorecard!$C$20+Q887*Scorecard!$C$21+R887*Scorecard!$C$22+S887*Scorecard!$C$23</f>
        <v>4.07638963534416</v>
      </c>
      <c r="U887" s="38" t="n">
        <f aca="false">N887*Scorecard!$D$18+O887*Scorecard!$D$19+P887*Scorecard!$D$20+Q887*Scorecard!$D$21+R887*Scorecard!$D$22+S887*Scorecard!$D$23</f>
        <v>2.83591472644336</v>
      </c>
      <c r="V887" s="38" t="n">
        <f aca="false">N887*Scorecard!$E$18+O887*Scorecard!$E$19+P887*Scorecard!$E$20+Q887*Scorecard!$E$21+R887*Scorecard!$E$22+S887*Scorecard!$E$23</f>
        <v>3.30037593987079</v>
      </c>
    </row>
    <row r="888" customFormat="false" ht="15" hidden="false" customHeight="false" outlineLevel="0" collapsed="false">
      <c r="A888" s="0" t="n">
        <v>883</v>
      </c>
      <c r="B888" s="38" t="n">
        <f aca="false">E888*Scorecard!$C$18+F888*Scorecard!$C$19+G888*Scorecard!$C$20+H888*Scorecard!$C$21+I888*Scorecard!$C$22+J888*Scorecard!$C$23</f>
        <v>2.99563149789269</v>
      </c>
      <c r="C888" s="38" t="n">
        <f aca="false">E888*Scorecard!$D$18+F888*Scorecard!$D$19+G888*Scorecard!$D$20+H888*Scorecard!$D$21+I888*Scorecard!$D$22+J888*Scorecard!$D$23</f>
        <v>2.39587295917492</v>
      </c>
      <c r="D888" s="0" t="str">
        <f aca="false">IF(AND(B888&gt;=C888,B888&gt;=K888),"A. Distribution",IF(C888&gt;=K888,"B. Manufacturing","C. Prof. services"))</f>
        <v>C. Prof. services</v>
      </c>
      <c r="E888" s="39" t="n">
        <v>0.159496807152141</v>
      </c>
      <c r="F888" s="39" t="n">
        <v>0.0345711198372282</v>
      </c>
      <c r="G888" s="39" t="n">
        <v>0.0225108358881943</v>
      </c>
      <c r="H888" s="39" t="n">
        <v>0.052095593719348</v>
      </c>
      <c r="I888" s="39" t="n">
        <v>0.221065239710588</v>
      </c>
      <c r="J888" s="39" t="n">
        <v>0.510260403692501</v>
      </c>
      <c r="K888" s="38" t="n">
        <f aca="false">E888*Scorecard!$E$18+F888*Scorecard!$E$19+G888*Scorecard!$E$20+H888*Scorecard!$E$21+I888*Scorecard!$E$22+J888*Scorecard!$E$23</f>
        <v>3.74856621346223</v>
      </c>
      <c r="M888" s="0" t="str">
        <f aca="false">IF(AND(T888&gt;=U888,T888&gt;=V888),"A. Distribution",IF(U888&gt;=V888,"B. Manufacturing","C. Prof. services"))</f>
        <v>A. Distribution</v>
      </c>
      <c r="N888" s="39" t="n">
        <v>0.240876441826661</v>
      </c>
      <c r="O888" s="39" t="n">
        <v>0.184077123860032</v>
      </c>
      <c r="P888" s="39" t="n">
        <v>0.359125860155089</v>
      </c>
      <c r="Q888" s="39" t="n">
        <v>0.0827266370955644</v>
      </c>
      <c r="R888" s="39" t="n">
        <v>0.0740238118595335</v>
      </c>
      <c r="S888" s="39" t="n">
        <v>0.0591701252031206</v>
      </c>
      <c r="T888" s="38" t="n">
        <f aca="false">N888*Scorecard!$C$18+O888*Scorecard!$C$19+P888*Scorecard!$C$20+Q888*Scorecard!$C$21+R888*Scorecard!$C$22+S888*Scorecard!$C$23</f>
        <v>4.03748383783383</v>
      </c>
      <c r="U888" s="38" t="n">
        <f aca="false">N888*Scorecard!$D$18+O888*Scorecard!$D$19+P888*Scorecard!$D$20+Q888*Scorecard!$D$21+R888*Scorecard!$D$22+S888*Scorecard!$D$23</f>
        <v>2.67818924690913</v>
      </c>
      <c r="V888" s="38" t="n">
        <f aca="false">N888*Scorecard!$E$18+O888*Scorecard!$E$19+P888*Scorecard!$E$20+Q888*Scorecard!$E$21+R888*Scorecard!$E$22+S888*Scorecard!$E$23</f>
        <v>3.5386643533817</v>
      </c>
    </row>
    <row r="889" customFormat="false" ht="15" hidden="false" customHeight="false" outlineLevel="0" collapsed="false">
      <c r="A889" s="0" t="n">
        <v>884</v>
      </c>
      <c r="B889" s="38" t="n">
        <f aca="false">E889*Scorecard!$C$18+F889*Scorecard!$C$19+G889*Scorecard!$C$20+H889*Scorecard!$C$21+I889*Scorecard!$C$22+J889*Scorecard!$C$23</f>
        <v>4.34221151655448</v>
      </c>
      <c r="C889" s="38" t="n">
        <f aca="false">E889*Scorecard!$D$18+F889*Scorecard!$D$19+G889*Scorecard!$D$20+H889*Scorecard!$D$21+I889*Scorecard!$D$22+J889*Scorecard!$D$23</f>
        <v>2.67720360140977</v>
      </c>
      <c r="D889" s="0" t="str">
        <f aca="false">IF(AND(B889&gt;=C889,B889&gt;=K889),"A. Distribution",IF(C889&gt;=K889,"B. Manufacturing","C. Prof. services"))</f>
        <v>A. Distribution</v>
      </c>
      <c r="E889" s="39" t="n">
        <v>0.173801530708685</v>
      </c>
      <c r="F889" s="39" t="n">
        <v>0.462013964884222</v>
      </c>
      <c r="G889" s="39" t="n">
        <v>0.223634718075196</v>
      </c>
      <c r="H889" s="39" t="n">
        <v>0.0101956540038872</v>
      </c>
      <c r="I889" s="39" t="n">
        <v>0.0779791839354937</v>
      </c>
      <c r="J889" s="39" t="n">
        <v>0.0523749483925174</v>
      </c>
      <c r="K889" s="38" t="n">
        <f aca="false">E889*Scorecard!$E$18+F889*Scorecard!$E$19+G889*Scorecard!$E$20+H889*Scorecard!$E$21+I889*Scorecard!$E$22+J889*Scorecard!$E$23</f>
        <v>3.25368421165845</v>
      </c>
      <c r="M889" s="0" t="str">
        <f aca="false">IF(AND(T889&gt;=U889,T889&gt;=V889),"A. Distribution",IF(U889&gt;=V889,"B. Manufacturing","C. Prof. services"))</f>
        <v>A. Distribution</v>
      </c>
      <c r="N889" s="39" t="n">
        <v>0.205850972983874</v>
      </c>
      <c r="O889" s="39" t="n">
        <v>0.352813404296404</v>
      </c>
      <c r="P889" s="39" t="n">
        <v>0.263002710758136</v>
      </c>
      <c r="Q889" s="39" t="n">
        <v>0.0391757499036607</v>
      </c>
      <c r="R889" s="39" t="n">
        <v>0.041676803036253</v>
      </c>
      <c r="S889" s="39" t="n">
        <v>0.097480359021672</v>
      </c>
      <c r="T889" s="38" t="n">
        <f aca="false">N889*Scorecard!$C$18+O889*Scorecard!$C$19+P889*Scorecard!$C$20+Q889*Scorecard!$C$21+R889*Scorecard!$C$22+S889*Scorecard!$C$23</f>
        <v>4.13710436610971</v>
      </c>
      <c r="U889" s="38" t="n">
        <f aca="false">N889*Scorecard!$D$18+O889*Scorecard!$D$19+P889*Scorecard!$D$20+Q889*Scorecard!$D$21+R889*Scorecard!$D$22+S889*Scorecard!$D$23</f>
        <v>2.62170893697417</v>
      </c>
      <c r="V889" s="38" t="n">
        <f aca="false">N889*Scorecard!$E$18+O889*Scorecard!$E$19+P889*Scorecard!$E$20+Q889*Scorecard!$E$21+R889*Scorecard!$E$22+S889*Scorecard!$E$23</f>
        <v>3.44177900841385</v>
      </c>
    </row>
    <row r="890" customFormat="false" ht="15" hidden="false" customHeight="false" outlineLevel="0" collapsed="false">
      <c r="A890" s="0" t="n">
        <v>885</v>
      </c>
      <c r="B890" s="38" t="n">
        <f aca="false">E890*Scorecard!$C$18+F890*Scorecard!$C$19+G890*Scorecard!$C$20+H890*Scorecard!$C$21+I890*Scorecard!$C$22+J890*Scorecard!$C$23</f>
        <v>3.83005128431502</v>
      </c>
      <c r="C890" s="38" t="n">
        <f aca="false">E890*Scorecard!$D$18+F890*Scorecard!$D$19+G890*Scorecard!$D$20+H890*Scorecard!$D$21+I890*Scorecard!$D$22+J890*Scorecard!$D$23</f>
        <v>2.58057095356275</v>
      </c>
      <c r="D890" s="0" t="str">
        <f aca="false">IF(AND(B890&gt;=C890,B890&gt;=K890),"A. Distribution",IF(C890&gt;=K890,"B. Manufacturing","C. Prof. services"))</f>
        <v>A. Distribution</v>
      </c>
      <c r="E890" s="39" t="n">
        <v>0.186289825570755</v>
      </c>
      <c r="F890" s="39" t="n">
        <v>0.00479136106721567</v>
      </c>
      <c r="G890" s="39" t="n">
        <v>0.0972489713821398</v>
      </c>
      <c r="H890" s="39" t="n">
        <v>0.638144230995283</v>
      </c>
      <c r="I890" s="39" t="n">
        <v>0.0280140846476871</v>
      </c>
      <c r="J890" s="39" t="n">
        <v>0.0455115263369191</v>
      </c>
      <c r="K890" s="38" t="n">
        <f aca="false">E890*Scorecard!$E$18+F890*Scorecard!$E$19+G890*Scorecard!$E$20+H890*Scorecard!$E$21+I890*Scorecard!$E$22+J890*Scorecard!$E$23</f>
        <v>3.66847055322828</v>
      </c>
      <c r="M890" s="0" t="str">
        <f aca="false">IF(AND(T890&gt;=U890,T890&gt;=V890),"A. Distribution",IF(U890&gt;=V890,"B. Manufacturing","C. Prof. services"))</f>
        <v>A. Distribution</v>
      </c>
      <c r="N890" s="39" t="n">
        <v>0.147494480128352</v>
      </c>
      <c r="O890" s="39" t="n">
        <v>0.169537670319624</v>
      </c>
      <c r="P890" s="39" t="n">
        <v>0.161239038591538</v>
      </c>
      <c r="Q890" s="39" t="n">
        <v>0.261085077512976</v>
      </c>
      <c r="R890" s="39" t="n">
        <v>0.201597657703297</v>
      </c>
      <c r="S890" s="39" t="n">
        <v>0.0590460757442132</v>
      </c>
      <c r="T890" s="38" t="n">
        <f aca="false">N890*Scorecard!$C$18+O890*Scorecard!$C$19+P890*Scorecard!$C$20+Q890*Scorecard!$C$21+R890*Scorecard!$C$22+S890*Scorecard!$C$23</f>
        <v>4.01147159284853</v>
      </c>
      <c r="U890" s="38" t="n">
        <f aca="false">N890*Scorecard!$D$18+O890*Scorecard!$D$19+P890*Scorecard!$D$20+Q890*Scorecard!$D$21+R890*Scorecard!$D$22+S890*Scorecard!$D$23</f>
        <v>2.70382900446704</v>
      </c>
      <c r="V890" s="38" t="n">
        <f aca="false">N890*Scorecard!$E$18+O890*Scorecard!$E$19+P890*Scorecard!$E$20+Q890*Scorecard!$E$21+R890*Scorecard!$E$22+S890*Scorecard!$E$23</f>
        <v>3.33170997426288</v>
      </c>
    </row>
    <row r="891" customFormat="false" ht="15" hidden="false" customHeight="false" outlineLevel="0" collapsed="false">
      <c r="A891" s="0" t="n">
        <v>886</v>
      </c>
      <c r="B891" s="38" t="n">
        <f aca="false">E891*Scorecard!$C$18+F891*Scorecard!$C$19+G891*Scorecard!$C$20+H891*Scorecard!$C$21+I891*Scorecard!$C$22+J891*Scorecard!$C$23</f>
        <v>4.01787122931116</v>
      </c>
      <c r="C891" s="38" t="n">
        <f aca="false">E891*Scorecard!$D$18+F891*Scorecard!$D$19+G891*Scorecard!$D$20+H891*Scorecard!$D$21+I891*Scorecard!$D$22+J891*Scorecard!$D$23</f>
        <v>2.44398208832593</v>
      </c>
      <c r="D891" s="0" t="str">
        <f aca="false">IF(AND(B891&gt;=C891,B891&gt;=K891),"A. Distribution",IF(C891&gt;=K891,"B. Manufacturing","C. Prof. services"))</f>
        <v>A. Distribution</v>
      </c>
      <c r="E891" s="39" t="n">
        <v>0.0796857077383571</v>
      </c>
      <c r="F891" s="39" t="n">
        <v>0.283004655959215</v>
      </c>
      <c r="G891" s="39" t="n">
        <v>0.31624714989763</v>
      </c>
      <c r="H891" s="39" t="n">
        <v>0.0616520217622379</v>
      </c>
      <c r="I891" s="39" t="n">
        <v>0.133364126198176</v>
      </c>
      <c r="J891" s="39" t="n">
        <v>0.126046338444385</v>
      </c>
      <c r="K891" s="38" t="n">
        <f aca="false">E891*Scorecard!$E$18+F891*Scorecard!$E$19+G891*Scorecard!$E$20+H891*Scorecard!$E$21+I891*Scorecard!$E$22+J891*Scorecard!$E$23</f>
        <v>3.44242856315557</v>
      </c>
      <c r="M891" s="0" t="str">
        <f aca="false">IF(AND(T891&gt;=U891,T891&gt;=V891),"A. Distribution",IF(U891&gt;=V891,"B. Manufacturing","C. Prof. services"))</f>
        <v>A. Distribution</v>
      </c>
      <c r="N891" s="39" t="n">
        <v>0.268325159684098</v>
      </c>
      <c r="O891" s="39" t="n">
        <v>0.23711515176459</v>
      </c>
      <c r="P891" s="39" t="n">
        <v>0.102906066855588</v>
      </c>
      <c r="Q891" s="39" t="n">
        <v>0.154996460862256</v>
      </c>
      <c r="R891" s="39" t="n">
        <v>0.156071594995656</v>
      </c>
      <c r="S891" s="39" t="n">
        <v>0.0805855658378125</v>
      </c>
      <c r="T891" s="38" t="n">
        <f aca="false">N891*Scorecard!$C$18+O891*Scorecard!$C$19+P891*Scorecard!$C$20+Q891*Scorecard!$C$21+R891*Scorecard!$C$22+S891*Scorecard!$C$23</f>
        <v>4.03770009960179</v>
      </c>
      <c r="U891" s="38" t="n">
        <f aca="false">N891*Scorecard!$D$18+O891*Scorecard!$D$19+P891*Scorecard!$D$20+Q891*Scorecard!$D$21+R891*Scorecard!$D$22+S891*Scorecard!$D$23</f>
        <v>2.8816366103795</v>
      </c>
      <c r="V891" s="38" t="n">
        <f aca="false">N891*Scorecard!$E$18+O891*Scorecard!$E$19+P891*Scorecard!$E$20+Q891*Scorecard!$E$21+R891*Scorecard!$E$22+S891*Scorecard!$E$23</f>
        <v>3.31185834666297</v>
      </c>
    </row>
    <row r="892" customFormat="false" ht="15" hidden="false" customHeight="false" outlineLevel="0" collapsed="false">
      <c r="A892" s="0" t="n">
        <v>887</v>
      </c>
      <c r="B892" s="38" t="n">
        <f aca="false">E892*Scorecard!$C$18+F892*Scorecard!$C$19+G892*Scorecard!$C$20+H892*Scorecard!$C$21+I892*Scorecard!$C$22+J892*Scorecard!$C$23</f>
        <v>3.98338673876528</v>
      </c>
      <c r="C892" s="38" t="n">
        <f aca="false">E892*Scorecard!$D$18+F892*Scorecard!$D$19+G892*Scorecard!$D$20+H892*Scorecard!$D$21+I892*Scorecard!$D$22+J892*Scorecard!$D$23</f>
        <v>2.31679077299125</v>
      </c>
      <c r="D892" s="0" t="str">
        <f aca="false">IF(AND(B892&gt;=C892,B892&gt;=K892),"A. Distribution",IF(C892&gt;=K892,"B. Manufacturing","C. Prof. services"))</f>
        <v>A. Distribution</v>
      </c>
      <c r="E892" s="39" t="n">
        <v>0.0531160813707615</v>
      </c>
      <c r="F892" s="39" t="n">
        <v>0.0592804104986617</v>
      </c>
      <c r="G892" s="39" t="n">
        <v>0.682054968726815</v>
      </c>
      <c r="H892" s="39" t="n">
        <v>0.0323556651304897</v>
      </c>
      <c r="I892" s="39" t="n">
        <v>0.139121468711946</v>
      </c>
      <c r="J892" s="39" t="n">
        <v>0.0340714055613257</v>
      </c>
      <c r="K892" s="38" t="n">
        <f aca="false">E892*Scorecard!$E$18+F892*Scorecard!$E$19+G892*Scorecard!$E$20+H892*Scorecard!$E$21+I892*Scorecard!$E$22+J892*Scorecard!$E$23</f>
        <v>3.67715628117967</v>
      </c>
      <c r="M892" s="0" t="str">
        <f aca="false">IF(AND(T892&gt;=U892,T892&gt;=V892),"A. Distribution",IF(U892&gt;=V892,"B. Manufacturing","C. Prof. services"))</f>
        <v>A. Distribution</v>
      </c>
      <c r="N892" s="39" t="n">
        <v>0.16079704758353</v>
      </c>
      <c r="O892" s="39" t="n">
        <v>0.177741517442515</v>
      </c>
      <c r="P892" s="39" t="n">
        <v>0.240962670962282</v>
      </c>
      <c r="Q892" s="39" t="n">
        <v>0.107610930008513</v>
      </c>
      <c r="R892" s="39" t="n">
        <v>0.263008153430826</v>
      </c>
      <c r="S892" s="39" t="n">
        <v>0.0498796805723349</v>
      </c>
      <c r="T892" s="38" t="n">
        <f aca="false">N892*Scorecard!$C$18+O892*Scorecard!$C$19+P892*Scorecard!$C$20+Q892*Scorecard!$C$21+R892*Scorecard!$C$22+S892*Scorecard!$C$23</f>
        <v>4.05347713956969</v>
      </c>
      <c r="U892" s="38" t="n">
        <f aca="false">N892*Scorecard!$D$18+O892*Scorecard!$D$19+P892*Scorecard!$D$20+Q892*Scorecard!$D$21+R892*Scorecard!$D$22+S892*Scorecard!$D$23</f>
        <v>2.77669666426141</v>
      </c>
      <c r="V892" s="38" t="n">
        <f aca="false">N892*Scorecard!$E$18+O892*Scorecard!$E$19+P892*Scorecard!$E$20+Q892*Scorecard!$E$21+R892*Scorecard!$E$22+S892*Scorecard!$E$23</f>
        <v>3.25851327413235</v>
      </c>
    </row>
    <row r="893" customFormat="false" ht="15" hidden="false" customHeight="false" outlineLevel="0" collapsed="false">
      <c r="A893" s="0" t="n">
        <v>888</v>
      </c>
      <c r="B893" s="38" t="n">
        <f aca="false">E893*Scorecard!$C$18+F893*Scorecard!$C$19+G893*Scorecard!$C$20+H893*Scorecard!$C$21+I893*Scorecard!$C$22+J893*Scorecard!$C$23</f>
        <v>4.11706896546358</v>
      </c>
      <c r="C893" s="38" t="n">
        <f aca="false">E893*Scorecard!$D$18+F893*Scorecard!$D$19+G893*Scorecard!$D$20+H893*Scorecard!$D$21+I893*Scorecard!$D$22+J893*Scorecard!$D$23</f>
        <v>2.82894224064294</v>
      </c>
      <c r="D893" s="0" t="str">
        <f aca="false">IF(AND(B893&gt;=C893,B893&gt;=K893),"A. Distribution",IF(C893&gt;=K893,"B. Manufacturing","C. Prof. services"))</f>
        <v>A. Distribution</v>
      </c>
      <c r="E893" s="39" t="n">
        <v>0.174064606564654</v>
      </c>
      <c r="F893" s="39" t="n">
        <v>0.279258695974545</v>
      </c>
      <c r="G893" s="39" t="n">
        <v>0.143238149250481</v>
      </c>
      <c r="H893" s="39" t="n">
        <v>0.0777365379421112</v>
      </c>
      <c r="I893" s="39" t="n">
        <v>0.255782766479479</v>
      </c>
      <c r="J893" s="39" t="n">
        <v>0.0699192437887297</v>
      </c>
      <c r="K893" s="38" t="n">
        <f aca="false">E893*Scorecard!$E$18+F893*Scorecard!$E$19+G893*Scorecard!$E$20+H893*Scorecard!$E$21+I893*Scorecard!$E$22+J893*Scorecard!$E$23</f>
        <v>3.16235755069635</v>
      </c>
      <c r="M893" s="0" t="str">
        <f aca="false">IF(AND(T893&gt;=U893,T893&gt;=V893),"A. Distribution",IF(U893&gt;=V893,"B. Manufacturing","C. Prof. services"))</f>
        <v>A. Distribution</v>
      </c>
      <c r="N893" s="39" t="n">
        <v>0.273569618557615</v>
      </c>
      <c r="O893" s="39" t="n">
        <v>0.199720495314963</v>
      </c>
      <c r="P893" s="39" t="n">
        <v>0.103203690082073</v>
      </c>
      <c r="Q893" s="39" t="n">
        <v>0.111852360963658</v>
      </c>
      <c r="R893" s="39" t="n">
        <v>0.266849616680416</v>
      </c>
      <c r="S893" s="39" t="n">
        <v>0.0448042184012763</v>
      </c>
      <c r="T893" s="38" t="n">
        <f aca="false">N893*Scorecard!$C$18+O893*Scorecard!$C$19+P893*Scorecard!$C$20+Q893*Scorecard!$C$21+R893*Scorecard!$C$22+S893*Scorecard!$C$23</f>
        <v>4.07609587943338</v>
      </c>
      <c r="U893" s="38" t="n">
        <f aca="false">N893*Scorecard!$D$18+O893*Scorecard!$D$19+P893*Scorecard!$D$20+Q893*Scorecard!$D$21+R893*Scorecard!$D$22+S893*Scorecard!$D$23</f>
        <v>3.02541665630844</v>
      </c>
      <c r="V893" s="38" t="n">
        <f aca="false">N893*Scorecard!$E$18+O893*Scorecard!$E$19+P893*Scorecard!$E$20+Q893*Scorecard!$E$21+R893*Scorecard!$E$22+S893*Scorecard!$E$23</f>
        <v>3.16552535410697</v>
      </c>
    </row>
    <row r="894" customFormat="false" ht="15" hidden="false" customHeight="false" outlineLevel="0" collapsed="false">
      <c r="A894" s="0" t="n">
        <v>889</v>
      </c>
      <c r="B894" s="38" t="n">
        <f aca="false">E894*Scorecard!$C$18+F894*Scorecard!$C$19+G894*Scorecard!$C$20+H894*Scorecard!$C$21+I894*Scorecard!$C$22+J894*Scorecard!$C$23</f>
        <v>3.90955492742513</v>
      </c>
      <c r="C894" s="38" t="n">
        <f aca="false">E894*Scorecard!$D$18+F894*Scorecard!$D$19+G894*Scorecard!$D$20+H894*Scorecard!$D$21+I894*Scorecard!$D$22+J894*Scorecard!$D$23</f>
        <v>3.00206449385861</v>
      </c>
      <c r="D894" s="0" t="str">
        <f aca="false">IF(AND(B894&gt;=C894,B894&gt;=K894),"A. Distribution",IF(C894&gt;=K894,"B. Manufacturing","C. Prof. services"))</f>
        <v>A. Distribution</v>
      </c>
      <c r="E894" s="39" t="n">
        <v>0.220599426360485</v>
      </c>
      <c r="F894" s="39" t="n">
        <v>0.0381291474600297</v>
      </c>
      <c r="G894" s="39" t="n">
        <v>0.031515082647048</v>
      </c>
      <c r="H894" s="39" t="n">
        <v>0.328123951199315</v>
      </c>
      <c r="I894" s="39" t="n">
        <v>0.343878664365753</v>
      </c>
      <c r="J894" s="39" t="n">
        <v>0.0377537279673697</v>
      </c>
      <c r="K894" s="38" t="n">
        <f aca="false">E894*Scorecard!$E$18+F894*Scorecard!$E$19+G894*Scorecard!$E$20+H894*Scorecard!$E$21+I894*Scorecard!$E$22+J894*Scorecard!$E$23</f>
        <v>3.18253290139623</v>
      </c>
      <c r="M894" s="0" t="str">
        <f aca="false">IF(AND(T894&gt;=U894,T894&gt;=V894),"A. Distribution",IF(U894&gt;=V894,"B. Manufacturing","C. Prof. services"))</f>
        <v>A. Distribution</v>
      </c>
      <c r="N894" s="39" t="n">
        <v>0.31397995067278</v>
      </c>
      <c r="O894" s="39" t="n">
        <v>0.20229739869219</v>
      </c>
      <c r="P894" s="39" t="n">
        <v>0.188225709125953</v>
      </c>
      <c r="Q894" s="39" t="n">
        <v>0.148951951932809</v>
      </c>
      <c r="R894" s="39" t="n">
        <v>0.103368692699668</v>
      </c>
      <c r="S894" s="39" t="n">
        <v>0.0431762968766008</v>
      </c>
      <c r="T894" s="38" t="n">
        <f aca="false">N894*Scorecard!$C$18+O894*Scorecard!$C$19+P894*Scorecard!$C$20+Q894*Scorecard!$C$21+R894*Scorecard!$C$22+S894*Scorecard!$C$23</f>
        <v>4.074686708048</v>
      </c>
      <c r="U894" s="38" t="n">
        <f aca="false">N894*Scorecard!$D$18+O894*Scorecard!$D$19+P894*Scorecard!$D$20+Q894*Scorecard!$D$21+R894*Scorecard!$D$22+S894*Scorecard!$D$23</f>
        <v>2.90223331405809</v>
      </c>
      <c r="V894" s="38" t="n">
        <f aca="false">N894*Scorecard!$E$18+O894*Scorecard!$E$19+P894*Scorecard!$E$20+Q894*Scorecard!$E$21+R894*Scorecard!$E$22+S894*Scorecard!$E$23</f>
        <v>3.40176502758783</v>
      </c>
    </row>
    <row r="895" customFormat="false" ht="15" hidden="false" customHeight="false" outlineLevel="0" collapsed="false">
      <c r="A895" s="0" t="n">
        <v>890</v>
      </c>
      <c r="B895" s="38" t="n">
        <f aca="false">E895*Scorecard!$C$18+F895*Scorecard!$C$19+G895*Scorecard!$C$20+H895*Scorecard!$C$21+I895*Scorecard!$C$22+J895*Scorecard!$C$23</f>
        <v>4.15955023858484</v>
      </c>
      <c r="C895" s="38" t="n">
        <f aca="false">E895*Scorecard!$D$18+F895*Scorecard!$D$19+G895*Scorecard!$D$20+H895*Scorecard!$D$21+I895*Scorecard!$D$22+J895*Scorecard!$D$23</f>
        <v>3.11937203247825</v>
      </c>
      <c r="D895" s="0" t="str">
        <f aca="false">IF(AND(B895&gt;=C895,B895&gt;=K895),"A. Distribution",IF(C895&gt;=K895,"B. Manufacturing","C. Prof. services"))</f>
        <v>A. Distribution</v>
      </c>
      <c r="E895" s="39" t="n">
        <v>0.182068901382235</v>
      </c>
      <c r="F895" s="39" t="n">
        <v>0.19236972380024</v>
      </c>
      <c r="G895" s="39" t="n">
        <v>0.0242338511888151</v>
      </c>
      <c r="H895" s="39" t="n">
        <v>0.144333675489493</v>
      </c>
      <c r="I895" s="39" t="n">
        <v>0.455668986819267</v>
      </c>
      <c r="J895" s="39" t="n">
        <v>0.00132486131995082</v>
      </c>
      <c r="K895" s="38" t="n">
        <f aca="false">E895*Scorecard!$E$18+F895*Scorecard!$E$19+G895*Scorecard!$E$20+H895*Scorecard!$E$21+I895*Scorecard!$E$22+J895*Scorecard!$E$23</f>
        <v>2.8729941826653</v>
      </c>
      <c r="M895" s="0" t="str">
        <f aca="false">IF(AND(T895&gt;=U895,T895&gt;=V895),"A. Distribution",IF(U895&gt;=V895,"B. Manufacturing","C. Prof. services"))</f>
        <v>A. Distribution</v>
      </c>
      <c r="N895" s="39" t="n">
        <v>0.150330257951782</v>
      </c>
      <c r="O895" s="39" t="n">
        <v>0.170282497105165</v>
      </c>
      <c r="P895" s="39" t="n">
        <v>0.183718313683767</v>
      </c>
      <c r="Q895" s="39" t="n">
        <v>0.136907955440313</v>
      </c>
      <c r="R895" s="39" t="n">
        <v>0.153587688342215</v>
      </c>
      <c r="S895" s="39" t="n">
        <v>0.205173287476758</v>
      </c>
      <c r="T895" s="38" t="n">
        <f aca="false">N895*Scorecard!$C$18+O895*Scorecard!$C$19+P895*Scorecard!$C$20+Q895*Scorecard!$C$21+R895*Scorecard!$C$22+S895*Scorecard!$C$23</f>
        <v>3.73311447849277</v>
      </c>
      <c r="U895" s="38" t="n">
        <f aca="false">N895*Scorecard!$D$18+O895*Scorecard!$D$19+P895*Scorecard!$D$20+Q895*Scorecard!$D$21+R895*Scorecard!$D$22+S895*Scorecard!$D$23</f>
        <v>2.53659256651648</v>
      </c>
      <c r="V895" s="38" t="n">
        <f aca="false">N895*Scorecard!$E$18+O895*Scorecard!$E$19+P895*Scorecard!$E$20+Q895*Scorecard!$E$21+R895*Scorecard!$E$22+S895*Scorecard!$E$23</f>
        <v>3.52309886082528</v>
      </c>
    </row>
    <row r="896" customFormat="false" ht="15" hidden="false" customHeight="false" outlineLevel="0" collapsed="false">
      <c r="A896" s="0" t="n">
        <v>891</v>
      </c>
      <c r="B896" s="38" t="n">
        <f aca="false">E896*Scorecard!$C$18+F896*Scorecard!$C$19+G896*Scorecard!$C$20+H896*Scorecard!$C$21+I896*Scorecard!$C$22+J896*Scorecard!$C$23</f>
        <v>3.89577824690736</v>
      </c>
      <c r="C896" s="38" t="n">
        <f aca="false">E896*Scorecard!$D$18+F896*Scorecard!$D$19+G896*Scorecard!$D$20+H896*Scorecard!$D$21+I896*Scorecard!$D$22+J896*Scorecard!$D$23</f>
        <v>2.92655699003855</v>
      </c>
      <c r="D896" s="0" t="str">
        <f aca="false">IF(AND(B896&gt;=C896,B896&gt;=K896),"A. Distribution",IF(C896&gt;=K896,"B. Manufacturing","C. Prof. services"))</f>
        <v>A. Distribution</v>
      </c>
      <c r="E896" s="39" t="n">
        <v>0.281144805846926</v>
      </c>
      <c r="F896" s="39" t="n">
        <v>0.000221431239016042</v>
      </c>
      <c r="G896" s="39" t="n">
        <v>0.374552263770694</v>
      </c>
      <c r="H896" s="39" t="n">
        <v>0.0277262585733868</v>
      </c>
      <c r="I896" s="39" t="n">
        <v>0.276913513161443</v>
      </c>
      <c r="J896" s="39" t="n">
        <v>0.0394417274085342</v>
      </c>
      <c r="K896" s="38" t="n">
        <f aca="false">E896*Scorecard!$E$18+F896*Scorecard!$E$19+G896*Scorecard!$E$20+H896*Scorecard!$E$21+I896*Scorecard!$E$22+J896*Scorecard!$E$23</f>
        <v>3.40828341694732</v>
      </c>
      <c r="M896" s="0" t="str">
        <f aca="false">IF(AND(T896&gt;=U896,T896&gt;=V896),"A. Distribution",IF(U896&gt;=V896,"B. Manufacturing","C. Prof. services"))</f>
        <v>A. Distribution</v>
      </c>
      <c r="N896" s="39" t="n">
        <v>0.155878645485893</v>
      </c>
      <c r="O896" s="39" t="n">
        <v>0.22790000601873</v>
      </c>
      <c r="P896" s="39" t="n">
        <v>0.176883885208372</v>
      </c>
      <c r="Q896" s="39" t="n">
        <v>0.265617532489367</v>
      </c>
      <c r="R896" s="39" t="n">
        <v>0.108347563524309</v>
      </c>
      <c r="S896" s="39" t="n">
        <v>0.0653723672733297</v>
      </c>
      <c r="T896" s="38" t="n">
        <f aca="false">N896*Scorecard!$C$18+O896*Scorecard!$C$19+P896*Scorecard!$C$20+Q896*Scorecard!$C$21+R896*Scorecard!$C$22+S896*Scorecard!$C$23</f>
        <v>4.05601983323484</v>
      </c>
      <c r="U896" s="38" t="n">
        <f aca="false">N896*Scorecard!$D$18+O896*Scorecard!$D$19+P896*Scorecard!$D$20+Q896*Scorecard!$D$21+R896*Scorecard!$D$22+S896*Scorecard!$D$23</f>
        <v>2.6255456396716</v>
      </c>
      <c r="V896" s="38" t="n">
        <f aca="false">N896*Scorecard!$E$18+O896*Scorecard!$E$19+P896*Scorecard!$E$20+Q896*Scorecard!$E$21+R896*Scorecard!$E$22+S896*Scorecard!$E$23</f>
        <v>3.41485112256422</v>
      </c>
    </row>
    <row r="897" customFormat="false" ht="15" hidden="false" customHeight="false" outlineLevel="0" collapsed="false">
      <c r="A897" s="0" t="n">
        <v>892</v>
      </c>
      <c r="B897" s="38" t="n">
        <f aca="false">E897*Scorecard!$C$18+F897*Scorecard!$C$19+G897*Scorecard!$C$20+H897*Scorecard!$C$21+I897*Scorecard!$C$22+J897*Scorecard!$C$23</f>
        <v>3.74277082148985</v>
      </c>
      <c r="C897" s="38" t="n">
        <f aca="false">E897*Scorecard!$D$18+F897*Scorecard!$D$19+G897*Scorecard!$D$20+H897*Scorecard!$D$21+I897*Scorecard!$D$22+J897*Scorecard!$D$23</f>
        <v>2.44781620638426</v>
      </c>
      <c r="D897" s="0" t="str">
        <f aca="false">IF(AND(B897&gt;=C897,B897&gt;=K897),"A. Distribution",IF(C897&gt;=K897,"B. Manufacturing","C. Prof. services"))</f>
        <v>A. Distribution</v>
      </c>
      <c r="E897" s="39" t="n">
        <v>0.0909437620620418</v>
      </c>
      <c r="F897" s="39" t="n">
        <v>0.0832277805733335</v>
      </c>
      <c r="G897" s="39" t="n">
        <v>0.0970563629901613</v>
      </c>
      <c r="H897" s="39" t="n">
        <v>0.473939430573031</v>
      </c>
      <c r="I897" s="39" t="n">
        <v>0.113788600674349</v>
      </c>
      <c r="J897" s="39" t="n">
        <v>0.141044063127083</v>
      </c>
      <c r="K897" s="38" t="n">
        <f aca="false">E897*Scorecard!$E$18+F897*Scorecard!$E$19+G897*Scorecard!$E$20+H897*Scorecard!$E$21+I897*Scorecard!$E$22+J897*Scorecard!$E$23</f>
        <v>3.5808925732302</v>
      </c>
      <c r="M897" s="0" t="str">
        <f aca="false">IF(AND(T897&gt;=U897,T897&gt;=V897),"A. Distribution",IF(U897&gt;=V897,"B. Manufacturing","C. Prof. services"))</f>
        <v>A. Distribution</v>
      </c>
      <c r="N897" s="39" t="n">
        <v>0.234376333291209</v>
      </c>
      <c r="O897" s="39" t="n">
        <v>0.234498674428214</v>
      </c>
      <c r="P897" s="39" t="n">
        <v>0.133325210419948</v>
      </c>
      <c r="Q897" s="39" t="n">
        <v>0.139717024556506</v>
      </c>
      <c r="R897" s="39" t="n">
        <v>0.154565202642322</v>
      </c>
      <c r="S897" s="39" t="n">
        <v>0.103517554661801</v>
      </c>
      <c r="T897" s="38" t="n">
        <f aca="false">N897*Scorecard!$C$18+O897*Scorecard!$C$19+P897*Scorecard!$C$20+Q897*Scorecard!$C$21+R897*Scorecard!$C$22+S897*Scorecard!$C$23</f>
        <v>3.99359165452455</v>
      </c>
      <c r="U897" s="38" t="n">
        <f aca="false">N897*Scorecard!$D$18+O897*Scorecard!$D$19+P897*Scorecard!$D$20+Q897*Scorecard!$D$21+R897*Scorecard!$D$22+S897*Scorecard!$D$23</f>
        <v>2.79362052429961</v>
      </c>
      <c r="V897" s="38" t="n">
        <f aca="false">N897*Scorecard!$E$18+O897*Scorecard!$E$19+P897*Scorecard!$E$20+Q897*Scorecard!$E$21+R897*Scorecard!$E$22+S897*Scorecard!$E$23</f>
        <v>3.3509347767198</v>
      </c>
    </row>
    <row r="898" customFormat="false" ht="15" hidden="false" customHeight="false" outlineLevel="0" collapsed="false">
      <c r="A898" s="0" t="n">
        <v>893</v>
      </c>
      <c r="B898" s="38" t="n">
        <f aca="false">E898*Scorecard!$C$18+F898*Scorecard!$C$19+G898*Scorecard!$C$20+H898*Scorecard!$C$21+I898*Scorecard!$C$22+J898*Scorecard!$C$23</f>
        <v>3.96132633151441</v>
      </c>
      <c r="C898" s="38" t="n">
        <f aca="false">E898*Scorecard!$D$18+F898*Scorecard!$D$19+G898*Scorecard!$D$20+H898*Scorecard!$D$21+I898*Scorecard!$D$22+J898*Scorecard!$D$23</f>
        <v>2.69048165902319</v>
      </c>
      <c r="D898" s="0" t="str">
        <f aca="false">IF(AND(B898&gt;=C898,B898&gt;=K898),"A. Distribution",IF(C898&gt;=K898,"B. Manufacturing","C. Prof. services"))</f>
        <v>A. Distribution</v>
      </c>
      <c r="E898" s="39" t="n">
        <v>0.0194968621598734</v>
      </c>
      <c r="F898" s="39" t="n">
        <v>0.211400760333948</v>
      </c>
      <c r="G898" s="39" t="n">
        <v>0.0979422574128766</v>
      </c>
      <c r="H898" s="39" t="n">
        <v>0.135878912078419</v>
      </c>
      <c r="I898" s="39" t="n">
        <v>0.418347179922451</v>
      </c>
      <c r="J898" s="39" t="n">
        <v>0.116934028092431</v>
      </c>
      <c r="K898" s="38" t="n">
        <f aca="false">E898*Scorecard!$E$18+F898*Scorecard!$E$19+G898*Scorecard!$E$20+H898*Scorecard!$E$21+I898*Scorecard!$E$22+J898*Scorecard!$E$23</f>
        <v>3.05430434497638</v>
      </c>
      <c r="M898" s="0" t="str">
        <f aca="false">IF(AND(T898&gt;=U898,T898&gt;=V898),"A. Distribution",IF(U898&gt;=V898,"B. Manufacturing","C. Prof. services"))</f>
        <v>A. Distribution</v>
      </c>
      <c r="N898" s="39" t="n">
        <v>0.224183383730284</v>
      </c>
      <c r="O898" s="39" t="n">
        <v>0.0855262960113047</v>
      </c>
      <c r="P898" s="39" t="n">
        <v>0.250900134650994</v>
      </c>
      <c r="Q898" s="39" t="n">
        <v>0.196778146475905</v>
      </c>
      <c r="R898" s="39" t="n">
        <v>0.172356520605264</v>
      </c>
      <c r="S898" s="39" t="n">
        <v>0.070255518526249</v>
      </c>
      <c r="T898" s="38" t="n">
        <f aca="false">N898*Scorecard!$C$18+O898*Scorecard!$C$19+P898*Scorecard!$C$20+Q898*Scorecard!$C$21+R898*Scorecard!$C$22+S898*Scorecard!$C$23</f>
        <v>3.90581333802412</v>
      </c>
      <c r="U898" s="38" t="n">
        <f aca="false">N898*Scorecard!$D$18+O898*Scorecard!$D$19+P898*Scorecard!$D$20+Q898*Scorecard!$D$21+R898*Scorecard!$D$22+S898*Scorecard!$D$23</f>
        <v>2.75109790535154</v>
      </c>
      <c r="V898" s="38" t="n">
        <f aca="false">N898*Scorecard!$E$18+O898*Scorecard!$E$19+P898*Scorecard!$E$20+Q898*Scorecard!$E$21+R898*Scorecard!$E$22+S898*Scorecard!$E$23</f>
        <v>3.46916840319865</v>
      </c>
    </row>
    <row r="899" customFormat="false" ht="15" hidden="false" customHeight="false" outlineLevel="0" collapsed="false">
      <c r="A899" s="0" t="n">
        <v>894</v>
      </c>
      <c r="B899" s="38" t="n">
        <f aca="false">E899*Scorecard!$C$18+F899*Scorecard!$C$19+G899*Scorecard!$C$20+H899*Scorecard!$C$21+I899*Scorecard!$C$22+J899*Scorecard!$C$23</f>
        <v>4.21305663029725</v>
      </c>
      <c r="C899" s="38" t="n">
        <f aca="false">E899*Scorecard!$D$18+F899*Scorecard!$D$19+G899*Scorecard!$D$20+H899*Scorecard!$D$21+I899*Scorecard!$D$22+J899*Scorecard!$D$23</f>
        <v>2.60697286001295</v>
      </c>
      <c r="D899" s="0" t="str">
        <f aca="false">IF(AND(B899&gt;=C899,B899&gt;=K899),"A. Distribution",IF(C899&gt;=K899,"B. Manufacturing","C. Prof. services"))</f>
        <v>A. Distribution</v>
      </c>
      <c r="E899" s="39" t="n">
        <v>0.135158836018505</v>
      </c>
      <c r="F899" s="39" t="n">
        <v>0.31180842460312</v>
      </c>
      <c r="G899" s="39" t="n">
        <v>0.121569529594808</v>
      </c>
      <c r="H899" s="39" t="n">
        <v>0.346397526336019</v>
      </c>
      <c r="I899" s="39" t="n">
        <v>0.059777787974987</v>
      </c>
      <c r="J899" s="39" t="n">
        <v>0.0252878954725617</v>
      </c>
      <c r="K899" s="38" t="n">
        <f aca="false">E899*Scorecard!$E$18+F899*Scorecard!$E$19+G899*Scorecard!$E$20+H899*Scorecard!$E$21+I899*Scorecard!$E$22+J899*Scorecard!$E$23</f>
        <v>3.35939321489426</v>
      </c>
      <c r="M899" s="0" t="str">
        <f aca="false">IF(AND(T899&gt;=U899,T899&gt;=V899),"A. Distribution",IF(U899&gt;=V899,"B. Manufacturing","C. Prof. services"))</f>
        <v>A. Distribution</v>
      </c>
      <c r="N899" s="39" t="n">
        <v>0.300488781495545</v>
      </c>
      <c r="O899" s="39" t="n">
        <v>0.112852945851789</v>
      </c>
      <c r="P899" s="39" t="n">
        <v>0.267537588260104</v>
      </c>
      <c r="Q899" s="39" t="n">
        <v>0.0765291842521944</v>
      </c>
      <c r="R899" s="39" t="n">
        <v>0.19855359849051</v>
      </c>
      <c r="S899" s="39" t="n">
        <v>0.0440379016498584</v>
      </c>
      <c r="T899" s="38" t="n">
        <f aca="false">N899*Scorecard!$C$18+O899*Scorecard!$C$19+P899*Scorecard!$C$20+Q899*Scorecard!$C$21+R899*Scorecard!$C$22+S899*Scorecard!$C$23</f>
        <v>3.99240580379831</v>
      </c>
      <c r="U899" s="38" t="n">
        <f aca="false">N899*Scorecard!$D$18+O899*Scorecard!$D$19+P899*Scorecard!$D$20+Q899*Scorecard!$D$21+R899*Scorecard!$D$22+S899*Scorecard!$D$23</f>
        <v>2.93285893344847</v>
      </c>
      <c r="V899" s="38" t="n">
        <f aca="false">N899*Scorecard!$E$18+O899*Scorecard!$E$19+P899*Scorecard!$E$20+Q899*Scorecard!$E$21+R899*Scorecard!$E$22+S899*Scorecard!$E$23</f>
        <v>3.38090798230946</v>
      </c>
    </row>
    <row r="900" customFormat="false" ht="15" hidden="false" customHeight="false" outlineLevel="0" collapsed="false">
      <c r="A900" s="0" t="n">
        <v>895</v>
      </c>
      <c r="B900" s="38" t="n">
        <f aca="false">E900*Scorecard!$C$18+F900*Scorecard!$C$19+G900*Scorecard!$C$20+H900*Scorecard!$C$21+I900*Scorecard!$C$22+J900*Scorecard!$C$23</f>
        <v>3.92499979132134</v>
      </c>
      <c r="C900" s="38" t="n">
        <f aca="false">E900*Scorecard!$D$18+F900*Scorecard!$D$19+G900*Scorecard!$D$20+H900*Scorecard!$D$21+I900*Scorecard!$D$22+J900*Scorecard!$D$23</f>
        <v>2.47072285840133</v>
      </c>
      <c r="D900" s="0" t="str">
        <f aca="false">IF(AND(B900&gt;=C900,B900&gt;=K900),"A. Distribution",IF(C900&gt;=K900,"B. Manufacturing","C. Prof. services"))</f>
        <v>A. Distribution</v>
      </c>
      <c r="E900" s="39" t="n">
        <v>0.0372961798491866</v>
      </c>
      <c r="F900" s="39" t="n">
        <v>0.104501997016567</v>
      </c>
      <c r="G900" s="39" t="n">
        <v>0.0316498808714997</v>
      </c>
      <c r="H900" s="39" t="n">
        <v>0.637142024753297</v>
      </c>
      <c r="I900" s="39" t="n">
        <v>0.135482223125215</v>
      </c>
      <c r="J900" s="39" t="n">
        <v>0.0539276943842352</v>
      </c>
      <c r="K900" s="38" t="n">
        <f aca="false">E900*Scorecard!$E$18+F900*Scorecard!$E$19+G900*Scorecard!$E$20+H900*Scorecard!$E$21+I900*Scorecard!$E$22+J900*Scorecard!$E$23</f>
        <v>3.44919021573308</v>
      </c>
      <c r="M900" s="0" t="str">
        <f aca="false">IF(AND(T900&gt;=U900,T900&gt;=V900),"A. Distribution",IF(U900&gt;=V900,"B. Manufacturing","C. Prof. services"))</f>
        <v>A. Distribution</v>
      </c>
      <c r="N900" s="39" t="n">
        <v>0.186535664960951</v>
      </c>
      <c r="O900" s="39" t="n">
        <v>0.247050902345493</v>
      </c>
      <c r="P900" s="39" t="n">
        <v>0.247452160189048</v>
      </c>
      <c r="Q900" s="39" t="n">
        <v>0.179526087101317</v>
      </c>
      <c r="R900" s="39" t="n">
        <v>0.0972264871586566</v>
      </c>
      <c r="S900" s="39" t="n">
        <v>0.0422086982445342</v>
      </c>
      <c r="T900" s="38" t="n">
        <f aca="false">N900*Scorecard!$C$18+O900*Scorecard!$C$19+P900*Scorecard!$C$20+Q900*Scorecard!$C$21+R900*Scorecard!$C$22+S900*Scorecard!$C$23</f>
        <v>4.12831311825037</v>
      </c>
      <c r="U900" s="38" t="n">
        <f aca="false">N900*Scorecard!$D$18+O900*Scorecard!$D$19+P900*Scorecard!$D$20+Q900*Scorecard!$D$21+R900*Scorecard!$D$22+S900*Scorecard!$D$23</f>
        <v>2.66931336423053</v>
      </c>
      <c r="V900" s="38" t="n">
        <f aca="false">N900*Scorecard!$E$18+O900*Scorecard!$E$19+P900*Scorecard!$E$20+Q900*Scorecard!$E$21+R900*Scorecard!$E$22+S900*Scorecard!$E$23</f>
        <v>3.41174137830779</v>
      </c>
    </row>
    <row r="901" customFormat="false" ht="15" hidden="false" customHeight="false" outlineLevel="0" collapsed="false">
      <c r="A901" s="0" t="n">
        <v>896</v>
      </c>
      <c r="B901" s="38" t="n">
        <f aca="false">E901*Scorecard!$C$18+F901*Scorecard!$C$19+G901*Scorecard!$C$20+H901*Scorecard!$C$21+I901*Scorecard!$C$22+J901*Scorecard!$C$23</f>
        <v>3.91127922116756</v>
      </c>
      <c r="C901" s="38" t="n">
        <f aca="false">E901*Scorecard!$D$18+F901*Scorecard!$D$19+G901*Scorecard!$D$20+H901*Scorecard!$D$21+I901*Scorecard!$D$22+J901*Scorecard!$D$23</f>
        <v>3.55891499443618</v>
      </c>
      <c r="D901" s="0" t="str">
        <f aca="false">IF(AND(B901&gt;=C901,B901&gt;=K901),"A. Distribution",IF(C901&gt;=K901,"B. Manufacturing","C. Prof. services"))</f>
        <v>A. Distribution</v>
      </c>
      <c r="E901" s="39" t="n">
        <v>0.646037455068694</v>
      </c>
      <c r="F901" s="39" t="n">
        <v>0.0607359902619417</v>
      </c>
      <c r="G901" s="39" t="n">
        <v>0.00141830816545972</v>
      </c>
      <c r="H901" s="39" t="n">
        <v>0.0849269938246854</v>
      </c>
      <c r="I901" s="39" t="n">
        <v>0.162662465722429</v>
      </c>
      <c r="J901" s="39" t="n">
        <v>0.0442187869567906</v>
      </c>
      <c r="K901" s="38" t="n">
        <f aca="false">E901*Scorecard!$E$18+F901*Scorecard!$E$19+G901*Scorecard!$E$20+H901*Scorecard!$E$21+I901*Scorecard!$E$22+J901*Scorecard!$E$23</f>
        <v>3.32759866893326</v>
      </c>
      <c r="M901" s="0" t="str">
        <f aca="false">IF(AND(T901&gt;=U901,T901&gt;=V901),"A. Distribution",IF(U901&gt;=V901,"B. Manufacturing","C. Prof. services"))</f>
        <v>A. Distribution</v>
      </c>
      <c r="N901" s="39" t="n">
        <v>0.0469326936584733</v>
      </c>
      <c r="O901" s="39" t="n">
        <v>0.158284524376037</v>
      </c>
      <c r="P901" s="39" t="n">
        <v>0.251038035298459</v>
      </c>
      <c r="Q901" s="39" t="n">
        <v>0.164941562753701</v>
      </c>
      <c r="R901" s="39" t="n">
        <v>0.321015398162583</v>
      </c>
      <c r="S901" s="39" t="n">
        <v>0.0577877857507473</v>
      </c>
      <c r="T901" s="38" t="n">
        <f aca="false">N901*Scorecard!$C$18+O901*Scorecard!$C$19+P901*Scorecard!$C$20+Q901*Scorecard!$C$21+R901*Scorecard!$C$22+S901*Scorecard!$C$23</f>
        <v>4.02116832823154</v>
      </c>
      <c r="U901" s="38" t="n">
        <f aca="false">N901*Scorecard!$D$18+O901*Scorecard!$D$19+P901*Scorecard!$D$20+Q901*Scorecard!$D$21+R901*Scorecard!$D$22+S901*Scorecard!$D$23</f>
        <v>2.62614617348307</v>
      </c>
      <c r="V901" s="38" t="n">
        <f aca="false">N901*Scorecard!$E$18+O901*Scorecard!$E$19+P901*Scorecard!$E$20+Q901*Scorecard!$E$21+R901*Scorecard!$E$22+S901*Scorecard!$E$23</f>
        <v>3.22722660660166</v>
      </c>
    </row>
    <row r="902" customFormat="false" ht="15" hidden="false" customHeight="false" outlineLevel="0" collapsed="false">
      <c r="A902" s="0" t="n">
        <v>897</v>
      </c>
      <c r="B902" s="38" t="n">
        <f aca="false">E902*Scorecard!$C$18+F902*Scorecard!$C$19+G902*Scorecard!$C$20+H902*Scorecard!$C$21+I902*Scorecard!$C$22+J902*Scorecard!$C$23</f>
        <v>4.13724915878601</v>
      </c>
      <c r="C902" s="38" t="n">
        <f aca="false">E902*Scorecard!$D$18+F902*Scorecard!$D$19+G902*Scorecard!$D$20+H902*Scorecard!$D$21+I902*Scorecard!$D$22+J902*Scorecard!$D$23</f>
        <v>2.55467082419764</v>
      </c>
      <c r="D902" s="0" t="str">
        <f aca="false">IF(AND(B902&gt;=C902,B902&gt;=K902),"A. Distribution",IF(C902&gt;=K902,"B. Manufacturing","C. Prof. services"))</f>
        <v>A. Distribution</v>
      </c>
      <c r="E902" s="39" t="n">
        <v>0.0144806009435957</v>
      </c>
      <c r="F902" s="39" t="n">
        <v>0.381613908182667</v>
      </c>
      <c r="G902" s="39" t="n">
        <v>0.0716709880437083</v>
      </c>
      <c r="H902" s="39" t="n">
        <v>0.17353166225167</v>
      </c>
      <c r="I902" s="39" t="n">
        <v>0.246450835450432</v>
      </c>
      <c r="J902" s="39" t="n">
        <v>0.112252005127927</v>
      </c>
      <c r="K902" s="38" t="n">
        <f aca="false">E902*Scorecard!$E$18+F902*Scorecard!$E$19+G902*Scorecard!$E$20+H902*Scorecard!$E$21+I902*Scorecard!$E$22+J902*Scorecard!$E$23</f>
        <v>3.12517992589561</v>
      </c>
      <c r="M902" s="0" t="str">
        <f aca="false">IF(AND(T902&gt;=U902,T902&gt;=V902),"A. Distribution",IF(U902&gt;=V902,"B. Manufacturing","C. Prof. services"))</f>
        <v>A. Distribution</v>
      </c>
      <c r="N902" s="39" t="n">
        <v>0.306495681333462</v>
      </c>
      <c r="O902" s="39" t="n">
        <v>0.153212876381419</v>
      </c>
      <c r="P902" s="39" t="n">
        <v>0.101690764689164</v>
      </c>
      <c r="Q902" s="39" t="n">
        <v>0.134573231718859</v>
      </c>
      <c r="R902" s="39" t="n">
        <v>0.152706938237223</v>
      </c>
      <c r="S902" s="39" t="n">
        <v>0.151320507639874</v>
      </c>
      <c r="T902" s="38" t="n">
        <f aca="false">N902*Scorecard!$C$18+O902*Scorecard!$C$19+P902*Scorecard!$C$20+Q902*Scorecard!$C$21+R902*Scorecard!$C$22+S902*Scorecard!$C$23</f>
        <v>3.81146396757612</v>
      </c>
      <c r="U902" s="38" t="n">
        <f aca="false">N902*Scorecard!$D$18+O902*Scorecard!$D$19+P902*Scorecard!$D$20+Q902*Scorecard!$D$21+R902*Scorecard!$D$22+S902*Scorecard!$D$23</f>
        <v>2.86859232585507</v>
      </c>
      <c r="V902" s="38" t="n">
        <f aca="false">N902*Scorecard!$E$18+O902*Scorecard!$E$19+P902*Scorecard!$E$20+Q902*Scorecard!$E$21+R902*Scorecard!$E$22+S902*Scorecard!$E$23</f>
        <v>3.44072667003464</v>
      </c>
    </row>
    <row r="903" customFormat="false" ht="15" hidden="false" customHeight="false" outlineLevel="0" collapsed="false">
      <c r="A903" s="0" t="n">
        <v>898</v>
      </c>
      <c r="B903" s="38" t="n">
        <f aca="false">E903*Scorecard!$C$18+F903*Scorecard!$C$19+G903*Scorecard!$C$20+H903*Scorecard!$C$21+I903*Scorecard!$C$22+J903*Scorecard!$C$23</f>
        <v>3.8502207517941</v>
      </c>
      <c r="C903" s="38" t="n">
        <f aca="false">E903*Scorecard!$D$18+F903*Scorecard!$D$19+G903*Scorecard!$D$20+H903*Scorecard!$D$21+I903*Scorecard!$D$22+J903*Scorecard!$D$23</f>
        <v>2.507875181309</v>
      </c>
      <c r="D903" s="0" t="str">
        <f aca="false">IF(AND(B903&gt;=C903,B903&gt;=K903),"A. Distribution",IF(C903&gt;=K903,"B. Manufacturing","C. Prof. services"))</f>
        <v>A. Distribution</v>
      </c>
      <c r="E903" s="39" t="n">
        <v>0.110443328743011</v>
      </c>
      <c r="F903" s="39" t="n">
        <v>0.098015501018384</v>
      </c>
      <c r="G903" s="39" t="n">
        <v>0.41327776349091</v>
      </c>
      <c r="H903" s="39" t="n">
        <v>0.0560822970047319</v>
      </c>
      <c r="I903" s="39" t="n">
        <v>0.205738754505089</v>
      </c>
      <c r="J903" s="39" t="n">
        <v>0.116442355237874</v>
      </c>
      <c r="K903" s="38" t="n">
        <f aca="false">E903*Scorecard!$E$18+F903*Scorecard!$E$19+G903*Scorecard!$E$20+H903*Scorecard!$E$21+I903*Scorecard!$E$22+J903*Scorecard!$E$23</f>
        <v>3.52458206778458</v>
      </c>
      <c r="M903" s="0" t="str">
        <f aca="false">IF(AND(T903&gt;=U903,T903&gt;=V903),"A. Distribution",IF(U903&gt;=V903,"B. Manufacturing","C. Prof. services"))</f>
        <v>A. Distribution</v>
      </c>
      <c r="N903" s="39" t="n">
        <v>0.139527200937126</v>
      </c>
      <c r="O903" s="39" t="n">
        <v>0.197251639788696</v>
      </c>
      <c r="P903" s="39" t="n">
        <v>0.176471028509893</v>
      </c>
      <c r="Q903" s="39" t="n">
        <v>0.108739107702368</v>
      </c>
      <c r="R903" s="39" t="n">
        <v>0.261449050660506</v>
      </c>
      <c r="S903" s="39" t="n">
        <v>0.116561972401411</v>
      </c>
      <c r="T903" s="38" t="n">
        <f aca="false">N903*Scorecard!$C$18+O903*Scorecard!$C$19+P903*Scorecard!$C$20+Q903*Scorecard!$C$21+R903*Scorecard!$C$22+S903*Scorecard!$C$23</f>
        <v>3.94120880377414</v>
      </c>
      <c r="U903" s="38" t="n">
        <f aca="false">N903*Scorecard!$D$18+O903*Scorecard!$D$19+P903*Scorecard!$D$20+Q903*Scorecard!$D$21+R903*Scorecard!$D$22+S903*Scorecard!$D$23</f>
        <v>2.70890747019786</v>
      </c>
      <c r="V903" s="38" t="n">
        <f aca="false">N903*Scorecard!$E$18+O903*Scorecard!$E$19+P903*Scorecard!$E$20+Q903*Scorecard!$E$21+R903*Scorecard!$E$22+S903*Scorecard!$E$23</f>
        <v>3.28139614763575</v>
      </c>
    </row>
    <row r="904" customFormat="false" ht="15" hidden="false" customHeight="false" outlineLevel="0" collapsed="false">
      <c r="A904" s="0" t="n">
        <v>899</v>
      </c>
      <c r="B904" s="38" t="n">
        <f aca="false">E904*Scorecard!$C$18+F904*Scorecard!$C$19+G904*Scorecard!$C$20+H904*Scorecard!$C$21+I904*Scorecard!$C$22+J904*Scorecard!$C$23</f>
        <v>4.00286092564917</v>
      </c>
      <c r="C904" s="38" t="n">
        <f aca="false">E904*Scorecard!$D$18+F904*Scorecard!$D$19+G904*Scorecard!$D$20+H904*Scorecard!$D$21+I904*Scorecard!$D$22+J904*Scorecard!$D$23</f>
        <v>2.39685844746211</v>
      </c>
      <c r="D904" s="0" t="str">
        <f aca="false">IF(AND(B904&gt;=C904,B904&gt;=K904),"A. Distribution",IF(C904&gt;=K904,"B. Manufacturing","C. Prof. services"))</f>
        <v>A. Distribution</v>
      </c>
      <c r="E904" s="39" t="n">
        <v>0.0224917369144403</v>
      </c>
      <c r="F904" s="39" t="n">
        <v>0.235220032911211</v>
      </c>
      <c r="G904" s="39" t="n">
        <v>0.350018064738483</v>
      </c>
      <c r="H904" s="39" t="n">
        <v>0.0901567745876736</v>
      </c>
      <c r="I904" s="39" t="n">
        <v>0.191693954375303</v>
      </c>
      <c r="J904" s="39" t="n">
        <v>0.110419436472889</v>
      </c>
      <c r="K904" s="38" t="n">
        <f aca="false">E904*Scorecard!$E$18+F904*Scorecard!$E$19+G904*Scorecard!$E$20+H904*Scorecard!$E$21+I904*Scorecard!$E$22+J904*Scorecard!$E$23</f>
        <v>3.41379315935415</v>
      </c>
      <c r="M904" s="0" t="str">
        <f aca="false">IF(AND(T904&gt;=U904,T904&gt;=V904),"A. Distribution",IF(U904&gt;=V904,"B. Manufacturing","C. Prof. services"))</f>
        <v>A. Distribution</v>
      </c>
      <c r="N904" s="39" t="n">
        <v>0.0923694583557829</v>
      </c>
      <c r="O904" s="39" t="n">
        <v>0.299596092733083</v>
      </c>
      <c r="P904" s="39" t="n">
        <v>0.127172266236785</v>
      </c>
      <c r="Q904" s="39" t="n">
        <v>0.215069090824609</v>
      </c>
      <c r="R904" s="39" t="n">
        <v>0.0894718459104497</v>
      </c>
      <c r="S904" s="39" t="n">
        <v>0.17632124593929</v>
      </c>
      <c r="T904" s="38" t="n">
        <f aca="false">N904*Scorecard!$C$18+O904*Scorecard!$C$19+P904*Scorecard!$C$20+Q904*Scorecard!$C$21+R904*Scorecard!$C$22+S904*Scorecard!$C$23</f>
        <v>3.91636373448606</v>
      </c>
      <c r="U904" s="38" t="n">
        <f aca="false">N904*Scorecard!$D$18+O904*Scorecard!$D$19+P904*Scorecard!$D$20+Q904*Scorecard!$D$21+R904*Scorecard!$D$22+S904*Scorecard!$D$23</f>
        <v>2.43961639654785</v>
      </c>
      <c r="V904" s="38" t="n">
        <f aca="false">N904*Scorecard!$E$18+O904*Scorecard!$E$19+P904*Scorecard!$E$20+Q904*Scorecard!$E$21+R904*Scorecard!$E$22+S904*Scorecard!$E$23</f>
        <v>3.46436668944017</v>
      </c>
    </row>
    <row r="905" customFormat="false" ht="15" hidden="false" customHeight="false" outlineLevel="0" collapsed="false">
      <c r="A905" s="0" t="n">
        <v>900</v>
      </c>
      <c r="B905" s="38" t="n">
        <f aca="false">E905*Scorecard!$C$18+F905*Scorecard!$C$19+G905*Scorecard!$C$20+H905*Scorecard!$C$21+I905*Scorecard!$C$22+J905*Scorecard!$C$23</f>
        <v>3.92363319739607</v>
      </c>
      <c r="C905" s="38" t="n">
        <f aca="false">E905*Scorecard!$D$18+F905*Scorecard!$D$19+G905*Scorecard!$D$20+H905*Scorecard!$D$21+I905*Scorecard!$D$22+J905*Scorecard!$D$23</f>
        <v>2.39004584027264</v>
      </c>
      <c r="D905" s="0" t="str">
        <f aca="false">IF(AND(B905&gt;=C905,B905&gt;=K905),"A. Distribution",IF(C905&gt;=K905,"B. Manufacturing","C. Prof. services"))</f>
        <v>A. Distribution</v>
      </c>
      <c r="E905" s="39" t="n">
        <v>0.00256487318433599</v>
      </c>
      <c r="F905" s="39" t="n">
        <v>0.0512802523032095</v>
      </c>
      <c r="G905" s="39" t="n">
        <v>0.0584798358000381</v>
      </c>
      <c r="H905" s="39" t="n">
        <v>0.75248050444502</v>
      </c>
      <c r="I905" s="39" t="n">
        <v>0.112014077464008</v>
      </c>
      <c r="J905" s="39" t="n">
        <v>0.0231804568033881</v>
      </c>
      <c r="K905" s="38" t="n">
        <f aca="false">E905*Scorecard!$E$18+F905*Scorecard!$E$19+G905*Scorecard!$E$20+H905*Scorecard!$E$21+I905*Scorecard!$E$22+J905*Scorecard!$E$23</f>
        <v>3.51619441675185</v>
      </c>
      <c r="M905" s="0" t="str">
        <f aca="false">IF(AND(T905&gt;=U905,T905&gt;=V905),"A. Distribution",IF(U905&gt;=V905,"B. Manufacturing","C. Prof. services"))</f>
        <v>C. Prof. services</v>
      </c>
      <c r="N905" s="39" t="n">
        <v>0.101854261812939</v>
      </c>
      <c r="O905" s="39" t="n">
        <v>0.139868065164127</v>
      </c>
      <c r="P905" s="39" t="n">
        <v>0.29497459503749</v>
      </c>
      <c r="Q905" s="39" t="n">
        <v>0.157418929197404</v>
      </c>
      <c r="R905" s="39" t="n">
        <v>0.0757779149978464</v>
      </c>
      <c r="S905" s="39" t="n">
        <v>0.230106233790194</v>
      </c>
      <c r="T905" s="38" t="n">
        <f aca="false">N905*Scorecard!$C$18+O905*Scorecard!$C$19+P905*Scorecard!$C$20+Q905*Scorecard!$C$21+R905*Scorecard!$C$22+S905*Scorecard!$C$23</f>
        <v>3.65451606570875</v>
      </c>
      <c r="U905" s="38" t="n">
        <f aca="false">N905*Scorecard!$D$18+O905*Scorecard!$D$19+P905*Scorecard!$D$20+Q905*Scorecard!$D$21+R905*Scorecard!$D$22+S905*Scorecard!$D$23</f>
        <v>2.31218010327061</v>
      </c>
      <c r="V905" s="38" t="n">
        <f aca="false">N905*Scorecard!$E$18+O905*Scorecard!$E$19+P905*Scorecard!$E$20+Q905*Scorecard!$E$21+R905*Scorecard!$E$22+S905*Scorecard!$E$23</f>
        <v>3.71913819923492</v>
      </c>
    </row>
    <row r="906" customFormat="false" ht="15" hidden="false" customHeight="false" outlineLevel="0" collapsed="false">
      <c r="A906" s="0" t="n">
        <v>901</v>
      </c>
      <c r="B906" s="38" t="n">
        <f aca="false">E906*Scorecard!$C$18+F906*Scorecard!$C$19+G906*Scorecard!$C$20+H906*Scorecard!$C$21+I906*Scorecard!$C$22+J906*Scorecard!$C$23</f>
        <v>3.87641169181528</v>
      </c>
      <c r="C906" s="38" t="n">
        <f aca="false">E906*Scorecard!$D$18+F906*Scorecard!$D$19+G906*Scorecard!$D$20+H906*Scorecard!$D$21+I906*Scorecard!$D$22+J906*Scorecard!$D$23</f>
        <v>2.54724094170733</v>
      </c>
      <c r="D906" s="0" t="str">
        <f aca="false">IF(AND(B906&gt;=C906,B906&gt;=K906),"A. Distribution",IF(C906&gt;=K906,"B. Manufacturing","C. Prof. services"))</f>
        <v>A. Distribution</v>
      </c>
      <c r="E906" s="39" t="n">
        <v>0.0831265775595513</v>
      </c>
      <c r="F906" s="39" t="n">
        <v>0.0183861488861474</v>
      </c>
      <c r="G906" s="39" t="n">
        <v>0.30778345241694</v>
      </c>
      <c r="H906" s="39" t="n">
        <v>0.312286808748834</v>
      </c>
      <c r="I906" s="39" t="n">
        <v>0.22759130958348</v>
      </c>
      <c r="J906" s="39" t="n">
        <v>0.0508257028050486</v>
      </c>
      <c r="K906" s="38" t="n">
        <f aca="false">E906*Scorecard!$E$18+F906*Scorecard!$E$19+G906*Scorecard!$E$20+H906*Scorecard!$E$21+I906*Scorecard!$E$22+J906*Scorecard!$E$23</f>
        <v>3.48040253079757</v>
      </c>
      <c r="M906" s="0" t="str">
        <f aca="false">IF(AND(T906&gt;=U906,T906&gt;=V906),"A. Distribution",IF(U906&gt;=V906,"B. Manufacturing","C. Prof. services"))</f>
        <v>A. Distribution</v>
      </c>
      <c r="N906" s="39" t="n">
        <v>0.176900406021799</v>
      </c>
      <c r="O906" s="39" t="n">
        <v>0.189431469532457</v>
      </c>
      <c r="P906" s="39" t="n">
        <v>0.196657366215058</v>
      </c>
      <c r="Q906" s="39" t="n">
        <v>0.212309665427624</v>
      </c>
      <c r="R906" s="39" t="n">
        <v>0.131708988946833</v>
      </c>
      <c r="S906" s="39" t="n">
        <v>0.0929921038562292</v>
      </c>
      <c r="T906" s="38" t="n">
        <f aca="false">N906*Scorecard!$C$18+O906*Scorecard!$C$19+P906*Scorecard!$C$20+Q906*Scorecard!$C$21+R906*Scorecard!$C$22+S906*Scorecard!$C$23</f>
        <v>3.96636800824791</v>
      </c>
      <c r="U906" s="38" t="n">
        <f aca="false">N906*Scorecard!$D$18+O906*Scorecard!$D$19+P906*Scorecard!$D$20+Q906*Scorecard!$D$21+R906*Scorecard!$D$22+S906*Scorecard!$D$23</f>
        <v>2.64945570598779</v>
      </c>
      <c r="V906" s="38" t="n">
        <f aca="false">N906*Scorecard!$E$18+O906*Scorecard!$E$19+P906*Scorecard!$E$20+Q906*Scorecard!$E$21+R906*Scorecard!$E$22+S906*Scorecard!$E$23</f>
        <v>3.44263532017219</v>
      </c>
    </row>
    <row r="907" customFormat="false" ht="15" hidden="false" customHeight="false" outlineLevel="0" collapsed="false">
      <c r="A907" s="0" t="n">
        <v>902</v>
      </c>
      <c r="B907" s="38" t="n">
        <f aca="false">E907*Scorecard!$C$18+F907*Scorecard!$C$19+G907*Scorecard!$C$20+H907*Scorecard!$C$21+I907*Scorecard!$C$22+J907*Scorecard!$C$23</f>
        <v>3.68995203772298</v>
      </c>
      <c r="C907" s="38" t="n">
        <f aca="false">E907*Scorecard!$D$18+F907*Scorecard!$D$19+G907*Scorecard!$D$20+H907*Scorecard!$D$21+I907*Scorecard!$D$22+J907*Scorecard!$D$23</f>
        <v>2.10447786751864</v>
      </c>
      <c r="D907" s="0" t="str">
        <f aca="false">IF(AND(B907&gt;=C907,B907&gt;=K907),"A. Distribution",IF(C907&gt;=K907,"B. Manufacturing","C. Prof. services"))</f>
        <v>C. Prof. services</v>
      </c>
      <c r="E907" s="39" t="n">
        <v>0.00927898324042926</v>
      </c>
      <c r="F907" s="39" t="n">
        <v>0.0735551030722295</v>
      </c>
      <c r="G907" s="39" t="n">
        <v>0.383389739112034</v>
      </c>
      <c r="H907" s="39" t="n">
        <v>0.333246515284158</v>
      </c>
      <c r="I907" s="39" t="n">
        <v>0.0270543702077864</v>
      </c>
      <c r="J907" s="39" t="n">
        <v>0.173475289083364</v>
      </c>
      <c r="K907" s="38" t="n">
        <f aca="false">E907*Scorecard!$E$18+F907*Scorecard!$E$19+G907*Scorecard!$E$20+H907*Scorecard!$E$21+I907*Scorecard!$E$22+J907*Scorecard!$E$23</f>
        <v>3.84008066050045</v>
      </c>
      <c r="M907" s="0" t="str">
        <f aca="false">IF(AND(T907&gt;=U907,T907&gt;=V907),"A. Distribution",IF(U907&gt;=V907,"B. Manufacturing","C. Prof. services"))</f>
        <v>A. Distribution</v>
      </c>
      <c r="N907" s="39" t="n">
        <v>0.292906594840971</v>
      </c>
      <c r="O907" s="39" t="n">
        <v>0.277818244619442</v>
      </c>
      <c r="P907" s="39" t="n">
        <v>0.172280274891098</v>
      </c>
      <c r="Q907" s="39" t="n">
        <v>0.127727518535899</v>
      </c>
      <c r="R907" s="39" t="n">
        <v>0.0303007564079172</v>
      </c>
      <c r="S907" s="39" t="n">
        <v>0.0989666107046733</v>
      </c>
      <c r="T907" s="38" t="n">
        <f aca="false">N907*Scorecard!$C$18+O907*Scorecard!$C$19+P907*Scorecard!$C$20+Q907*Scorecard!$C$21+R907*Scorecard!$C$22+S907*Scorecard!$C$23</f>
        <v>4.04260578318395</v>
      </c>
      <c r="U907" s="38" t="n">
        <f aca="false">N907*Scorecard!$D$18+O907*Scorecard!$D$19+P907*Scorecard!$D$20+Q907*Scorecard!$D$21+R907*Scorecard!$D$22+S907*Scorecard!$D$23</f>
        <v>2.76808748502355</v>
      </c>
      <c r="V907" s="38" t="n">
        <f aca="false">N907*Scorecard!$E$18+O907*Scorecard!$E$19+P907*Scorecard!$E$20+Q907*Scorecard!$E$21+R907*Scorecard!$E$22+S907*Scorecard!$E$23</f>
        <v>3.47864220718873</v>
      </c>
    </row>
    <row r="908" customFormat="false" ht="15" hidden="false" customHeight="false" outlineLevel="0" collapsed="false">
      <c r="A908" s="0" t="n">
        <v>903</v>
      </c>
      <c r="B908" s="38" t="n">
        <f aca="false">E908*Scorecard!$C$18+F908*Scorecard!$C$19+G908*Scorecard!$C$20+H908*Scorecard!$C$21+I908*Scorecard!$C$22+J908*Scorecard!$C$23</f>
        <v>4.15314648118325</v>
      </c>
      <c r="C908" s="38" t="n">
        <f aca="false">E908*Scorecard!$D$18+F908*Scorecard!$D$19+G908*Scorecard!$D$20+H908*Scorecard!$D$21+I908*Scorecard!$D$22+J908*Scorecard!$D$23</f>
        <v>2.6495066046051</v>
      </c>
      <c r="D908" s="0" t="str">
        <f aca="false">IF(AND(B908&gt;=C908,B908&gt;=K908),"A. Distribution",IF(C908&gt;=K908,"B. Manufacturing","C. Prof. services"))</f>
        <v>A. Distribution</v>
      </c>
      <c r="E908" s="39" t="n">
        <v>0.163348843787059</v>
      </c>
      <c r="F908" s="39" t="n">
        <v>0.297491467344873</v>
      </c>
      <c r="G908" s="39" t="n">
        <v>0.308504771825849</v>
      </c>
      <c r="H908" s="39" t="n">
        <v>0.0274430807980866</v>
      </c>
      <c r="I908" s="39" t="n">
        <v>0.139075222869595</v>
      </c>
      <c r="J908" s="39" t="n">
        <v>0.0641366133745381</v>
      </c>
      <c r="K908" s="38" t="n">
        <f aca="false">E908*Scorecard!$E$18+F908*Scorecard!$E$19+G908*Scorecard!$E$20+H908*Scorecard!$E$21+I908*Scorecard!$E$22+J908*Scorecard!$E$23</f>
        <v>3.35399456890486</v>
      </c>
      <c r="M908" s="0" t="str">
        <f aca="false">IF(AND(T908&gt;=U908,T908&gt;=V908),"A. Distribution",IF(U908&gt;=V908,"B. Manufacturing","C. Prof. services"))</f>
        <v>A. Distribution</v>
      </c>
      <c r="N908" s="39" t="n">
        <v>0.24929699654601</v>
      </c>
      <c r="O908" s="39" t="n">
        <v>0.150470449709473</v>
      </c>
      <c r="P908" s="39" t="n">
        <v>0.298968802927626</v>
      </c>
      <c r="Q908" s="39" t="n">
        <v>0.0509738310337283</v>
      </c>
      <c r="R908" s="39" t="n">
        <v>0.0825851101530977</v>
      </c>
      <c r="S908" s="39" t="n">
        <v>0.167704809630065</v>
      </c>
      <c r="T908" s="38" t="n">
        <f aca="false">N908*Scorecard!$C$18+O908*Scorecard!$C$19+P908*Scorecard!$C$20+Q908*Scorecard!$C$21+R908*Scorecard!$C$22+S908*Scorecard!$C$23</f>
        <v>3.78955311915961</v>
      </c>
      <c r="U908" s="38" t="n">
        <f aca="false">N908*Scorecard!$D$18+O908*Scorecard!$D$19+P908*Scorecard!$D$20+Q908*Scorecard!$D$21+R908*Scorecard!$D$22+S908*Scorecard!$D$23</f>
        <v>2.62528830427086</v>
      </c>
      <c r="V908" s="38" t="n">
        <f aca="false">N908*Scorecard!$E$18+O908*Scorecard!$E$19+P908*Scorecard!$E$20+Q908*Scorecard!$E$21+R908*Scorecard!$E$22+S908*Scorecard!$E$23</f>
        <v>3.62501190255921</v>
      </c>
    </row>
    <row r="909" customFormat="false" ht="15" hidden="false" customHeight="false" outlineLevel="0" collapsed="false">
      <c r="A909" s="0" t="n">
        <v>904</v>
      </c>
      <c r="B909" s="38" t="n">
        <f aca="false">E909*Scorecard!$C$18+F909*Scorecard!$C$19+G909*Scorecard!$C$20+H909*Scorecard!$C$21+I909*Scorecard!$C$22+J909*Scorecard!$C$23</f>
        <v>3.17932686013776</v>
      </c>
      <c r="C909" s="38" t="n">
        <f aca="false">E909*Scorecard!$D$18+F909*Scorecard!$D$19+G909*Scorecard!$D$20+H909*Scorecard!$D$21+I909*Scorecard!$D$22+J909*Scorecard!$D$23</f>
        <v>2.42249786596061</v>
      </c>
      <c r="D909" s="0" t="str">
        <f aca="false">IF(AND(B909&gt;=C909,B909&gt;=K909),"A. Distribution",IF(C909&gt;=K909,"B. Manufacturing","C. Prof. services"))</f>
        <v>C. Prof. services</v>
      </c>
      <c r="E909" s="39" t="n">
        <v>0.192245380029125</v>
      </c>
      <c r="F909" s="39" t="n">
        <v>0.0406327824635066</v>
      </c>
      <c r="G909" s="39" t="n">
        <v>0.0938678956956187</v>
      </c>
      <c r="H909" s="39" t="n">
        <v>0.117045688546616</v>
      </c>
      <c r="I909" s="39" t="n">
        <v>0.13957854339679</v>
      </c>
      <c r="J909" s="39" t="n">
        <v>0.416629709868343</v>
      </c>
      <c r="K909" s="38" t="n">
        <f aca="false">E909*Scorecard!$E$18+F909*Scorecard!$E$19+G909*Scorecard!$E$20+H909*Scorecard!$E$21+I909*Scorecard!$E$22+J909*Scorecard!$E$23</f>
        <v>3.79270063083282</v>
      </c>
      <c r="M909" s="0" t="str">
        <f aca="false">IF(AND(T909&gt;=U909,T909&gt;=V909),"A. Distribution",IF(U909&gt;=V909,"B. Manufacturing","C. Prof. services"))</f>
        <v>A. Distribution</v>
      </c>
      <c r="N909" s="39" t="n">
        <v>0.302676898375507</v>
      </c>
      <c r="O909" s="39" t="n">
        <v>0.0964587204603399</v>
      </c>
      <c r="P909" s="39" t="n">
        <v>0.105140668473636</v>
      </c>
      <c r="Q909" s="39" t="n">
        <v>0.214053880487324</v>
      </c>
      <c r="R909" s="39" t="n">
        <v>0.193254947948124</v>
      </c>
      <c r="S909" s="39" t="n">
        <v>0.0884148842550697</v>
      </c>
      <c r="T909" s="38" t="n">
        <f aca="false">N909*Scorecard!$C$18+O909*Scorecard!$C$19+P909*Scorecard!$C$20+Q909*Scorecard!$C$21+R909*Scorecard!$C$22+S909*Scorecard!$C$23</f>
        <v>3.87226356963641</v>
      </c>
      <c r="U909" s="38" t="n">
        <f aca="false">N909*Scorecard!$D$18+O909*Scorecard!$D$19+P909*Scorecard!$D$20+Q909*Scorecard!$D$21+R909*Scorecard!$D$22+S909*Scorecard!$D$23</f>
        <v>2.93954164018896</v>
      </c>
      <c r="V909" s="38" t="n">
        <f aca="false">N909*Scorecard!$E$18+O909*Scorecard!$E$19+P909*Scorecard!$E$20+Q909*Scorecard!$E$21+R909*Scorecard!$E$22+S909*Scorecard!$E$23</f>
        <v>3.38545062748256</v>
      </c>
    </row>
    <row r="910" customFormat="false" ht="15" hidden="false" customHeight="false" outlineLevel="0" collapsed="false">
      <c r="A910" s="0" t="n">
        <v>905</v>
      </c>
      <c r="B910" s="38" t="n">
        <f aca="false">E910*Scorecard!$C$18+F910*Scorecard!$C$19+G910*Scorecard!$C$20+H910*Scorecard!$C$21+I910*Scorecard!$C$22+J910*Scorecard!$C$23</f>
        <v>4.0640985503312</v>
      </c>
      <c r="C910" s="38" t="n">
        <f aca="false">E910*Scorecard!$D$18+F910*Scorecard!$D$19+G910*Scorecard!$D$20+H910*Scorecard!$D$21+I910*Scorecard!$D$22+J910*Scorecard!$D$23</f>
        <v>2.24316930762093</v>
      </c>
      <c r="D910" s="0" t="str">
        <f aca="false">IF(AND(B910&gt;=C910,B910&gt;=K910),"A. Distribution",IF(C910&gt;=K910,"B. Manufacturing","C. Prof. services"))</f>
        <v>A. Distribution</v>
      </c>
      <c r="E910" s="39" t="n">
        <v>0.00189370108368434</v>
      </c>
      <c r="F910" s="39" t="n">
        <v>0.450356938766765</v>
      </c>
      <c r="G910" s="39" t="n">
        <v>0.146452299184646</v>
      </c>
      <c r="H910" s="39" t="n">
        <v>0.191449742280481</v>
      </c>
      <c r="I910" s="39" t="n">
        <v>0.0271085550771248</v>
      </c>
      <c r="J910" s="39" t="n">
        <v>0.182738763607298</v>
      </c>
      <c r="K910" s="38" t="n">
        <f aca="false">E910*Scorecard!$E$18+F910*Scorecard!$E$19+G910*Scorecard!$E$20+H910*Scorecard!$E$21+I910*Scorecard!$E$22+J910*Scorecard!$E$23</f>
        <v>3.44425730264031</v>
      </c>
      <c r="M910" s="0" t="str">
        <f aca="false">IF(AND(T910&gt;=U910,T910&gt;=V910),"A. Distribution",IF(U910&gt;=V910,"B. Manufacturing","C. Prof. services"))</f>
        <v>A. Distribution</v>
      </c>
      <c r="N910" s="39" t="n">
        <v>0.318673266738912</v>
      </c>
      <c r="O910" s="39" t="n">
        <v>0.14357716087971</v>
      </c>
      <c r="P910" s="39" t="n">
        <v>0.0687999725837852</v>
      </c>
      <c r="Q910" s="39" t="n">
        <v>0.193390333236362</v>
      </c>
      <c r="R910" s="39" t="n">
        <v>0.213871997714954</v>
      </c>
      <c r="S910" s="39" t="n">
        <v>0.0616872688462774</v>
      </c>
      <c r="T910" s="38" t="n">
        <f aca="false">N910*Scorecard!$C$18+O910*Scorecard!$C$19+P910*Scorecard!$C$20+Q910*Scorecard!$C$21+R910*Scorecard!$C$22+S910*Scorecard!$C$23</f>
        <v>3.9737794534379</v>
      </c>
      <c r="U910" s="38" t="n">
        <f aca="false">N910*Scorecard!$D$18+O910*Scorecard!$D$19+P910*Scorecard!$D$20+Q910*Scorecard!$D$21+R910*Scorecard!$D$22+S910*Scorecard!$D$23</f>
        <v>3.03168495825346</v>
      </c>
      <c r="V910" s="38" t="n">
        <f aca="false">N910*Scorecard!$E$18+O910*Scorecard!$E$19+P910*Scorecard!$E$20+Q910*Scorecard!$E$21+R910*Scorecard!$E$22+S910*Scorecard!$E$23</f>
        <v>3.28015851042069</v>
      </c>
    </row>
    <row r="911" customFormat="false" ht="15" hidden="false" customHeight="false" outlineLevel="0" collapsed="false">
      <c r="A911" s="0" t="n">
        <v>906</v>
      </c>
      <c r="B911" s="38" t="n">
        <f aca="false">E911*Scorecard!$C$18+F911*Scorecard!$C$19+G911*Scorecard!$C$20+H911*Scorecard!$C$21+I911*Scorecard!$C$22+J911*Scorecard!$C$23</f>
        <v>2.70528554631396</v>
      </c>
      <c r="C911" s="38" t="n">
        <f aca="false">E911*Scorecard!$D$18+F911*Scorecard!$D$19+G911*Scorecard!$D$20+H911*Scorecard!$D$21+I911*Scorecard!$D$22+J911*Scorecard!$D$23</f>
        <v>1.91399219892787</v>
      </c>
      <c r="D911" s="0" t="str">
        <f aca="false">IF(AND(B911&gt;=C911,B911&gt;=K911),"A. Distribution",IF(C911&gt;=K911,"B. Manufacturing","C. Prof. services"))</f>
        <v>C. Prof. services</v>
      </c>
      <c r="E911" s="39" t="n">
        <v>0.0901130541188694</v>
      </c>
      <c r="F911" s="39" t="n">
        <v>0.0260249685057763</v>
      </c>
      <c r="G911" s="39" t="n">
        <v>0.173446275260666</v>
      </c>
      <c r="H911" s="39" t="n">
        <v>0.0268481729286635</v>
      </c>
      <c r="I911" s="39" t="n">
        <v>0.0282617143922576</v>
      </c>
      <c r="J911" s="39" t="n">
        <v>0.655305814793768</v>
      </c>
      <c r="K911" s="38" t="n">
        <f aca="false">E911*Scorecard!$E$18+F911*Scorecard!$E$19+G911*Scorecard!$E$20+H911*Scorecard!$E$21+I911*Scorecard!$E$22+J911*Scorecard!$E$23</f>
        <v>4.19560047552091</v>
      </c>
      <c r="M911" s="0" t="str">
        <f aca="false">IF(AND(T911&gt;=U911,T911&gt;=V911),"A. Distribution",IF(U911&gt;=V911,"B. Manufacturing","C. Prof. services"))</f>
        <v>A. Distribution</v>
      </c>
      <c r="N911" s="39" t="n">
        <v>0.130066625470352</v>
      </c>
      <c r="O911" s="39" t="n">
        <v>0.0804230790979853</v>
      </c>
      <c r="P911" s="39" t="n">
        <v>0.21726664555049</v>
      </c>
      <c r="Q911" s="39" t="n">
        <v>0.188732154271952</v>
      </c>
      <c r="R911" s="39" t="n">
        <v>0.252650054188956</v>
      </c>
      <c r="S911" s="39" t="n">
        <v>0.130861441420266</v>
      </c>
      <c r="T911" s="38" t="n">
        <f aca="false">N911*Scorecard!$C$18+O911*Scorecard!$C$19+P911*Scorecard!$C$20+Q911*Scorecard!$C$21+R911*Scorecard!$C$22+S911*Scorecard!$C$23</f>
        <v>3.7879215664017</v>
      </c>
      <c r="U911" s="38" t="n">
        <f aca="false">N911*Scorecard!$D$18+O911*Scorecard!$D$19+P911*Scorecard!$D$20+Q911*Scorecard!$D$21+R911*Scorecard!$D$22+S911*Scorecard!$D$23</f>
        <v>2.63236584367365</v>
      </c>
      <c r="V911" s="38" t="n">
        <f aca="false">N911*Scorecard!$E$18+O911*Scorecard!$E$19+P911*Scorecard!$E$20+Q911*Scorecard!$E$21+R911*Scorecard!$E$22+S911*Scorecard!$E$23</f>
        <v>3.4214366384707</v>
      </c>
    </row>
    <row r="912" customFormat="false" ht="15" hidden="false" customHeight="false" outlineLevel="0" collapsed="false">
      <c r="A912" s="0" t="n">
        <v>907</v>
      </c>
      <c r="B912" s="38" t="n">
        <f aca="false">E912*Scorecard!$C$18+F912*Scorecard!$C$19+G912*Scorecard!$C$20+H912*Scorecard!$C$21+I912*Scorecard!$C$22+J912*Scorecard!$C$23</f>
        <v>4.34397109417702</v>
      </c>
      <c r="C912" s="38" t="n">
        <f aca="false">E912*Scorecard!$D$18+F912*Scorecard!$D$19+G912*Scorecard!$D$20+H912*Scorecard!$D$21+I912*Scorecard!$D$22+J912*Scorecard!$D$23</f>
        <v>2.77820320736469</v>
      </c>
      <c r="D912" s="0" t="str">
        <f aca="false">IF(AND(B912&gt;=C912,B912&gt;=K912),"A. Distribution",IF(C912&gt;=K912,"B. Manufacturing","C. Prof. services"))</f>
        <v>A. Distribution</v>
      </c>
      <c r="E912" s="39" t="n">
        <v>0.221472943007354</v>
      </c>
      <c r="F912" s="39" t="n">
        <v>0.50238215494627</v>
      </c>
      <c r="G912" s="39" t="n">
        <v>0.0210770721285032</v>
      </c>
      <c r="H912" s="39" t="n">
        <v>0.156278527282786</v>
      </c>
      <c r="I912" s="39" t="n">
        <v>0.0368939975831523</v>
      </c>
      <c r="J912" s="39" t="n">
        <v>0.0618953050519346</v>
      </c>
      <c r="K912" s="38" t="n">
        <f aca="false">E912*Scorecard!$E$18+F912*Scorecard!$E$19+G912*Scorecard!$E$20+H912*Scorecard!$E$21+I912*Scorecard!$E$22+J912*Scorecard!$E$23</f>
        <v>3.20704832587877</v>
      </c>
      <c r="M912" s="0" t="str">
        <f aca="false">IF(AND(T912&gt;=U912,T912&gt;=V912),"A. Distribution",IF(U912&gt;=V912,"B. Manufacturing","C. Prof. services"))</f>
        <v>A. Distribution</v>
      </c>
      <c r="N912" s="39" t="n">
        <v>0.142775719811146</v>
      </c>
      <c r="O912" s="39" t="n">
        <v>0.194218959964419</v>
      </c>
      <c r="P912" s="39" t="n">
        <v>0.270543944049787</v>
      </c>
      <c r="Q912" s="39" t="n">
        <v>0.154123408728032</v>
      </c>
      <c r="R912" s="39" t="n">
        <v>0.198101329692023</v>
      </c>
      <c r="S912" s="39" t="n">
        <v>0.0402366377545927</v>
      </c>
      <c r="T912" s="38" t="n">
        <f aca="false">N912*Scorecard!$C$18+O912*Scorecard!$C$19+P912*Scorecard!$C$20+Q912*Scorecard!$C$21+R912*Scorecard!$C$22+S912*Scorecard!$C$23</f>
        <v>4.08567579508263</v>
      </c>
      <c r="U912" s="38" t="n">
        <f aca="false">N912*Scorecard!$D$18+O912*Scorecard!$D$19+P912*Scorecard!$D$20+Q912*Scorecard!$D$21+R912*Scorecard!$D$22+S912*Scorecard!$D$23</f>
        <v>2.6808392189466</v>
      </c>
      <c r="V912" s="38" t="n">
        <f aca="false">N912*Scorecard!$E$18+O912*Scorecard!$E$19+P912*Scorecard!$E$20+Q912*Scorecard!$E$21+R912*Scorecard!$E$22+S912*Scorecard!$E$23</f>
        <v>3.33597208053569</v>
      </c>
    </row>
    <row r="913" customFormat="false" ht="15" hidden="false" customHeight="false" outlineLevel="0" collapsed="false">
      <c r="A913" s="0" t="n">
        <v>908</v>
      </c>
      <c r="B913" s="38" t="n">
        <f aca="false">E913*Scorecard!$C$18+F913*Scorecard!$C$19+G913*Scorecard!$C$20+H913*Scorecard!$C$21+I913*Scorecard!$C$22+J913*Scorecard!$C$23</f>
        <v>3.96731718807391</v>
      </c>
      <c r="C913" s="38" t="n">
        <f aca="false">E913*Scorecard!$D$18+F913*Scorecard!$D$19+G913*Scorecard!$D$20+H913*Scorecard!$D$21+I913*Scorecard!$D$22+J913*Scorecard!$D$23</f>
        <v>2.45699253826429</v>
      </c>
      <c r="D913" s="0" t="str">
        <f aca="false">IF(AND(B913&gt;=C913,B913&gt;=K913),"A. Distribution",IF(C913&gt;=K913,"B. Manufacturing","C. Prof. services"))</f>
        <v>A. Distribution</v>
      </c>
      <c r="E913" s="39" t="n">
        <v>0.176555611973432</v>
      </c>
      <c r="F913" s="39" t="n">
        <v>0.0577206936761958</v>
      </c>
      <c r="G913" s="39" t="n">
        <v>0.653642192419585</v>
      </c>
      <c r="H913" s="39" t="n">
        <v>0.0110186299287411</v>
      </c>
      <c r="I913" s="39" t="n">
        <v>0.0635422911897456</v>
      </c>
      <c r="J913" s="39" t="n">
        <v>0.0375205808123009</v>
      </c>
      <c r="K913" s="38" t="n">
        <f aca="false">E913*Scorecard!$E$18+F913*Scorecard!$E$19+G913*Scorecard!$E$20+H913*Scorecard!$E$21+I913*Scorecard!$E$22+J913*Scorecard!$E$23</f>
        <v>3.75197226046472</v>
      </c>
      <c r="M913" s="0" t="str">
        <f aca="false">IF(AND(T913&gt;=U913,T913&gt;=V913),"A. Distribution",IF(U913&gt;=V913,"B. Manufacturing","C. Prof. services"))</f>
        <v>A. Distribution</v>
      </c>
      <c r="N913" s="39" t="n">
        <v>0.201258027363286</v>
      </c>
      <c r="O913" s="39" t="n">
        <v>0.183106960467301</v>
      </c>
      <c r="P913" s="39" t="n">
        <v>0.134983821672511</v>
      </c>
      <c r="Q913" s="39" t="n">
        <v>0.186152081366612</v>
      </c>
      <c r="R913" s="39" t="n">
        <v>0.268275305421226</v>
      </c>
      <c r="S913" s="39" t="n">
        <v>0.0262238037090649</v>
      </c>
      <c r="T913" s="38" t="n">
        <f aca="false">N913*Scorecard!$C$18+O913*Scorecard!$C$19+P913*Scorecard!$C$20+Q913*Scorecard!$C$21+R913*Scorecard!$C$22+S913*Scorecard!$C$23</f>
        <v>4.09444299972161</v>
      </c>
      <c r="U913" s="38" t="n">
        <f aca="false">N913*Scorecard!$D$18+O913*Scorecard!$D$19+P913*Scorecard!$D$20+Q913*Scorecard!$D$21+R913*Scorecard!$D$22+S913*Scorecard!$D$23</f>
        <v>2.90321120891328</v>
      </c>
      <c r="V913" s="38" t="n">
        <f aca="false">N913*Scorecard!$E$18+O913*Scorecard!$E$19+P913*Scorecard!$E$20+Q913*Scorecard!$E$21+R913*Scorecard!$E$22+S913*Scorecard!$E$23</f>
        <v>3.18557322519713</v>
      </c>
    </row>
    <row r="914" customFormat="false" ht="15" hidden="false" customHeight="false" outlineLevel="0" collapsed="false">
      <c r="A914" s="0" t="n">
        <v>909</v>
      </c>
      <c r="B914" s="38" t="n">
        <f aca="false">E914*Scorecard!$C$18+F914*Scorecard!$C$19+G914*Scorecard!$C$20+H914*Scorecard!$C$21+I914*Scorecard!$C$22+J914*Scorecard!$C$23</f>
        <v>3.75175745431093</v>
      </c>
      <c r="C914" s="38" t="n">
        <f aca="false">E914*Scorecard!$D$18+F914*Scorecard!$D$19+G914*Scorecard!$D$20+H914*Scorecard!$D$21+I914*Scorecard!$D$22+J914*Scorecard!$D$23</f>
        <v>2.59182559052455</v>
      </c>
      <c r="D914" s="0" t="str">
        <f aca="false">IF(AND(B914&gt;=C914,B914&gt;=K914),"A. Distribution",IF(C914&gt;=K914,"B. Manufacturing","C. Prof. services"))</f>
        <v>A. Distribution</v>
      </c>
      <c r="E914" s="39" t="n">
        <v>0.0863147510942004</v>
      </c>
      <c r="F914" s="39" t="n">
        <v>0.075725267951591</v>
      </c>
      <c r="G914" s="39" t="n">
        <v>0.282831668930631</v>
      </c>
      <c r="H914" s="39" t="n">
        <v>0.0769194246870984</v>
      </c>
      <c r="I914" s="39" t="n">
        <v>0.323834003453597</v>
      </c>
      <c r="J914" s="39" t="n">
        <v>0.154374883882882</v>
      </c>
      <c r="K914" s="38" t="n">
        <f aca="false">E914*Scorecard!$E$18+F914*Scorecard!$E$19+G914*Scorecard!$E$20+H914*Scorecard!$E$21+I914*Scorecard!$E$22+J914*Scorecard!$E$23</f>
        <v>3.37861409630856</v>
      </c>
      <c r="M914" s="0" t="str">
        <f aca="false">IF(AND(T914&gt;=U914,T914&gt;=V914),"A. Distribution",IF(U914&gt;=V914,"B. Manufacturing","C. Prof. services"))</f>
        <v>A. Distribution</v>
      </c>
      <c r="N914" s="39" t="n">
        <v>0.117516131044742</v>
      </c>
      <c r="O914" s="39" t="n">
        <v>0.238978007045051</v>
      </c>
      <c r="P914" s="39" t="n">
        <v>0.260711682767264</v>
      </c>
      <c r="Q914" s="39" t="n">
        <v>0.198320623432591</v>
      </c>
      <c r="R914" s="39" t="n">
        <v>0.144142890566585</v>
      </c>
      <c r="S914" s="39" t="n">
        <v>0.0403306651437677</v>
      </c>
      <c r="T914" s="38" t="n">
        <f aca="false">N914*Scorecard!$C$18+O914*Scorecard!$C$19+P914*Scorecard!$C$20+Q914*Scorecard!$C$21+R914*Scorecard!$C$22+S914*Scorecard!$C$23</f>
        <v>4.12751252240569</v>
      </c>
      <c r="U914" s="38" t="n">
        <f aca="false">N914*Scorecard!$D$18+O914*Scorecard!$D$19+P914*Scorecard!$D$20+Q914*Scorecard!$D$21+R914*Scorecard!$D$22+S914*Scorecard!$D$23</f>
        <v>2.59437280461116</v>
      </c>
      <c r="V914" s="38" t="n">
        <f aca="false">N914*Scorecard!$E$18+O914*Scorecard!$E$19+P914*Scorecard!$E$20+Q914*Scorecard!$E$21+R914*Scorecard!$E$22+S914*Scorecard!$E$23</f>
        <v>3.37061980579063</v>
      </c>
    </row>
    <row r="915" customFormat="false" ht="15" hidden="false" customHeight="false" outlineLevel="0" collapsed="false">
      <c r="A915" s="0" t="n">
        <v>910</v>
      </c>
      <c r="B915" s="38" t="n">
        <f aca="false">E915*Scorecard!$C$18+F915*Scorecard!$C$19+G915*Scorecard!$C$20+H915*Scorecard!$C$21+I915*Scorecard!$C$22+J915*Scorecard!$C$23</f>
        <v>3.54404484473409</v>
      </c>
      <c r="C915" s="38" t="n">
        <f aca="false">E915*Scorecard!$D$18+F915*Scorecard!$D$19+G915*Scorecard!$D$20+H915*Scorecard!$D$21+I915*Scorecard!$D$22+J915*Scorecard!$D$23</f>
        <v>2.35706964319177</v>
      </c>
      <c r="D915" s="0" t="str">
        <f aca="false">IF(AND(B915&gt;=C915,B915&gt;=K915),"A. Distribution",IF(C915&gt;=K915,"B. Manufacturing","C. Prof. services"))</f>
        <v>C. Prof. services</v>
      </c>
      <c r="E915" s="39" t="n">
        <v>0.125859403213968</v>
      </c>
      <c r="F915" s="39" t="n">
        <v>0.026488075906189</v>
      </c>
      <c r="G915" s="39" t="n">
        <v>0.31066069543465</v>
      </c>
      <c r="H915" s="39" t="n">
        <v>0.206547674168144</v>
      </c>
      <c r="I915" s="39" t="n">
        <v>0.105402774833682</v>
      </c>
      <c r="J915" s="39" t="n">
        <v>0.225041376443367</v>
      </c>
      <c r="K915" s="38" t="n">
        <f aca="false">E915*Scorecard!$E$18+F915*Scorecard!$E$19+G915*Scorecard!$E$20+H915*Scorecard!$E$21+I915*Scorecard!$E$22+J915*Scorecard!$E$23</f>
        <v>3.77469510907515</v>
      </c>
      <c r="M915" s="0" t="str">
        <f aca="false">IF(AND(T915&gt;=U915,T915&gt;=V915),"A. Distribution",IF(U915&gt;=V915,"B. Manufacturing","C. Prof. services"))</f>
        <v>A. Distribution</v>
      </c>
      <c r="N915" s="39" t="n">
        <v>0.192319921972896</v>
      </c>
      <c r="O915" s="39" t="n">
        <v>0.205962289823347</v>
      </c>
      <c r="P915" s="39" t="n">
        <v>0.185360077837466</v>
      </c>
      <c r="Q915" s="39" t="n">
        <v>0.152955906051002</v>
      </c>
      <c r="R915" s="39" t="n">
        <v>0.174071279270602</v>
      </c>
      <c r="S915" s="39" t="n">
        <v>0.0893305250446874</v>
      </c>
      <c r="T915" s="38" t="n">
        <f aca="false">N915*Scorecard!$C$18+O915*Scorecard!$C$19+P915*Scorecard!$C$20+Q915*Scorecard!$C$21+R915*Scorecard!$C$22+S915*Scorecard!$C$23</f>
        <v>3.99537940540453</v>
      </c>
      <c r="U915" s="38" t="n">
        <f aca="false">N915*Scorecard!$D$18+O915*Scorecard!$D$19+P915*Scorecard!$D$20+Q915*Scorecard!$D$21+R915*Scorecard!$D$22+S915*Scorecard!$D$23</f>
        <v>2.73037779582517</v>
      </c>
      <c r="V915" s="38" t="n">
        <f aca="false">N915*Scorecard!$E$18+O915*Scorecard!$E$19+P915*Scorecard!$E$20+Q915*Scorecard!$E$21+R915*Scorecard!$E$22+S915*Scorecard!$E$23</f>
        <v>3.36214148137726</v>
      </c>
    </row>
    <row r="916" customFormat="false" ht="15" hidden="false" customHeight="false" outlineLevel="0" collapsed="false">
      <c r="A916" s="0" t="n">
        <v>911</v>
      </c>
      <c r="B916" s="38" t="n">
        <f aca="false">E916*Scorecard!$C$18+F916*Scorecard!$C$19+G916*Scorecard!$C$20+H916*Scorecard!$C$21+I916*Scorecard!$C$22+J916*Scorecard!$C$23</f>
        <v>3.3040074022718</v>
      </c>
      <c r="C916" s="38" t="n">
        <f aca="false">E916*Scorecard!$D$18+F916*Scorecard!$D$19+G916*Scorecard!$D$20+H916*Scorecard!$D$21+I916*Scorecard!$D$22+J916*Scorecard!$D$23</f>
        <v>2.46090223939473</v>
      </c>
      <c r="D916" s="0" t="str">
        <f aca="false">IF(AND(B916&gt;=C916,B916&gt;=K916),"A. Distribution",IF(C916&gt;=K916,"B. Manufacturing","C. Prof. services"))</f>
        <v>C. Prof. services</v>
      </c>
      <c r="E916" s="39" t="n">
        <v>0.206428940481877</v>
      </c>
      <c r="F916" s="39" t="n">
        <v>0.00185778044684471</v>
      </c>
      <c r="G916" s="39" t="n">
        <v>0.195956157710123</v>
      </c>
      <c r="H916" s="39" t="n">
        <v>0.13540446767787</v>
      </c>
      <c r="I916" s="39" t="n">
        <v>0.127009176643525</v>
      </c>
      <c r="J916" s="39" t="n">
        <v>0.33334347703976</v>
      </c>
      <c r="K916" s="38" t="n">
        <f aca="false">E916*Scorecard!$E$18+F916*Scorecard!$E$19+G916*Scorecard!$E$20+H916*Scorecard!$E$21+I916*Scorecard!$E$22+J916*Scorecard!$E$23</f>
        <v>3.80526272301051</v>
      </c>
      <c r="M916" s="0" t="str">
        <f aca="false">IF(AND(T916&gt;=U916,T916&gt;=V916),"A. Distribution",IF(U916&gt;=V916,"B. Manufacturing","C. Prof. services"))</f>
        <v>A. Distribution</v>
      </c>
      <c r="N916" s="39" t="n">
        <v>0.126184790512955</v>
      </c>
      <c r="O916" s="39" t="n">
        <v>0.163877177236784</v>
      </c>
      <c r="P916" s="39" t="n">
        <v>0.188529239542482</v>
      </c>
      <c r="Q916" s="39" t="n">
        <v>0.125757228208126</v>
      </c>
      <c r="R916" s="39" t="n">
        <v>0.297143217879695</v>
      </c>
      <c r="S916" s="39" t="n">
        <v>0.0985083466199593</v>
      </c>
      <c r="T916" s="38" t="n">
        <f aca="false">N916*Scorecard!$C$18+O916*Scorecard!$C$19+P916*Scorecard!$C$20+Q916*Scorecard!$C$21+R916*Scorecard!$C$22+S916*Scorecard!$C$23</f>
        <v>3.94317909937598</v>
      </c>
      <c r="U916" s="38" t="n">
        <f aca="false">N916*Scorecard!$D$18+O916*Scorecard!$D$19+P916*Scorecard!$D$20+Q916*Scorecard!$D$21+R916*Scorecard!$D$22+S916*Scorecard!$D$23</f>
        <v>2.72582071834986</v>
      </c>
      <c r="V916" s="38" t="n">
        <f aca="false">N916*Scorecard!$E$18+O916*Scorecard!$E$19+P916*Scorecard!$E$20+Q916*Scorecard!$E$21+R916*Scorecard!$E$22+S916*Scorecard!$E$23</f>
        <v>3.25387929128029</v>
      </c>
    </row>
    <row r="917" customFormat="false" ht="15" hidden="false" customHeight="false" outlineLevel="0" collapsed="false">
      <c r="A917" s="0" t="n">
        <v>912</v>
      </c>
      <c r="B917" s="38" t="n">
        <f aca="false">E917*Scorecard!$C$18+F917*Scorecard!$C$19+G917*Scorecard!$C$20+H917*Scorecard!$C$21+I917*Scorecard!$C$22+J917*Scorecard!$C$23</f>
        <v>3.72997629431939</v>
      </c>
      <c r="C917" s="38" t="n">
        <f aca="false">E917*Scorecard!$D$18+F917*Scorecard!$D$19+G917*Scorecard!$D$20+H917*Scorecard!$D$21+I917*Scorecard!$D$22+J917*Scorecard!$D$23</f>
        <v>2.18180348818194</v>
      </c>
      <c r="D917" s="0" t="str">
        <f aca="false">IF(AND(B917&gt;=C917,B917&gt;=K917),"A. Distribution",IF(C917&gt;=K917,"B. Manufacturing","C. Prof. services"))</f>
        <v>A. Distribution</v>
      </c>
      <c r="E917" s="39" t="n">
        <v>0.022200081950893</v>
      </c>
      <c r="F917" s="39" t="n">
        <v>0.35659494520482</v>
      </c>
      <c r="G917" s="39" t="n">
        <v>0.165442420921827</v>
      </c>
      <c r="H917" s="39" t="n">
        <v>0.0922863081147007</v>
      </c>
      <c r="I917" s="39" t="n">
        <v>0.0560300567489978</v>
      </c>
      <c r="J917" s="39" t="n">
        <v>0.307446187058762</v>
      </c>
      <c r="K917" s="38" t="n">
        <f aca="false">E917*Scorecard!$E$18+F917*Scorecard!$E$19+G917*Scorecard!$E$20+H917*Scorecard!$E$21+I917*Scorecard!$E$22+J917*Scorecard!$E$23</f>
        <v>3.59277309870646</v>
      </c>
      <c r="M917" s="0" t="str">
        <f aca="false">IF(AND(T917&gt;=U917,T917&gt;=V917),"A. Distribution",IF(U917&gt;=V917,"B. Manufacturing","C. Prof. services"))</f>
        <v>A. Distribution</v>
      </c>
      <c r="N917" s="39" t="n">
        <v>0.244689334564092</v>
      </c>
      <c r="O917" s="39" t="n">
        <v>0.173725460803789</v>
      </c>
      <c r="P917" s="39" t="n">
        <v>0.175499646485618</v>
      </c>
      <c r="Q917" s="39" t="n">
        <v>0.154348530436954</v>
      </c>
      <c r="R917" s="39" t="n">
        <v>0.156702053366179</v>
      </c>
      <c r="S917" s="39" t="n">
        <v>0.0950349743433681</v>
      </c>
      <c r="T917" s="38" t="n">
        <f aca="false">N917*Scorecard!$C$18+O917*Scorecard!$C$19+P917*Scorecard!$C$20+Q917*Scorecard!$C$21+R917*Scorecard!$C$22+S917*Scorecard!$C$23</f>
        <v>3.94737905061228</v>
      </c>
      <c r="U917" s="38" t="n">
        <f aca="false">N917*Scorecard!$D$18+O917*Scorecard!$D$19+P917*Scorecard!$D$20+Q917*Scorecard!$D$21+R917*Scorecard!$D$22+S917*Scorecard!$D$23</f>
        <v>2.79365500112755</v>
      </c>
      <c r="V917" s="38" t="n">
        <f aca="false">N917*Scorecard!$E$18+O917*Scorecard!$E$19+P917*Scorecard!$E$20+Q917*Scorecard!$E$21+R917*Scorecard!$E$22+S917*Scorecard!$E$23</f>
        <v>3.40583928253395</v>
      </c>
    </row>
    <row r="918" customFormat="false" ht="15" hidden="false" customHeight="false" outlineLevel="0" collapsed="false">
      <c r="A918" s="0" t="n">
        <v>913</v>
      </c>
      <c r="B918" s="38" t="n">
        <f aca="false">E918*Scorecard!$C$18+F918*Scorecard!$C$19+G918*Scorecard!$C$20+H918*Scorecard!$C$21+I918*Scorecard!$C$22+J918*Scorecard!$C$23</f>
        <v>3.83124142494523</v>
      </c>
      <c r="C918" s="38" t="n">
        <f aca="false">E918*Scorecard!$D$18+F918*Scorecard!$D$19+G918*Scorecard!$D$20+H918*Scorecard!$D$21+I918*Scorecard!$D$22+J918*Scorecard!$D$23</f>
        <v>2.23760670935963</v>
      </c>
      <c r="D918" s="0" t="str">
        <f aca="false">IF(AND(B918&gt;=C918,B918&gt;=K918),"A. Distribution",IF(C918&gt;=K918,"B. Manufacturing","C. Prof. services"))</f>
        <v>A. Distribution</v>
      </c>
      <c r="E918" s="39" t="n">
        <v>0.0304447695481666</v>
      </c>
      <c r="F918" s="39" t="n">
        <v>0.366308500515944</v>
      </c>
      <c r="G918" s="39" t="n">
        <v>0.078669606252796</v>
      </c>
      <c r="H918" s="39" t="n">
        <v>0.243309500485503</v>
      </c>
      <c r="I918" s="39" t="n">
        <v>0.0280646122716795</v>
      </c>
      <c r="J918" s="39" t="n">
        <v>0.253203010925912</v>
      </c>
      <c r="K918" s="38" t="n">
        <f aca="false">E918*Scorecard!$E$18+F918*Scorecard!$E$19+G918*Scorecard!$E$20+H918*Scorecard!$E$21+I918*Scorecard!$E$22+J918*Scorecard!$E$23</f>
        <v>3.54713138034895</v>
      </c>
      <c r="M918" s="0" t="str">
        <f aca="false">IF(AND(T918&gt;=U918,T918&gt;=V918),"A. Distribution",IF(U918&gt;=V918,"B. Manufacturing","C. Prof. services"))</f>
        <v>A. Distribution</v>
      </c>
      <c r="N918" s="39" t="n">
        <v>0.186629340343371</v>
      </c>
      <c r="O918" s="39" t="n">
        <v>0.236769118553092</v>
      </c>
      <c r="P918" s="39" t="n">
        <v>0.207691034686987</v>
      </c>
      <c r="Q918" s="39" t="n">
        <v>0.151287696198947</v>
      </c>
      <c r="R918" s="39" t="n">
        <v>0.0733559947541532</v>
      </c>
      <c r="S918" s="39" t="n">
        <v>0.14426681546345</v>
      </c>
      <c r="T918" s="38" t="n">
        <f aca="false">N918*Scorecard!$C$18+O918*Scorecard!$C$19+P918*Scorecard!$C$20+Q918*Scorecard!$C$21+R918*Scorecard!$C$22+S918*Scorecard!$C$23</f>
        <v>3.9169502823162</v>
      </c>
      <c r="U918" s="38" t="n">
        <f aca="false">N918*Scorecard!$D$18+O918*Scorecard!$D$19+P918*Scorecard!$D$20+Q918*Scorecard!$D$21+R918*Scorecard!$D$22+S918*Scorecard!$D$23</f>
        <v>2.5729465383992</v>
      </c>
      <c r="V918" s="38" t="n">
        <f aca="false">N918*Scorecard!$E$18+O918*Scorecard!$E$19+P918*Scorecard!$E$20+Q918*Scorecard!$E$21+R918*Scorecard!$E$22+S918*Scorecard!$E$23</f>
        <v>3.52403567363526</v>
      </c>
    </row>
    <row r="919" customFormat="false" ht="15" hidden="false" customHeight="false" outlineLevel="0" collapsed="false">
      <c r="A919" s="0" t="n">
        <v>914</v>
      </c>
      <c r="B919" s="38" t="n">
        <f aca="false">E919*Scorecard!$C$18+F919*Scorecard!$C$19+G919*Scorecard!$C$20+H919*Scorecard!$C$21+I919*Scorecard!$C$22+J919*Scorecard!$C$23</f>
        <v>3.28737673648692</v>
      </c>
      <c r="C919" s="38" t="n">
        <f aca="false">E919*Scorecard!$D$18+F919*Scorecard!$D$19+G919*Scorecard!$D$20+H919*Scorecard!$D$21+I919*Scorecard!$D$22+J919*Scorecard!$D$23</f>
        <v>2.39513636256751</v>
      </c>
      <c r="D919" s="0" t="str">
        <f aca="false">IF(AND(B919&gt;=C919,B919&gt;=K919),"A. Distribution",IF(C919&gt;=K919,"B. Manufacturing","C. Prof. services"))</f>
        <v>C. Prof. services</v>
      </c>
      <c r="E919" s="39" t="n">
        <v>0.252733644040102</v>
      </c>
      <c r="F919" s="39" t="n">
        <v>0.0215765932892525</v>
      </c>
      <c r="G919" s="39" t="n">
        <v>0.229577461914096</v>
      </c>
      <c r="H919" s="39" t="n">
        <v>0.142976157718826</v>
      </c>
      <c r="I919" s="39" t="n">
        <v>0.00388468129186842</v>
      </c>
      <c r="J919" s="39" t="n">
        <v>0.349251461745855</v>
      </c>
      <c r="K919" s="38" t="n">
        <f aca="false">E919*Scorecard!$E$18+F919*Scorecard!$E$19+G919*Scorecard!$E$20+H919*Scorecard!$E$21+I919*Scorecard!$E$22+J919*Scorecard!$E$23</f>
        <v>3.9692272182416</v>
      </c>
      <c r="M919" s="0" t="str">
        <f aca="false">IF(AND(T919&gt;=U919,T919&gt;=V919),"A. Distribution",IF(U919&gt;=V919,"B. Manufacturing","C. Prof. services"))</f>
        <v>A. Distribution</v>
      </c>
      <c r="N919" s="39" t="n">
        <v>0.111057927054804</v>
      </c>
      <c r="O919" s="39" t="n">
        <v>0.176678037754997</v>
      </c>
      <c r="P919" s="39" t="n">
        <v>0.193263086282977</v>
      </c>
      <c r="Q919" s="39" t="n">
        <v>0.202001418162634</v>
      </c>
      <c r="R919" s="39" t="n">
        <v>0.256992105687799</v>
      </c>
      <c r="S919" s="39" t="n">
        <v>0.0600074250567887</v>
      </c>
      <c r="T919" s="38" t="n">
        <f aca="false">N919*Scorecard!$C$18+O919*Scorecard!$C$19+P919*Scorecard!$C$20+Q919*Scorecard!$C$21+R919*Scorecard!$C$22+S919*Scorecard!$C$23</f>
        <v>4.02598093384782</v>
      </c>
      <c r="U919" s="38" t="n">
        <f aca="false">N919*Scorecard!$D$18+O919*Scorecard!$D$19+P919*Scorecard!$D$20+Q919*Scorecard!$D$21+R919*Scorecard!$D$22+S919*Scorecard!$D$23</f>
        <v>2.68999726919986</v>
      </c>
      <c r="V919" s="38" t="n">
        <f aca="false">N919*Scorecard!$E$18+O919*Scorecard!$E$19+P919*Scorecard!$E$20+Q919*Scorecard!$E$21+R919*Scorecard!$E$22+S919*Scorecard!$E$23</f>
        <v>3.26887211065755</v>
      </c>
    </row>
    <row r="920" customFormat="false" ht="15" hidden="false" customHeight="false" outlineLevel="0" collapsed="false">
      <c r="A920" s="0" t="n">
        <v>915</v>
      </c>
      <c r="B920" s="38" t="n">
        <f aca="false">E920*Scorecard!$C$18+F920*Scorecard!$C$19+G920*Scorecard!$C$20+H920*Scorecard!$C$21+I920*Scorecard!$C$22+J920*Scorecard!$C$23</f>
        <v>3.41350150308757</v>
      </c>
      <c r="C920" s="38" t="n">
        <f aca="false">E920*Scorecard!$D$18+F920*Scorecard!$D$19+G920*Scorecard!$D$20+H920*Scorecard!$D$21+I920*Scorecard!$D$22+J920*Scorecard!$D$23</f>
        <v>2.74004255530967</v>
      </c>
      <c r="D920" s="0" t="str">
        <f aca="false">IF(AND(B920&gt;=C920,B920&gt;=K920),"A. Distribution",IF(C920&gt;=K920,"B. Manufacturing","C. Prof. services"))</f>
        <v>A. Distribution</v>
      </c>
      <c r="E920" s="39" t="n">
        <v>0.0650098619554793</v>
      </c>
      <c r="F920" s="39" t="n">
        <v>0.0201206321940774</v>
      </c>
      <c r="G920" s="39" t="n">
        <v>0.0226449238171903</v>
      </c>
      <c r="H920" s="39" t="n">
        <v>0.0429648740929665</v>
      </c>
      <c r="I920" s="39" t="n">
        <v>0.550874604562122</v>
      </c>
      <c r="J920" s="39" t="n">
        <v>0.298385103378164</v>
      </c>
      <c r="K920" s="38" t="n">
        <f aca="false">E920*Scorecard!$E$18+F920*Scorecard!$E$19+G920*Scorecard!$E$20+H920*Scorecard!$E$21+I920*Scorecard!$E$22+J920*Scorecard!$E$23</f>
        <v>3.1604395790079</v>
      </c>
      <c r="M920" s="0" t="str">
        <f aca="false">IF(AND(T920&gt;=U920,T920&gt;=V920),"A. Distribution",IF(U920&gt;=V920,"B. Manufacturing","C. Prof. services"))</f>
        <v>A. Distribution</v>
      </c>
      <c r="N920" s="39" t="n">
        <v>0.179658185717993</v>
      </c>
      <c r="O920" s="39" t="n">
        <v>0.258092866723727</v>
      </c>
      <c r="P920" s="39" t="n">
        <v>0.343747360917334</v>
      </c>
      <c r="Q920" s="39" t="n">
        <v>0.108143462935071</v>
      </c>
      <c r="R920" s="39" t="n">
        <v>0.0793889794198029</v>
      </c>
      <c r="S920" s="39" t="n">
        <v>0.0309691442860725</v>
      </c>
      <c r="T920" s="38" t="n">
        <f aca="false">N920*Scorecard!$C$18+O920*Scorecard!$C$19+P920*Scorecard!$C$20+Q920*Scorecard!$C$21+R920*Scorecard!$C$22+S920*Scorecard!$C$23</f>
        <v>4.17007788079389</v>
      </c>
      <c r="U920" s="38" t="n">
        <f aca="false">N920*Scorecard!$D$18+O920*Scorecard!$D$19+P920*Scorecard!$D$20+Q920*Scorecard!$D$21+R920*Scorecard!$D$22+S920*Scorecard!$D$23</f>
        <v>2.62222211598815</v>
      </c>
      <c r="V920" s="38" t="n">
        <f aca="false">N920*Scorecard!$E$18+O920*Scorecard!$E$19+P920*Scorecard!$E$20+Q920*Scorecard!$E$21+R920*Scorecard!$E$22+S920*Scorecard!$E$23</f>
        <v>3.44943788119861</v>
      </c>
    </row>
    <row r="921" customFormat="false" ht="15" hidden="false" customHeight="false" outlineLevel="0" collapsed="false">
      <c r="A921" s="0" t="n">
        <v>916</v>
      </c>
      <c r="B921" s="38" t="n">
        <f aca="false">E921*Scorecard!$C$18+F921*Scorecard!$C$19+G921*Scorecard!$C$20+H921*Scorecard!$C$21+I921*Scorecard!$C$22+J921*Scorecard!$C$23</f>
        <v>3.80839430507561</v>
      </c>
      <c r="C921" s="38" t="n">
        <f aca="false">E921*Scorecard!$D$18+F921*Scorecard!$D$19+G921*Scorecard!$D$20+H921*Scorecard!$D$21+I921*Scorecard!$D$22+J921*Scorecard!$D$23</f>
        <v>2.7523704789111</v>
      </c>
      <c r="D921" s="0" t="str">
        <f aca="false">IF(AND(B921&gt;=C921,B921&gt;=K921),"A. Distribution",IF(C921&gt;=K921,"B. Manufacturing","C. Prof. services"))</f>
        <v>A. Distribution</v>
      </c>
      <c r="E921" s="39" t="n">
        <v>0.243260393519607</v>
      </c>
      <c r="F921" s="39" t="n">
        <v>0.0017723948059851</v>
      </c>
      <c r="G921" s="39" t="n">
        <v>0.177309548945513</v>
      </c>
      <c r="H921" s="39" t="n">
        <v>0.373143605885218</v>
      </c>
      <c r="I921" s="39" t="n">
        <v>0.137693529083707</v>
      </c>
      <c r="J921" s="39" t="n">
        <v>0.0668205277599706</v>
      </c>
      <c r="K921" s="38" t="n">
        <f aca="false">E921*Scorecard!$E$18+F921*Scorecard!$E$19+G921*Scorecard!$E$20+H921*Scorecard!$E$21+I921*Scorecard!$E$22+J921*Scorecard!$E$23</f>
        <v>3.55812126143863</v>
      </c>
      <c r="M921" s="0" t="str">
        <f aca="false">IF(AND(T921&gt;=U921,T921&gt;=V921),"A. Distribution",IF(U921&gt;=V921,"B. Manufacturing","C. Prof. services"))</f>
        <v>A. Distribution</v>
      </c>
      <c r="N921" s="39" t="n">
        <v>0.0886387953726033</v>
      </c>
      <c r="O921" s="39" t="n">
        <v>0.147242583664463</v>
      </c>
      <c r="P921" s="39" t="n">
        <v>0.28366352348779</v>
      </c>
      <c r="Q921" s="39" t="n">
        <v>0.227141075423471</v>
      </c>
      <c r="R921" s="39" t="n">
        <v>0.174854151180473</v>
      </c>
      <c r="S921" s="39" t="n">
        <v>0.0784598708711995</v>
      </c>
      <c r="T921" s="38" t="n">
        <f aca="false">N921*Scorecard!$C$18+O921*Scorecard!$C$19+P921*Scorecard!$C$20+Q921*Scorecard!$C$21+R921*Scorecard!$C$22+S921*Scorecard!$C$23</f>
        <v>3.95873173501698</v>
      </c>
      <c r="U921" s="38" t="n">
        <f aca="false">N921*Scorecard!$D$18+O921*Scorecard!$D$19+P921*Scorecard!$D$20+Q921*Scorecard!$D$21+R921*Scorecard!$D$22+S921*Scorecard!$D$23</f>
        <v>2.517647389772</v>
      </c>
      <c r="V921" s="38" t="n">
        <f aca="false">N921*Scorecard!$E$18+O921*Scorecard!$E$19+P921*Scorecard!$E$20+Q921*Scorecard!$E$21+R921*Scorecard!$E$22+S921*Scorecard!$E$23</f>
        <v>3.45317232791004</v>
      </c>
    </row>
    <row r="922" customFormat="false" ht="15" hidden="false" customHeight="false" outlineLevel="0" collapsed="false">
      <c r="A922" s="0" t="n">
        <v>917</v>
      </c>
      <c r="B922" s="38" t="n">
        <f aca="false">E922*Scorecard!$C$18+F922*Scorecard!$C$19+G922*Scorecard!$C$20+H922*Scorecard!$C$21+I922*Scorecard!$C$22+J922*Scorecard!$C$23</f>
        <v>4.45365712882342</v>
      </c>
      <c r="C922" s="38" t="n">
        <f aca="false">E922*Scorecard!$D$18+F922*Scorecard!$D$19+G922*Scorecard!$D$20+H922*Scorecard!$D$21+I922*Scorecard!$D$22+J922*Scorecard!$D$23</f>
        <v>2.82197997247706</v>
      </c>
      <c r="D922" s="0" t="str">
        <f aca="false">IF(AND(B922&gt;=C922,B922&gt;=K922),"A. Distribution",IF(C922&gt;=K922,"B. Manufacturing","C. Prof. services"))</f>
        <v>A. Distribution</v>
      </c>
      <c r="E922" s="39" t="n">
        <v>0.204971694616484</v>
      </c>
      <c r="F922" s="39" t="n">
        <v>0.568341447145413</v>
      </c>
      <c r="G922" s="39" t="n">
        <v>0.0365925924733374</v>
      </c>
      <c r="H922" s="39" t="n">
        <v>0.0607854004355542</v>
      </c>
      <c r="I922" s="39" t="n">
        <v>0.0834697952917674</v>
      </c>
      <c r="J922" s="39" t="n">
        <v>0.0458390700374445</v>
      </c>
      <c r="K922" s="38" t="n">
        <f aca="false">E922*Scorecard!$E$18+F922*Scorecard!$E$19+G922*Scorecard!$E$20+H922*Scorecard!$E$21+I922*Scorecard!$E$22+J922*Scorecard!$E$23</f>
        <v>3.08202751316406</v>
      </c>
      <c r="M922" s="0" t="str">
        <f aca="false">IF(AND(T922&gt;=U922,T922&gt;=V922),"A. Distribution",IF(U922&gt;=V922,"B. Manufacturing","C. Prof. services"))</f>
        <v>A. Distribution</v>
      </c>
      <c r="N922" s="39" t="n">
        <v>0.229509413146725</v>
      </c>
      <c r="O922" s="39" t="n">
        <v>0.198467550750349</v>
      </c>
      <c r="P922" s="39" t="n">
        <v>0.173959665985547</v>
      </c>
      <c r="Q922" s="39" t="n">
        <v>0.166535545875471</v>
      </c>
      <c r="R922" s="39" t="n">
        <v>0.120587960124534</v>
      </c>
      <c r="S922" s="39" t="n">
        <v>0.110939864117374</v>
      </c>
      <c r="T922" s="38" t="n">
        <f aca="false">N922*Scorecard!$C$18+O922*Scorecard!$C$19+P922*Scorecard!$C$20+Q922*Scorecard!$C$21+R922*Scorecard!$C$22+S922*Scorecard!$C$23</f>
        <v>3.94021694983346</v>
      </c>
      <c r="U922" s="38" t="n">
        <f aca="false">N922*Scorecard!$D$18+O922*Scorecard!$D$19+P922*Scorecard!$D$20+Q922*Scorecard!$D$21+R922*Scorecard!$D$22+S922*Scorecard!$D$23</f>
        <v>2.72350844049937</v>
      </c>
      <c r="V922" s="38" t="n">
        <f aca="false">N922*Scorecard!$E$18+O922*Scorecard!$E$19+P922*Scorecard!$E$20+Q922*Scorecard!$E$21+R922*Scorecard!$E$22+S922*Scorecard!$E$23</f>
        <v>3.44800982809527</v>
      </c>
    </row>
    <row r="923" customFormat="false" ht="15" hidden="false" customHeight="false" outlineLevel="0" collapsed="false">
      <c r="A923" s="0" t="n">
        <v>918</v>
      </c>
      <c r="B923" s="38" t="n">
        <f aca="false">E923*Scorecard!$C$18+F923*Scorecard!$C$19+G923*Scorecard!$C$20+H923*Scorecard!$C$21+I923*Scorecard!$C$22+J923*Scorecard!$C$23</f>
        <v>3.86447588762418</v>
      </c>
      <c r="C923" s="38" t="n">
        <f aca="false">E923*Scorecard!$D$18+F923*Scorecard!$D$19+G923*Scorecard!$D$20+H923*Scorecard!$D$21+I923*Scorecard!$D$22+J923*Scorecard!$D$23</f>
        <v>3.038770114405</v>
      </c>
      <c r="D923" s="0" t="str">
        <f aca="false">IF(AND(B923&gt;=C923,B923&gt;=K923),"A. Distribution",IF(C923&gt;=K923,"B. Manufacturing","C. Prof. services"))</f>
        <v>A. Distribution</v>
      </c>
      <c r="E923" s="39" t="n">
        <v>0.345432300499106</v>
      </c>
      <c r="F923" s="39" t="n">
        <v>0.0167963962975678</v>
      </c>
      <c r="G923" s="39" t="n">
        <v>0.157699478215907</v>
      </c>
      <c r="H923" s="39" t="n">
        <v>0.206874191431231</v>
      </c>
      <c r="I923" s="39" t="n">
        <v>0.222049609129758</v>
      </c>
      <c r="J923" s="39" t="n">
        <v>0.0511480244264311</v>
      </c>
      <c r="K923" s="38" t="n">
        <f aca="false">E923*Scorecard!$E$18+F923*Scorecard!$E$19+G923*Scorecard!$E$20+H923*Scorecard!$E$21+I923*Scorecard!$E$22+J923*Scorecard!$E$23</f>
        <v>3.39502551867971</v>
      </c>
      <c r="M923" s="0" t="str">
        <f aca="false">IF(AND(T923&gt;=U923,T923&gt;=V923),"A. Distribution",IF(U923&gt;=V923,"B. Manufacturing","C. Prof. services"))</f>
        <v>A. Distribution</v>
      </c>
      <c r="N923" s="39" t="n">
        <v>0.193787845766348</v>
      </c>
      <c r="O923" s="39" t="n">
        <v>0.213060371001988</v>
      </c>
      <c r="P923" s="39" t="n">
        <v>0.0772072590642353</v>
      </c>
      <c r="Q923" s="39" t="n">
        <v>0.202921109133792</v>
      </c>
      <c r="R923" s="39" t="n">
        <v>0.11383035354034</v>
      </c>
      <c r="S923" s="39" t="n">
        <v>0.199193061493297</v>
      </c>
      <c r="T923" s="38" t="n">
        <f aca="false">N923*Scorecard!$C$18+O923*Scorecard!$C$19+P923*Scorecard!$C$20+Q923*Scorecard!$C$21+R923*Scorecard!$C$22+S923*Scorecard!$C$23</f>
        <v>3.77725077887133</v>
      </c>
      <c r="U923" s="38" t="n">
        <f aca="false">N923*Scorecard!$D$18+O923*Scorecard!$D$19+P923*Scorecard!$D$20+Q923*Scorecard!$D$21+R923*Scorecard!$D$22+S923*Scorecard!$D$23</f>
        <v>2.61646151511942</v>
      </c>
      <c r="V923" s="38" t="n">
        <f aca="false">N923*Scorecard!$E$18+O923*Scorecard!$E$19+P923*Scorecard!$E$20+Q923*Scorecard!$E$21+R923*Scorecard!$E$22+S923*Scorecard!$E$23</f>
        <v>3.4919147547741</v>
      </c>
    </row>
    <row r="924" customFormat="false" ht="15" hidden="false" customHeight="false" outlineLevel="0" collapsed="false">
      <c r="A924" s="0" t="n">
        <v>919</v>
      </c>
      <c r="B924" s="38" t="n">
        <f aca="false">E924*Scorecard!$C$18+F924*Scorecard!$C$19+G924*Scorecard!$C$20+H924*Scorecard!$C$21+I924*Scorecard!$C$22+J924*Scorecard!$C$23</f>
        <v>4.1686989283329</v>
      </c>
      <c r="C924" s="38" t="n">
        <f aca="false">E924*Scorecard!$D$18+F924*Scorecard!$D$19+G924*Scorecard!$D$20+H924*Scorecard!$D$21+I924*Scorecard!$D$22+J924*Scorecard!$D$23</f>
        <v>2.72960575234022</v>
      </c>
      <c r="D924" s="0" t="str">
        <f aca="false">IF(AND(B924&gt;=C924,B924&gt;=K924),"A. Distribution",IF(C924&gt;=K924,"B. Manufacturing","C. Prof. services"))</f>
        <v>A. Distribution</v>
      </c>
      <c r="E924" s="39" t="n">
        <v>0.0894125887977923</v>
      </c>
      <c r="F924" s="39" t="n">
        <v>0.224818077341951</v>
      </c>
      <c r="G924" s="39" t="n">
        <v>0.125405828106877</v>
      </c>
      <c r="H924" s="39" t="n">
        <v>0.289399957670886</v>
      </c>
      <c r="I924" s="39" t="n">
        <v>0.262084805266551</v>
      </c>
      <c r="J924" s="39" t="n">
        <v>0.00887874281594336</v>
      </c>
      <c r="K924" s="38" t="n">
        <f aca="false">E924*Scorecard!$E$18+F924*Scorecard!$E$19+G924*Scorecard!$E$20+H924*Scorecard!$E$21+I924*Scorecard!$E$22+J924*Scorecard!$E$23</f>
        <v>3.15950901504627</v>
      </c>
      <c r="M924" s="0" t="str">
        <f aca="false">IF(AND(T924&gt;=U924,T924&gt;=V924),"A. Distribution",IF(U924&gt;=V924,"B. Manufacturing","C. Prof. services"))</f>
        <v>A. Distribution</v>
      </c>
      <c r="N924" s="39" t="n">
        <v>0.257665136728451</v>
      </c>
      <c r="O924" s="39" t="n">
        <v>0.12601508992696</v>
      </c>
      <c r="P924" s="39" t="n">
        <v>0.227564887292233</v>
      </c>
      <c r="Q924" s="39" t="n">
        <v>0.220917811087287</v>
      </c>
      <c r="R924" s="39" t="n">
        <v>0.120124472438287</v>
      </c>
      <c r="S924" s="39" t="n">
        <v>0.047712602526782</v>
      </c>
      <c r="T924" s="38" t="n">
        <f aca="false">N924*Scorecard!$C$18+O924*Scorecard!$C$19+P924*Scorecard!$C$20+Q924*Scorecard!$C$21+R924*Scorecard!$C$22+S924*Scorecard!$C$23</f>
        <v>3.98609875904754</v>
      </c>
      <c r="U924" s="38" t="n">
        <f aca="false">N924*Scorecard!$D$18+O924*Scorecard!$D$19+P924*Scorecard!$D$20+Q924*Scorecard!$D$21+R924*Scorecard!$D$22+S924*Scorecard!$D$23</f>
        <v>2.78898003841405</v>
      </c>
      <c r="V924" s="38" t="n">
        <f aca="false">N924*Scorecard!$E$18+O924*Scorecard!$E$19+P924*Scorecard!$E$20+Q924*Scorecard!$E$21+R924*Scorecard!$E$22+S924*Scorecard!$E$23</f>
        <v>3.47191468732729</v>
      </c>
    </row>
    <row r="925" customFormat="false" ht="15" hidden="false" customHeight="false" outlineLevel="0" collapsed="false">
      <c r="A925" s="0" t="n">
        <v>920</v>
      </c>
      <c r="B925" s="38" t="n">
        <f aca="false">E925*Scorecard!$C$18+F925*Scorecard!$C$19+G925*Scorecard!$C$20+H925*Scorecard!$C$21+I925*Scorecard!$C$22+J925*Scorecard!$C$23</f>
        <v>4.58925218792909</v>
      </c>
      <c r="C925" s="38" t="n">
        <f aca="false">E925*Scorecard!$D$18+F925*Scorecard!$D$19+G925*Scorecard!$D$20+H925*Scorecard!$D$21+I925*Scorecard!$D$22+J925*Scorecard!$D$23</f>
        <v>2.77085684339351</v>
      </c>
      <c r="D925" s="0" t="str">
        <f aca="false">IF(AND(B925&gt;=C925,B925&gt;=K925),"A. Distribution",IF(C925&gt;=K925,"B. Manufacturing","C. Prof. services"))</f>
        <v>A. Distribution</v>
      </c>
      <c r="E925" s="39" t="n">
        <v>0.155556638259663</v>
      </c>
      <c r="F925" s="39" t="n">
        <v>0.653441931405908</v>
      </c>
      <c r="G925" s="39" t="n">
        <v>0.0178264980700652</v>
      </c>
      <c r="H925" s="39" t="n">
        <v>0.0781041859735328</v>
      </c>
      <c r="I925" s="39" t="n">
        <v>0.0734283306503951</v>
      </c>
      <c r="J925" s="39" t="n">
        <v>0.0216424156404364</v>
      </c>
      <c r="K925" s="38" t="n">
        <f aca="false">E925*Scorecard!$E$18+F925*Scorecard!$E$19+G925*Scorecard!$E$20+H925*Scorecard!$E$21+I925*Scorecard!$E$22+J925*Scorecard!$E$23</f>
        <v>3.00397761126305</v>
      </c>
      <c r="M925" s="0" t="str">
        <f aca="false">IF(AND(T925&gt;=U925,T925&gt;=V925),"A. Distribution",IF(U925&gt;=V925,"B. Manufacturing","C. Prof. services"))</f>
        <v>A. Distribution</v>
      </c>
      <c r="N925" s="39" t="n">
        <v>0.208093086839868</v>
      </c>
      <c r="O925" s="39" t="n">
        <v>0.176922052877233</v>
      </c>
      <c r="P925" s="39" t="n">
        <v>0.125333920138414</v>
      </c>
      <c r="Q925" s="39" t="n">
        <v>0.237718484233549</v>
      </c>
      <c r="R925" s="39" t="n">
        <v>0.144964482193025</v>
      </c>
      <c r="S925" s="39" t="n">
        <v>0.10696797371791</v>
      </c>
      <c r="T925" s="38" t="n">
        <f aca="false">N925*Scorecard!$C$18+O925*Scorecard!$C$19+P925*Scorecard!$C$20+Q925*Scorecard!$C$21+R925*Scorecard!$C$22+S925*Scorecard!$C$23</f>
        <v>3.92066467708482</v>
      </c>
      <c r="U925" s="38" t="n">
        <f aca="false">N925*Scorecard!$D$18+O925*Scorecard!$D$19+P925*Scorecard!$D$20+Q925*Scorecard!$D$21+R925*Scorecard!$D$22+S925*Scorecard!$D$23</f>
        <v>2.72405289113557</v>
      </c>
      <c r="V925" s="38" t="n">
        <f aca="false">N925*Scorecard!$E$18+O925*Scorecard!$E$19+P925*Scorecard!$E$20+Q925*Scorecard!$E$21+R925*Scorecard!$E$22+S925*Scorecard!$E$23</f>
        <v>3.41857735669207</v>
      </c>
    </row>
    <row r="926" customFormat="false" ht="15" hidden="false" customHeight="false" outlineLevel="0" collapsed="false">
      <c r="A926" s="0" t="n">
        <v>921</v>
      </c>
      <c r="B926" s="38" t="n">
        <f aca="false">E926*Scorecard!$C$18+F926*Scorecard!$C$19+G926*Scorecard!$C$20+H926*Scorecard!$C$21+I926*Scorecard!$C$22+J926*Scorecard!$C$23</f>
        <v>3.4603614857473</v>
      </c>
      <c r="C926" s="38" t="n">
        <f aca="false">E926*Scorecard!$D$18+F926*Scorecard!$D$19+G926*Scorecard!$D$20+H926*Scorecard!$D$21+I926*Scorecard!$D$22+J926*Scorecard!$D$23</f>
        <v>2.36233626031959</v>
      </c>
      <c r="D926" s="0" t="str">
        <f aca="false">IF(AND(B926&gt;=C926,B926&gt;=K926),"A. Distribution",IF(C926&gt;=K926,"B. Manufacturing","C. Prof. services"))</f>
        <v>C. Prof. services</v>
      </c>
      <c r="E926" s="39" t="n">
        <v>0.161414322951522</v>
      </c>
      <c r="F926" s="39" t="n">
        <v>0.15699756309703</v>
      </c>
      <c r="G926" s="39" t="n">
        <v>0.191912327897386</v>
      </c>
      <c r="H926" s="39" t="n">
        <v>0.0781428367707333</v>
      </c>
      <c r="I926" s="39" t="n">
        <v>0.0739045963266854</v>
      </c>
      <c r="J926" s="39" t="n">
        <v>0.337628352956644</v>
      </c>
      <c r="K926" s="38" t="n">
        <f aca="false">E926*Scorecard!$E$18+F926*Scorecard!$E$19+G926*Scorecard!$E$20+H926*Scorecard!$E$21+I926*Scorecard!$E$22+J926*Scorecard!$E$23</f>
        <v>3.75169386954399</v>
      </c>
      <c r="M926" s="0" t="str">
        <f aca="false">IF(AND(T926&gt;=U926,T926&gt;=V926),"A. Distribution",IF(U926&gt;=V926,"B. Manufacturing","C. Prof. services"))</f>
        <v>A. Distribution</v>
      </c>
      <c r="N926" s="39" t="n">
        <v>0.296157575486871</v>
      </c>
      <c r="O926" s="39" t="n">
        <v>0.17769601926837</v>
      </c>
      <c r="P926" s="39" t="n">
        <v>0.100999053859288</v>
      </c>
      <c r="Q926" s="39" t="n">
        <v>0.294448392172654</v>
      </c>
      <c r="R926" s="39" t="n">
        <v>0.125052994757977</v>
      </c>
      <c r="S926" s="39" t="n">
        <v>0.00564596445483958</v>
      </c>
      <c r="T926" s="38" t="n">
        <f aca="false">N926*Scorecard!$C$18+O926*Scorecard!$C$19+P926*Scorecard!$C$20+Q926*Scorecard!$C$21+R926*Scorecard!$C$22+S926*Scorecard!$C$23</f>
        <v>4.11089956762438</v>
      </c>
      <c r="U926" s="38" t="n">
        <f aca="false">N926*Scorecard!$D$18+O926*Scorecard!$D$19+P926*Scorecard!$D$20+Q926*Scorecard!$D$21+R926*Scorecard!$D$22+S926*Scorecard!$D$23</f>
        <v>2.94333986645556</v>
      </c>
      <c r="V926" s="38" t="n">
        <f aca="false">N926*Scorecard!$E$18+O926*Scorecard!$E$19+P926*Scorecard!$E$20+Q926*Scorecard!$E$21+R926*Scorecard!$E$22+S926*Scorecard!$E$23</f>
        <v>3.3375903897206</v>
      </c>
    </row>
    <row r="927" customFormat="false" ht="15" hidden="false" customHeight="false" outlineLevel="0" collapsed="false">
      <c r="A927" s="0" t="n">
        <v>922</v>
      </c>
      <c r="B927" s="38" t="n">
        <f aca="false">E927*Scorecard!$C$18+F927*Scorecard!$C$19+G927*Scorecard!$C$20+H927*Scorecard!$C$21+I927*Scorecard!$C$22+J927*Scorecard!$C$23</f>
        <v>3.97346867036283</v>
      </c>
      <c r="C927" s="38" t="n">
        <f aca="false">E927*Scorecard!$D$18+F927*Scorecard!$D$19+G927*Scorecard!$D$20+H927*Scorecard!$D$21+I927*Scorecard!$D$22+J927*Scorecard!$D$23</f>
        <v>2.6405426675871</v>
      </c>
      <c r="D927" s="0" t="str">
        <f aca="false">IF(AND(B927&gt;=C927,B927&gt;=K927),"A. Distribution",IF(C927&gt;=K927,"B. Manufacturing","C. Prof. services"))</f>
        <v>A. Distribution</v>
      </c>
      <c r="E927" s="39" t="n">
        <v>0.0101841816200925</v>
      </c>
      <c r="F927" s="39" t="n">
        <v>0.106103604842927</v>
      </c>
      <c r="G927" s="39" t="n">
        <v>0.0958220509799571</v>
      </c>
      <c r="H927" s="39" t="n">
        <v>0.388367561957694</v>
      </c>
      <c r="I927" s="39" t="n">
        <v>0.354537377240585</v>
      </c>
      <c r="J927" s="39" t="n">
        <v>0.0449852233587452</v>
      </c>
      <c r="K927" s="38" t="n">
        <f aca="false">E927*Scorecard!$E$18+F927*Scorecard!$E$19+G927*Scorecard!$E$20+H927*Scorecard!$E$21+I927*Scorecard!$E$22+J927*Scorecard!$E$23</f>
        <v>3.17262927253551</v>
      </c>
      <c r="M927" s="0" t="str">
        <f aca="false">IF(AND(T927&gt;=U927,T927&gt;=V927),"A. Distribution",IF(U927&gt;=V927,"B. Manufacturing","C. Prof. services"))</f>
        <v>A. Distribution</v>
      </c>
      <c r="N927" s="39" t="n">
        <v>0.341227413356836</v>
      </c>
      <c r="O927" s="39" t="n">
        <v>0.267715255180501</v>
      </c>
      <c r="P927" s="39" t="n">
        <v>0.0432889135066674</v>
      </c>
      <c r="Q927" s="39" t="n">
        <v>0.127791637312449</v>
      </c>
      <c r="R927" s="39" t="n">
        <v>0.105302142082246</v>
      </c>
      <c r="S927" s="39" t="n">
        <v>0.114674638561301</v>
      </c>
      <c r="T927" s="38" t="n">
        <f aca="false">N927*Scorecard!$C$18+O927*Scorecard!$C$19+P927*Scorecard!$C$20+Q927*Scorecard!$C$21+R927*Scorecard!$C$22+S927*Scorecard!$C$23</f>
        <v>3.99720030666424</v>
      </c>
      <c r="U927" s="38" t="n">
        <f aca="false">N927*Scorecard!$D$18+O927*Scorecard!$D$19+P927*Scorecard!$D$20+Q927*Scorecard!$D$21+R927*Scorecard!$D$22+S927*Scorecard!$D$23</f>
        <v>2.952667660152</v>
      </c>
      <c r="V927" s="38" t="n">
        <f aca="false">N927*Scorecard!$E$18+O927*Scorecard!$E$19+P927*Scorecard!$E$20+Q927*Scorecard!$E$21+R927*Scorecard!$E$22+S927*Scorecard!$E$23</f>
        <v>3.34938732673181</v>
      </c>
    </row>
    <row r="928" customFormat="false" ht="15" hidden="false" customHeight="false" outlineLevel="0" collapsed="false">
      <c r="A928" s="0" t="n">
        <v>923</v>
      </c>
      <c r="B928" s="38" t="n">
        <f aca="false">E928*Scorecard!$C$18+F928*Scorecard!$C$19+G928*Scorecard!$C$20+H928*Scorecard!$C$21+I928*Scorecard!$C$22+J928*Scorecard!$C$23</f>
        <v>3.7971359942197</v>
      </c>
      <c r="C928" s="38" t="n">
        <f aca="false">E928*Scorecard!$D$18+F928*Scorecard!$D$19+G928*Scorecard!$D$20+H928*Scorecard!$D$21+I928*Scorecard!$D$22+J928*Scorecard!$D$23</f>
        <v>2.86302470370413</v>
      </c>
      <c r="D928" s="0" t="str">
        <f aca="false">IF(AND(B928&gt;=C928,B928&gt;=K928),"A. Distribution",IF(C928&gt;=K928,"B. Manufacturing","C. Prof. services"))</f>
        <v>A. Distribution</v>
      </c>
      <c r="E928" s="39" t="n">
        <v>0.334824427673775</v>
      </c>
      <c r="F928" s="39" t="n">
        <v>0.0677597934015203</v>
      </c>
      <c r="G928" s="39" t="n">
        <v>0.129698302882696</v>
      </c>
      <c r="H928" s="39" t="n">
        <v>0.26586878039554</v>
      </c>
      <c r="I928" s="39" t="n">
        <v>0.0943015408227252</v>
      </c>
      <c r="J928" s="39" t="n">
        <v>0.107547154823743</v>
      </c>
      <c r="K928" s="38" t="n">
        <f aca="false">E928*Scorecard!$E$18+F928*Scorecard!$E$19+G928*Scorecard!$E$20+H928*Scorecard!$E$21+I928*Scorecard!$E$22+J928*Scorecard!$E$23</f>
        <v>3.56122845712555</v>
      </c>
      <c r="M928" s="0" t="str">
        <f aca="false">IF(AND(T928&gt;=U928,T928&gt;=V928),"A. Distribution",IF(U928&gt;=V928,"B. Manufacturing","C. Prof. services"))</f>
        <v>A. Distribution</v>
      </c>
      <c r="N928" s="39" t="n">
        <v>0.210895321672038</v>
      </c>
      <c r="O928" s="39" t="n">
        <v>0.15851089134834</v>
      </c>
      <c r="P928" s="39" t="n">
        <v>0.15441632540973</v>
      </c>
      <c r="Q928" s="39" t="n">
        <v>0.225437550433936</v>
      </c>
      <c r="R928" s="39" t="n">
        <v>0.0904596308007006</v>
      </c>
      <c r="S928" s="39" t="n">
        <v>0.160280280335256</v>
      </c>
      <c r="T928" s="38" t="n">
        <f aca="false">N928*Scorecard!$C$18+O928*Scorecard!$C$19+P928*Scorecard!$C$20+Q928*Scorecard!$C$21+R928*Scorecard!$C$22+S928*Scorecard!$C$23</f>
        <v>3.796727197756</v>
      </c>
      <c r="U928" s="38" t="n">
        <f aca="false">N928*Scorecard!$D$18+O928*Scorecard!$D$19+P928*Scorecard!$D$20+Q928*Scorecard!$D$21+R928*Scorecard!$D$22+S928*Scorecard!$D$23</f>
        <v>2.61705129541033</v>
      </c>
      <c r="V928" s="38" t="n">
        <f aca="false">N928*Scorecard!$E$18+O928*Scorecard!$E$19+P928*Scorecard!$E$20+Q928*Scorecard!$E$21+R928*Scorecard!$E$22+S928*Scorecard!$E$23</f>
        <v>3.56070145987151</v>
      </c>
    </row>
    <row r="929" customFormat="false" ht="15" hidden="false" customHeight="false" outlineLevel="0" collapsed="false">
      <c r="A929" s="0" t="n">
        <v>924</v>
      </c>
      <c r="B929" s="38" t="n">
        <f aca="false">E929*Scorecard!$C$18+F929*Scorecard!$C$19+G929*Scorecard!$C$20+H929*Scorecard!$C$21+I929*Scorecard!$C$22+J929*Scorecard!$C$23</f>
        <v>3.96885568980397</v>
      </c>
      <c r="C929" s="38" t="n">
        <f aca="false">E929*Scorecard!$D$18+F929*Scorecard!$D$19+G929*Scorecard!$D$20+H929*Scorecard!$D$21+I929*Scorecard!$D$22+J929*Scorecard!$D$23</f>
        <v>2.93507849440552</v>
      </c>
      <c r="D929" s="0" t="str">
        <f aca="false">IF(AND(B929&gt;=C929,B929&gt;=K929),"A. Distribution",IF(C929&gt;=K929,"B. Manufacturing","C. Prof. services"))</f>
        <v>A. Distribution</v>
      </c>
      <c r="E929" s="39" t="n">
        <v>0.392370823641217</v>
      </c>
      <c r="F929" s="39" t="n">
        <v>0.0948743930759897</v>
      </c>
      <c r="G929" s="39" t="n">
        <v>0.206081601640665</v>
      </c>
      <c r="H929" s="39" t="n">
        <v>0.24550739457581</v>
      </c>
      <c r="I929" s="39" t="n">
        <v>0.0271343117442428</v>
      </c>
      <c r="J929" s="39" t="n">
        <v>0.0340314753220751</v>
      </c>
      <c r="K929" s="38" t="n">
        <f aca="false">E929*Scorecard!$E$18+F929*Scorecard!$E$19+G929*Scorecard!$E$20+H929*Scorecard!$E$21+I929*Scorecard!$E$22+J929*Scorecard!$E$23</f>
        <v>3.58189147464959</v>
      </c>
      <c r="M929" s="0" t="str">
        <f aca="false">IF(AND(T929&gt;=U929,T929&gt;=V929),"A. Distribution",IF(U929&gt;=V929,"B. Manufacturing","C. Prof. services"))</f>
        <v>A. Distribution</v>
      </c>
      <c r="N929" s="39" t="n">
        <v>0.229789547591514</v>
      </c>
      <c r="O929" s="39" t="n">
        <v>0.109053738999666</v>
      </c>
      <c r="P929" s="39" t="n">
        <v>0.344133317318338</v>
      </c>
      <c r="Q929" s="39" t="n">
        <v>0.107080416107751</v>
      </c>
      <c r="R929" s="39" t="n">
        <v>0.114479073027458</v>
      </c>
      <c r="S929" s="39" t="n">
        <v>0.0954639069552739</v>
      </c>
      <c r="T929" s="38" t="n">
        <f aca="false">N929*Scorecard!$C$18+O929*Scorecard!$C$19+P929*Scorecard!$C$20+Q929*Scorecard!$C$21+R929*Scorecard!$C$22+S929*Scorecard!$C$23</f>
        <v>3.88813888643767</v>
      </c>
      <c r="U929" s="38" t="n">
        <f aca="false">N929*Scorecard!$D$18+O929*Scorecard!$D$19+P929*Scorecard!$D$20+Q929*Scorecard!$D$21+R929*Scorecard!$D$22+S929*Scorecard!$D$23</f>
        <v>2.65891799961183</v>
      </c>
      <c r="V929" s="38" t="n">
        <f aca="false">N929*Scorecard!$E$18+O929*Scorecard!$E$19+P929*Scorecard!$E$20+Q929*Scorecard!$E$21+R929*Scorecard!$E$22+S929*Scorecard!$E$23</f>
        <v>3.57664668502871</v>
      </c>
    </row>
    <row r="930" customFormat="false" ht="15" hidden="false" customHeight="false" outlineLevel="0" collapsed="false">
      <c r="A930" s="0" t="n">
        <v>925</v>
      </c>
      <c r="B930" s="38" t="n">
        <f aca="false">E930*Scorecard!$C$18+F930*Scorecard!$C$19+G930*Scorecard!$C$20+H930*Scorecard!$C$21+I930*Scorecard!$C$22+J930*Scorecard!$C$23</f>
        <v>3.66249062841917</v>
      </c>
      <c r="C930" s="38" t="n">
        <f aca="false">E930*Scorecard!$D$18+F930*Scorecard!$D$19+G930*Scorecard!$D$20+H930*Scorecard!$D$21+I930*Scorecard!$D$22+J930*Scorecard!$D$23</f>
        <v>2.49211723976552</v>
      </c>
      <c r="D930" s="0" t="str">
        <f aca="false">IF(AND(B930&gt;=C930,B930&gt;=K930),"A. Distribution",IF(C930&gt;=K930,"B. Manufacturing","C. Prof. services"))</f>
        <v>A. Distribution</v>
      </c>
      <c r="E930" s="39" t="n">
        <v>0.0902913286751261</v>
      </c>
      <c r="F930" s="39" t="n">
        <v>0.160669449481088</v>
      </c>
      <c r="G930" s="39" t="n">
        <v>0.238086832994061</v>
      </c>
      <c r="H930" s="39" t="n">
        <v>0.00736499236499211</v>
      </c>
      <c r="I930" s="39" t="n">
        <v>0.258519376730961</v>
      </c>
      <c r="J930" s="39" t="n">
        <v>0.245068019753772</v>
      </c>
      <c r="K930" s="38" t="n">
        <f aca="false">E930*Scorecard!$E$18+F930*Scorecard!$E$19+G930*Scorecard!$E$20+H930*Scorecard!$E$21+I930*Scorecard!$E$22+J930*Scorecard!$E$23</f>
        <v>3.45203802721805</v>
      </c>
      <c r="M930" s="0" t="str">
        <f aca="false">IF(AND(T930&gt;=U930,T930&gt;=V930),"A. Distribution",IF(U930&gt;=V930,"B. Manufacturing","C. Prof. services"))</f>
        <v>A. Distribution</v>
      </c>
      <c r="N930" s="39" t="n">
        <v>0.172950390303919</v>
      </c>
      <c r="O930" s="39" t="n">
        <v>0.200164241944151</v>
      </c>
      <c r="P930" s="39" t="n">
        <v>0.263334313982463</v>
      </c>
      <c r="Q930" s="39" t="n">
        <v>0.203830263617274</v>
      </c>
      <c r="R930" s="39" t="n">
        <v>0.098918329745328</v>
      </c>
      <c r="S930" s="39" t="n">
        <v>0.0608024604068648</v>
      </c>
      <c r="T930" s="38" t="n">
        <f aca="false">N930*Scorecard!$C$18+O930*Scorecard!$C$19+P930*Scorecard!$C$20+Q930*Scorecard!$C$21+R930*Scorecard!$C$22+S930*Scorecard!$C$23</f>
        <v>4.04271086208988</v>
      </c>
      <c r="U930" s="38" t="n">
        <f aca="false">N930*Scorecard!$D$18+O930*Scorecard!$D$19+P930*Scorecard!$D$20+Q930*Scorecard!$D$21+R930*Scorecard!$D$22+S930*Scorecard!$D$23</f>
        <v>2.6170467071468</v>
      </c>
      <c r="V930" s="38" t="n">
        <f aca="false">N930*Scorecard!$E$18+O930*Scorecard!$E$19+P930*Scorecard!$E$20+Q930*Scorecard!$E$21+R930*Scorecard!$E$22+S930*Scorecard!$E$23</f>
        <v>3.47311095521317</v>
      </c>
    </row>
    <row r="931" customFormat="false" ht="15" hidden="false" customHeight="false" outlineLevel="0" collapsed="false">
      <c r="A931" s="0" t="n">
        <v>926</v>
      </c>
      <c r="B931" s="38" t="n">
        <f aca="false">E931*Scorecard!$C$18+F931*Scorecard!$C$19+G931*Scorecard!$C$20+H931*Scorecard!$C$21+I931*Scorecard!$C$22+J931*Scorecard!$C$23</f>
        <v>3.85404101825843</v>
      </c>
      <c r="C931" s="38" t="n">
        <f aca="false">E931*Scorecard!$D$18+F931*Scorecard!$D$19+G931*Scorecard!$D$20+H931*Scorecard!$D$21+I931*Scorecard!$D$22+J931*Scorecard!$D$23</f>
        <v>2.66325043894089</v>
      </c>
      <c r="D931" s="0" t="str">
        <f aca="false">IF(AND(B931&gt;=C931,B931&gt;=K931),"A. Distribution",IF(C931&gt;=K931,"B. Manufacturing","C. Prof. services"))</f>
        <v>A. Distribution</v>
      </c>
      <c r="E931" s="39" t="n">
        <v>0.325139362915479</v>
      </c>
      <c r="F931" s="39" t="n">
        <v>0.0555356343711244</v>
      </c>
      <c r="G931" s="39" t="n">
        <v>0.509019992661244</v>
      </c>
      <c r="H931" s="39" t="n">
        <v>0.0109685453410143</v>
      </c>
      <c r="I931" s="39" t="n">
        <v>0.0122322851779196</v>
      </c>
      <c r="J931" s="39" t="n">
        <v>0.087104179533219</v>
      </c>
      <c r="K931" s="38" t="n">
        <f aca="false">E931*Scorecard!$E$18+F931*Scorecard!$E$19+G931*Scorecard!$E$20+H931*Scorecard!$E$21+I931*Scorecard!$E$22+J931*Scorecard!$E$23</f>
        <v>3.79061901219576</v>
      </c>
      <c r="M931" s="0" t="str">
        <f aca="false">IF(AND(T931&gt;=U931,T931&gt;=V931),"A. Distribution",IF(U931&gt;=V931,"B. Manufacturing","C. Prof. services"))</f>
        <v>A. Distribution</v>
      </c>
      <c r="N931" s="39" t="n">
        <v>0.271715968838508</v>
      </c>
      <c r="O931" s="39" t="n">
        <v>0.120771139376113</v>
      </c>
      <c r="P931" s="39" t="n">
        <v>0.193957162976687</v>
      </c>
      <c r="Q931" s="39" t="n">
        <v>0.265080996065504</v>
      </c>
      <c r="R931" s="39" t="n">
        <v>0.114757263846142</v>
      </c>
      <c r="S931" s="39" t="n">
        <v>0.0337174688970453</v>
      </c>
      <c r="T931" s="38" t="n">
        <f aca="false">N931*Scorecard!$C$18+O931*Scorecard!$C$19+P931*Scorecard!$C$20+Q931*Scorecard!$C$21+R931*Scorecard!$C$22+S931*Scorecard!$C$23</f>
        <v>4.00295837070774</v>
      </c>
      <c r="U931" s="38" t="n">
        <f aca="false">N931*Scorecard!$D$18+O931*Scorecard!$D$19+P931*Scorecard!$D$20+Q931*Scorecard!$D$21+R931*Scorecard!$D$22+S931*Scorecard!$D$23</f>
        <v>2.82738025385848</v>
      </c>
      <c r="V931" s="38" t="n">
        <f aca="false">N931*Scorecard!$E$18+O931*Scorecard!$E$19+P931*Scorecard!$E$20+Q931*Scorecard!$E$21+R931*Scorecard!$E$22+S931*Scorecard!$E$23</f>
        <v>3.45866123463444</v>
      </c>
    </row>
    <row r="932" customFormat="false" ht="15" hidden="false" customHeight="false" outlineLevel="0" collapsed="false">
      <c r="A932" s="0" t="n">
        <v>927</v>
      </c>
      <c r="B932" s="38" t="n">
        <f aca="false">E932*Scorecard!$C$18+F932*Scorecard!$C$19+G932*Scorecard!$C$20+H932*Scorecard!$C$21+I932*Scorecard!$C$22+J932*Scorecard!$C$23</f>
        <v>3.58027630066506</v>
      </c>
      <c r="C932" s="38" t="n">
        <f aca="false">E932*Scorecard!$D$18+F932*Scorecard!$D$19+G932*Scorecard!$D$20+H932*Scorecard!$D$21+I932*Scorecard!$D$22+J932*Scorecard!$D$23</f>
        <v>2.43812276292067</v>
      </c>
      <c r="D932" s="0" t="str">
        <f aca="false">IF(AND(B932&gt;=C932,B932&gt;=K932),"A. Distribution",IF(C932&gt;=K932,"B. Manufacturing","C. Prof. services"))</f>
        <v>A. Distribution</v>
      </c>
      <c r="E932" s="39" t="n">
        <v>0.0190901137335527</v>
      </c>
      <c r="F932" s="39" t="n">
        <v>0.00603424883154857</v>
      </c>
      <c r="G932" s="39" t="n">
        <v>0.159059722892567</v>
      </c>
      <c r="H932" s="39" t="n">
        <v>0.321102005677505</v>
      </c>
      <c r="I932" s="39" t="n">
        <v>0.299900741352304</v>
      </c>
      <c r="J932" s="39" t="n">
        <v>0.194813167512523</v>
      </c>
      <c r="K932" s="38" t="n">
        <f aca="false">E932*Scorecard!$E$18+F932*Scorecard!$E$19+G932*Scorecard!$E$20+H932*Scorecard!$E$21+I932*Scorecard!$E$22+J932*Scorecard!$E$23</f>
        <v>3.47577881189101</v>
      </c>
      <c r="M932" s="0" t="str">
        <f aca="false">IF(AND(T932&gt;=U932,T932&gt;=V932),"A. Distribution",IF(U932&gt;=V932,"B. Manufacturing","C. Prof. services"))</f>
        <v>A. Distribution</v>
      </c>
      <c r="N932" s="39" t="n">
        <v>0.131226865516908</v>
      </c>
      <c r="O932" s="39" t="n">
        <v>0.134833235852201</v>
      </c>
      <c r="P932" s="39" t="n">
        <v>0.126557913686733</v>
      </c>
      <c r="Q932" s="39" t="n">
        <v>0.125323469865359</v>
      </c>
      <c r="R932" s="39" t="n">
        <v>0.359188660287564</v>
      </c>
      <c r="S932" s="39" t="n">
        <v>0.122869854791236</v>
      </c>
      <c r="T932" s="38" t="n">
        <f aca="false">N932*Scorecard!$C$18+O932*Scorecard!$C$19+P932*Scorecard!$C$20+Q932*Scorecard!$C$21+R932*Scorecard!$C$22+S932*Scorecard!$C$23</f>
        <v>3.86505406743932</v>
      </c>
      <c r="U932" s="38" t="n">
        <f aca="false">N932*Scorecard!$D$18+O932*Scorecard!$D$19+P932*Scorecard!$D$20+Q932*Scorecard!$D$21+R932*Scorecard!$D$22+S932*Scorecard!$D$23</f>
        <v>2.79105210054997</v>
      </c>
      <c r="V932" s="38" t="n">
        <f aca="false">N932*Scorecard!$E$18+O932*Scorecard!$E$19+P932*Scorecard!$E$20+Q932*Scorecard!$E$21+R932*Scorecard!$E$22+S932*Scorecard!$E$23</f>
        <v>3.19498939304973</v>
      </c>
    </row>
    <row r="933" customFormat="false" ht="15" hidden="false" customHeight="false" outlineLevel="0" collapsed="false">
      <c r="A933" s="0" t="n">
        <v>928</v>
      </c>
      <c r="B933" s="38" t="n">
        <f aca="false">E933*Scorecard!$C$18+F933*Scorecard!$C$19+G933*Scorecard!$C$20+H933*Scorecard!$C$21+I933*Scorecard!$C$22+J933*Scorecard!$C$23</f>
        <v>3.55074147240017</v>
      </c>
      <c r="C933" s="38" t="n">
        <f aca="false">E933*Scorecard!$D$18+F933*Scorecard!$D$19+G933*Scorecard!$D$20+H933*Scorecard!$D$21+I933*Scorecard!$D$22+J933*Scorecard!$D$23</f>
        <v>2.51572215380406</v>
      </c>
      <c r="D933" s="0" t="str">
        <f aca="false">IF(AND(B933&gt;=C933,B933&gt;=K933),"A. Distribution",IF(C933&gt;=K933,"B. Manufacturing","C. Prof. services"))</f>
        <v>A. Distribution</v>
      </c>
      <c r="E933" s="39" t="n">
        <v>0.0181810463086242</v>
      </c>
      <c r="F933" s="39" t="n">
        <v>0.0157666050045427</v>
      </c>
      <c r="G933" s="39" t="n">
        <v>0.284834927632425</v>
      </c>
      <c r="H933" s="39" t="n">
        <v>0.0135392260965264</v>
      </c>
      <c r="I933" s="39" t="n">
        <v>0.436624907192554</v>
      </c>
      <c r="J933" s="39" t="n">
        <v>0.231053287765328</v>
      </c>
      <c r="K933" s="38" t="n">
        <f aca="false">E933*Scorecard!$E$18+F933*Scorecard!$E$19+G933*Scorecard!$E$20+H933*Scorecard!$E$21+I933*Scorecard!$E$22+J933*Scorecard!$E$23</f>
        <v>3.35543735010499</v>
      </c>
      <c r="M933" s="0" t="str">
        <f aca="false">IF(AND(T933&gt;=U933,T933&gt;=V933),"A. Distribution",IF(U933&gt;=V933,"B. Manufacturing","C. Prof. services"))</f>
        <v>A. Distribution</v>
      </c>
      <c r="N933" s="39" t="n">
        <v>0.17916885443272</v>
      </c>
      <c r="O933" s="39" t="n">
        <v>0.18558871945632</v>
      </c>
      <c r="P933" s="39" t="n">
        <v>0.142274188302684</v>
      </c>
      <c r="Q933" s="39" t="n">
        <v>0.136407220572373</v>
      </c>
      <c r="R933" s="39" t="n">
        <v>0.260630522586399</v>
      </c>
      <c r="S933" s="39" t="n">
        <v>0.0959304946495039</v>
      </c>
      <c r="T933" s="38" t="n">
        <f aca="false">N933*Scorecard!$C$18+O933*Scorecard!$C$19+P933*Scorecard!$C$20+Q933*Scorecard!$C$21+R933*Scorecard!$C$22+S933*Scorecard!$C$23</f>
        <v>3.96464488315819</v>
      </c>
      <c r="U933" s="38" t="n">
        <f aca="false">N933*Scorecard!$D$18+O933*Scorecard!$D$19+P933*Scorecard!$D$20+Q933*Scorecard!$D$21+R933*Scorecard!$D$22+S933*Scorecard!$D$23</f>
        <v>2.80024729738029</v>
      </c>
      <c r="V933" s="38" t="n">
        <f aca="false">N933*Scorecard!$E$18+O933*Scorecard!$E$19+P933*Scorecard!$E$20+Q933*Scorecard!$E$21+R933*Scorecard!$E$22+S933*Scorecard!$E$23</f>
        <v>3.25751631790789</v>
      </c>
    </row>
    <row r="934" customFormat="false" ht="15" hidden="false" customHeight="false" outlineLevel="0" collapsed="false">
      <c r="A934" s="0" t="n">
        <v>929</v>
      </c>
      <c r="B934" s="38" t="n">
        <f aca="false">E934*Scorecard!$C$18+F934*Scorecard!$C$19+G934*Scorecard!$C$20+H934*Scorecard!$C$21+I934*Scorecard!$C$22+J934*Scorecard!$C$23</f>
        <v>3.70265407169883</v>
      </c>
      <c r="C934" s="38" t="n">
        <f aca="false">E934*Scorecard!$D$18+F934*Scorecard!$D$19+G934*Scorecard!$D$20+H934*Scorecard!$D$21+I934*Scorecard!$D$22+J934*Scorecard!$D$23</f>
        <v>2.53301521666211</v>
      </c>
      <c r="D934" s="0" t="str">
        <f aca="false">IF(AND(B934&gt;=C934,B934&gt;=K934),"A. Distribution",IF(C934&gt;=K934,"B. Manufacturing","C. Prof. services"))</f>
        <v>A. Distribution</v>
      </c>
      <c r="E934" s="39" t="n">
        <v>0.20973201441049</v>
      </c>
      <c r="F934" s="39" t="n">
        <v>0.209838396883694</v>
      </c>
      <c r="G934" s="39" t="n">
        <v>0.0867890281281991</v>
      </c>
      <c r="H934" s="39" t="n">
        <v>0.224156681469131</v>
      </c>
      <c r="I934" s="39" t="n">
        <v>0.0363875766933282</v>
      </c>
      <c r="J934" s="39" t="n">
        <v>0.233096302415157</v>
      </c>
      <c r="K934" s="38" t="n">
        <f aca="false">E934*Scorecard!$E$18+F934*Scorecard!$E$19+G934*Scorecard!$E$20+H934*Scorecard!$E$21+I934*Scorecard!$E$22+J934*Scorecard!$E$23</f>
        <v>3.62687413107635</v>
      </c>
      <c r="M934" s="0" t="str">
        <f aca="false">IF(AND(T934&gt;=U934,T934&gt;=V934),"A. Distribution",IF(U934&gt;=V934,"B. Manufacturing","C. Prof. services"))</f>
        <v>A. Distribution</v>
      </c>
      <c r="N934" s="39" t="n">
        <v>0.167300423544228</v>
      </c>
      <c r="O934" s="39" t="n">
        <v>0.1581469405793</v>
      </c>
      <c r="P934" s="39" t="n">
        <v>0.252534117684321</v>
      </c>
      <c r="Q934" s="39" t="n">
        <v>0.122032730339511</v>
      </c>
      <c r="R934" s="39" t="n">
        <v>0.202158658330957</v>
      </c>
      <c r="S934" s="39" t="n">
        <v>0.0978271295216823</v>
      </c>
      <c r="T934" s="38" t="n">
        <f aca="false">N934*Scorecard!$C$18+O934*Scorecard!$C$19+P934*Scorecard!$C$20+Q934*Scorecard!$C$21+R934*Scorecard!$C$22+S934*Scorecard!$C$23</f>
        <v>3.93591157229735</v>
      </c>
      <c r="U934" s="38" t="n">
        <f aca="false">N934*Scorecard!$D$18+O934*Scorecard!$D$19+P934*Scorecard!$D$20+Q934*Scorecard!$D$21+R934*Scorecard!$D$22+S934*Scorecard!$D$23</f>
        <v>2.67858426607608</v>
      </c>
      <c r="V934" s="38" t="n">
        <f aca="false">N934*Scorecard!$E$18+O934*Scorecard!$E$19+P934*Scorecard!$E$20+Q934*Scorecard!$E$21+R934*Scorecard!$E$22+S934*Scorecard!$E$23</f>
        <v>3.39935985319318</v>
      </c>
    </row>
    <row r="935" customFormat="false" ht="15" hidden="false" customHeight="false" outlineLevel="0" collapsed="false">
      <c r="A935" s="0" t="n">
        <v>930</v>
      </c>
      <c r="B935" s="38" t="n">
        <f aca="false">E935*Scorecard!$C$18+F935*Scorecard!$C$19+G935*Scorecard!$C$20+H935*Scorecard!$C$21+I935*Scorecard!$C$22+J935*Scorecard!$C$23</f>
        <v>3.95535673736968</v>
      </c>
      <c r="C935" s="38" t="n">
        <f aca="false">E935*Scorecard!$D$18+F935*Scorecard!$D$19+G935*Scorecard!$D$20+H935*Scorecard!$D$21+I935*Scorecard!$D$22+J935*Scorecard!$D$23</f>
        <v>3.27589127523194</v>
      </c>
      <c r="D935" s="0" t="str">
        <f aca="false">IF(AND(B935&gt;=C935,B935&gt;=K935),"A. Distribution",IF(C935&gt;=K935,"B. Manufacturing","C. Prof. services"))</f>
        <v>A. Distribution</v>
      </c>
      <c r="E935" s="39" t="n">
        <v>0.430449434170168</v>
      </c>
      <c r="F935" s="39" t="n">
        <v>0.129694526028772</v>
      </c>
      <c r="G935" s="39" t="n">
        <v>0.0305887248146988</v>
      </c>
      <c r="H935" s="39" t="n">
        <v>0.0862948222683251</v>
      </c>
      <c r="I935" s="39" t="n">
        <v>0.257732455014031</v>
      </c>
      <c r="J935" s="39" t="n">
        <v>0.0652400377040045</v>
      </c>
      <c r="K935" s="38" t="n">
        <f aca="false">E935*Scorecard!$E$18+F935*Scorecard!$E$19+G935*Scorecard!$E$20+H935*Scorecard!$E$21+I935*Scorecard!$E$22+J935*Scorecard!$E$23</f>
        <v>3.2045684906729</v>
      </c>
      <c r="M935" s="0" t="str">
        <f aca="false">IF(AND(T935&gt;=U935,T935&gt;=V935),"A. Distribution",IF(U935&gt;=V935,"B. Manufacturing","C. Prof. services"))</f>
        <v>A. Distribution</v>
      </c>
      <c r="N935" s="39" t="n">
        <v>0.196433424147612</v>
      </c>
      <c r="O935" s="39" t="n">
        <v>0.124082901012688</v>
      </c>
      <c r="P935" s="39" t="n">
        <v>0.253549633436072</v>
      </c>
      <c r="Q935" s="39" t="n">
        <v>0.206850330776435</v>
      </c>
      <c r="R935" s="39" t="n">
        <v>0.209469723887322</v>
      </c>
      <c r="S935" s="39" t="n">
        <v>0.00961398673987089</v>
      </c>
      <c r="T935" s="38" t="n">
        <f aca="false">N935*Scorecard!$C$18+O935*Scorecard!$C$19+P935*Scorecard!$C$20+Q935*Scorecard!$C$21+R935*Scorecard!$C$22+S935*Scorecard!$C$23</f>
        <v>4.0667956775033</v>
      </c>
      <c r="U935" s="38" t="n">
        <f aca="false">N935*Scorecard!$D$18+O935*Scorecard!$D$19+P935*Scorecard!$D$20+Q935*Scorecard!$D$21+R935*Scorecard!$D$22+S935*Scorecard!$D$23</f>
        <v>2.79812629504152</v>
      </c>
      <c r="V935" s="38" t="n">
        <f aca="false">N935*Scorecard!$E$18+O935*Scorecard!$E$19+P935*Scorecard!$E$20+Q935*Scorecard!$E$21+R935*Scorecard!$E$22+S935*Scorecard!$E$23</f>
        <v>3.34148041121491</v>
      </c>
    </row>
    <row r="936" customFormat="false" ht="15" hidden="false" customHeight="false" outlineLevel="0" collapsed="false">
      <c r="A936" s="0" t="n">
        <v>931</v>
      </c>
      <c r="B936" s="38" t="n">
        <f aca="false">E936*Scorecard!$C$18+F936*Scorecard!$C$19+G936*Scorecard!$C$20+H936*Scorecard!$C$21+I936*Scorecard!$C$22+J936*Scorecard!$C$23</f>
        <v>3.68368606483977</v>
      </c>
      <c r="C936" s="38" t="n">
        <f aca="false">E936*Scorecard!$D$18+F936*Scorecard!$D$19+G936*Scorecard!$D$20+H936*Scorecard!$D$21+I936*Scorecard!$D$22+J936*Scorecard!$D$23</f>
        <v>2.88433920497631</v>
      </c>
      <c r="D936" s="0" t="str">
        <f aca="false">IF(AND(B936&gt;=C936,B936&gt;=K936),"A. Distribution",IF(C936&gt;=K936,"B. Manufacturing","C. Prof. services"))</f>
        <v>A. Distribution</v>
      </c>
      <c r="E936" s="39" t="n">
        <v>0.116961658416618</v>
      </c>
      <c r="F936" s="39" t="n">
        <v>0.052288176511862</v>
      </c>
      <c r="G936" s="39" t="n">
        <v>0.0926170453155417</v>
      </c>
      <c r="H936" s="39" t="n">
        <v>0.0370359330941025</v>
      </c>
      <c r="I936" s="39" t="n">
        <v>0.523486689579845</v>
      </c>
      <c r="J936" s="39" t="n">
        <v>0.177610497082031</v>
      </c>
      <c r="K936" s="38" t="n">
        <f aca="false">E936*Scorecard!$E$18+F936*Scorecard!$E$19+G936*Scorecard!$E$20+H936*Scorecard!$E$21+I936*Scorecard!$E$22+J936*Scorecard!$E$23</f>
        <v>3.08320936516716</v>
      </c>
      <c r="M936" s="0" t="str">
        <f aca="false">IF(AND(T936&gt;=U936,T936&gt;=V936),"A. Distribution",IF(U936&gt;=V936,"B. Manufacturing","C. Prof. services"))</f>
        <v>A. Distribution</v>
      </c>
      <c r="N936" s="39" t="n">
        <v>0.199623155043963</v>
      </c>
      <c r="O936" s="39" t="n">
        <v>0.293830905742586</v>
      </c>
      <c r="P936" s="39" t="n">
        <v>0.205982604108963</v>
      </c>
      <c r="Q936" s="39" t="n">
        <v>0.136588070615358</v>
      </c>
      <c r="R936" s="39" t="n">
        <v>0.125561320509819</v>
      </c>
      <c r="S936" s="39" t="n">
        <v>0.0384139439793116</v>
      </c>
      <c r="T936" s="38" t="n">
        <f aca="false">N936*Scorecard!$C$18+O936*Scorecard!$C$19+P936*Scorecard!$C$20+Q936*Scorecard!$C$21+R936*Scorecard!$C$22+S936*Scorecard!$C$23</f>
        <v>4.18625847432009</v>
      </c>
      <c r="U936" s="38" t="n">
        <f aca="false">N936*Scorecard!$D$18+O936*Scorecard!$D$19+P936*Scorecard!$D$20+Q936*Scorecard!$D$21+R936*Scorecard!$D$22+S936*Scorecard!$D$23</f>
        <v>2.74770524784379</v>
      </c>
      <c r="V936" s="38" t="n">
        <f aca="false">N936*Scorecard!$E$18+O936*Scorecard!$E$19+P936*Scorecard!$E$20+Q936*Scorecard!$E$21+R936*Scorecard!$E$22+S936*Scorecard!$E$23</f>
        <v>3.31419691490591</v>
      </c>
    </row>
    <row r="937" customFormat="false" ht="15" hidden="false" customHeight="false" outlineLevel="0" collapsed="false">
      <c r="A937" s="0" t="n">
        <v>932</v>
      </c>
      <c r="B937" s="38" t="n">
        <f aca="false">E937*Scorecard!$C$18+F937*Scorecard!$C$19+G937*Scorecard!$C$20+H937*Scorecard!$C$21+I937*Scorecard!$C$22+J937*Scorecard!$C$23</f>
        <v>4.16469099563873</v>
      </c>
      <c r="C937" s="38" t="n">
        <f aca="false">E937*Scorecard!$D$18+F937*Scorecard!$D$19+G937*Scorecard!$D$20+H937*Scorecard!$D$21+I937*Scorecard!$D$22+J937*Scorecard!$D$23</f>
        <v>2.52965421546138</v>
      </c>
      <c r="D937" s="0" t="str">
        <f aca="false">IF(AND(B937&gt;=C937,B937&gt;=K937),"A. Distribution",IF(C937&gt;=K937,"B. Manufacturing","C. Prof. services"))</f>
        <v>A. Distribution</v>
      </c>
      <c r="E937" s="39" t="n">
        <v>0.0657594229276426</v>
      </c>
      <c r="F937" s="39" t="n">
        <v>0.40980300932745</v>
      </c>
      <c r="G937" s="39" t="n">
        <v>0.215925051104489</v>
      </c>
      <c r="H937" s="39" t="n">
        <v>0.0127541178229695</v>
      </c>
      <c r="I937" s="39" t="n">
        <v>0.176529329705626</v>
      </c>
      <c r="J937" s="39" t="n">
        <v>0.119229069111824</v>
      </c>
      <c r="K937" s="38" t="n">
        <f aca="false">E937*Scorecard!$E$18+F937*Scorecard!$E$19+G937*Scorecard!$E$20+H937*Scorecard!$E$21+I937*Scorecard!$E$22+J937*Scorecard!$E$23</f>
        <v>3.23845590573982</v>
      </c>
      <c r="M937" s="0" t="str">
        <f aca="false">IF(AND(T937&gt;=U937,T937&gt;=V937),"A. Distribution",IF(U937&gt;=V937,"B. Manufacturing","C. Prof. services"))</f>
        <v>A. Distribution</v>
      </c>
      <c r="N937" s="39" t="n">
        <v>0.237057730601778</v>
      </c>
      <c r="O937" s="39" t="n">
        <v>0.153659593300744</v>
      </c>
      <c r="P937" s="39" t="n">
        <v>0.166609568973102</v>
      </c>
      <c r="Q937" s="39" t="n">
        <v>0.136118568565808</v>
      </c>
      <c r="R937" s="39" t="n">
        <v>0.194367372030033</v>
      </c>
      <c r="S937" s="39" t="n">
        <v>0.112187166528535</v>
      </c>
      <c r="T937" s="38" t="n">
        <f aca="false">N937*Scorecard!$C$18+O937*Scorecard!$C$19+P937*Scorecard!$C$20+Q937*Scorecard!$C$21+R937*Scorecard!$C$22+S937*Scorecard!$C$23</f>
        <v>3.89558580467408</v>
      </c>
      <c r="U937" s="38" t="n">
        <f aca="false">N937*Scorecard!$D$18+O937*Scorecard!$D$19+P937*Scorecard!$D$20+Q937*Scorecard!$D$21+R937*Scorecard!$D$22+S937*Scorecard!$D$23</f>
        <v>2.80389744389067</v>
      </c>
      <c r="V937" s="38" t="n">
        <f aca="false">N937*Scorecard!$E$18+O937*Scorecard!$E$19+P937*Scorecard!$E$20+Q937*Scorecard!$E$21+R937*Scorecard!$E$22+S937*Scorecard!$E$23</f>
        <v>3.38540407406297</v>
      </c>
    </row>
    <row r="938" customFormat="false" ht="15" hidden="false" customHeight="false" outlineLevel="0" collapsed="false">
      <c r="A938" s="0" t="n">
        <v>933</v>
      </c>
      <c r="B938" s="38" t="n">
        <f aca="false">E938*Scorecard!$C$18+F938*Scorecard!$C$19+G938*Scorecard!$C$20+H938*Scorecard!$C$21+I938*Scorecard!$C$22+J938*Scorecard!$C$23</f>
        <v>3.77189561464781</v>
      </c>
      <c r="C938" s="38" t="n">
        <f aca="false">E938*Scorecard!$D$18+F938*Scorecard!$D$19+G938*Scorecard!$D$20+H938*Scorecard!$D$21+I938*Scorecard!$D$22+J938*Scorecard!$D$23</f>
        <v>2.86050555346404</v>
      </c>
      <c r="D938" s="0" t="str">
        <f aca="false">IF(AND(B938&gt;=C938,B938&gt;=K938),"A. Distribution",IF(C938&gt;=K938,"B. Manufacturing","C. Prof. services"))</f>
        <v>A. Distribution</v>
      </c>
      <c r="E938" s="39" t="n">
        <v>0.25726118829084</v>
      </c>
      <c r="F938" s="39" t="n">
        <v>0.0601991420634443</v>
      </c>
      <c r="G938" s="39" t="n">
        <v>0.0917716230930351</v>
      </c>
      <c r="H938" s="39" t="n">
        <v>0.248597986136598</v>
      </c>
      <c r="I938" s="39" t="n">
        <v>0.221738921315364</v>
      </c>
      <c r="J938" s="39" t="n">
        <v>0.120431139100719</v>
      </c>
      <c r="K938" s="38" t="n">
        <f aca="false">E938*Scorecard!$E$18+F938*Scorecard!$E$19+G938*Scorecard!$E$20+H938*Scorecard!$E$21+I938*Scorecard!$E$22+J938*Scorecard!$E$23</f>
        <v>3.40873918513542</v>
      </c>
      <c r="M938" s="0" t="str">
        <f aca="false">IF(AND(T938&gt;=U938,T938&gt;=V938),"A. Distribution",IF(U938&gt;=V938,"B. Manufacturing","C. Prof. services"))</f>
        <v>A. Distribution</v>
      </c>
      <c r="N938" s="39" t="n">
        <v>0.198724867985038</v>
      </c>
      <c r="O938" s="39" t="n">
        <v>0.0623256247486096</v>
      </c>
      <c r="P938" s="39" t="n">
        <v>0.267243038384433</v>
      </c>
      <c r="Q938" s="39" t="n">
        <v>0.281782888079425</v>
      </c>
      <c r="R938" s="39" t="n">
        <v>0.147387294334286</v>
      </c>
      <c r="S938" s="39" t="n">
        <v>0.0425362864682084</v>
      </c>
      <c r="T938" s="38" t="n">
        <f aca="false">N938*Scorecard!$C$18+O938*Scorecard!$C$19+P938*Scorecard!$C$20+Q938*Scorecard!$C$21+R938*Scorecard!$C$22+S938*Scorecard!$C$23</f>
        <v>3.93093580213388</v>
      </c>
      <c r="U938" s="38" t="n">
        <f aca="false">N938*Scorecard!$D$18+O938*Scorecard!$D$19+P938*Scorecard!$D$20+Q938*Scorecard!$D$21+R938*Scorecard!$D$22+S938*Scorecard!$D$23</f>
        <v>2.69270744590883</v>
      </c>
      <c r="V938" s="38" t="n">
        <f aca="false">N938*Scorecard!$E$18+O938*Scorecard!$E$19+P938*Scorecard!$E$20+Q938*Scorecard!$E$21+R938*Scorecard!$E$22+S938*Scorecard!$E$23</f>
        <v>3.50958576108832</v>
      </c>
    </row>
    <row r="939" customFormat="false" ht="15" hidden="false" customHeight="false" outlineLevel="0" collapsed="false">
      <c r="A939" s="0" t="n">
        <v>934</v>
      </c>
      <c r="B939" s="38" t="n">
        <f aca="false">E939*Scorecard!$C$18+F939*Scorecard!$C$19+G939*Scorecard!$C$20+H939*Scorecard!$C$21+I939*Scorecard!$C$22+J939*Scorecard!$C$23</f>
        <v>3.9585250632924</v>
      </c>
      <c r="C939" s="38" t="n">
        <f aca="false">E939*Scorecard!$D$18+F939*Scorecard!$D$19+G939*Scorecard!$D$20+H939*Scorecard!$D$21+I939*Scorecard!$D$22+J939*Scorecard!$D$23</f>
        <v>3.13724992302736</v>
      </c>
      <c r="D939" s="0" t="str">
        <f aca="false">IF(AND(B939&gt;=C939,B939&gt;=K939),"A. Distribution",IF(C939&gt;=K939,"B. Manufacturing","C. Prof. services"))</f>
        <v>A. Distribution</v>
      </c>
      <c r="E939" s="39" t="n">
        <v>0.538871447522875</v>
      </c>
      <c r="F939" s="39" t="n">
        <v>0.0332565416182204</v>
      </c>
      <c r="G939" s="39" t="n">
        <v>0.382165848073731</v>
      </c>
      <c r="H939" s="39" t="n">
        <v>0.00294961101319934</v>
      </c>
      <c r="I939" s="39" t="n">
        <v>0.0271818482493089</v>
      </c>
      <c r="J939" s="39" t="n">
        <v>0.015574703522665</v>
      </c>
      <c r="K939" s="38" t="n">
        <f aca="false">E939*Scorecard!$E$18+F939*Scorecard!$E$19+G939*Scorecard!$E$20+H939*Scorecard!$E$21+I939*Scorecard!$E$22+J939*Scorecard!$E$23</f>
        <v>3.6523274245038</v>
      </c>
      <c r="M939" s="0" t="str">
        <f aca="false">IF(AND(T939&gt;=U939,T939&gt;=V939),"A. Distribution",IF(U939&gt;=V939,"B. Manufacturing","C. Prof. services"))</f>
        <v>A. Distribution</v>
      </c>
      <c r="N939" s="39" t="n">
        <v>0.157265965088784</v>
      </c>
      <c r="O939" s="39" t="n">
        <v>0.124162990552971</v>
      </c>
      <c r="P939" s="39" t="n">
        <v>0.355668831300076</v>
      </c>
      <c r="Q939" s="39" t="n">
        <v>0.117305984637802</v>
      </c>
      <c r="R939" s="39" t="n">
        <v>0.162753984631239</v>
      </c>
      <c r="S939" s="39" t="n">
        <v>0.082842243789128</v>
      </c>
      <c r="T939" s="38" t="n">
        <f aca="false">N939*Scorecard!$C$18+O939*Scorecard!$C$19+P939*Scorecard!$C$20+Q939*Scorecard!$C$21+R939*Scorecard!$C$22+S939*Scorecard!$C$23</f>
        <v>3.93321233763579</v>
      </c>
      <c r="U939" s="38" t="n">
        <f aca="false">N939*Scorecard!$D$18+O939*Scorecard!$D$19+P939*Scorecard!$D$20+Q939*Scorecard!$D$21+R939*Scorecard!$D$22+S939*Scorecard!$D$23</f>
        <v>2.59384860149682</v>
      </c>
      <c r="V939" s="38" t="n">
        <f aca="false">N939*Scorecard!$E$18+O939*Scorecard!$E$19+P939*Scorecard!$E$20+Q939*Scorecard!$E$21+R939*Scorecard!$E$22+S939*Scorecard!$E$23</f>
        <v>3.50473144115173</v>
      </c>
    </row>
    <row r="940" customFormat="false" ht="15" hidden="false" customHeight="false" outlineLevel="0" collapsed="false">
      <c r="A940" s="0" t="n">
        <v>935</v>
      </c>
      <c r="B940" s="38" t="n">
        <f aca="false">E940*Scorecard!$C$18+F940*Scorecard!$C$19+G940*Scorecard!$C$20+H940*Scorecard!$C$21+I940*Scorecard!$C$22+J940*Scorecard!$C$23</f>
        <v>4.19126410554297</v>
      </c>
      <c r="C940" s="38" t="n">
        <f aca="false">E940*Scorecard!$D$18+F940*Scorecard!$D$19+G940*Scorecard!$D$20+H940*Scorecard!$D$21+I940*Scorecard!$D$22+J940*Scorecard!$D$23</f>
        <v>3.03035304546425</v>
      </c>
      <c r="D940" s="0" t="str">
        <f aca="false">IF(AND(B940&gt;=C940,B940&gt;=K940),"A. Distribution",IF(C940&gt;=K940,"B. Manufacturing","C. Prof. services"))</f>
        <v>A. Distribution</v>
      </c>
      <c r="E940" s="39" t="n">
        <v>0.410089000192425</v>
      </c>
      <c r="F940" s="39" t="n">
        <v>0.275529315434521</v>
      </c>
      <c r="G940" s="39" t="n">
        <v>0.156419097812816</v>
      </c>
      <c r="H940" s="39" t="n">
        <v>0.115597317878895</v>
      </c>
      <c r="I940" s="39" t="n">
        <v>0.0229228641507801</v>
      </c>
      <c r="J940" s="39" t="n">
        <v>0.0194424045305633</v>
      </c>
      <c r="K940" s="38" t="n">
        <f aca="false">E940*Scorecard!$E$18+F940*Scorecard!$E$19+G940*Scorecard!$E$20+H940*Scorecard!$E$21+I940*Scorecard!$E$22+J940*Scorecard!$E$23</f>
        <v>3.39928935697903</v>
      </c>
      <c r="M940" s="0" t="str">
        <f aca="false">IF(AND(T940&gt;=U940,T940&gt;=V940),"A. Distribution",IF(U940&gt;=V940,"B. Manufacturing","C. Prof. services"))</f>
        <v>A. Distribution</v>
      </c>
      <c r="N940" s="39" t="n">
        <v>0.251361449594626</v>
      </c>
      <c r="O940" s="39" t="n">
        <v>0.140105122502486</v>
      </c>
      <c r="P940" s="39" t="n">
        <v>0.219417552873774</v>
      </c>
      <c r="Q940" s="39" t="n">
        <v>0.121534529958111</v>
      </c>
      <c r="R940" s="39" t="n">
        <v>0.248467630984958</v>
      </c>
      <c r="S940" s="39" t="n">
        <v>0.0191137140860455</v>
      </c>
      <c r="T940" s="38" t="n">
        <f aca="false">N940*Scorecard!$C$18+O940*Scorecard!$C$19+P940*Scorecard!$C$20+Q940*Scorecard!$C$21+R940*Scorecard!$C$22+S940*Scorecard!$C$23</f>
        <v>4.06860127805538</v>
      </c>
      <c r="U940" s="38" t="n">
        <f aca="false">N940*Scorecard!$D$18+O940*Scorecard!$D$19+P940*Scorecard!$D$20+Q940*Scorecard!$D$21+R940*Scorecard!$D$22+S940*Scorecard!$D$23</f>
        <v>2.9400632328132</v>
      </c>
      <c r="V940" s="38" t="n">
        <f aca="false">N940*Scorecard!$E$18+O940*Scorecard!$E$19+P940*Scorecard!$E$20+Q940*Scorecard!$E$21+R940*Scorecard!$E$22+S940*Scorecard!$E$23</f>
        <v>3.26251993226095</v>
      </c>
    </row>
    <row r="941" customFormat="false" ht="15" hidden="false" customHeight="false" outlineLevel="0" collapsed="false">
      <c r="A941" s="0" t="n">
        <v>936</v>
      </c>
      <c r="B941" s="38" t="n">
        <f aca="false">E941*Scorecard!$C$18+F941*Scorecard!$C$19+G941*Scorecard!$C$20+H941*Scorecard!$C$21+I941*Scorecard!$C$22+J941*Scorecard!$C$23</f>
        <v>4.10348721929744</v>
      </c>
      <c r="C941" s="38" t="n">
        <f aca="false">E941*Scorecard!$D$18+F941*Scorecard!$D$19+G941*Scorecard!$D$20+H941*Scorecard!$D$21+I941*Scorecard!$D$22+J941*Scorecard!$D$23</f>
        <v>2.57782595100214</v>
      </c>
      <c r="D941" s="0" t="str">
        <f aca="false">IF(AND(B941&gt;=C941,B941&gt;=K941),"A. Distribution",IF(C941&gt;=K941,"B. Manufacturing","C. Prof. services"))</f>
        <v>A. Distribution</v>
      </c>
      <c r="E941" s="39" t="n">
        <v>0.135059168018109</v>
      </c>
      <c r="F941" s="39" t="n">
        <v>0.194023484160572</v>
      </c>
      <c r="G941" s="39" t="n">
        <v>0.186168855010581</v>
      </c>
      <c r="H941" s="39" t="n">
        <v>0.39427098770452</v>
      </c>
      <c r="I941" s="39" t="n">
        <v>0.0718725701214052</v>
      </c>
      <c r="J941" s="39" t="n">
        <v>0.0186049349848135</v>
      </c>
      <c r="K941" s="38" t="n">
        <f aca="false">E941*Scorecard!$E$18+F941*Scorecard!$E$19+G941*Scorecard!$E$20+H941*Scorecard!$E$21+I941*Scorecard!$E$22+J941*Scorecard!$E$23</f>
        <v>3.46108718947123</v>
      </c>
      <c r="M941" s="0" t="str">
        <f aca="false">IF(AND(T941&gt;=U941,T941&gt;=V941),"A. Distribution",IF(U941&gt;=V941,"B. Manufacturing","C. Prof. services"))</f>
        <v>A. Distribution</v>
      </c>
      <c r="N941" s="39" t="n">
        <v>0.161304775894226</v>
      </c>
      <c r="O941" s="39" t="n">
        <v>0.27480375558531</v>
      </c>
      <c r="P941" s="39" t="n">
        <v>0.261545213501748</v>
      </c>
      <c r="Q941" s="39" t="n">
        <v>0.0604381327780682</v>
      </c>
      <c r="R941" s="39" t="n">
        <v>0.193820875798781</v>
      </c>
      <c r="S941" s="39" t="n">
        <v>0.048087246441867</v>
      </c>
      <c r="T941" s="38" t="n">
        <f aca="false">N941*Scorecard!$C$18+O941*Scorecard!$C$19+P941*Scorecard!$C$20+Q941*Scorecard!$C$21+R941*Scorecard!$C$22+S941*Scorecard!$C$23</f>
        <v>4.15916637868913</v>
      </c>
      <c r="U941" s="38" t="n">
        <f aca="false">N941*Scorecard!$D$18+O941*Scorecard!$D$19+P941*Scorecard!$D$20+Q941*Scorecard!$D$21+R941*Scorecard!$D$22+S941*Scorecard!$D$23</f>
        <v>2.7240109776954</v>
      </c>
      <c r="V941" s="38" t="n">
        <f aca="false">N941*Scorecard!$E$18+O941*Scorecard!$E$19+P941*Scorecard!$E$20+Q941*Scorecard!$E$21+R941*Scorecard!$E$22+S941*Scorecard!$E$23</f>
        <v>3.27207675669165</v>
      </c>
    </row>
    <row r="942" customFormat="false" ht="15" hidden="false" customHeight="false" outlineLevel="0" collapsed="false">
      <c r="A942" s="0" t="n">
        <v>937</v>
      </c>
      <c r="B942" s="38" t="n">
        <f aca="false">E942*Scorecard!$C$18+F942*Scorecard!$C$19+G942*Scorecard!$C$20+H942*Scorecard!$C$21+I942*Scorecard!$C$22+J942*Scorecard!$C$23</f>
        <v>3.23532994137</v>
      </c>
      <c r="C942" s="38" t="n">
        <f aca="false">E942*Scorecard!$D$18+F942*Scorecard!$D$19+G942*Scorecard!$D$20+H942*Scorecard!$D$21+I942*Scorecard!$D$22+J942*Scorecard!$D$23</f>
        <v>1.99751581972954</v>
      </c>
      <c r="D942" s="0" t="str">
        <f aca="false">IF(AND(B942&gt;=C942,B942&gt;=K942),"A. Distribution",IF(C942&gt;=K942,"B. Manufacturing","C. Prof. services"))</f>
        <v>C. Prof. services</v>
      </c>
      <c r="E942" s="39" t="n">
        <v>0.0173810320633003</v>
      </c>
      <c r="F942" s="39" t="n">
        <v>0.0259370289412322</v>
      </c>
      <c r="G942" s="39" t="n">
        <v>0.441970505783554</v>
      </c>
      <c r="H942" s="39" t="n">
        <v>0.0150994376707678</v>
      </c>
      <c r="I942" s="39" t="n">
        <v>0.105819671868124</v>
      </c>
      <c r="J942" s="39" t="n">
        <v>0.393792323673022</v>
      </c>
      <c r="K942" s="38" t="n">
        <f aca="false">E942*Scorecard!$E$18+F942*Scorecard!$E$19+G942*Scorecard!$E$20+H942*Scorecard!$E$21+I942*Scorecard!$E$22+J942*Scorecard!$E$23</f>
        <v>3.97589174493498</v>
      </c>
      <c r="M942" s="0" t="str">
        <f aca="false">IF(AND(T942&gt;=U942,T942&gt;=V942),"A. Distribution",IF(U942&gt;=V942,"B. Manufacturing","C. Prof. services"))</f>
        <v>A. Distribution</v>
      </c>
      <c r="N942" s="39" t="n">
        <v>0.175056562376794</v>
      </c>
      <c r="O942" s="39" t="n">
        <v>0.340188665654054</v>
      </c>
      <c r="P942" s="39" t="n">
        <v>0.202551329810389</v>
      </c>
      <c r="Q942" s="39" t="n">
        <v>0.0737515638332905</v>
      </c>
      <c r="R942" s="39" t="n">
        <v>0.0934736426903048</v>
      </c>
      <c r="S942" s="39" t="n">
        <v>0.114978235635169</v>
      </c>
      <c r="T942" s="38" t="n">
        <f aca="false">N942*Scorecard!$C$18+O942*Scorecard!$C$19+P942*Scorecard!$C$20+Q942*Scorecard!$C$21+R942*Scorecard!$C$22+S942*Scorecard!$C$23</f>
        <v>4.08823069381886</v>
      </c>
      <c r="U942" s="38" t="n">
        <f aca="false">N942*Scorecard!$D$18+O942*Scorecard!$D$19+P942*Scorecard!$D$20+Q942*Scorecard!$D$21+R942*Scorecard!$D$22+S942*Scorecard!$D$23</f>
        <v>2.62313023557772</v>
      </c>
      <c r="V942" s="38" t="n">
        <f aca="false">N942*Scorecard!$E$18+O942*Scorecard!$E$19+P942*Scorecard!$E$20+Q942*Scorecard!$E$21+R942*Scorecard!$E$22+S942*Scorecard!$E$23</f>
        <v>3.38337828757464</v>
      </c>
    </row>
    <row r="943" customFormat="false" ht="15" hidden="false" customHeight="false" outlineLevel="0" collapsed="false">
      <c r="A943" s="0" t="n">
        <v>938</v>
      </c>
      <c r="B943" s="38" t="n">
        <f aca="false">E943*Scorecard!$C$18+F943*Scorecard!$C$19+G943*Scorecard!$C$20+H943*Scorecard!$C$21+I943*Scorecard!$C$22+J943*Scorecard!$C$23</f>
        <v>3.98550682996861</v>
      </c>
      <c r="C943" s="38" t="n">
        <f aca="false">E943*Scorecard!$D$18+F943*Scorecard!$D$19+G943*Scorecard!$D$20+H943*Scorecard!$D$21+I943*Scorecard!$D$22+J943*Scorecard!$D$23</f>
        <v>2.97792423615638</v>
      </c>
      <c r="D943" s="0" t="str">
        <f aca="false">IF(AND(B943&gt;=C943,B943&gt;=K943),"A. Distribution",IF(C943&gt;=K943,"B. Manufacturing","C. Prof. services"))</f>
        <v>A. Distribution</v>
      </c>
      <c r="E943" s="39" t="n">
        <v>0.147932613654168</v>
      </c>
      <c r="F943" s="39" t="n">
        <v>0.0297484572345166</v>
      </c>
      <c r="G943" s="39" t="n">
        <v>0.275734805553837</v>
      </c>
      <c r="H943" s="39" t="n">
        <v>0.0384680760912473</v>
      </c>
      <c r="I943" s="39" t="n">
        <v>0.494006228720002</v>
      </c>
      <c r="J943" s="39" t="n">
        <v>0.0141098187462301</v>
      </c>
      <c r="K943" s="38" t="n">
        <f aca="false">E943*Scorecard!$E$18+F943*Scorecard!$E$19+G943*Scorecard!$E$20+H943*Scorecard!$E$21+I943*Scorecard!$E$22+J943*Scorecard!$E$23</f>
        <v>3.06158460074607</v>
      </c>
      <c r="M943" s="0" t="str">
        <f aca="false">IF(AND(T943&gt;=U943,T943&gt;=V943),"A. Distribution",IF(U943&gt;=V943,"B. Manufacturing","C. Prof. services"))</f>
        <v>A. Distribution</v>
      </c>
      <c r="N943" s="39" t="n">
        <v>0.163376513925467</v>
      </c>
      <c r="O943" s="39" t="n">
        <v>0.162104455577968</v>
      </c>
      <c r="P943" s="39" t="n">
        <v>0.235649955110631</v>
      </c>
      <c r="Q943" s="39" t="n">
        <v>0.165058814762494</v>
      </c>
      <c r="R943" s="39" t="n">
        <v>0.122038569354108</v>
      </c>
      <c r="S943" s="39" t="n">
        <v>0.151771691269332</v>
      </c>
      <c r="T943" s="38" t="n">
        <f aca="false">N943*Scorecard!$C$18+O943*Scorecard!$C$19+P943*Scorecard!$C$20+Q943*Scorecard!$C$21+R943*Scorecard!$C$22+S943*Scorecard!$C$23</f>
        <v>3.8276589159926</v>
      </c>
      <c r="U943" s="38" t="n">
        <f aca="false">N943*Scorecard!$D$18+O943*Scorecard!$D$19+P943*Scorecard!$D$20+Q943*Scorecard!$D$21+R943*Scorecard!$D$22+S943*Scorecard!$D$23</f>
        <v>2.55152059496689</v>
      </c>
      <c r="V943" s="38" t="n">
        <f aca="false">N943*Scorecard!$E$18+O943*Scorecard!$E$19+P943*Scorecard!$E$20+Q943*Scorecard!$E$21+R943*Scorecard!$E$22+S943*Scorecard!$E$23</f>
        <v>3.543026564744</v>
      </c>
    </row>
    <row r="944" customFormat="false" ht="15" hidden="false" customHeight="false" outlineLevel="0" collapsed="false">
      <c r="A944" s="0" t="n">
        <v>939</v>
      </c>
      <c r="B944" s="38" t="n">
        <f aca="false">E944*Scorecard!$C$18+F944*Scorecard!$C$19+G944*Scorecard!$C$20+H944*Scorecard!$C$21+I944*Scorecard!$C$22+J944*Scorecard!$C$23</f>
        <v>4.09179854915706</v>
      </c>
      <c r="C944" s="38" t="n">
        <f aca="false">E944*Scorecard!$D$18+F944*Scorecard!$D$19+G944*Scorecard!$D$20+H944*Scorecard!$D$21+I944*Scorecard!$D$22+J944*Scorecard!$D$23</f>
        <v>2.82784651663765</v>
      </c>
      <c r="D944" s="0" t="str">
        <f aca="false">IF(AND(B944&gt;=C944,B944&gt;=K944),"A. Distribution",IF(C944&gt;=K944,"B. Manufacturing","C. Prof. services"))</f>
        <v>A. Distribution</v>
      </c>
      <c r="E944" s="39" t="n">
        <v>0.209755727329498</v>
      </c>
      <c r="F944" s="39" t="n">
        <v>0.391476439923841</v>
      </c>
      <c r="G944" s="39" t="n">
        <v>0.0486831559406955</v>
      </c>
      <c r="H944" s="39" t="n">
        <v>0.0121782789480138</v>
      </c>
      <c r="I944" s="39" t="n">
        <v>0.19714386593803</v>
      </c>
      <c r="J944" s="39" t="n">
        <v>0.140762531919922</v>
      </c>
      <c r="K944" s="38" t="n">
        <f aca="false">E944*Scorecard!$E$18+F944*Scorecard!$E$19+G944*Scorecard!$E$20+H944*Scorecard!$E$21+I944*Scorecard!$E$22+J944*Scorecard!$E$23</f>
        <v>3.16496249249078</v>
      </c>
      <c r="M944" s="0" t="str">
        <f aca="false">IF(AND(T944&gt;=U944,T944&gt;=V944),"A. Distribution",IF(U944&gt;=V944,"B. Manufacturing","C. Prof. services"))</f>
        <v>A. Distribution</v>
      </c>
      <c r="N944" s="39" t="n">
        <v>0.231163350207861</v>
      </c>
      <c r="O944" s="39" t="n">
        <v>0.208025030153058</v>
      </c>
      <c r="P944" s="39" t="n">
        <v>0.149156412100822</v>
      </c>
      <c r="Q944" s="39" t="n">
        <v>0.224177299942456</v>
      </c>
      <c r="R944" s="39" t="n">
        <v>0.113502295317745</v>
      </c>
      <c r="S944" s="39" t="n">
        <v>0.0739756122780583</v>
      </c>
      <c r="T944" s="38" t="n">
        <f aca="false">N944*Scorecard!$C$18+O944*Scorecard!$C$19+P944*Scorecard!$C$20+Q944*Scorecard!$C$21+R944*Scorecard!$C$22+S944*Scorecard!$C$23</f>
        <v>4.01735921082222</v>
      </c>
      <c r="U944" s="38" t="n">
        <f aca="false">N944*Scorecard!$D$18+O944*Scorecard!$D$19+P944*Scorecard!$D$20+Q944*Scorecard!$D$21+R944*Scorecard!$D$22+S944*Scorecard!$D$23</f>
        <v>2.75780050589076</v>
      </c>
      <c r="V944" s="38" t="n">
        <f aca="false">N944*Scorecard!$E$18+O944*Scorecard!$E$19+P944*Scorecard!$E$20+Q944*Scorecard!$E$21+R944*Scorecard!$E$22+S944*Scorecard!$E$23</f>
        <v>3.41023200412058</v>
      </c>
    </row>
    <row r="945" customFormat="false" ht="15" hidden="false" customHeight="false" outlineLevel="0" collapsed="false">
      <c r="A945" s="0" t="n">
        <v>940</v>
      </c>
      <c r="B945" s="38" t="n">
        <f aca="false">E945*Scorecard!$C$18+F945*Scorecard!$C$19+G945*Scorecard!$C$20+H945*Scorecard!$C$21+I945*Scorecard!$C$22+J945*Scorecard!$C$23</f>
        <v>3.95379786064717</v>
      </c>
      <c r="C945" s="38" t="n">
        <f aca="false">E945*Scorecard!$D$18+F945*Scorecard!$D$19+G945*Scorecard!$D$20+H945*Scorecard!$D$21+I945*Scorecard!$D$22+J945*Scorecard!$D$23</f>
        <v>2.70934879198599</v>
      </c>
      <c r="D945" s="0" t="str">
        <f aca="false">IF(AND(B945&gt;=C945,B945&gt;=K945),"A. Distribution",IF(C945&gt;=K945,"B. Manufacturing","C. Prof. services"))</f>
        <v>A. Distribution</v>
      </c>
      <c r="E945" s="39" t="n">
        <v>0.0288523940069938</v>
      </c>
      <c r="F945" s="39" t="n">
        <v>0.109331875782265</v>
      </c>
      <c r="G945" s="39" t="n">
        <v>0.123857010832752</v>
      </c>
      <c r="H945" s="39" t="n">
        <v>0.265774935621855</v>
      </c>
      <c r="I945" s="39" t="n">
        <v>0.409893711611519</v>
      </c>
      <c r="J945" s="39" t="n">
        <v>0.0622900721446146</v>
      </c>
      <c r="K945" s="38" t="n">
        <f aca="false">E945*Scorecard!$E$18+F945*Scorecard!$E$19+G945*Scorecard!$E$20+H945*Scorecard!$E$21+I945*Scorecard!$E$22+J945*Scorecard!$E$23</f>
        <v>3.1159231376798</v>
      </c>
      <c r="M945" s="0" t="str">
        <f aca="false">IF(AND(T945&gt;=U945,T945&gt;=V945),"A. Distribution",IF(U945&gt;=V945,"B. Manufacturing","C. Prof. services"))</f>
        <v>A. Distribution</v>
      </c>
      <c r="N945" s="39" t="n">
        <v>0.407451171499654</v>
      </c>
      <c r="O945" s="39" t="n">
        <v>0.151511759549539</v>
      </c>
      <c r="P945" s="39" t="n">
        <v>0.150630093036974</v>
      </c>
      <c r="Q945" s="39" t="n">
        <v>0.144131826887618</v>
      </c>
      <c r="R945" s="39" t="n">
        <v>0.0935224031796168</v>
      </c>
      <c r="S945" s="39" t="n">
        <v>0.0527527458465975</v>
      </c>
      <c r="T945" s="38" t="n">
        <f aca="false">N945*Scorecard!$C$18+O945*Scorecard!$C$19+P945*Scorecard!$C$20+Q945*Scorecard!$C$21+R945*Scorecard!$C$22+S945*Scorecard!$C$23</f>
        <v>3.99776303968651</v>
      </c>
      <c r="U945" s="38" t="n">
        <f aca="false">N945*Scorecard!$D$18+O945*Scorecard!$D$19+P945*Scorecard!$D$20+Q945*Scorecard!$D$21+R945*Scorecard!$D$22+S945*Scorecard!$D$23</f>
        <v>3.04512395428585</v>
      </c>
      <c r="V945" s="38" t="n">
        <f aca="false">N945*Scorecard!$E$18+O945*Scorecard!$E$19+P945*Scorecard!$E$20+Q945*Scorecard!$E$21+R945*Scorecard!$E$22+S945*Scorecard!$E$23</f>
        <v>3.43851506914642</v>
      </c>
    </row>
    <row r="946" customFormat="false" ht="15" hidden="false" customHeight="false" outlineLevel="0" collapsed="false">
      <c r="A946" s="0" t="n">
        <v>941</v>
      </c>
      <c r="B946" s="38" t="n">
        <f aca="false">E946*Scorecard!$C$18+F946*Scorecard!$C$19+G946*Scorecard!$C$20+H946*Scorecard!$C$21+I946*Scorecard!$C$22+J946*Scorecard!$C$23</f>
        <v>2.59738743636517</v>
      </c>
      <c r="C946" s="38" t="n">
        <f aca="false">E946*Scorecard!$D$18+F946*Scorecard!$D$19+G946*Scorecard!$D$20+H946*Scorecard!$D$21+I946*Scorecard!$D$22+J946*Scorecard!$D$23</f>
        <v>1.78669820525444</v>
      </c>
      <c r="D946" s="0" t="str">
        <f aca="false">IF(AND(B946&gt;=C946,B946&gt;=K946),"A. Distribution",IF(C946&gt;=K946,"B. Manufacturing","C. Prof. services"))</f>
        <v>C. Prof. services</v>
      </c>
      <c r="E946" s="39" t="n">
        <v>0.0163861929123</v>
      </c>
      <c r="F946" s="39" t="n">
        <v>0.0700814229458412</v>
      </c>
      <c r="G946" s="39" t="n">
        <v>0.00924949832364085</v>
      </c>
      <c r="H946" s="39" t="n">
        <v>0.149139855562127</v>
      </c>
      <c r="I946" s="39" t="n">
        <v>0.0274887877079699</v>
      </c>
      <c r="J946" s="39" t="n">
        <v>0.727654242548121</v>
      </c>
      <c r="K946" s="38" t="n">
        <f aca="false">E946*Scorecard!$E$18+F946*Scorecard!$E$19+G946*Scorecard!$E$20+H946*Scorecard!$E$21+I946*Scorecard!$E$22+J946*Scorecard!$E$23</f>
        <v>4.17726182399514</v>
      </c>
      <c r="M946" s="0" t="str">
        <f aca="false">IF(AND(T946&gt;=U946,T946&gt;=V946),"A. Distribution",IF(U946&gt;=V946,"B. Manufacturing","C. Prof. services"))</f>
        <v>A. Distribution</v>
      </c>
      <c r="N946" s="39" t="n">
        <v>0.31186272673553</v>
      </c>
      <c r="O946" s="39" t="n">
        <v>0.152677886219191</v>
      </c>
      <c r="P946" s="39" t="n">
        <v>0.194812119650951</v>
      </c>
      <c r="Q946" s="39" t="n">
        <v>0.0594275943030743</v>
      </c>
      <c r="R946" s="39" t="n">
        <v>0.0777221328897962</v>
      </c>
      <c r="S946" s="39" t="n">
        <v>0.203497540201458</v>
      </c>
      <c r="T946" s="38" t="n">
        <f aca="false">N946*Scorecard!$C$18+O946*Scorecard!$C$19+P946*Scorecard!$C$20+Q946*Scorecard!$C$21+R946*Scorecard!$C$22+S946*Scorecard!$C$23</f>
        <v>3.71424099606831</v>
      </c>
      <c r="U946" s="38" t="n">
        <f aca="false">N946*Scorecard!$D$18+O946*Scorecard!$D$19+P946*Scorecard!$D$20+Q946*Scorecard!$D$21+R946*Scorecard!$D$22+S946*Scorecard!$D$23</f>
        <v>2.73113946185491</v>
      </c>
      <c r="V946" s="38" t="n">
        <f aca="false">N946*Scorecard!$E$18+O946*Scorecard!$E$19+P946*Scorecard!$E$20+Q946*Scorecard!$E$21+R946*Scorecard!$E$22+S946*Scorecard!$E$23</f>
        <v>3.61432669598766</v>
      </c>
    </row>
    <row r="947" customFormat="false" ht="15" hidden="false" customHeight="false" outlineLevel="0" collapsed="false">
      <c r="A947" s="0" t="n">
        <v>942</v>
      </c>
      <c r="B947" s="38" t="n">
        <f aca="false">E947*Scorecard!$C$18+F947*Scorecard!$C$19+G947*Scorecard!$C$20+H947*Scorecard!$C$21+I947*Scorecard!$C$22+J947*Scorecard!$C$23</f>
        <v>4.36312679670931</v>
      </c>
      <c r="C947" s="38" t="n">
        <f aca="false">E947*Scorecard!$D$18+F947*Scorecard!$D$19+G947*Scorecard!$D$20+H947*Scorecard!$D$21+I947*Scorecard!$D$22+J947*Scorecard!$D$23</f>
        <v>2.81518499660107</v>
      </c>
      <c r="D947" s="0" t="str">
        <f aca="false">IF(AND(B947&gt;=C947,B947&gt;=K947),"A. Distribution",IF(C947&gt;=K947,"B. Manufacturing","C. Prof. services"))</f>
        <v>A. Distribution</v>
      </c>
      <c r="E947" s="39" t="n">
        <v>0.0154871055157885</v>
      </c>
      <c r="F947" s="39" t="n">
        <v>0.391234064878669</v>
      </c>
      <c r="G947" s="39" t="n">
        <v>0.0643635713807465</v>
      </c>
      <c r="H947" s="39" t="n">
        <v>0.110385737512849</v>
      </c>
      <c r="I947" s="39" t="n">
        <v>0.411044655476715</v>
      </c>
      <c r="J947" s="39" t="n">
        <v>0.00748486523523257</v>
      </c>
      <c r="K947" s="38" t="n">
        <f aca="false">E947*Scorecard!$E$18+F947*Scorecard!$E$19+G947*Scorecard!$E$20+H947*Scorecard!$E$21+I947*Scorecard!$E$22+J947*Scorecard!$E$23</f>
        <v>2.80711797935696</v>
      </c>
      <c r="M947" s="0" t="str">
        <f aca="false">IF(AND(T947&gt;=U947,T947&gt;=V947),"A. Distribution",IF(U947&gt;=V947,"B. Manufacturing","C. Prof. services"))</f>
        <v>A. Distribution</v>
      </c>
      <c r="N947" s="39" t="n">
        <v>0.16462097982282</v>
      </c>
      <c r="O947" s="39" t="n">
        <v>0.303296676789599</v>
      </c>
      <c r="P947" s="39" t="n">
        <v>0.068412470384041</v>
      </c>
      <c r="Q947" s="39" t="n">
        <v>0.0876876060358133</v>
      </c>
      <c r="R947" s="39" t="n">
        <v>0.168971472003508</v>
      </c>
      <c r="S947" s="39" t="n">
        <v>0.207010794964219</v>
      </c>
      <c r="T947" s="38" t="n">
        <f aca="false">N947*Scorecard!$C$18+O947*Scorecard!$C$19+P947*Scorecard!$C$20+Q947*Scorecard!$C$21+R947*Scorecard!$C$22+S947*Scorecard!$C$23</f>
        <v>3.86660980880688</v>
      </c>
      <c r="U947" s="38" t="n">
        <f aca="false">N947*Scorecard!$D$18+O947*Scorecard!$D$19+P947*Scorecard!$D$20+Q947*Scorecard!$D$21+R947*Scorecard!$D$22+S947*Scorecard!$D$23</f>
        <v>2.6411876211035</v>
      </c>
      <c r="V947" s="38" t="n">
        <f aca="false">N947*Scorecard!$E$18+O947*Scorecard!$E$19+P947*Scorecard!$E$20+Q947*Scorecard!$E$21+R947*Scorecard!$E$22+S947*Scorecard!$E$23</f>
        <v>3.34832333398683</v>
      </c>
    </row>
    <row r="948" customFormat="false" ht="15" hidden="false" customHeight="false" outlineLevel="0" collapsed="false">
      <c r="A948" s="0" t="n">
        <v>943</v>
      </c>
      <c r="B948" s="38" t="n">
        <f aca="false">E948*Scorecard!$C$18+F948*Scorecard!$C$19+G948*Scorecard!$C$20+H948*Scorecard!$C$21+I948*Scorecard!$C$22+J948*Scorecard!$C$23</f>
        <v>3.57762941064767</v>
      </c>
      <c r="C948" s="38" t="n">
        <f aca="false">E948*Scorecard!$D$18+F948*Scorecard!$D$19+G948*Scorecard!$D$20+H948*Scorecard!$D$21+I948*Scorecard!$D$22+J948*Scorecard!$D$23</f>
        <v>2.29038059733481</v>
      </c>
      <c r="D948" s="0" t="str">
        <f aca="false">IF(AND(B948&gt;=C948,B948&gt;=K948),"A. Distribution",IF(C948&gt;=K948,"B. Manufacturing","C. Prof. services"))</f>
        <v>C. Prof. services</v>
      </c>
      <c r="E948" s="39" t="n">
        <v>0.0406604251869922</v>
      </c>
      <c r="F948" s="39" t="n">
        <v>0.144746166994111</v>
      </c>
      <c r="G948" s="39" t="n">
        <v>0.224223123658386</v>
      </c>
      <c r="H948" s="39" t="n">
        <v>0.147373182563642</v>
      </c>
      <c r="I948" s="39" t="n">
        <v>0.169010744013946</v>
      </c>
      <c r="J948" s="39" t="n">
        <v>0.273986357582922</v>
      </c>
      <c r="K948" s="38" t="n">
        <f aca="false">E948*Scorecard!$E$18+F948*Scorecard!$E$19+G948*Scorecard!$E$20+H948*Scorecard!$E$21+I948*Scorecard!$E$22+J948*Scorecard!$E$23</f>
        <v>3.61373837301703</v>
      </c>
      <c r="M948" s="0" t="str">
        <f aca="false">IF(AND(T948&gt;=U948,T948&gt;=V948),"A. Distribution",IF(U948&gt;=V948,"B. Manufacturing","C. Prof. services"))</f>
        <v>A. Distribution</v>
      </c>
      <c r="N948" s="39" t="n">
        <v>0.209931461222096</v>
      </c>
      <c r="O948" s="39" t="n">
        <v>0.192595020530126</v>
      </c>
      <c r="P948" s="39" t="n">
        <v>0.270132531240491</v>
      </c>
      <c r="Q948" s="39" t="n">
        <v>0.170728484935773</v>
      </c>
      <c r="R948" s="39" t="n">
        <v>0.059994186703847</v>
      </c>
      <c r="S948" s="39" t="n">
        <v>0.0966183153676673</v>
      </c>
      <c r="T948" s="38" t="n">
        <f aca="false">N948*Scorecard!$C$18+O948*Scorecard!$C$19+P948*Scorecard!$C$20+Q948*Scorecard!$C$21+R948*Scorecard!$C$22+S948*Scorecard!$C$23</f>
        <v>3.9641075760279</v>
      </c>
      <c r="U948" s="38" t="n">
        <f aca="false">N948*Scorecard!$D$18+O948*Scorecard!$D$19+P948*Scorecard!$D$20+Q948*Scorecard!$D$21+R948*Scorecard!$D$22+S948*Scorecard!$D$23</f>
        <v>2.60838101595358</v>
      </c>
      <c r="V948" s="38" t="n">
        <f aca="false">N948*Scorecard!$E$18+O948*Scorecard!$E$19+P948*Scorecard!$E$20+Q948*Scorecard!$E$21+R948*Scorecard!$E$22+S948*Scorecard!$E$23</f>
        <v>3.55727839160143</v>
      </c>
    </row>
    <row r="949" customFormat="false" ht="15" hidden="false" customHeight="false" outlineLevel="0" collapsed="false">
      <c r="A949" s="0" t="n">
        <v>944</v>
      </c>
      <c r="B949" s="38" t="n">
        <f aca="false">E949*Scorecard!$C$18+F949*Scorecard!$C$19+G949*Scorecard!$C$20+H949*Scorecard!$C$21+I949*Scorecard!$C$22+J949*Scorecard!$C$23</f>
        <v>3.77666970639585</v>
      </c>
      <c r="C949" s="38" t="n">
        <f aca="false">E949*Scorecard!$D$18+F949*Scorecard!$D$19+G949*Scorecard!$D$20+H949*Scorecard!$D$21+I949*Scorecard!$D$22+J949*Scorecard!$D$23</f>
        <v>2.35662966785223</v>
      </c>
      <c r="D949" s="0" t="str">
        <f aca="false">IF(AND(B949&gt;=C949,B949&gt;=K949),"A. Distribution",IF(C949&gt;=K949,"B. Manufacturing","C. Prof. services"))</f>
        <v>A. Distribution</v>
      </c>
      <c r="E949" s="39" t="n">
        <v>0.0113424655685089</v>
      </c>
      <c r="F949" s="39" t="n">
        <v>0.121805292459837</v>
      </c>
      <c r="G949" s="39" t="n">
        <v>0.184162038814268</v>
      </c>
      <c r="H949" s="39" t="n">
        <v>0.345501479717909</v>
      </c>
      <c r="I949" s="39" t="n">
        <v>0.183690248970686</v>
      </c>
      <c r="J949" s="39" t="n">
        <v>0.153498474468792</v>
      </c>
      <c r="K949" s="38" t="n">
        <f aca="false">E949*Scorecard!$E$18+F949*Scorecard!$E$19+G949*Scorecard!$E$20+H949*Scorecard!$E$21+I949*Scorecard!$E$22+J949*Scorecard!$E$23</f>
        <v>3.50630804245677</v>
      </c>
      <c r="M949" s="0" t="str">
        <f aca="false">IF(AND(T949&gt;=U949,T949&gt;=V949),"A. Distribution",IF(U949&gt;=V949,"B. Manufacturing","C. Prof. services"))</f>
        <v>A. Distribution</v>
      </c>
      <c r="N949" s="39" t="n">
        <v>0.18780439523077</v>
      </c>
      <c r="O949" s="39" t="n">
        <v>0.209205413648814</v>
      </c>
      <c r="P949" s="39" t="n">
        <v>0.185532601261374</v>
      </c>
      <c r="Q949" s="39" t="n">
        <v>0.167077078735251</v>
      </c>
      <c r="R949" s="39" t="n">
        <v>0.204980292589817</v>
      </c>
      <c r="S949" s="39" t="n">
        <v>0.0454002185339731</v>
      </c>
      <c r="T949" s="38" t="n">
        <f aca="false">N949*Scorecard!$C$18+O949*Scorecard!$C$19+P949*Scorecard!$C$20+Q949*Scorecard!$C$21+R949*Scorecard!$C$22+S949*Scorecard!$C$23</f>
        <v>4.08532411467367</v>
      </c>
      <c r="U949" s="38" t="n">
        <f aca="false">N949*Scorecard!$D$18+O949*Scorecard!$D$19+P949*Scorecard!$D$20+Q949*Scorecard!$D$21+R949*Scorecard!$D$22+S949*Scorecard!$D$23</f>
        <v>2.79026303618169</v>
      </c>
      <c r="V949" s="38" t="n">
        <f aca="false">N949*Scorecard!$E$18+O949*Scorecard!$E$19+P949*Scorecard!$E$20+Q949*Scorecard!$E$21+R949*Scorecard!$E$22+S949*Scorecard!$E$23</f>
        <v>3.28242245616269</v>
      </c>
    </row>
    <row r="950" customFormat="false" ht="15" hidden="false" customHeight="false" outlineLevel="0" collapsed="false">
      <c r="A950" s="0" t="n">
        <v>945</v>
      </c>
      <c r="B950" s="38" t="n">
        <f aca="false">E950*Scorecard!$C$18+F950*Scorecard!$C$19+G950*Scorecard!$C$20+H950*Scorecard!$C$21+I950*Scorecard!$C$22+J950*Scorecard!$C$23</f>
        <v>3.73545529212835</v>
      </c>
      <c r="C950" s="38" t="n">
        <f aca="false">E950*Scorecard!$D$18+F950*Scorecard!$D$19+G950*Scorecard!$D$20+H950*Scorecard!$D$21+I950*Scorecard!$D$22+J950*Scorecard!$D$23</f>
        <v>2.78485347201009</v>
      </c>
      <c r="D950" s="0" t="str">
        <f aca="false">IF(AND(B950&gt;=C950,B950&gt;=K950),"A. Distribution",IF(C950&gt;=K950,"B. Manufacturing","C. Prof. services"))</f>
        <v>A. Distribution</v>
      </c>
      <c r="E950" s="39" t="n">
        <v>0.0726954367510045</v>
      </c>
      <c r="F950" s="39" t="n">
        <v>0.166751433351518</v>
      </c>
      <c r="G950" s="39" t="n">
        <v>0.0434252372328856</v>
      </c>
      <c r="H950" s="39" t="n">
        <v>0.0177556663798827</v>
      </c>
      <c r="I950" s="39" t="n">
        <v>0.487598988381313</v>
      </c>
      <c r="J950" s="39" t="n">
        <v>0.211773237903396</v>
      </c>
      <c r="K950" s="38" t="n">
        <f aca="false">E950*Scorecard!$E$18+F950*Scorecard!$E$19+G950*Scorecard!$E$20+H950*Scorecard!$E$21+I950*Scorecard!$E$22+J950*Scorecard!$E$23</f>
        <v>3.05171254198932</v>
      </c>
      <c r="M950" s="0" t="str">
        <f aca="false">IF(AND(T950&gt;=U950,T950&gt;=V950),"A. Distribution",IF(U950&gt;=V950,"B. Manufacturing","C. Prof. services"))</f>
        <v>A. Distribution</v>
      </c>
      <c r="N950" s="39" t="n">
        <v>0.127415546455314</v>
      </c>
      <c r="O950" s="39" t="n">
        <v>0.221037722139168</v>
      </c>
      <c r="P950" s="39" t="n">
        <v>0.232475617699709</v>
      </c>
      <c r="Q950" s="39" t="n">
        <v>0.238477893986254</v>
      </c>
      <c r="R950" s="39" t="n">
        <v>0.13008531480252</v>
      </c>
      <c r="S950" s="39" t="n">
        <v>0.0505079049170354</v>
      </c>
      <c r="T950" s="38" t="n">
        <f aca="false">N950*Scorecard!$C$18+O950*Scorecard!$C$19+P950*Scorecard!$C$20+Q950*Scorecard!$C$21+R950*Scorecard!$C$22+S950*Scorecard!$C$23</f>
        <v>4.08409599638018</v>
      </c>
      <c r="U950" s="38" t="n">
        <f aca="false">N950*Scorecard!$D$18+O950*Scorecard!$D$19+P950*Scorecard!$D$20+Q950*Scorecard!$D$21+R950*Scorecard!$D$22+S950*Scorecard!$D$23</f>
        <v>2.59280270730534</v>
      </c>
      <c r="V950" s="38" t="n">
        <f aca="false">N950*Scorecard!$E$18+O950*Scorecard!$E$19+P950*Scorecard!$E$20+Q950*Scorecard!$E$21+R950*Scorecard!$E$22+S950*Scorecard!$E$23</f>
        <v>3.40250014826503</v>
      </c>
    </row>
    <row r="951" customFormat="false" ht="15" hidden="false" customHeight="false" outlineLevel="0" collapsed="false">
      <c r="A951" s="0" t="n">
        <v>946</v>
      </c>
      <c r="B951" s="38" t="n">
        <f aca="false">E951*Scorecard!$C$18+F951*Scorecard!$C$19+G951*Scorecard!$C$20+H951*Scorecard!$C$21+I951*Scorecard!$C$22+J951*Scorecard!$C$23</f>
        <v>3.93430712923606</v>
      </c>
      <c r="C951" s="38" t="n">
        <f aca="false">E951*Scorecard!$D$18+F951*Scorecard!$D$19+G951*Scorecard!$D$20+H951*Scorecard!$D$21+I951*Scorecard!$D$22+J951*Scorecard!$D$23</f>
        <v>2.47080832211051</v>
      </c>
      <c r="D951" s="0" t="str">
        <f aca="false">IF(AND(B951&gt;=C951,B951&gt;=K951),"A. Distribution",IF(C951&gt;=K951,"B. Manufacturing","C. Prof. services"))</f>
        <v>A. Distribution</v>
      </c>
      <c r="E951" s="39" t="n">
        <v>0.0291289654565166</v>
      </c>
      <c r="F951" s="39" t="n">
        <v>0.00675037609474549</v>
      </c>
      <c r="G951" s="39" t="n">
        <v>0.290565465725417</v>
      </c>
      <c r="H951" s="39" t="n">
        <v>0.451569644817832</v>
      </c>
      <c r="I951" s="39" t="n">
        <v>0.211261706883941</v>
      </c>
      <c r="J951" s="39" t="n">
        <v>0.010723841021548</v>
      </c>
      <c r="K951" s="38" t="n">
        <f aca="false">E951*Scorecard!$E$18+F951*Scorecard!$E$19+G951*Scorecard!$E$20+H951*Scorecard!$E$21+I951*Scorecard!$E$22+J951*Scorecard!$E$23</f>
        <v>3.48292052101848</v>
      </c>
      <c r="M951" s="0" t="str">
        <f aca="false">IF(AND(T951&gt;=U951,T951&gt;=V951),"A. Distribution",IF(U951&gt;=V951,"B. Manufacturing","C. Prof. services"))</f>
        <v>A. Distribution</v>
      </c>
      <c r="N951" s="39" t="n">
        <v>0.14226124122612</v>
      </c>
      <c r="O951" s="39" t="n">
        <v>0.192004562758126</v>
      </c>
      <c r="P951" s="39" t="n">
        <v>0.127086154796667</v>
      </c>
      <c r="Q951" s="39" t="n">
        <v>0.25572120887764</v>
      </c>
      <c r="R951" s="39" t="n">
        <v>0.109765971601354</v>
      </c>
      <c r="S951" s="39" t="n">
        <v>0.173160860740093</v>
      </c>
      <c r="T951" s="38" t="n">
        <f aca="false">N951*Scorecard!$C$18+O951*Scorecard!$C$19+P951*Scorecard!$C$20+Q951*Scorecard!$C$21+R951*Scorecard!$C$22+S951*Scorecard!$C$23</f>
        <v>3.80670703514604</v>
      </c>
      <c r="U951" s="38" t="n">
        <f aca="false">N951*Scorecard!$D$18+O951*Scorecard!$D$19+P951*Scorecard!$D$20+Q951*Scorecard!$D$21+R951*Scorecard!$D$22+S951*Scorecard!$D$23</f>
        <v>2.52407955764429</v>
      </c>
      <c r="V951" s="38" t="n">
        <f aca="false">N951*Scorecard!$E$18+O951*Scorecard!$E$19+P951*Scorecard!$E$20+Q951*Scorecard!$E$21+R951*Scorecard!$E$22+S951*Scorecard!$E$23</f>
        <v>3.51933692006301</v>
      </c>
    </row>
    <row r="952" customFormat="false" ht="15" hidden="false" customHeight="false" outlineLevel="0" collapsed="false">
      <c r="A952" s="0" t="n">
        <v>947</v>
      </c>
      <c r="B952" s="38" t="n">
        <f aca="false">E952*Scorecard!$C$18+F952*Scorecard!$C$19+G952*Scorecard!$C$20+H952*Scorecard!$C$21+I952*Scorecard!$C$22+J952*Scorecard!$C$23</f>
        <v>3.4676898192124</v>
      </c>
      <c r="C952" s="38" t="n">
        <f aca="false">E952*Scorecard!$D$18+F952*Scorecard!$D$19+G952*Scorecard!$D$20+H952*Scorecard!$D$21+I952*Scorecard!$D$22+J952*Scorecard!$D$23</f>
        <v>2.44964241030298</v>
      </c>
      <c r="D952" s="0" t="str">
        <f aca="false">IF(AND(B952&gt;=C952,B952&gt;=K952),"A. Distribution",IF(C952&gt;=K952,"B. Manufacturing","C. Prof. services"))</f>
        <v>C. Prof. services</v>
      </c>
      <c r="E952" s="39" t="n">
        <v>0.0406433495974412</v>
      </c>
      <c r="F952" s="39" t="n">
        <v>0.0113053993249556</v>
      </c>
      <c r="G952" s="39" t="n">
        <v>0.282530777664286</v>
      </c>
      <c r="H952" s="39" t="n">
        <v>0.0324821698110627</v>
      </c>
      <c r="I952" s="39" t="n">
        <v>0.364612061643022</v>
      </c>
      <c r="J952" s="39" t="n">
        <v>0.268426241959232</v>
      </c>
      <c r="K952" s="38" t="n">
        <f aca="false">E952*Scorecard!$E$18+F952*Scorecard!$E$19+G952*Scorecard!$E$20+H952*Scorecard!$E$21+I952*Scorecard!$E$22+J952*Scorecard!$E$23</f>
        <v>3.48205371238982</v>
      </c>
      <c r="M952" s="0" t="str">
        <f aca="false">IF(AND(T952&gt;=U952,T952&gt;=V952),"A. Distribution",IF(U952&gt;=V952,"B. Manufacturing","C. Prof. services"))</f>
        <v>A. Distribution</v>
      </c>
      <c r="N952" s="39" t="n">
        <v>0.15996328385088</v>
      </c>
      <c r="O952" s="39" t="n">
        <v>0.232753721361271</v>
      </c>
      <c r="P952" s="39" t="n">
        <v>0.218241237058149</v>
      </c>
      <c r="Q952" s="39" t="n">
        <v>0.0878104774482366</v>
      </c>
      <c r="R952" s="39" t="n">
        <v>0.16303192891279</v>
      </c>
      <c r="S952" s="39" t="n">
        <v>0.138199351368674</v>
      </c>
      <c r="T952" s="38" t="n">
        <f aca="false">N952*Scorecard!$C$18+O952*Scorecard!$C$19+P952*Scorecard!$C$20+Q952*Scorecard!$C$21+R952*Scorecard!$C$22+S952*Scorecard!$C$23</f>
        <v>3.93405045247669</v>
      </c>
      <c r="U952" s="38" t="n">
        <f aca="false">N952*Scorecard!$D$18+O952*Scorecard!$D$19+P952*Scorecard!$D$20+Q952*Scorecard!$D$21+R952*Scorecard!$D$22+S952*Scorecard!$D$23</f>
        <v>2.62091097840578</v>
      </c>
      <c r="V952" s="38" t="n">
        <f aca="false">N952*Scorecard!$E$18+O952*Scorecard!$E$19+P952*Scorecard!$E$20+Q952*Scorecard!$E$21+R952*Scorecard!$E$22+S952*Scorecard!$E$23</f>
        <v>3.41043403159349</v>
      </c>
    </row>
    <row r="953" customFormat="false" ht="15" hidden="false" customHeight="false" outlineLevel="0" collapsed="false">
      <c r="A953" s="0" t="n">
        <v>948</v>
      </c>
      <c r="B953" s="38" t="n">
        <f aca="false">E953*Scorecard!$C$18+F953*Scorecard!$C$19+G953*Scorecard!$C$20+H953*Scorecard!$C$21+I953*Scorecard!$C$22+J953*Scorecard!$C$23</f>
        <v>3.11649267907899</v>
      </c>
      <c r="C953" s="38" t="n">
        <f aca="false">E953*Scorecard!$D$18+F953*Scorecard!$D$19+G953*Scorecard!$D$20+H953*Scorecard!$D$21+I953*Scorecard!$D$22+J953*Scorecard!$D$23</f>
        <v>2.24777138328046</v>
      </c>
      <c r="D953" s="0" t="str">
        <f aca="false">IF(AND(B953&gt;=C953,B953&gt;=K953),"A. Distribution",IF(C953&gt;=K953,"B. Manufacturing","C. Prof. services"))</f>
        <v>C. Prof. services</v>
      </c>
      <c r="E953" s="39" t="n">
        <v>0.172468401563529</v>
      </c>
      <c r="F953" s="39" t="n">
        <v>0.167165074472861</v>
      </c>
      <c r="G953" s="39" t="n">
        <v>0.030351213870073</v>
      </c>
      <c r="H953" s="39" t="n">
        <v>0.0842119450393292</v>
      </c>
      <c r="I953" s="39" t="n">
        <v>0.031927576207908</v>
      </c>
      <c r="J953" s="39" t="n">
        <v>0.5138757888463</v>
      </c>
      <c r="K953" s="38" t="n">
        <f aca="false">E953*Scorecard!$E$18+F953*Scorecard!$E$19+G953*Scorecard!$E$20+H953*Scorecard!$E$21+I953*Scorecard!$E$22+J953*Scorecard!$E$23</f>
        <v>3.89011416233213</v>
      </c>
      <c r="M953" s="0" t="str">
        <f aca="false">IF(AND(T953&gt;=U953,T953&gt;=V953),"A. Distribution",IF(U953&gt;=V953,"B. Manufacturing","C. Prof. services"))</f>
        <v>A. Distribution</v>
      </c>
      <c r="N953" s="39" t="n">
        <v>0.0680317776093519</v>
      </c>
      <c r="O953" s="39" t="n">
        <v>0.235756400468251</v>
      </c>
      <c r="P953" s="39" t="n">
        <v>0.218205387538471</v>
      </c>
      <c r="Q953" s="39" t="n">
        <v>0.138827855788494</v>
      </c>
      <c r="R953" s="39" t="n">
        <v>0.196864150149121</v>
      </c>
      <c r="S953" s="39" t="n">
        <v>0.142314428446312</v>
      </c>
      <c r="T953" s="38" t="n">
        <f aca="false">N953*Scorecard!$C$18+O953*Scorecard!$C$19+P953*Scorecard!$C$20+Q953*Scorecard!$C$21+R953*Scorecard!$C$22+S953*Scorecard!$C$23</f>
        <v>3.93070670884236</v>
      </c>
      <c r="U953" s="38" t="n">
        <f aca="false">N953*Scorecard!$D$18+O953*Scorecard!$D$19+P953*Scorecard!$D$20+Q953*Scorecard!$D$21+R953*Scorecard!$D$22+S953*Scorecard!$D$23</f>
        <v>2.49445617380936</v>
      </c>
      <c r="V953" s="38" t="n">
        <f aca="false">N953*Scorecard!$E$18+O953*Scorecard!$E$19+P953*Scorecard!$E$20+Q953*Scorecard!$E$21+R953*Scorecard!$E$22+S953*Scorecard!$E$23</f>
        <v>3.38179315281246</v>
      </c>
    </row>
    <row r="954" customFormat="false" ht="15" hidden="false" customHeight="false" outlineLevel="0" collapsed="false">
      <c r="A954" s="0" t="n">
        <v>949</v>
      </c>
      <c r="B954" s="38" t="n">
        <f aca="false">E954*Scorecard!$C$18+F954*Scorecard!$C$19+G954*Scorecard!$C$20+H954*Scorecard!$C$21+I954*Scorecard!$C$22+J954*Scorecard!$C$23</f>
        <v>3.21544883928648</v>
      </c>
      <c r="C954" s="38" t="n">
        <f aca="false">E954*Scorecard!$D$18+F954*Scorecard!$D$19+G954*Scorecard!$D$20+H954*Scorecard!$D$21+I954*Scorecard!$D$22+J954*Scorecard!$D$23</f>
        <v>2.17805108748064</v>
      </c>
      <c r="D954" s="0" t="str">
        <f aca="false">IF(AND(B954&gt;=C954,B954&gt;=K954),"A. Distribution",IF(C954&gt;=K954,"B. Manufacturing","C. Prof. services"))</f>
        <v>C. Prof. services</v>
      </c>
      <c r="E954" s="39" t="n">
        <v>0.143232514395995</v>
      </c>
      <c r="F954" s="39" t="n">
        <v>0.018616570885185</v>
      </c>
      <c r="G954" s="39" t="n">
        <v>0.375095274166255</v>
      </c>
      <c r="H954" s="39" t="n">
        <v>0.0141450002951216</v>
      </c>
      <c r="I954" s="39" t="n">
        <v>0.0538386786014609</v>
      </c>
      <c r="J954" s="39" t="n">
        <v>0.395071961655983</v>
      </c>
      <c r="K954" s="38" t="n">
        <f aca="false">E954*Scorecard!$E$18+F954*Scorecard!$E$19+G954*Scorecard!$E$20+H954*Scorecard!$E$21+I954*Scorecard!$E$22+J954*Scorecard!$E$23</f>
        <v>4.00930572541547</v>
      </c>
      <c r="M954" s="0" t="str">
        <f aca="false">IF(AND(T954&gt;=U954,T954&gt;=V954),"A. Distribution",IF(U954&gt;=V954,"B. Manufacturing","C. Prof. services"))</f>
        <v>A. Distribution</v>
      </c>
      <c r="N954" s="39" t="n">
        <v>0.36625635172602</v>
      </c>
      <c r="O954" s="39" t="n">
        <v>0.0719347839213917</v>
      </c>
      <c r="P954" s="39" t="n">
        <v>0.248877609492914</v>
      </c>
      <c r="Q954" s="39" t="n">
        <v>0.160170039264322</v>
      </c>
      <c r="R954" s="39" t="n">
        <v>0.119275979459795</v>
      </c>
      <c r="S954" s="39" t="n">
        <v>0.0334852361355575</v>
      </c>
      <c r="T954" s="38" t="n">
        <f aca="false">N954*Scorecard!$C$18+O954*Scorecard!$C$19+P954*Scorecard!$C$20+Q954*Scorecard!$C$21+R954*Scorecard!$C$22+S954*Scorecard!$C$23</f>
        <v>3.95830035578208</v>
      </c>
      <c r="U954" s="38" t="n">
        <f aca="false">N954*Scorecard!$D$18+O954*Scorecard!$D$19+P954*Scorecard!$D$20+Q954*Scorecard!$D$21+R954*Scorecard!$D$22+S954*Scorecard!$D$23</f>
        <v>2.96827040179954</v>
      </c>
      <c r="V954" s="38" t="n">
        <f aca="false">N954*Scorecard!$E$18+O954*Scorecard!$E$19+P954*Scorecard!$E$20+Q954*Scorecard!$E$21+R954*Scorecard!$E$22+S954*Scorecard!$E$23</f>
        <v>3.49643728140577</v>
      </c>
    </row>
    <row r="955" customFormat="false" ht="15" hidden="false" customHeight="false" outlineLevel="0" collapsed="false">
      <c r="A955" s="0" t="n">
        <v>950</v>
      </c>
      <c r="B955" s="38" t="n">
        <f aca="false">E955*Scorecard!$C$18+F955*Scorecard!$C$19+G955*Scorecard!$C$20+H955*Scorecard!$C$21+I955*Scorecard!$C$22+J955*Scorecard!$C$23</f>
        <v>3.9301011911139</v>
      </c>
      <c r="C955" s="38" t="n">
        <f aca="false">E955*Scorecard!$D$18+F955*Scorecard!$D$19+G955*Scorecard!$D$20+H955*Scorecard!$D$21+I955*Scorecard!$D$22+J955*Scorecard!$D$23</f>
        <v>2.54081176031279</v>
      </c>
      <c r="D955" s="0" t="str">
        <f aca="false">IF(AND(B955&gt;=C955,B955&gt;=K955),"A. Distribution",IF(C955&gt;=K955,"B. Manufacturing","C. Prof. services"))</f>
        <v>A. Distribution</v>
      </c>
      <c r="E955" s="39" t="n">
        <v>0.199077045647275</v>
      </c>
      <c r="F955" s="39" t="n">
        <v>0.160166812971774</v>
      </c>
      <c r="G955" s="39" t="n">
        <v>0.426783817899048</v>
      </c>
      <c r="H955" s="39" t="n">
        <v>0.0380963306961156</v>
      </c>
      <c r="I955" s="39" t="n">
        <v>0.0708872595227208</v>
      </c>
      <c r="J955" s="39" t="n">
        <v>0.104988733263067</v>
      </c>
      <c r="K955" s="38" t="n">
        <f aca="false">E955*Scorecard!$E$18+F955*Scorecard!$E$19+G955*Scorecard!$E$20+H955*Scorecard!$E$21+I955*Scorecard!$E$22+J955*Scorecard!$E$23</f>
        <v>3.63088135855359</v>
      </c>
      <c r="M955" s="0" t="str">
        <f aca="false">IF(AND(T955&gt;=U955,T955&gt;=V955),"A. Distribution",IF(U955&gt;=V955,"B. Manufacturing","C. Prof. services"))</f>
        <v>A. Distribution</v>
      </c>
      <c r="N955" s="39" t="n">
        <v>0.136351286391822</v>
      </c>
      <c r="O955" s="39" t="n">
        <v>0.128289968455884</v>
      </c>
      <c r="P955" s="39" t="n">
        <v>0.153769041901979</v>
      </c>
      <c r="Q955" s="39" t="n">
        <v>0.164537287477704</v>
      </c>
      <c r="R955" s="39" t="n">
        <v>0.213954011051421</v>
      </c>
      <c r="S955" s="39" t="n">
        <v>0.20309840472119</v>
      </c>
      <c r="T955" s="38" t="n">
        <f aca="false">N955*Scorecard!$C$18+O955*Scorecard!$C$19+P955*Scorecard!$C$20+Q955*Scorecard!$C$21+R955*Scorecard!$C$22+S955*Scorecard!$C$23</f>
        <v>3.69341696511492</v>
      </c>
      <c r="U955" s="38" t="n">
        <f aca="false">N955*Scorecard!$D$18+O955*Scorecard!$D$19+P955*Scorecard!$D$20+Q955*Scorecard!$D$21+R955*Scorecard!$D$22+S955*Scorecard!$D$23</f>
        <v>2.57565919421016</v>
      </c>
      <c r="V955" s="38" t="n">
        <f aca="false">N955*Scorecard!$E$18+O955*Scorecard!$E$19+P955*Scorecard!$E$20+Q955*Scorecard!$E$21+R955*Scorecard!$E$22+S955*Scorecard!$E$23</f>
        <v>3.46960009625518</v>
      </c>
    </row>
    <row r="956" customFormat="false" ht="15" hidden="false" customHeight="false" outlineLevel="0" collapsed="false">
      <c r="A956" s="0" t="n">
        <v>951</v>
      </c>
      <c r="B956" s="38" t="n">
        <f aca="false">E956*Scorecard!$C$18+F956*Scorecard!$C$19+G956*Scorecard!$C$20+H956*Scorecard!$C$21+I956*Scorecard!$C$22+J956*Scorecard!$C$23</f>
        <v>3.87197167773664</v>
      </c>
      <c r="C956" s="38" t="n">
        <f aca="false">E956*Scorecard!$D$18+F956*Scorecard!$D$19+G956*Scorecard!$D$20+H956*Scorecard!$D$21+I956*Scorecard!$D$22+J956*Scorecard!$D$23</f>
        <v>2.98091044760002</v>
      </c>
      <c r="D956" s="0" t="str">
        <f aca="false">IF(AND(B956&gt;=C956,B956&gt;=K956),"A. Distribution",IF(C956&gt;=K956,"B. Manufacturing","C. Prof. services"))</f>
        <v>A. Distribution</v>
      </c>
      <c r="E956" s="39" t="n">
        <v>0.443488712815077</v>
      </c>
      <c r="F956" s="39" t="n">
        <v>0.0328024796141623</v>
      </c>
      <c r="G956" s="39" t="n">
        <v>0.383038019587695</v>
      </c>
      <c r="H956" s="39" t="n">
        <v>0.00696343598345614</v>
      </c>
      <c r="I956" s="39" t="n">
        <v>0.0714702467691402</v>
      </c>
      <c r="J956" s="39" t="n">
        <v>0.0622371052304704</v>
      </c>
      <c r="K956" s="38" t="n">
        <f aca="false">E956*Scorecard!$E$18+F956*Scorecard!$E$19+G956*Scorecard!$E$20+H956*Scorecard!$E$21+I956*Scorecard!$E$22+J956*Scorecard!$E$23</f>
        <v>3.64876448775802</v>
      </c>
      <c r="M956" s="0" t="str">
        <f aca="false">IF(AND(T956&gt;=U956,T956&gt;=V956),"A. Distribution",IF(U956&gt;=V956,"B. Manufacturing","C. Prof. services"))</f>
        <v>A. Distribution</v>
      </c>
      <c r="N956" s="39" t="n">
        <v>0.165552458335357</v>
      </c>
      <c r="O956" s="39" t="n">
        <v>0.21025189130113</v>
      </c>
      <c r="P956" s="39" t="n">
        <v>0.135912296721464</v>
      </c>
      <c r="Q956" s="39" t="n">
        <v>0.232419564870296</v>
      </c>
      <c r="R956" s="39" t="n">
        <v>0.174548496244559</v>
      </c>
      <c r="S956" s="39" t="n">
        <v>0.0813152925271947</v>
      </c>
      <c r="T956" s="38" t="n">
        <f aca="false">N956*Scorecard!$C$18+O956*Scorecard!$C$19+P956*Scorecard!$C$20+Q956*Scorecard!$C$21+R956*Scorecard!$C$22+S956*Scorecard!$C$23</f>
        <v>4.009286289296</v>
      </c>
      <c r="U956" s="38" t="n">
        <f aca="false">N956*Scorecard!$D$18+O956*Scorecard!$D$19+P956*Scorecard!$D$20+Q956*Scorecard!$D$21+R956*Scorecard!$D$22+S956*Scorecard!$D$23</f>
        <v>2.70636003024264</v>
      </c>
      <c r="V956" s="38" t="n">
        <f aca="false">N956*Scorecard!$E$18+O956*Scorecard!$E$19+P956*Scorecard!$E$20+Q956*Scorecard!$E$21+R956*Scorecard!$E$22+S956*Scorecard!$E$23</f>
        <v>3.33960371155771</v>
      </c>
    </row>
    <row r="957" customFormat="false" ht="15" hidden="false" customHeight="false" outlineLevel="0" collapsed="false">
      <c r="A957" s="0" t="n">
        <v>952</v>
      </c>
      <c r="B957" s="38" t="n">
        <f aca="false">E957*Scorecard!$C$18+F957*Scorecard!$C$19+G957*Scorecard!$C$20+H957*Scorecard!$C$21+I957*Scorecard!$C$22+J957*Scorecard!$C$23</f>
        <v>4.05842040154972</v>
      </c>
      <c r="C957" s="38" t="n">
        <f aca="false">E957*Scorecard!$D$18+F957*Scorecard!$D$19+G957*Scorecard!$D$20+H957*Scorecard!$D$21+I957*Scorecard!$D$22+J957*Scorecard!$D$23</f>
        <v>2.45144526273735</v>
      </c>
      <c r="D957" s="0" t="str">
        <f aca="false">IF(AND(B957&gt;=C957,B957&gt;=K957),"A. Distribution",IF(C957&gt;=K957,"B. Manufacturing","C. Prof. services"))</f>
        <v>A. Distribution</v>
      </c>
      <c r="E957" s="39" t="n">
        <v>0.0930965210387977</v>
      </c>
      <c r="F957" s="39" t="n">
        <v>0.0842165948552432</v>
      </c>
      <c r="G957" s="39" t="n">
        <v>0.594721799872479</v>
      </c>
      <c r="H957" s="39" t="n">
        <v>0.0728996483765587</v>
      </c>
      <c r="I957" s="39" t="n">
        <v>0.149832038721601</v>
      </c>
      <c r="J957" s="39" t="n">
        <v>0.00523339713532026</v>
      </c>
      <c r="K957" s="38" t="n">
        <f aca="false">E957*Scorecard!$E$18+F957*Scorecard!$E$19+G957*Scorecard!$E$20+H957*Scorecard!$E$21+I957*Scorecard!$E$22+J957*Scorecard!$E$23</f>
        <v>3.58182562861417</v>
      </c>
      <c r="M957" s="0" t="str">
        <f aca="false">IF(AND(T957&gt;=U957,T957&gt;=V957),"A. Distribution",IF(U957&gt;=V957,"B. Manufacturing","C. Prof. services"))</f>
        <v>A. Distribution</v>
      </c>
      <c r="N957" s="39" t="n">
        <v>0.130337305282411</v>
      </c>
      <c r="O957" s="39" t="n">
        <v>0.277356257868375</v>
      </c>
      <c r="P957" s="39" t="n">
        <v>0.289346807447353</v>
      </c>
      <c r="Q957" s="39" t="n">
        <v>0.0709748036282384</v>
      </c>
      <c r="R957" s="39" t="n">
        <v>0.0979812126442211</v>
      </c>
      <c r="S957" s="39" t="n">
        <v>0.134003613129402</v>
      </c>
      <c r="T957" s="38" t="n">
        <f aca="false">N957*Scorecard!$C$18+O957*Scorecard!$C$19+P957*Scorecard!$C$20+Q957*Scorecard!$C$21+R957*Scorecard!$C$22+S957*Scorecard!$C$23</f>
        <v>3.9912370933778</v>
      </c>
      <c r="U957" s="38" t="n">
        <f aca="false">N957*Scorecard!$D$18+O957*Scorecard!$D$19+P957*Scorecard!$D$20+Q957*Scorecard!$D$21+R957*Scorecard!$D$22+S957*Scorecard!$D$23</f>
        <v>2.49504436005457</v>
      </c>
      <c r="V957" s="38" t="n">
        <f aca="false">N957*Scorecard!$E$18+O957*Scorecard!$E$19+P957*Scorecard!$E$20+Q957*Scorecard!$E$21+R957*Scorecard!$E$22+S957*Scorecard!$E$23</f>
        <v>3.48375704440614</v>
      </c>
    </row>
    <row r="958" customFormat="false" ht="15" hidden="false" customHeight="false" outlineLevel="0" collapsed="false">
      <c r="A958" s="0" t="n">
        <v>953</v>
      </c>
      <c r="B958" s="38" t="n">
        <f aca="false">E958*Scorecard!$C$18+F958*Scorecard!$C$19+G958*Scorecard!$C$20+H958*Scorecard!$C$21+I958*Scorecard!$C$22+J958*Scorecard!$C$23</f>
        <v>3.75755059605248</v>
      </c>
      <c r="C958" s="38" t="n">
        <f aca="false">E958*Scorecard!$D$18+F958*Scorecard!$D$19+G958*Scorecard!$D$20+H958*Scorecard!$D$21+I958*Scorecard!$D$22+J958*Scorecard!$D$23</f>
        <v>3.01780632119847</v>
      </c>
      <c r="D958" s="0" t="str">
        <f aca="false">IF(AND(B958&gt;=C958,B958&gt;=K958),"A. Distribution",IF(C958&gt;=K958,"B. Manufacturing","C. Prof. services"))</f>
        <v>A. Distribution</v>
      </c>
      <c r="E958" s="39" t="n">
        <v>0.224938355172728</v>
      </c>
      <c r="F958" s="39" t="n">
        <v>0.0852671986638339</v>
      </c>
      <c r="G958" s="39" t="n">
        <v>0.0726748611217165</v>
      </c>
      <c r="H958" s="39" t="n">
        <v>0.02276699504749</v>
      </c>
      <c r="I958" s="39" t="n">
        <v>0.440750654427486</v>
      </c>
      <c r="J958" s="39" t="n">
        <v>0.153601935566745</v>
      </c>
      <c r="K958" s="38" t="n">
        <f aca="false">E958*Scorecard!$E$18+F958*Scorecard!$E$19+G958*Scorecard!$E$20+H958*Scorecard!$E$21+I958*Scorecard!$E$22+J958*Scorecard!$E$23</f>
        <v>3.12035619150395</v>
      </c>
      <c r="M958" s="0" t="str">
        <f aca="false">IF(AND(T958&gt;=U958,T958&gt;=V958),"A. Distribution",IF(U958&gt;=V958,"B. Manufacturing","C. Prof. services"))</f>
        <v>A. Distribution</v>
      </c>
      <c r="N958" s="39" t="n">
        <v>0.331181417477828</v>
      </c>
      <c r="O958" s="39" t="n">
        <v>0.26867519958133</v>
      </c>
      <c r="P958" s="39" t="n">
        <v>0.157536489716357</v>
      </c>
      <c r="Q958" s="39" t="n">
        <v>0.106316665905529</v>
      </c>
      <c r="R958" s="39" t="n">
        <v>0.0881512398984724</v>
      </c>
      <c r="S958" s="39" t="n">
        <v>0.048138987420484</v>
      </c>
      <c r="T958" s="38" t="n">
        <f aca="false">N958*Scorecard!$C$18+O958*Scorecard!$C$19+P958*Scorecard!$C$20+Q958*Scorecard!$C$21+R958*Scorecard!$C$22+S958*Scorecard!$C$23</f>
        <v>4.13435205469652</v>
      </c>
      <c r="U958" s="38" t="n">
        <f aca="false">N958*Scorecard!$D$18+O958*Scorecard!$D$19+P958*Scorecard!$D$20+Q958*Scorecard!$D$21+R958*Scorecard!$D$22+S958*Scorecard!$D$23</f>
        <v>2.93697391211596</v>
      </c>
      <c r="V958" s="38" t="n">
        <f aca="false">N958*Scorecard!$E$18+O958*Scorecard!$E$19+P958*Scorecard!$E$20+Q958*Scorecard!$E$21+R958*Scorecard!$E$22+S958*Scorecard!$E$23</f>
        <v>3.35560431660978</v>
      </c>
    </row>
    <row r="959" customFormat="false" ht="15" hidden="false" customHeight="false" outlineLevel="0" collapsed="false">
      <c r="A959" s="0" t="n">
        <v>954</v>
      </c>
      <c r="B959" s="38" t="n">
        <f aca="false">E959*Scorecard!$C$18+F959*Scorecard!$C$19+G959*Scorecard!$C$20+H959*Scorecard!$C$21+I959*Scorecard!$C$22+J959*Scorecard!$C$23</f>
        <v>3.81754818251859</v>
      </c>
      <c r="C959" s="38" t="n">
        <f aca="false">E959*Scorecard!$D$18+F959*Scorecard!$D$19+G959*Scorecard!$D$20+H959*Scorecard!$D$21+I959*Scorecard!$D$22+J959*Scorecard!$D$23</f>
        <v>2.37911640878429</v>
      </c>
      <c r="D959" s="0" t="str">
        <f aca="false">IF(AND(B959&gt;=C959,B959&gt;=K959),"A. Distribution",IF(C959&gt;=K959,"B. Manufacturing","C. Prof. services"))</f>
        <v>A. Distribution</v>
      </c>
      <c r="E959" s="39" t="n">
        <v>0.0798034488351945</v>
      </c>
      <c r="F959" s="39" t="n">
        <v>0.00819832948315808</v>
      </c>
      <c r="G959" s="39" t="n">
        <v>0.452262024039924</v>
      </c>
      <c r="H959" s="39" t="n">
        <v>0.244917596050099</v>
      </c>
      <c r="I959" s="39" t="n">
        <v>0.13589211610048</v>
      </c>
      <c r="J959" s="39" t="n">
        <v>0.0789264854911448</v>
      </c>
      <c r="K959" s="38" t="n">
        <f aca="false">E959*Scorecard!$E$18+F959*Scorecard!$E$19+G959*Scorecard!$E$20+H959*Scorecard!$E$21+I959*Scorecard!$E$22+J959*Scorecard!$E$23</f>
        <v>3.68316307559507</v>
      </c>
      <c r="M959" s="0" t="str">
        <f aca="false">IF(AND(T959&gt;=U959,T959&gt;=V959),"A. Distribution",IF(U959&gt;=V959,"B. Manufacturing","C. Prof. services"))</f>
        <v>A. Distribution</v>
      </c>
      <c r="N959" s="39" t="n">
        <v>0.155729294175838</v>
      </c>
      <c r="O959" s="39" t="n">
        <v>0.380952536778352</v>
      </c>
      <c r="P959" s="39" t="n">
        <v>0.150672694441423</v>
      </c>
      <c r="Q959" s="39" t="n">
        <v>0.128828701839348</v>
      </c>
      <c r="R959" s="39" t="n">
        <v>0.0689187906495223</v>
      </c>
      <c r="S959" s="39" t="n">
        <v>0.114897982115517</v>
      </c>
      <c r="T959" s="38" t="n">
        <f aca="false">N959*Scorecard!$C$18+O959*Scorecard!$C$19+P959*Scorecard!$C$20+Q959*Scorecard!$C$21+R959*Scorecard!$C$22+S959*Scorecard!$C$23</f>
        <v>4.12477220201535</v>
      </c>
      <c r="U959" s="38" t="n">
        <f aca="false">N959*Scorecard!$D$18+O959*Scorecard!$D$19+P959*Scorecard!$D$20+Q959*Scorecard!$D$21+R959*Scorecard!$D$22+S959*Scorecard!$D$23</f>
        <v>2.5890209669187</v>
      </c>
      <c r="V959" s="38" t="n">
        <f aca="false">N959*Scorecard!$E$18+O959*Scorecard!$E$19+P959*Scorecard!$E$20+Q959*Scorecard!$E$21+R959*Scorecard!$E$22+S959*Scorecard!$E$23</f>
        <v>3.36718309925471</v>
      </c>
    </row>
    <row r="960" customFormat="false" ht="15" hidden="false" customHeight="false" outlineLevel="0" collapsed="false">
      <c r="A960" s="0" t="n">
        <v>955</v>
      </c>
      <c r="B960" s="38" t="n">
        <f aca="false">E960*Scorecard!$C$18+F960*Scorecard!$C$19+G960*Scorecard!$C$20+H960*Scorecard!$C$21+I960*Scorecard!$C$22+J960*Scorecard!$C$23</f>
        <v>3.36158381591314</v>
      </c>
      <c r="C960" s="38" t="n">
        <f aca="false">E960*Scorecard!$D$18+F960*Scorecard!$D$19+G960*Scorecard!$D$20+H960*Scorecard!$D$21+I960*Scorecard!$D$22+J960*Scorecard!$D$23</f>
        <v>2.49111606624268</v>
      </c>
      <c r="D960" s="0" t="str">
        <f aca="false">IF(AND(B960&gt;=C960,B960&gt;=K960),"A. Distribution",IF(C960&gt;=K960,"B. Manufacturing","C. Prof. services"))</f>
        <v>C. Prof. services</v>
      </c>
      <c r="E960" s="39" t="n">
        <v>0.108690305608563</v>
      </c>
      <c r="F960" s="39" t="n">
        <v>0.125931064751374</v>
      </c>
      <c r="G960" s="39" t="n">
        <v>0.0438349042875273</v>
      </c>
      <c r="H960" s="39" t="n">
        <v>0.0688931879644867</v>
      </c>
      <c r="I960" s="39" t="n">
        <v>0.278551750568173</v>
      </c>
      <c r="J960" s="39" t="n">
        <v>0.374098786819876</v>
      </c>
      <c r="K960" s="38" t="n">
        <f aca="false">E960*Scorecard!$E$18+F960*Scorecard!$E$19+G960*Scorecard!$E$20+H960*Scorecard!$E$21+I960*Scorecard!$E$22+J960*Scorecard!$E$23</f>
        <v>3.49536847288104</v>
      </c>
      <c r="M960" s="0" t="str">
        <f aca="false">IF(AND(T960&gt;=U960,T960&gt;=V960),"A. Distribution",IF(U960&gt;=V960,"B. Manufacturing","C. Prof. services"))</f>
        <v>A. Distribution</v>
      </c>
      <c r="N960" s="39" t="n">
        <v>0.252328617994863</v>
      </c>
      <c r="O960" s="39" t="n">
        <v>0.213802247171046</v>
      </c>
      <c r="P960" s="39" t="n">
        <v>0.165196047006007</v>
      </c>
      <c r="Q960" s="39" t="n">
        <v>0.127442511925297</v>
      </c>
      <c r="R960" s="39" t="n">
        <v>0.148072910664236</v>
      </c>
      <c r="S960" s="39" t="n">
        <v>0.093157665238552</v>
      </c>
      <c r="T960" s="38" t="n">
        <f aca="false">N960*Scorecard!$C$18+O960*Scorecard!$C$19+P960*Scorecard!$C$20+Q960*Scorecard!$C$21+R960*Scorecard!$C$22+S960*Scorecard!$C$23</f>
        <v>3.99349626106645</v>
      </c>
      <c r="U960" s="38" t="n">
        <f aca="false">N960*Scorecard!$D$18+O960*Scorecard!$D$19+P960*Scorecard!$D$20+Q960*Scorecard!$D$21+R960*Scorecard!$D$22+S960*Scorecard!$D$23</f>
        <v>2.81191478970299</v>
      </c>
      <c r="V960" s="38" t="n">
        <f aca="false">N960*Scorecard!$E$18+O960*Scorecard!$E$19+P960*Scorecard!$E$20+Q960*Scorecard!$E$21+R960*Scorecard!$E$22+S960*Scorecard!$E$23</f>
        <v>3.37635497189153</v>
      </c>
    </row>
    <row r="961" customFormat="false" ht="15" hidden="false" customHeight="false" outlineLevel="0" collapsed="false">
      <c r="A961" s="0" t="n">
        <v>956</v>
      </c>
      <c r="B961" s="38" t="n">
        <f aca="false">E961*Scorecard!$C$18+F961*Scorecard!$C$19+G961*Scorecard!$C$20+H961*Scorecard!$C$21+I961*Scorecard!$C$22+J961*Scorecard!$C$23</f>
        <v>3.90998762778525</v>
      </c>
      <c r="C961" s="38" t="n">
        <f aca="false">E961*Scorecard!$D$18+F961*Scorecard!$D$19+G961*Scorecard!$D$20+H961*Scorecard!$D$21+I961*Scorecard!$D$22+J961*Scorecard!$D$23</f>
        <v>2.97294193024846</v>
      </c>
      <c r="D961" s="0" t="str">
        <f aca="false">IF(AND(B961&gt;=C961,B961&gt;=K961),"A. Distribution",IF(C961&gt;=K961,"B. Manufacturing","C. Prof. services"))</f>
        <v>A. Distribution</v>
      </c>
      <c r="E961" s="39" t="n">
        <v>0.409592413723861</v>
      </c>
      <c r="F961" s="39" t="n">
        <v>0.132457195034097</v>
      </c>
      <c r="G961" s="39" t="n">
        <v>0.0240168964029693</v>
      </c>
      <c r="H961" s="39" t="n">
        <v>0.35102566987474</v>
      </c>
      <c r="I961" s="39" t="n">
        <v>0.0070270786317424</v>
      </c>
      <c r="J961" s="39" t="n">
        <v>0.07588074633259</v>
      </c>
      <c r="K961" s="38" t="n">
        <f aca="false">E961*Scorecard!$E$18+F961*Scorecard!$E$19+G961*Scorecard!$E$20+H961*Scorecard!$E$21+I961*Scorecard!$E$22+J961*Scorecard!$E$23</f>
        <v>3.54827840457758</v>
      </c>
      <c r="M961" s="0" t="str">
        <f aca="false">IF(AND(T961&gt;=U961,T961&gt;=V961),"A. Distribution",IF(U961&gt;=V961,"B. Manufacturing","C. Prof. services"))</f>
        <v>A. Distribution</v>
      </c>
      <c r="N961" s="39" t="n">
        <v>0.120033489540724</v>
      </c>
      <c r="O961" s="39" t="n">
        <v>0.177089488376736</v>
      </c>
      <c r="P961" s="39" t="n">
        <v>0.20164044659673</v>
      </c>
      <c r="Q961" s="39" t="n">
        <v>0.193136224482235</v>
      </c>
      <c r="R961" s="39" t="n">
        <v>0.284294164817999</v>
      </c>
      <c r="S961" s="39" t="n">
        <v>0.023806186185576</v>
      </c>
      <c r="T961" s="38" t="n">
        <f aca="false">N961*Scorecard!$C$18+O961*Scorecard!$C$19+P961*Scorecard!$C$20+Q961*Scorecard!$C$21+R961*Scorecard!$C$22+S961*Scorecard!$C$23</f>
        <v>4.09902947309565</v>
      </c>
      <c r="U961" s="38" t="n">
        <f aca="false">N961*Scorecard!$D$18+O961*Scorecard!$D$19+P961*Scorecard!$D$20+Q961*Scorecard!$D$21+R961*Scorecard!$D$22+S961*Scorecard!$D$23</f>
        <v>2.76028717891614</v>
      </c>
      <c r="V961" s="38" t="n">
        <f aca="false">N961*Scorecard!$E$18+O961*Scorecard!$E$19+P961*Scorecard!$E$20+Q961*Scorecard!$E$21+R961*Scorecard!$E$22+S961*Scorecard!$E$23</f>
        <v>3.20318710294494</v>
      </c>
    </row>
    <row r="962" customFormat="false" ht="15" hidden="false" customHeight="false" outlineLevel="0" collapsed="false">
      <c r="A962" s="0" t="n">
        <v>957</v>
      </c>
      <c r="B962" s="38" t="n">
        <f aca="false">E962*Scorecard!$C$18+F962*Scorecard!$C$19+G962*Scorecard!$C$20+H962*Scorecard!$C$21+I962*Scorecard!$C$22+J962*Scorecard!$C$23</f>
        <v>3.83024809166795</v>
      </c>
      <c r="C962" s="38" t="n">
        <f aca="false">E962*Scorecard!$D$18+F962*Scorecard!$D$19+G962*Scorecard!$D$20+H962*Scorecard!$D$21+I962*Scorecard!$D$22+J962*Scorecard!$D$23</f>
        <v>2.3348653569266</v>
      </c>
      <c r="D962" s="0" t="str">
        <f aca="false">IF(AND(B962&gt;=C962,B962&gt;=K962),"A. Distribution",IF(C962&gt;=K962,"B. Manufacturing","C. Prof. services"))</f>
        <v>A. Distribution</v>
      </c>
      <c r="E962" s="39" t="n">
        <v>0.010649892024229</v>
      </c>
      <c r="F962" s="39" t="n">
        <v>0.290631967088789</v>
      </c>
      <c r="G962" s="39" t="n">
        <v>0.115795649449385</v>
      </c>
      <c r="H962" s="39" t="n">
        <v>0.208699415371154</v>
      </c>
      <c r="I962" s="39" t="n">
        <v>0.155702403317509</v>
      </c>
      <c r="J962" s="39" t="n">
        <v>0.218520672748935</v>
      </c>
      <c r="K962" s="38" t="n">
        <f aca="false">E962*Scorecard!$E$18+F962*Scorecard!$E$19+G962*Scorecard!$E$20+H962*Scorecard!$E$21+I962*Scorecard!$E$22+J962*Scorecard!$E$23</f>
        <v>3.42873896047761</v>
      </c>
      <c r="M962" s="0" t="str">
        <f aca="false">IF(AND(T962&gt;=U962,T962&gt;=V962),"A. Distribution",IF(U962&gt;=V962,"B. Manufacturing","C. Prof. services"))</f>
        <v>A. Distribution</v>
      </c>
      <c r="N962" s="39" t="n">
        <v>0.294372767552394</v>
      </c>
      <c r="O962" s="39" t="n">
        <v>0.22439844473012</v>
      </c>
      <c r="P962" s="39" t="n">
        <v>0.0965062191323</v>
      </c>
      <c r="Q962" s="39" t="n">
        <v>0.136390262976309</v>
      </c>
      <c r="R962" s="39" t="n">
        <v>0.0741800012480434</v>
      </c>
      <c r="S962" s="39" t="n">
        <v>0.174152304360834</v>
      </c>
      <c r="T962" s="38" t="n">
        <f aca="false">N962*Scorecard!$C$18+O962*Scorecard!$C$19+P962*Scorecard!$C$20+Q962*Scorecard!$C$21+R962*Scorecard!$C$22+S962*Scorecard!$C$23</f>
        <v>3.83776346591155</v>
      </c>
      <c r="U962" s="38" t="n">
        <f aca="false">N962*Scorecard!$D$18+O962*Scorecard!$D$19+P962*Scorecard!$D$20+Q962*Scorecard!$D$21+R962*Scorecard!$D$22+S962*Scorecard!$D$23</f>
        <v>2.76619440508811</v>
      </c>
      <c r="V962" s="38" t="n">
        <f aca="false">N962*Scorecard!$E$18+O962*Scorecard!$E$19+P962*Scorecard!$E$20+Q962*Scorecard!$E$21+R962*Scorecard!$E$22+S962*Scorecard!$E$23</f>
        <v>3.50339404988162</v>
      </c>
    </row>
    <row r="963" customFormat="false" ht="15" hidden="false" customHeight="false" outlineLevel="0" collapsed="false">
      <c r="A963" s="0" t="n">
        <v>958</v>
      </c>
      <c r="B963" s="38" t="n">
        <f aca="false">E963*Scorecard!$C$18+F963*Scorecard!$C$19+G963*Scorecard!$C$20+H963*Scorecard!$C$21+I963*Scorecard!$C$22+J963*Scorecard!$C$23</f>
        <v>3.95665881475918</v>
      </c>
      <c r="C963" s="38" t="n">
        <f aca="false">E963*Scorecard!$D$18+F963*Scorecard!$D$19+G963*Scorecard!$D$20+H963*Scorecard!$D$21+I963*Scorecard!$D$22+J963*Scorecard!$D$23</f>
        <v>2.46088013314659</v>
      </c>
      <c r="D963" s="0" t="str">
        <f aca="false">IF(AND(B963&gt;=C963,B963&gt;=K963),"A. Distribution",IF(C963&gt;=K963,"B. Manufacturing","C. Prof. services"))</f>
        <v>A. Distribution</v>
      </c>
      <c r="E963" s="39" t="n">
        <v>0.0481757266780523</v>
      </c>
      <c r="F963" s="39" t="n">
        <v>0.0394001506823629</v>
      </c>
      <c r="G963" s="39" t="n">
        <v>0.450174250859023</v>
      </c>
      <c r="H963" s="39" t="n">
        <v>0.213835695624634</v>
      </c>
      <c r="I963" s="39" t="n">
        <v>0.220497905824107</v>
      </c>
      <c r="J963" s="39" t="n">
        <v>0.027916270331821</v>
      </c>
      <c r="K963" s="38" t="n">
        <f aca="false">E963*Scorecard!$E$18+F963*Scorecard!$E$19+G963*Scorecard!$E$20+H963*Scorecard!$E$21+I963*Scorecard!$E$22+J963*Scorecard!$E$23</f>
        <v>3.505326276495</v>
      </c>
      <c r="M963" s="0" t="str">
        <f aca="false">IF(AND(T963&gt;=U963,T963&gt;=V963),"A. Distribution",IF(U963&gt;=V963,"B. Manufacturing","C. Prof. services"))</f>
        <v>A. Distribution</v>
      </c>
      <c r="N963" s="39" t="n">
        <v>0.238588253059121</v>
      </c>
      <c r="O963" s="39" t="n">
        <v>0.204108443773682</v>
      </c>
      <c r="P963" s="39" t="n">
        <v>0.142133225256285</v>
      </c>
      <c r="Q963" s="39" t="n">
        <v>0.261971842893832</v>
      </c>
      <c r="R963" s="39" t="n">
        <v>0.0807916808996499</v>
      </c>
      <c r="S963" s="39" t="n">
        <v>0.0724065541174308</v>
      </c>
      <c r="T963" s="38" t="n">
        <f aca="false">N963*Scorecard!$C$18+O963*Scorecard!$C$19+P963*Scorecard!$C$20+Q963*Scorecard!$C$21+R963*Scorecard!$C$22+S963*Scorecard!$C$23</f>
        <v>4.01191223510189</v>
      </c>
      <c r="U963" s="38" t="n">
        <f aca="false">N963*Scorecard!$D$18+O963*Scorecard!$D$19+P963*Scorecard!$D$20+Q963*Scorecard!$D$21+R963*Scorecard!$D$22+S963*Scorecard!$D$23</f>
        <v>2.73896618169218</v>
      </c>
      <c r="V963" s="38" t="n">
        <f aca="false">N963*Scorecard!$E$18+O963*Scorecard!$E$19+P963*Scorecard!$E$20+Q963*Scorecard!$E$21+R963*Scorecard!$E$22+S963*Scorecard!$E$23</f>
        <v>3.45257408193755</v>
      </c>
    </row>
    <row r="964" customFormat="false" ht="15" hidden="false" customHeight="false" outlineLevel="0" collapsed="false">
      <c r="A964" s="0" t="n">
        <v>959</v>
      </c>
      <c r="B964" s="38" t="n">
        <f aca="false">E964*Scorecard!$C$18+F964*Scorecard!$C$19+G964*Scorecard!$C$20+H964*Scorecard!$C$21+I964*Scorecard!$C$22+J964*Scorecard!$C$23</f>
        <v>4.21653487061416</v>
      </c>
      <c r="C964" s="38" t="n">
        <f aca="false">E964*Scorecard!$D$18+F964*Scorecard!$D$19+G964*Scorecard!$D$20+H964*Scorecard!$D$21+I964*Scorecard!$D$22+J964*Scorecard!$D$23</f>
        <v>3.22630718452793</v>
      </c>
      <c r="D964" s="0" t="str">
        <f aca="false">IF(AND(B964&gt;=C964,B964&gt;=K964),"A. Distribution",IF(C964&gt;=K964,"B. Manufacturing","C. Prof. services"))</f>
        <v>A. Distribution</v>
      </c>
      <c r="E964" s="39" t="n">
        <v>0.341265591447644</v>
      </c>
      <c r="F964" s="39" t="n">
        <v>0.301426414477222</v>
      </c>
      <c r="G964" s="39" t="n">
        <v>0.00964627982357872</v>
      </c>
      <c r="H964" s="39" t="n">
        <v>0.0368514119865534</v>
      </c>
      <c r="I964" s="39" t="n">
        <v>0.284049467306677</v>
      </c>
      <c r="J964" s="39" t="n">
        <v>0.0267608349583242</v>
      </c>
      <c r="K964" s="38" t="n">
        <f aca="false">E964*Scorecard!$E$18+F964*Scorecard!$E$19+G964*Scorecard!$E$20+H964*Scorecard!$E$21+I964*Scorecard!$E$22+J964*Scorecard!$E$23</f>
        <v>2.99693858821416</v>
      </c>
      <c r="M964" s="0" t="str">
        <f aca="false">IF(AND(T964&gt;=U964,T964&gt;=V964),"A. Distribution",IF(U964&gt;=V964,"B. Manufacturing","C. Prof. services"))</f>
        <v>A. Distribution</v>
      </c>
      <c r="N964" s="39" t="n">
        <v>0.128370309381433</v>
      </c>
      <c r="O964" s="39" t="n">
        <v>0.135846667581431</v>
      </c>
      <c r="P964" s="39" t="n">
        <v>0.332150344776084</v>
      </c>
      <c r="Q964" s="39" t="n">
        <v>0.207816823122794</v>
      </c>
      <c r="R964" s="39" t="n">
        <v>0.129297755540161</v>
      </c>
      <c r="S964" s="39" t="n">
        <v>0.0665180995980973</v>
      </c>
      <c r="T964" s="38" t="n">
        <f aca="false">N964*Scorecard!$C$18+O964*Scorecard!$C$19+P964*Scorecard!$C$20+Q964*Scorecard!$C$21+R964*Scorecard!$C$22+S964*Scorecard!$C$23</f>
        <v>3.97011164600467</v>
      </c>
      <c r="U964" s="38" t="n">
        <f aca="false">N964*Scorecard!$D$18+O964*Scorecard!$D$19+P964*Scorecard!$D$20+Q964*Scorecard!$D$21+R964*Scorecard!$D$22+S964*Scorecard!$D$23</f>
        <v>2.53158210261062</v>
      </c>
      <c r="V964" s="38" t="n">
        <f aca="false">N964*Scorecard!$E$18+O964*Scorecard!$E$19+P964*Scorecard!$E$20+Q964*Scorecard!$E$21+R964*Scorecard!$E$22+S964*Scorecard!$E$23</f>
        <v>3.52320790934359</v>
      </c>
    </row>
    <row r="965" customFormat="false" ht="15" hidden="false" customHeight="false" outlineLevel="0" collapsed="false">
      <c r="A965" s="0" t="n">
        <v>960</v>
      </c>
      <c r="B965" s="38" t="n">
        <f aca="false">E965*Scorecard!$C$18+F965*Scorecard!$C$19+G965*Scorecard!$C$20+H965*Scorecard!$C$21+I965*Scorecard!$C$22+J965*Scorecard!$C$23</f>
        <v>3.34077624662732</v>
      </c>
      <c r="C965" s="38" t="n">
        <f aca="false">E965*Scorecard!$D$18+F965*Scorecard!$D$19+G965*Scorecard!$D$20+H965*Scorecard!$D$21+I965*Scorecard!$D$22+J965*Scorecard!$D$23</f>
        <v>2.33727984781804</v>
      </c>
      <c r="D965" s="0" t="str">
        <f aca="false">IF(AND(B965&gt;=C965,B965&gt;=K965),"A. Distribution",IF(C965&gt;=K965,"B. Manufacturing","C. Prof. services"))</f>
        <v>C. Prof. services</v>
      </c>
      <c r="E965" s="39" t="n">
        <v>0.074124081252773</v>
      </c>
      <c r="F965" s="39" t="n">
        <v>0.0341652147154467</v>
      </c>
      <c r="G965" s="39" t="n">
        <v>0.16802098977779</v>
      </c>
      <c r="H965" s="39" t="n">
        <v>0.175699669353642</v>
      </c>
      <c r="I965" s="39" t="n">
        <v>0.213737023693324</v>
      </c>
      <c r="J965" s="39" t="n">
        <v>0.334253021207025</v>
      </c>
      <c r="K965" s="38" t="n">
        <f aca="false">E965*Scorecard!$E$18+F965*Scorecard!$E$19+G965*Scorecard!$E$20+H965*Scorecard!$E$21+I965*Scorecard!$E$22+J965*Scorecard!$E$23</f>
        <v>3.67552014568154</v>
      </c>
      <c r="M965" s="0" t="str">
        <f aca="false">IF(AND(T965&gt;=U965,T965&gt;=V965),"A. Distribution",IF(U965&gt;=V965,"B. Manufacturing","C. Prof. services"))</f>
        <v>A. Distribution</v>
      </c>
      <c r="N965" s="39" t="n">
        <v>0.154358843024474</v>
      </c>
      <c r="O965" s="39" t="n">
        <v>0.207021617896793</v>
      </c>
      <c r="P965" s="39" t="n">
        <v>0.241294190232507</v>
      </c>
      <c r="Q965" s="39" t="n">
        <v>0.0636566212821111</v>
      </c>
      <c r="R965" s="39" t="n">
        <v>0.239789889296635</v>
      </c>
      <c r="S965" s="39" t="n">
        <v>0.0938788382674792</v>
      </c>
      <c r="T965" s="38" t="n">
        <f aca="false">N965*Scorecard!$C$18+O965*Scorecard!$C$19+P965*Scorecard!$C$20+Q965*Scorecard!$C$21+R965*Scorecard!$C$22+S965*Scorecard!$C$23</f>
        <v>4.00001192985204</v>
      </c>
      <c r="U965" s="38" t="n">
        <f aca="false">N965*Scorecard!$D$18+O965*Scorecard!$D$19+P965*Scorecard!$D$20+Q965*Scorecard!$D$21+R965*Scorecard!$D$22+S965*Scorecard!$D$23</f>
        <v>2.71338013894158</v>
      </c>
      <c r="V965" s="38" t="n">
        <f aca="false">N965*Scorecard!$E$18+O965*Scorecard!$E$19+P965*Scorecard!$E$20+Q965*Scorecard!$E$21+R965*Scorecard!$E$22+S965*Scorecard!$E$23</f>
        <v>3.30180426631895</v>
      </c>
    </row>
    <row r="966" customFormat="false" ht="15" hidden="false" customHeight="false" outlineLevel="0" collapsed="false">
      <c r="A966" s="0" t="n">
        <v>961</v>
      </c>
      <c r="B966" s="38" t="n">
        <f aca="false">E966*Scorecard!$C$18+F966*Scorecard!$C$19+G966*Scorecard!$C$20+H966*Scorecard!$C$21+I966*Scorecard!$C$22+J966*Scorecard!$C$23</f>
        <v>3.61542410132834</v>
      </c>
      <c r="C966" s="38" t="n">
        <f aca="false">E966*Scorecard!$D$18+F966*Scorecard!$D$19+G966*Scorecard!$D$20+H966*Scorecard!$D$21+I966*Scorecard!$D$22+J966*Scorecard!$D$23</f>
        <v>2.3127631588586</v>
      </c>
      <c r="D966" s="0" t="str">
        <f aca="false">IF(AND(B966&gt;=C966,B966&gt;=K966),"A. Distribution",IF(C966&gt;=K966,"B. Manufacturing","C. Prof. services"))</f>
        <v>C. Prof. services</v>
      </c>
      <c r="E966" s="39" t="n">
        <v>0.103508456803502</v>
      </c>
      <c r="F966" s="39" t="n">
        <v>0.00878463622519149</v>
      </c>
      <c r="G966" s="39" t="n">
        <v>0.419178070925893</v>
      </c>
      <c r="H966" s="39" t="n">
        <v>0.183660747300295</v>
      </c>
      <c r="I966" s="39" t="n">
        <v>0.102237777871778</v>
      </c>
      <c r="J966" s="39" t="n">
        <v>0.182630310873341</v>
      </c>
      <c r="K966" s="38" t="n">
        <f aca="false">E966*Scorecard!$E$18+F966*Scorecard!$E$19+G966*Scorecard!$E$20+H966*Scorecard!$E$21+I966*Scorecard!$E$22+J966*Scorecard!$E$23</f>
        <v>3.79858892171946</v>
      </c>
      <c r="M966" s="0" t="str">
        <f aca="false">IF(AND(T966&gt;=U966,T966&gt;=V966),"A. Distribution",IF(U966&gt;=V966,"B. Manufacturing","C. Prof. services"))</f>
        <v>A. Distribution</v>
      </c>
      <c r="N966" s="39" t="n">
        <v>0.165205638427228</v>
      </c>
      <c r="O966" s="39" t="n">
        <v>0.196689241089293</v>
      </c>
      <c r="P966" s="39" t="n">
        <v>0.252769273975453</v>
      </c>
      <c r="Q966" s="39" t="n">
        <v>0.19648447031638</v>
      </c>
      <c r="R966" s="39" t="n">
        <v>0.0931381636334738</v>
      </c>
      <c r="S966" s="39" t="n">
        <v>0.0957132125581729</v>
      </c>
      <c r="T966" s="38" t="n">
        <f aca="false">N966*Scorecard!$C$18+O966*Scorecard!$C$19+P966*Scorecard!$C$20+Q966*Scorecard!$C$21+R966*Scorecard!$C$22+S966*Scorecard!$C$23</f>
        <v>3.97082767159807</v>
      </c>
      <c r="U966" s="38" t="n">
        <f aca="false">N966*Scorecard!$D$18+O966*Scorecard!$D$19+P966*Scorecard!$D$20+Q966*Scorecard!$D$21+R966*Scorecard!$D$22+S966*Scorecard!$D$23</f>
        <v>2.57222637093537</v>
      </c>
      <c r="V966" s="38" t="n">
        <f aca="false">N966*Scorecard!$E$18+O966*Scorecard!$E$19+P966*Scorecard!$E$20+Q966*Scorecard!$E$21+R966*Scorecard!$E$22+S966*Scorecard!$E$23</f>
        <v>3.51062922019126</v>
      </c>
    </row>
    <row r="967" customFormat="false" ht="15" hidden="false" customHeight="false" outlineLevel="0" collapsed="false">
      <c r="A967" s="0" t="n">
        <v>962</v>
      </c>
      <c r="B967" s="38" t="n">
        <f aca="false">E967*Scorecard!$C$18+F967*Scorecard!$C$19+G967*Scorecard!$C$20+H967*Scorecard!$C$21+I967*Scorecard!$C$22+J967*Scorecard!$C$23</f>
        <v>3.93553620722998</v>
      </c>
      <c r="C967" s="38" t="n">
        <f aca="false">E967*Scorecard!$D$18+F967*Scorecard!$D$19+G967*Scorecard!$D$20+H967*Scorecard!$D$21+I967*Scorecard!$D$22+J967*Scorecard!$D$23</f>
        <v>2.76427752977543</v>
      </c>
      <c r="D967" s="0" t="str">
        <f aca="false">IF(AND(B967&gt;=C967,B967&gt;=K967),"A. Distribution",IF(C967&gt;=K967,"B. Manufacturing","C. Prof. services"))</f>
        <v>A. Distribution</v>
      </c>
      <c r="E967" s="39" t="n">
        <v>0.0415768270258735</v>
      </c>
      <c r="F967" s="39" t="n">
        <v>0.0705726476140953</v>
      </c>
      <c r="G967" s="39" t="n">
        <v>0.197883768210894</v>
      </c>
      <c r="H967" s="39" t="n">
        <v>0.166035266863343</v>
      </c>
      <c r="I967" s="39" t="n">
        <v>0.467027503423851</v>
      </c>
      <c r="J967" s="39" t="n">
        <v>0.0569039868619431</v>
      </c>
      <c r="K967" s="38" t="n">
        <f aca="false">E967*Scorecard!$E$18+F967*Scorecard!$E$19+G967*Scorecard!$E$20+H967*Scorecard!$E$21+I967*Scorecard!$E$22+J967*Scorecard!$E$23</f>
        <v>3.09059890239457</v>
      </c>
      <c r="M967" s="0" t="str">
        <f aca="false">IF(AND(T967&gt;=U967,T967&gt;=V967),"A. Distribution",IF(U967&gt;=V967,"B. Manufacturing","C. Prof. services"))</f>
        <v>A. Distribution</v>
      </c>
      <c r="N967" s="39" t="n">
        <v>0.189418178251172</v>
      </c>
      <c r="O967" s="39" t="n">
        <v>0.272015164023458</v>
      </c>
      <c r="P967" s="39" t="n">
        <v>0.284092889552453</v>
      </c>
      <c r="Q967" s="39" t="n">
        <v>0.0670237903375778</v>
      </c>
      <c r="R967" s="39" t="n">
        <v>0.131102501294907</v>
      </c>
      <c r="S967" s="39" t="n">
        <v>0.0563474765404325</v>
      </c>
      <c r="T967" s="38" t="n">
        <f aca="false">N967*Scorecard!$C$18+O967*Scorecard!$C$19+P967*Scorecard!$C$20+Q967*Scorecard!$C$21+R967*Scorecard!$C$22+S967*Scorecard!$C$23</f>
        <v>4.1368905841427</v>
      </c>
      <c r="U967" s="38" t="n">
        <f aca="false">N967*Scorecard!$D$18+O967*Scorecard!$D$19+P967*Scorecard!$D$20+Q967*Scorecard!$D$21+R967*Scorecard!$D$22+S967*Scorecard!$D$23</f>
        <v>2.69358843846061</v>
      </c>
      <c r="V967" s="38" t="n">
        <f aca="false">N967*Scorecard!$E$18+O967*Scorecard!$E$19+P967*Scorecard!$E$20+Q967*Scorecard!$E$21+R967*Scorecard!$E$22+S967*Scorecard!$E$23</f>
        <v>3.36786240877895</v>
      </c>
    </row>
    <row r="968" customFormat="false" ht="15" hidden="false" customHeight="false" outlineLevel="0" collapsed="false">
      <c r="A968" s="0" t="n">
        <v>963</v>
      </c>
      <c r="B968" s="38" t="n">
        <f aca="false">E968*Scorecard!$C$18+F968*Scorecard!$C$19+G968*Scorecard!$C$20+H968*Scorecard!$C$21+I968*Scorecard!$C$22+J968*Scorecard!$C$23</f>
        <v>3.91939486670823</v>
      </c>
      <c r="C968" s="38" t="n">
        <f aca="false">E968*Scorecard!$D$18+F968*Scorecard!$D$19+G968*Scorecard!$D$20+H968*Scorecard!$D$21+I968*Scorecard!$D$22+J968*Scorecard!$D$23</f>
        <v>3.09664323690735</v>
      </c>
      <c r="D968" s="0" t="str">
        <f aca="false">IF(AND(B968&gt;=C968,B968&gt;=K968),"A. Distribution",IF(C968&gt;=K968,"B. Manufacturing","C. Prof. services"))</f>
        <v>A. Distribution</v>
      </c>
      <c r="E968" s="39" t="n">
        <v>0.158333588409722</v>
      </c>
      <c r="F968" s="39" t="n">
        <v>0.128293268286584</v>
      </c>
      <c r="G968" s="39" t="n">
        <v>0.00909900552848599</v>
      </c>
      <c r="H968" s="39" t="n">
        <v>0.0539813034073577</v>
      </c>
      <c r="I968" s="39" t="n">
        <v>0.55510793848226</v>
      </c>
      <c r="J968" s="39" t="n">
        <v>0.0951848958855897</v>
      </c>
      <c r="K968" s="38" t="n">
        <f aca="false">E968*Scorecard!$E$18+F968*Scorecard!$E$19+G968*Scorecard!$E$20+H968*Scorecard!$E$21+I968*Scorecard!$E$22+J968*Scorecard!$E$23</f>
        <v>2.87220718359383</v>
      </c>
      <c r="M968" s="0" t="str">
        <f aca="false">IF(AND(T968&gt;=U968,T968&gt;=V968),"A. Distribution",IF(U968&gt;=V968,"B. Manufacturing","C. Prof. services"))</f>
        <v>A. Distribution</v>
      </c>
      <c r="N968" s="39" t="n">
        <v>0.148514878832866</v>
      </c>
      <c r="O968" s="39" t="n">
        <v>0.285875553495694</v>
      </c>
      <c r="P968" s="39" t="n">
        <v>0.184207861778796</v>
      </c>
      <c r="Q968" s="39" t="n">
        <v>0.11741233681465</v>
      </c>
      <c r="R968" s="39" t="n">
        <v>0.132901421083167</v>
      </c>
      <c r="S968" s="39" t="n">
        <v>0.131087947994827</v>
      </c>
      <c r="T968" s="38" t="n">
        <f aca="false">N968*Scorecard!$C$18+O968*Scorecard!$C$19+P968*Scorecard!$C$20+Q968*Scorecard!$C$21+R968*Scorecard!$C$22+S968*Scorecard!$C$23</f>
        <v>3.99912462912331</v>
      </c>
      <c r="U968" s="38" t="n">
        <f aca="false">N968*Scorecard!$D$18+O968*Scorecard!$D$19+P968*Scorecard!$D$20+Q968*Scorecard!$D$21+R968*Scorecard!$D$22+S968*Scorecard!$D$23</f>
        <v>2.59792657048814</v>
      </c>
      <c r="V968" s="38" t="n">
        <f aca="false">N968*Scorecard!$E$18+O968*Scorecard!$E$19+P968*Scorecard!$E$20+Q968*Scorecard!$E$21+R968*Scorecard!$E$22+S968*Scorecard!$E$23</f>
        <v>3.3896361998849</v>
      </c>
    </row>
    <row r="969" customFormat="false" ht="15" hidden="false" customHeight="false" outlineLevel="0" collapsed="false">
      <c r="A969" s="0" t="n">
        <v>964</v>
      </c>
      <c r="B969" s="38" t="n">
        <f aca="false">E969*Scorecard!$C$18+F969*Scorecard!$C$19+G969*Scorecard!$C$20+H969*Scorecard!$C$21+I969*Scorecard!$C$22+J969*Scorecard!$C$23</f>
        <v>3.95662101214995</v>
      </c>
      <c r="C969" s="38" t="n">
        <f aca="false">E969*Scorecard!$D$18+F969*Scorecard!$D$19+G969*Scorecard!$D$20+H969*Scorecard!$D$21+I969*Scorecard!$D$22+J969*Scorecard!$D$23</f>
        <v>2.43316478536503</v>
      </c>
      <c r="D969" s="0" t="str">
        <f aca="false">IF(AND(B969&gt;=C969,B969&gt;=K969),"A. Distribution",IF(C969&gt;=K969,"B. Manufacturing","C. Prof. services"))</f>
        <v>A. Distribution</v>
      </c>
      <c r="E969" s="39" t="n">
        <v>0.0194013383180744</v>
      </c>
      <c r="F969" s="39" t="n">
        <v>0.116588855246198</v>
      </c>
      <c r="G969" s="39" t="n">
        <v>0.245618995801919</v>
      </c>
      <c r="H969" s="39" t="n">
        <v>0.368428919649911</v>
      </c>
      <c r="I969" s="39" t="n">
        <v>0.190606020991163</v>
      </c>
      <c r="J969" s="39" t="n">
        <v>0.0593558699927341</v>
      </c>
      <c r="K969" s="38" t="n">
        <f aca="false">E969*Scorecard!$E$18+F969*Scorecard!$E$19+G969*Scorecard!$E$20+H969*Scorecard!$E$21+I969*Scorecard!$E$22+J969*Scorecard!$E$23</f>
        <v>3.44241759885388</v>
      </c>
      <c r="M969" s="0" t="str">
        <f aca="false">IF(AND(T969&gt;=U969,T969&gt;=V969),"A. Distribution",IF(U969&gt;=V969,"B. Manufacturing","C. Prof. services"))</f>
        <v>A. Distribution</v>
      </c>
      <c r="N969" s="39" t="n">
        <v>0.215644506131459</v>
      </c>
      <c r="O969" s="39" t="n">
        <v>0.093471252457455</v>
      </c>
      <c r="P969" s="39" t="n">
        <v>0.295842794013766</v>
      </c>
      <c r="Q969" s="39" t="n">
        <v>0.118757199420722</v>
      </c>
      <c r="R969" s="39" t="n">
        <v>0.134376229708397</v>
      </c>
      <c r="S969" s="39" t="n">
        <v>0.141908018268202</v>
      </c>
      <c r="T969" s="38" t="n">
        <f aca="false">N969*Scorecard!$C$18+O969*Scorecard!$C$19+P969*Scorecard!$C$20+Q969*Scorecard!$C$21+R969*Scorecard!$C$22+S969*Scorecard!$C$23</f>
        <v>3.77954565673215</v>
      </c>
      <c r="U969" s="38" t="n">
        <f aca="false">N969*Scorecard!$D$18+O969*Scorecard!$D$19+P969*Scorecard!$D$20+Q969*Scorecard!$D$21+R969*Scorecard!$D$22+S969*Scorecard!$D$23</f>
        <v>2.62876165373603</v>
      </c>
      <c r="V969" s="38" t="n">
        <f aca="false">N969*Scorecard!$E$18+O969*Scorecard!$E$19+P969*Scorecard!$E$20+Q969*Scorecard!$E$21+R969*Scorecard!$E$22+S969*Scorecard!$E$23</f>
        <v>3.58858706288487</v>
      </c>
    </row>
    <row r="970" customFormat="false" ht="15" hidden="false" customHeight="false" outlineLevel="0" collapsed="false">
      <c r="A970" s="0" t="n">
        <v>965</v>
      </c>
      <c r="B970" s="38" t="n">
        <f aca="false">E970*Scorecard!$C$18+F970*Scorecard!$C$19+G970*Scorecard!$C$20+H970*Scorecard!$C$21+I970*Scorecard!$C$22+J970*Scorecard!$C$23</f>
        <v>4.06456272989384</v>
      </c>
      <c r="C970" s="38" t="n">
        <f aca="false">E970*Scorecard!$D$18+F970*Scorecard!$D$19+G970*Scorecard!$D$20+H970*Scorecard!$D$21+I970*Scorecard!$D$22+J970*Scorecard!$D$23</f>
        <v>2.59416212266553</v>
      </c>
      <c r="D970" s="0" t="str">
        <f aca="false">IF(AND(B970&gt;=C970,B970&gt;=K970),"A. Distribution",IF(C970&gt;=K970,"B. Manufacturing","C. Prof. services"))</f>
        <v>A. Distribution</v>
      </c>
      <c r="E970" s="39" t="n">
        <v>0.170595827407931</v>
      </c>
      <c r="F970" s="39" t="n">
        <v>0.155004695024382</v>
      </c>
      <c r="G970" s="39" t="n">
        <v>0.388474671056191</v>
      </c>
      <c r="H970" s="39" t="n">
        <v>0.152833409280827</v>
      </c>
      <c r="I970" s="39" t="n">
        <v>0.102952653568704</v>
      </c>
      <c r="J970" s="39" t="n">
        <v>0.0301387436619646</v>
      </c>
      <c r="K970" s="38" t="n">
        <f aca="false">E970*Scorecard!$E$18+F970*Scorecard!$E$19+G970*Scorecard!$E$20+H970*Scorecard!$E$21+I970*Scorecard!$E$22+J970*Scorecard!$E$23</f>
        <v>3.52289674648367</v>
      </c>
      <c r="M970" s="0" t="str">
        <f aca="false">IF(AND(T970&gt;=U970,T970&gt;=V970),"A. Distribution",IF(U970&gt;=V970,"B. Manufacturing","C. Prof. services"))</f>
        <v>A. Distribution</v>
      </c>
      <c r="N970" s="39" t="n">
        <v>0.357080028320953</v>
      </c>
      <c r="O970" s="39" t="n">
        <v>0.133791307605074</v>
      </c>
      <c r="P970" s="39" t="n">
        <v>0.251935491734438</v>
      </c>
      <c r="Q970" s="39" t="n">
        <v>0.0929828577395943</v>
      </c>
      <c r="R970" s="39" t="n">
        <v>0.135576761806082</v>
      </c>
      <c r="S970" s="39" t="n">
        <v>0.0286335527938582</v>
      </c>
      <c r="T970" s="38" t="n">
        <f aca="false">N970*Scorecard!$C$18+O970*Scorecard!$C$19+P970*Scorecard!$C$20+Q970*Scorecard!$C$21+R970*Scorecard!$C$22+S970*Scorecard!$C$23</f>
        <v>4.03783644176776</v>
      </c>
      <c r="U970" s="38" t="n">
        <f aca="false">N970*Scorecard!$D$18+O970*Scorecard!$D$19+P970*Scorecard!$D$20+Q970*Scorecard!$D$21+R970*Scorecard!$D$22+S970*Scorecard!$D$23</f>
        <v>2.98699924146568</v>
      </c>
      <c r="V970" s="38" t="n">
        <f aca="false">N970*Scorecard!$E$18+O970*Scorecard!$E$19+P970*Scorecard!$E$20+Q970*Scorecard!$E$21+R970*Scorecard!$E$22+S970*Scorecard!$E$23</f>
        <v>3.41946198367673</v>
      </c>
    </row>
    <row r="971" customFormat="false" ht="15" hidden="false" customHeight="false" outlineLevel="0" collapsed="false">
      <c r="A971" s="0" t="n">
        <v>966</v>
      </c>
      <c r="B971" s="38" t="n">
        <f aca="false">E971*Scorecard!$C$18+F971*Scorecard!$C$19+G971*Scorecard!$C$20+H971*Scorecard!$C$21+I971*Scorecard!$C$22+J971*Scorecard!$C$23</f>
        <v>3.42176720807794</v>
      </c>
      <c r="C971" s="38" t="n">
        <f aca="false">E971*Scorecard!$D$18+F971*Scorecard!$D$19+G971*Scorecard!$D$20+H971*Scorecard!$D$21+I971*Scorecard!$D$22+J971*Scorecard!$D$23</f>
        <v>2.39025245234169</v>
      </c>
      <c r="D971" s="0" t="str">
        <f aca="false">IF(AND(B971&gt;=C971,B971&gt;=K971),"A. Distribution",IF(C971&gt;=K971,"B. Manufacturing","C. Prof. services"))</f>
        <v>C. Prof. services</v>
      </c>
      <c r="E971" s="39" t="n">
        <v>0.136206259644333</v>
      </c>
      <c r="F971" s="39" t="n">
        <v>0.0548501865030721</v>
      </c>
      <c r="G971" s="39" t="n">
        <v>0.0247370025936044</v>
      </c>
      <c r="H971" s="39" t="n">
        <v>0.413569417058267</v>
      </c>
      <c r="I971" s="39" t="n">
        <v>0.0818445991203807</v>
      </c>
      <c r="J971" s="39" t="n">
        <v>0.288792535080344</v>
      </c>
      <c r="K971" s="38" t="n">
        <f aca="false">E971*Scorecard!$E$18+F971*Scorecard!$E$19+G971*Scorecard!$E$20+H971*Scorecard!$E$21+I971*Scorecard!$E$22+J971*Scorecard!$E$23</f>
        <v>3.73904528758119</v>
      </c>
      <c r="M971" s="0" t="str">
        <f aca="false">IF(AND(T971&gt;=U971,T971&gt;=V971),"A. Distribution",IF(U971&gt;=V971,"B. Manufacturing","C. Prof. services"))</f>
        <v>A. Distribution</v>
      </c>
      <c r="N971" s="39" t="n">
        <v>0.144179845605365</v>
      </c>
      <c r="O971" s="39" t="n">
        <v>0.194610597417159</v>
      </c>
      <c r="P971" s="39" t="n">
        <v>0.221383951651874</v>
      </c>
      <c r="Q971" s="39" t="n">
        <v>0.164944585474597</v>
      </c>
      <c r="R971" s="39" t="n">
        <v>0.206695596185638</v>
      </c>
      <c r="S971" s="39" t="n">
        <v>0.0681854236653683</v>
      </c>
      <c r="T971" s="38" t="n">
        <f aca="false">N971*Scorecard!$C$18+O971*Scorecard!$C$19+P971*Scorecard!$C$20+Q971*Scorecard!$C$21+R971*Scorecard!$C$22+S971*Scorecard!$C$23</f>
        <v>4.02889113984219</v>
      </c>
      <c r="U971" s="38" t="n">
        <f aca="false">N971*Scorecard!$D$18+O971*Scorecard!$D$19+P971*Scorecard!$D$20+Q971*Scorecard!$D$21+R971*Scorecard!$D$22+S971*Scorecard!$D$23</f>
        <v>2.68453479057214</v>
      </c>
      <c r="V971" s="38" t="n">
        <f aca="false">N971*Scorecard!$E$18+O971*Scorecard!$E$19+P971*Scorecard!$E$20+Q971*Scorecard!$E$21+R971*Scorecard!$E$22+S971*Scorecard!$E$23</f>
        <v>3.33091283096932</v>
      </c>
    </row>
    <row r="972" customFormat="false" ht="15" hidden="false" customHeight="false" outlineLevel="0" collapsed="false">
      <c r="A972" s="0" t="n">
        <v>967</v>
      </c>
      <c r="B972" s="38" t="n">
        <f aca="false">E972*Scorecard!$C$18+F972*Scorecard!$C$19+G972*Scorecard!$C$20+H972*Scorecard!$C$21+I972*Scorecard!$C$22+J972*Scorecard!$C$23</f>
        <v>3.50976193193112</v>
      </c>
      <c r="C972" s="38" t="n">
        <f aca="false">E972*Scorecard!$D$18+F972*Scorecard!$D$19+G972*Scorecard!$D$20+H972*Scorecard!$D$21+I972*Scorecard!$D$22+J972*Scorecard!$D$23</f>
        <v>2.62085734856321</v>
      </c>
      <c r="D972" s="0" t="str">
        <f aca="false">IF(AND(B972&gt;=C972,B972&gt;=K972),"A. Distribution",IF(C972&gt;=K972,"B. Manufacturing","C. Prof. services"))</f>
        <v>C. Prof. services</v>
      </c>
      <c r="E972" s="39" t="n">
        <v>0.310260324446892</v>
      </c>
      <c r="F972" s="39" t="n">
        <v>0.0945054134137385</v>
      </c>
      <c r="G972" s="39" t="n">
        <v>0.0818277791565255</v>
      </c>
      <c r="H972" s="39" t="n">
        <v>0.242316886505494</v>
      </c>
      <c r="I972" s="39" t="n">
        <v>0.00422764903399688</v>
      </c>
      <c r="J972" s="39" t="n">
        <v>0.266861947443353</v>
      </c>
      <c r="K972" s="38" t="n">
        <f aca="false">E972*Scorecard!$E$18+F972*Scorecard!$E$19+G972*Scorecard!$E$20+H972*Scorecard!$E$21+I972*Scorecard!$E$22+J972*Scorecard!$E$23</f>
        <v>3.77902511801878</v>
      </c>
      <c r="M972" s="0" t="str">
        <f aca="false">IF(AND(T972&gt;=U972,T972&gt;=V972),"A. Distribution",IF(U972&gt;=V972,"B. Manufacturing","C. Prof. services"))</f>
        <v>A. Distribution</v>
      </c>
      <c r="N972" s="39" t="n">
        <v>0.199049611097868</v>
      </c>
      <c r="O972" s="39" t="n">
        <v>0.203042695557506</v>
      </c>
      <c r="P972" s="39" t="n">
        <v>0.183178630987636</v>
      </c>
      <c r="Q972" s="39" t="n">
        <v>0.0982803685787757</v>
      </c>
      <c r="R972" s="39" t="n">
        <v>0.160276610208872</v>
      </c>
      <c r="S972" s="39" t="n">
        <v>0.156172083569343</v>
      </c>
      <c r="T972" s="38" t="n">
        <f aca="false">N972*Scorecard!$C$18+O972*Scorecard!$C$19+P972*Scorecard!$C$20+Q972*Scorecard!$C$21+R972*Scorecard!$C$22+S972*Scorecard!$C$23</f>
        <v>3.86412771032043</v>
      </c>
      <c r="U972" s="38" t="n">
        <f aca="false">N972*Scorecard!$D$18+O972*Scorecard!$D$19+P972*Scorecard!$D$20+Q972*Scorecard!$D$21+R972*Scorecard!$D$22+S972*Scorecard!$D$23</f>
        <v>2.67465397597445</v>
      </c>
      <c r="V972" s="38" t="n">
        <f aca="false">N972*Scorecard!$E$18+O972*Scorecard!$E$19+P972*Scorecard!$E$20+Q972*Scorecard!$E$21+R972*Scorecard!$E$22+S972*Scorecard!$E$23</f>
        <v>3.43656217255787</v>
      </c>
    </row>
    <row r="973" customFormat="false" ht="15" hidden="false" customHeight="false" outlineLevel="0" collapsed="false">
      <c r="A973" s="0" t="n">
        <v>968</v>
      </c>
      <c r="B973" s="38" t="n">
        <f aca="false">E973*Scorecard!$C$18+F973*Scorecard!$C$19+G973*Scorecard!$C$20+H973*Scorecard!$C$21+I973*Scorecard!$C$22+J973*Scorecard!$C$23</f>
        <v>3.82090852629688</v>
      </c>
      <c r="C973" s="38" t="n">
        <f aca="false">E973*Scorecard!$D$18+F973*Scorecard!$D$19+G973*Scorecard!$D$20+H973*Scorecard!$D$21+I973*Scorecard!$D$22+J973*Scorecard!$D$23</f>
        <v>2.74975496116983</v>
      </c>
      <c r="D973" s="0" t="str">
        <f aca="false">IF(AND(B973&gt;=C973,B973&gt;=K973),"A. Distribution",IF(C973&gt;=K973,"B. Manufacturing","C. Prof. services"))</f>
        <v>A. Distribution</v>
      </c>
      <c r="E973" s="39" t="n">
        <v>0.0530828677272673</v>
      </c>
      <c r="F973" s="39" t="n">
        <v>0.0383352162687545</v>
      </c>
      <c r="G973" s="39" t="n">
        <v>0.0466121811753186</v>
      </c>
      <c r="H973" s="39" t="n">
        <v>0.352160786624582</v>
      </c>
      <c r="I973" s="39" t="n">
        <v>0.422199294967284</v>
      </c>
      <c r="J973" s="39" t="n">
        <v>0.087609653236793</v>
      </c>
      <c r="K973" s="38" t="n">
        <f aca="false">E973*Scorecard!$E$18+F973*Scorecard!$E$19+G973*Scorecard!$E$20+H973*Scorecard!$E$21+I973*Scorecard!$E$22+J973*Scorecard!$E$23</f>
        <v>3.15257394247635</v>
      </c>
      <c r="M973" s="0" t="str">
        <f aca="false">IF(AND(T973&gt;=U973,T973&gt;=V973),"A. Distribution",IF(U973&gt;=V973,"B. Manufacturing","C. Prof. services"))</f>
        <v>A. Distribution</v>
      </c>
      <c r="N973" s="39" t="n">
        <v>0.213937721193222</v>
      </c>
      <c r="O973" s="39" t="n">
        <v>0.157013334093652</v>
      </c>
      <c r="P973" s="39" t="n">
        <v>0.196007648356604</v>
      </c>
      <c r="Q973" s="39" t="n">
        <v>0.109435436674401</v>
      </c>
      <c r="R973" s="39" t="n">
        <v>0.179907550397744</v>
      </c>
      <c r="S973" s="39" t="n">
        <v>0.143698309284378</v>
      </c>
      <c r="T973" s="38" t="n">
        <f aca="false">N973*Scorecard!$C$18+O973*Scorecard!$C$19+P973*Scorecard!$C$20+Q973*Scorecard!$C$21+R973*Scorecard!$C$22+S973*Scorecard!$C$23</f>
        <v>3.84064861399488</v>
      </c>
      <c r="U973" s="38" t="n">
        <f aca="false">N973*Scorecard!$D$18+O973*Scorecard!$D$19+P973*Scorecard!$D$20+Q973*Scorecard!$D$21+R973*Scorecard!$D$22+S973*Scorecard!$D$23</f>
        <v>2.71606138122565</v>
      </c>
      <c r="V973" s="38" t="n">
        <f aca="false">N973*Scorecard!$E$18+O973*Scorecard!$E$19+P973*Scorecard!$E$20+Q973*Scorecard!$E$21+R973*Scorecard!$E$22+S973*Scorecard!$E$23</f>
        <v>3.44153811957086</v>
      </c>
    </row>
    <row r="974" customFormat="false" ht="15" hidden="false" customHeight="false" outlineLevel="0" collapsed="false">
      <c r="A974" s="0" t="n">
        <v>969</v>
      </c>
      <c r="B974" s="38" t="n">
        <f aca="false">E974*Scorecard!$C$18+F974*Scorecard!$C$19+G974*Scorecard!$C$20+H974*Scorecard!$C$21+I974*Scorecard!$C$22+J974*Scorecard!$C$23</f>
        <v>3.99117386608449</v>
      </c>
      <c r="C974" s="38" t="n">
        <f aca="false">E974*Scorecard!$D$18+F974*Scorecard!$D$19+G974*Scorecard!$D$20+H974*Scorecard!$D$21+I974*Scorecard!$D$22+J974*Scorecard!$D$23</f>
        <v>2.4033287565543</v>
      </c>
      <c r="D974" s="0" t="str">
        <f aca="false">IF(AND(B974&gt;=C974,B974&gt;=K974),"A. Distribution",IF(C974&gt;=K974,"B. Manufacturing","C. Prof. services"))</f>
        <v>A. Distribution</v>
      </c>
      <c r="E974" s="39" t="n">
        <v>0.10132298826938</v>
      </c>
      <c r="F974" s="39" t="n">
        <v>0.526866398210343</v>
      </c>
      <c r="G974" s="39" t="n">
        <v>0.0169577776351349</v>
      </c>
      <c r="H974" s="39" t="n">
        <v>0.0746765004452479</v>
      </c>
      <c r="I974" s="39" t="n">
        <v>0.0204207355697736</v>
      </c>
      <c r="J974" s="39" t="n">
        <v>0.259755599870121</v>
      </c>
      <c r="K974" s="38" t="n">
        <f aca="false">E974*Scorecard!$E$18+F974*Scorecard!$E$19+G974*Scorecard!$E$20+H974*Scorecard!$E$21+I974*Scorecard!$E$22+J974*Scorecard!$E$23</f>
        <v>3.39093057898123</v>
      </c>
      <c r="M974" s="0" t="str">
        <f aca="false">IF(AND(T974&gt;=U974,T974&gt;=V974),"A. Distribution",IF(U974&gt;=V974,"B. Manufacturing","C. Prof. services"))</f>
        <v>A. Distribution</v>
      </c>
      <c r="N974" s="39" t="n">
        <v>0.257849498965532</v>
      </c>
      <c r="O974" s="39" t="n">
        <v>0.168263153623752</v>
      </c>
      <c r="P974" s="39" t="n">
        <v>0.150900964937309</v>
      </c>
      <c r="Q974" s="39" t="n">
        <v>0.211953314299488</v>
      </c>
      <c r="R974" s="39" t="n">
        <v>0.118303559962878</v>
      </c>
      <c r="S974" s="39" t="n">
        <v>0.0927295082110418</v>
      </c>
      <c r="T974" s="38" t="n">
        <f aca="false">N974*Scorecard!$C$18+O974*Scorecard!$C$19+P974*Scorecard!$C$20+Q974*Scorecard!$C$21+R974*Scorecard!$C$22+S974*Scorecard!$C$23</f>
        <v>3.93926413931623</v>
      </c>
      <c r="U974" s="38" t="n">
        <f aca="false">N974*Scorecard!$D$18+O974*Scorecard!$D$19+P974*Scorecard!$D$20+Q974*Scorecard!$D$21+R974*Scorecard!$D$22+S974*Scorecard!$D$23</f>
        <v>2.78418056874128</v>
      </c>
      <c r="V974" s="38" t="n">
        <f aca="false">N974*Scorecard!$E$18+O974*Scorecard!$E$19+P974*Scorecard!$E$20+Q974*Scorecard!$E$21+R974*Scorecard!$E$22+S974*Scorecard!$E$23</f>
        <v>3.44979384542446</v>
      </c>
    </row>
    <row r="975" customFormat="false" ht="15" hidden="false" customHeight="false" outlineLevel="0" collapsed="false">
      <c r="A975" s="0" t="n">
        <v>970</v>
      </c>
      <c r="B975" s="38" t="n">
        <f aca="false">E975*Scorecard!$C$18+F975*Scorecard!$C$19+G975*Scorecard!$C$20+H975*Scorecard!$C$21+I975*Scorecard!$C$22+J975*Scorecard!$C$23</f>
        <v>2.82850290858172</v>
      </c>
      <c r="C975" s="38" t="n">
        <f aca="false">E975*Scorecard!$D$18+F975*Scorecard!$D$19+G975*Scorecard!$D$20+H975*Scorecard!$D$21+I975*Scorecard!$D$22+J975*Scorecard!$D$23</f>
        <v>1.95739564650739</v>
      </c>
      <c r="D975" s="0" t="str">
        <f aca="false">IF(AND(B975&gt;=C975,B975&gt;=K975),"A. Distribution",IF(C975&gt;=K975,"B. Manufacturing","C. Prof. services"))</f>
        <v>C. Prof. services</v>
      </c>
      <c r="E975" s="39" t="n">
        <v>0.0242895145698251</v>
      </c>
      <c r="F975" s="39" t="n">
        <v>0.0221706234457924</v>
      </c>
      <c r="G975" s="39" t="n">
        <v>0.184047511297549</v>
      </c>
      <c r="H975" s="39" t="n">
        <v>0.0393444649824686</v>
      </c>
      <c r="I975" s="39" t="n">
        <v>0.136408786224286</v>
      </c>
      <c r="J975" s="39" t="n">
        <v>0.593739099480079</v>
      </c>
      <c r="K975" s="38" t="n">
        <f aca="false">E975*Scorecard!$E$18+F975*Scorecard!$E$19+G975*Scorecard!$E$20+H975*Scorecard!$E$21+I975*Scorecard!$E$22+J975*Scorecard!$E$23</f>
        <v>4.01800048185233</v>
      </c>
      <c r="M975" s="0" t="str">
        <f aca="false">IF(AND(T975&gt;=U975,T975&gt;=V975),"A. Distribution",IF(U975&gt;=V975,"B. Manufacturing","C. Prof. services"))</f>
        <v>A. Distribution</v>
      </c>
      <c r="N975" s="39" t="n">
        <v>0.22541123779796</v>
      </c>
      <c r="O975" s="39" t="n">
        <v>0.199164745205791</v>
      </c>
      <c r="P975" s="39" t="n">
        <v>0.262598662126617</v>
      </c>
      <c r="Q975" s="39" t="n">
        <v>0.0718502713020755</v>
      </c>
      <c r="R975" s="39" t="n">
        <v>0.18222760426111</v>
      </c>
      <c r="S975" s="39" t="n">
        <v>0.0587474793064458</v>
      </c>
      <c r="T975" s="38" t="n">
        <f aca="false">N975*Scorecard!$C$18+O975*Scorecard!$C$19+P975*Scorecard!$C$20+Q975*Scorecard!$C$21+R975*Scorecard!$C$22+S975*Scorecard!$C$23</f>
        <v>4.05583033707692</v>
      </c>
      <c r="U975" s="38" t="n">
        <f aca="false">N975*Scorecard!$D$18+O975*Scorecard!$D$19+P975*Scorecard!$D$20+Q975*Scorecard!$D$21+R975*Scorecard!$D$22+S975*Scorecard!$D$23</f>
        <v>2.79619236834288</v>
      </c>
      <c r="V975" s="38" t="n">
        <f aca="false">N975*Scorecard!$E$18+O975*Scorecard!$E$19+P975*Scorecard!$E$20+Q975*Scorecard!$E$21+R975*Scorecard!$E$22+S975*Scorecard!$E$23</f>
        <v>3.35136375272702</v>
      </c>
    </row>
    <row r="976" customFormat="false" ht="15" hidden="false" customHeight="false" outlineLevel="0" collapsed="false">
      <c r="A976" s="0" t="n">
        <v>971</v>
      </c>
      <c r="B976" s="38" t="n">
        <f aca="false">E976*Scorecard!$C$18+F976*Scorecard!$C$19+G976*Scorecard!$C$20+H976*Scorecard!$C$21+I976*Scorecard!$C$22+J976*Scorecard!$C$23</f>
        <v>3.72136766316883</v>
      </c>
      <c r="C976" s="38" t="n">
        <f aca="false">E976*Scorecard!$D$18+F976*Scorecard!$D$19+G976*Scorecard!$D$20+H976*Scorecard!$D$21+I976*Scorecard!$D$22+J976*Scorecard!$D$23</f>
        <v>2.276303410979</v>
      </c>
      <c r="D976" s="0" t="str">
        <f aca="false">IF(AND(B976&gt;=C976,B976&gt;=K976),"A. Distribution",IF(C976&gt;=K976,"B. Manufacturing","C. Prof. services"))</f>
        <v>C. Prof. services</v>
      </c>
      <c r="E976" s="39" t="n">
        <v>0.0751466261620364</v>
      </c>
      <c r="F976" s="39" t="n">
        <v>0.00555640117617606</v>
      </c>
      <c r="G976" s="39" t="n">
        <v>0.618735547962466</v>
      </c>
      <c r="H976" s="39" t="n">
        <v>0.0259526364118733</v>
      </c>
      <c r="I976" s="39" t="n">
        <v>0.136929265199943</v>
      </c>
      <c r="J976" s="39" t="n">
        <v>0.137679523087506</v>
      </c>
      <c r="K976" s="38" t="n">
        <f aca="false">E976*Scorecard!$E$18+F976*Scorecard!$E$19+G976*Scorecard!$E$20+H976*Scorecard!$E$21+I976*Scorecard!$E$22+J976*Scorecard!$E$23</f>
        <v>3.78791574018136</v>
      </c>
      <c r="M976" s="0" t="str">
        <f aca="false">IF(AND(T976&gt;=U976,T976&gt;=V976),"A. Distribution",IF(U976&gt;=V976,"B. Manufacturing","C. Prof. services"))</f>
        <v>A. Distribution</v>
      </c>
      <c r="N976" s="39" t="n">
        <v>0.202956437708199</v>
      </c>
      <c r="O976" s="39" t="n">
        <v>0.257601140938496</v>
      </c>
      <c r="P976" s="39" t="n">
        <v>0.116606677079228</v>
      </c>
      <c r="Q976" s="39" t="n">
        <v>0.164098127679528</v>
      </c>
      <c r="R976" s="39" t="n">
        <v>0.151053222784185</v>
      </c>
      <c r="S976" s="39" t="n">
        <v>0.107684393810365</v>
      </c>
      <c r="T976" s="38" t="n">
        <f aca="false">N976*Scorecard!$C$18+O976*Scorecard!$C$19+P976*Scorecard!$C$20+Q976*Scorecard!$C$21+R976*Scorecard!$C$22+S976*Scorecard!$C$23</f>
        <v>4.00825596655746</v>
      </c>
      <c r="U976" s="38" t="n">
        <f aca="false">N976*Scorecard!$D$18+O976*Scorecard!$D$19+P976*Scorecard!$D$20+Q976*Scorecard!$D$21+R976*Scorecard!$D$22+S976*Scorecard!$D$23</f>
        <v>2.74264787661449</v>
      </c>
      <c r="V976" s="38" t="n">
        <f aca="false">N976*Scorecard!$E$18+O976*Scorecard!$E$19+P976*Scorecard!$E$20+Q976*Scorecard!$E$21+R976*Scorecard!$E$22+S976*Scorecard!$E$23</f>
        <v>3.33898998601467</v>
      </c>
    </row>
    <row r="977" customFormat="false" ht="15" hidden="false" customHeight="false" outlineLevel="0" collapsed="false">
      <c r="A977" s="0" t="n">
        <v>972</v>
      </c>
      <c r="B977" s="38" t="n">
        <f aca="false">E977*Scorecard!$C$18+F977*Scorecard!$C$19+G977*Scorecard!$C$20+H977*Scorecard!$C$21+I977*Scorecard!$C$22+J977*Scorecard!$C$23</f>
        <v>3.9363239876277</v>
      </c>
      <c r="C977" s="38" t="n">
        <f aca="false">E977*Scorecard!$D$18+F977*Scorecard!$D$19+G977*Scorecard!$D$20+H977*Scorecard!$D$21+I977*Scorecard!$D$22+J977*Scorecard!$D$23</f>
        <v>2.97858191426668</v>
      </c>
      <c r="D977" s="0" t="str">
        <f aca="false">IF(AND(B977&gt;=C977,B977&gt;=K977),"A. Distribution",IF(C977&gt;=K977,"B. Manufacturing","C. Prof. services"))</f>
        <v>A. Distribution</v>
      </c>
      <c r="E977" s="39" t="n">
        <v>0.177717614847392</v>
      </c>
      <c r="F977" s="39" t="n">
        <v>0.00400628512874103</v>
      </c>
      <c r="G977" s="39" t="n">
        <v>0.234030416384776</v>
      </c>
      <c r="H977" s="39" t="n">
        <v>0.120067470396069</v>
      </c>
      <c r="I977" s="39" t="n">
        <v>0.443939921486463</v>
      </c>
      <c r="J977" s="39" t="n">
        <v>0.020238291756558</v>
      </c>
      <c r="K977" s="38" t="n">
        <f aca="false">E977*Scorecard!$E$18+F977*Scorecard!$E$19+G977*Scorecard!$E$20+H977*Scorecard!$E$21+I977*Scorecard!$E$22+J977*Scorecard!$E$23</f>
        <v>3.13728532029262</v>
      </c>
      <c r="M977" s="0" t="str">
        <f aca="false">IF(AND(T977&gt;=U977,T977&gt;=V977),"A. Distribution",IF(U977&gt;=V977,"B. Manufacturing","C. Prof. services"))</f>
        <v>A. Distribution</v>
      </c>
      <c r="N977" s="39" t="n">
        <v>0.1682059518854</v>
      </c>
      <c r="O977" s="39" t="n">
        <v>0.204880395313196</v>
      </c>
      <c r="P977" s="39" t="n">
        <v>0.158241287622103</v>
      </c>
      <c r="Q977" s="39" t="n">
        <v>0.143665027610352</v>
      </c>
      <c r="R977" s="39" t="n">
        <v>0.158891651356782</v>
      </c>
      <c r="S977" s="39" t="n">
        <v>0.166115686212167</v>
      </c>
      <c r="T977" s="38" t="n">
        <f aca="false">N977*Scorecard!$C$18+O977*Scorecard!$C$19+P977*Scorecard!$C$20+Q977*Scorecard!$C$21+R977*Scorecard!$C$22+S977*Scorecard!$C$23</f>
        <v>3.8436643189781</v>
      </c>
      <c r="U977" s="38" t="n">
        <f aca="false">N977*Scorecard!$D$18+O977*Scorecard!$D$19+P977*Scorecard!$D$20+Q977*Scorecard!$D$21+R977*Scorecard!$D$22+S977*Scorecard!$D$23</f>
        <v>2.61966707690321</v>
      </c>
      <c r="V977" s="38" t="n">
        <f aca="false">N977*Scorecard!$E$18+O977*Scorecard!$E$19+P977*Scorecard!$E$20+Q977*Scorecard!$E$21+R977*Scorecard!$E$22+S977*Scorecard!$E$23</f>
        <v>3.44222307070235</v>
      </c>
    </row>
    <row r="978" customFormat="false" ht="15" hidden="false" customHeight="false" outlineLevel="0" collapsed="false">
      <c r="A978" s="0" t="n">
        <v>973</v>
      </c>
      <c r="B978" s="38" t="n">
        <f aca="false">E978*Scorecard!$C$18+F978*Scorecard!$C$19+G978*Scorecard!$C$20+H978*Scorecard!$C$21+I978*Scorecard!$C$22+J978*Scorecard!$C$23</f>
        <v>4.08300644414953</v>
      </c>
      <c r="C978" s="38" t="n">
        <f aca="false">E978*Scorecard!$D$18+F978*Scorecard!$D$19+G978*Scorecard!$D$20+H978*Scorecard!$D$21+I978*Scorecard!$D$22+J978*Scorecard!$D$23</f>
        <v>2.96460594894979</v>
      </c>
      <c r="D978" s="0" t="str">
        <f aca="false">IF(AND(B978&gt;=C978,B978&gt;=K978),"A. Distribution",IF(C978&gt;=K978,"B. Manufacturing","C. Prof. services"))</f>
        <v>A. Distribution</v>
      </c>
      <c r="E978" s="39" t="n">
        <v>0.179639291373531</v>
      </c>
      <c r="F978" s="39" t="n">
        <v>0.143862490402105</v>
      </c>
      <c r="G978" s="39" t="n">
        <v>0.146761218067598</v>
      </c>
      <c r="H978" s="39" t="n">
        <v>0.147326420251889</v>
      </c>
      <c r="I978" s="39" t="n">
        <v>0.367131140296268</v>
      </c>
      <c r="J978" s="39" t="n">
        <v>0.0152794396086088</v>
      </c>
      <c r="K978" s="38" t="n">
        <f aca="false">E978*Scorecard!$E$18+F978*Scorecard!$E$19+G978*Scorecard!$E$20+H978*Scorecard!$E$21+I978*Scorecard!$E$22+J978*Scorecard!$E$23</f>
        <v>3.0857598742349</v>
      </c>
      <c r="M978" s="0" t="str">
        <f aca="false">IF(AND(T978&gt;=U978,T978&gt;=V978),"A. Distribution",IF(U978&gt;=V978,"B. Manufacturing","C. Prof. services"))</f>
        <v>A. Distribution</v>
      </c>
      <c r="N978" s="39" t="n">
        <v>0.318493569521027</v>
      </c>
      <c r="O978" s="39" t="n">
        <v>0.110971363208183</v>
      </c>
      <c r="P978" s="39" t="n">
        <v>0.301913903481809</v>
      </c>
      <c r="Q978" s="39" t="n">
        <v>0.0924412768952454</v>
      </c>
      <c r="R978" s="39" t="n">
        <v>0.143556384182277</v>
      </c>
      <c r="S978" s="39" t="n">
        <v>0.0326235027114586</v>
      </c>
      <c r="T978" s="38" t="n">
        <f aca="false">N978*Scorecard!$C$18+O978*Scorecard!$C$19+P978*Scorecard!$C$20+Q978*Scorecard!$C$21+R978*Scorecard!$C$22+S978*Scorecard!$C$23</f>
        <v>4.01019293540356</v>
      </c>
      <c r="U978" s="38" t="n">
        <f aca="false">N978*Scorecard!$D$18+O978*Scorecard!$D$19+P978*Scorecard!$D$20+Q978*Scorecard!$D$21+R978*Scorecard!$D$22+S978*Scorecard!$D$23</f>
        <v>2.90532169481196</v>
      </c>
      <c r="V978" s="38" t="n">
        <f aca="false">N978*Scorecard!$E$18+O978*Scorecard!$E$19+P978*Scorecard!$E$20+Q978*Scorecard!$E$21+R978*Scorecard!$E$22+S978*Scorecard!$E$23</f>
        <v>3.45490706317016</v>
      </c>
    </row>
    <row r="979" customFormat="false" ht="15" hidden="false" customHeight="false" outlineLevel="0" collapsed="false">
      <c r="A979" s="0" t="n">
        <v>974</v>
      </c>
      <c r="B979" s="38" t="n">
        <f aca="false">E979*Scorecard!$C$18+F979*Scorecard!$C$19+G979*Scorecard!$C$20+H979*Scorecard!$C$21+I979*Scorecard!$C$22+J979*Scorecard!$C$23</f>
        <v>3.38583470815036</v>
      </c>
      <c r="C979" s="38" t="n">
        <f aca="false">E979*Scorecard!$D$18+F979*Scorecard!$D$19+G979*Scorecard!$D$20+H979*Scorecard!$D$21+I979*Scorecard!$D$22+J979*Scorecard!$D$23</f>
        <v>2.32179166304073</v>
      </c>
      <c r="D979" s="0" t="str">
        <f aca="false">IF(AND(B979&gt;=C979,B979&gt;=K979),"A. Distribution",IF(C979&gt;=K979,"B. Manufacturing","C. Prof. services"))</f>
        <v>C. Prof. services</v>
      </c>
      <c r="E979" s="39" t="n">
        <v>0.0309328132617795</v>
      </c>
      <c r="F979" s="39" t="n">
        <v>0.0297530170401322</v>
      </c>
      <c r="G979" s="39" t="n">
        <v>0.285160952592754</v>
      </c>
      <c r="H979" s="39" t="n">
        <v>0.043268965764327</v>
      </c>
      <c r="I979" s="39" t="n">
        <v>0.292497972982355</v>
      </c>
      <c r="J979" s="39" t="n">
        <v>0.318386278358653</v>
      </c>
      <c r="K979" s="38" t="n">
        <f aca="false">E979*Scorecard!$E$18+F979*Scorecard!$E$19+G979*Scorecard!$E$20+H979*Scorecard!$E$21+I979*Scorecard!$E$22+J979*Scorecard!$E$23</f>
        <v>3.60650083482295</v>
      </c>
      <c r="M979" s="0" t="str">
        <f aca="false">IF(AND(T979&gt;=U979,T979&gt;=V979),"A. Distribution",IF(U979&gt;=V979,"B. Manufacturing","C. Prof. services"))</f>
        <v>A. Distribution</v>
      </c>
      <c r="N979" s="39" t="n">
        <v>0.0721184803845511</v>
      </c>
      <c r="O979" s="39" t="n">
        <v>0.396081302009424</v>
      </c>
      <c r="P979" s="39" t="n">
        <v>0.180854512667123</v>
      </c>
      <c r="Q979" s="39" t="n">
        <v>0.12036692610967</v>
      </c>
      <c r="R979" s="39" t="n">
        <v>0.153592711795744</v>
      </c>
      <c r="S979" s="39" t="n">
        <v>0.0769860670334872</v>
      </c>
      <c r="T979" s="38" t="n">
        <f aca="false">N979*Scorecard!$C$18+O979*Scorecard!$C$19+P979*Scorecard!$C$20+Q979*Scorecard!$C$21+R979*Scorecard!$C$22+S979*Scorecard!$C$23</f>
        <v>4.22334940104169</v>
      </c>
      <c r="U979" s="38" t="n">
        <f aca="false">N979*Scorecard!$D$18+O979*Scorecard!$D$19+P979*Scorecard!$D$20+Q979*Scorecard!$D$21+R979*Scorecard!$D$22+S979*Scorecard!$D$23</f>
        <v>2.5572429439986</v>
      </c>
      <c r="V979" s="38" t="n">
        <f aca="false">N979*Scorecard!$E$18+O979*Scorecard!$E$19+P979*Scorecard!$E$20+Q979*Scorecard!$E$21+R979*Scorecard!$E$22+S979*Scorecard!$E$23</f>
        <v>3.23358896715978</v>
      </c>
    </row>
    <row r="980" customFormat="false" ht="15" hidden="false" customHeight="false" outlineLevel="0" collapsed="false">
      <c r="A980" s="0" t="n">
        <v>975</v>
      </c>
      <c r="B980" s="38" t="n">
        <f aca="false">E980*Scorecard!$C$18+F980*Scorecard!$C$19+G980*Scorecard!$C$20+H980*Scorecard!$C$21+I980*Scorecard!$C$22+J980*Scorecard!$C$23</f>
        <v>4.24622401589267</v>
      </c>
      <c r="C980" s="38" t="n">
        <f aca="false">E980*Scorecard!$D$18+F980*Scorecard!$D$19+G980*Scorecard!$D$20+H980*Scorecard!$D$21+I980*Scorecard!$D$22+J980*Scorecard!$D$23</f>
        <v>2.617969628206</v>
      </c>
      <c r="D980" s="0" t="str">
        <f aca="false">IF(AND(B980&gt;=C980,B980&gt;=K980),"A. Distribution",IF(C980&gt;=K980,"B. Manufacturing","C. Prof. services"))</f>
        <v>A. Distribution</v>
      </c>
      <c r="E980" s="39" t="n">
        <v>0.0242316993086491</v>
      </c>
      <c r="F980" s="39" t="n">
        <v>0.352105970571525</v>
      </c>
      <c r="G980" s="39" t="n">
        <v>0.0926113701978304</v>
      </c>
      <c r="H980" s="39" t="n">
        <v>0.244506710275053</v>
      </c>
      <c r="I980" s="39" t="n">
        <v>0.247748885519236</v>
      </c>
      <c r="J980" s="39" t="n">
        <v>0.0387953641277072</v>
      </c>
      <c r="K980" s="38" t="n">
        <f aca="false">E980*Scorecard!$E$18+F980*Scorecard!$E$19+G980*Scorecard!$E$20+H980*Scorecard!$E$21+I980*Scorecard!$E$22+J980*Scorecard!$E$23</f>
        <v>3.09347269633544</v>
      </c>
      <c r="M980" s="0" t="str">
        <f aca="false">IF(AND(T980&gt;=U980,T980&gt;=V980),"A. Distribution",IF(U980&gt;=V980,"B. Manufacturing","C. Prof. services"))</f>
        <v>A. Distribution</v>
      </c>
      <c r="N980" s="39" t="n">
        <v>0.254204275377099</v>
      </c>
      <c r="O980" s="39" t="n">
        <v>0.202171550735307</v>
      </c>
      <c r="P980" s="39" t="n">
        <v>0.23771626595626</v>
      </c>
      <c r="Q980" s="39" t="n">
        <v>0.0932309886989697</v>
      </c>
      <c r="R980" s="39" t="n">
        <v>0.0642996632071418</v>
      </c>
      <c r="S980" s="39" t="n">
        <v>0.148377256025223</v>
      </c>
      <c r="T980" s="38" t="n">
        <f aca="false">N980*Scorecard!$C$18+O980*Scorecard!$C$19+P980*Scorecard!$C$20+Q980*Scorecard!$C$21+R980*Scorecard!$C$22+S980*Scorecard!$C$23</f>
        <v>3.87496210428414</v>
      </c>
      <c r="U980" s="38" t="n">
        <f aca="false">N980*Scorecard!$D$18+O980*Scorecard!$D$19+P980*Scorecard!$D$20+Q980*Scorecard!$D$21+R980*Scorecard!$D$22+S980*Scorecard!$D$23</f>
        <v>2.66024395927576</v>
      </c>
      <c r="V980" s="38" t="n">
        <f aca="false">N980*Scorecard!$E$18+O980*Scorecard!$E$19+P980*Scorecard!$E$20+Q980*Scorecard!$E$21+R980*Scorecard!$E$22+S980*Scorecard!$E$23</f>
        <v>3.56774511649658</v>
      </c>
    </row>
    <row r="981" customFormat="false" ht="15" hidden="false" customHeight="false" outlineLevel="0" collapsed="false">
      <c r="A981" s="0" t="n">
        <v>976</v>
      </c>
      <c r="B981" s="38" t="n">
        <f aca="false">E981*Scorecard!$C$18+F981*Scorecard!$C$19+G981*Scorecard!$C$20+H981*Scorecard!$C$21+I981*Scorecard!$C$22+J981*Scorecard!$C$23</f>
        <v>3.95660669845964</v>
      </c>
      <c r="C981" s="38" t="n">
        <f aca="false">E981*Scorecard!$D$18+F981*Scorecard!$D$19+G981*Scorecard!$D$20+H981*Scorecard!$D$21+I981*Scorecard!$D$22+J981*Scorecard!$D$23</f>
        <v>2.76424073484145</v>
      </c>
      <c r="D981" s="0" t="str">
        <f aca="false">IF(AND(B981&gt;=C981,B981&gt;=K981),"A. Distribution",IF(C981&gt;=K981,"B. Manufacturing","C. Prof. services"))</f>
        <v>A. Distribution</v>
      </c>
      <c r="E981" s="39" t="n">
        <v>0.368377188649872</v>
      </c>
      <c r="F981" s="39" t="n">
        <v>0.0506417402111369</v>
      </c>
      <c r="G981" s="39" t="n">
        <v>0.531696477791705</v>
      </c>
      <c r="H981" s="39" t="n">
        <v>0.0154551098588123</v>
      </c>
      <c r="I981" s="39" t="n">
        <v>0.00243251884060109</v>
      </c>
      <c r="J981" s="39" t="n">
        <v>0.031396964647872</v>
      </c>
      <c r="K981" s="38" t="n">
        <f aca="false">E981*Scorecard!$E$18+F981*Scorecard!$E$19+G981*Scorecard!$E$20+H981*Scorecard!$E$21+I981*Scorecard!$E$22+J981*Scorecard!$E$23</f>
        <v>3.76186256518911</v>
      </c>
      <c r="M981" s="0" t="str">
        <f aca="false">IF(AND(T981&gt;=U981,T981&gt;=V981),"A. Distribution",IF(U981&gt;=V981,"B. Manufacturing","C. Prof. services"))</f>
        <v>A. Distribution</v>
      </c>
      <c r="N981" s="39" t="n">
        <v>0.261948522634219</v>
      </c>
      <c r="O981" s="39" t="n">
        <v>0.138383310896129</v>
      </c>
      <c r="P981" s="39" t="n">
        <v>0.139357732005366</v>
      </c>
      <c r="Q981" s="39" t="n">
        <v>0.178860021132358</v>
      </c>
      <c r="R981" s="39" t="n">
        <v>0.219967755176304</v>
      </c>
      <c r="S981" s="39" t="n">
        <v>0.0614826581556242</v>
      </c>
      <c r="T981" s="38" t="n">
        <f aca="false">N981*Scorecard!$C$18+O981*Scorecard!$C$19+P981*Scorecard!$C$20+Q981*Scorecard!$C$21+R981*Scorecard!$C$22+S981*Scorecard!$C$23</f>
        <v>3.97511472107937</v>
      </c>
      <c r="U981" s="38" t="n">
        <f aca="false">N981*Scorecard!$D$18+O981*Scorecard!$D$19+P981*Scorecard!$D$20+Q981*Scorecard!$D$21+R981*Scorecard!$D$22+S981*Scorecard!$D$23</f>
        <v>2.91814337280125</v>
      </c>
      <c r="V981" s="38" t="n">
        <f aca="false">N981*Scorecard!$E$18+O981*Scorecard!$E$19+P981*Scorecard!$E$20+Q981*Scorecard!$E$21+R981*Scorecard!$E$22+S981*Scorecard!$E$23</f>
        <v>3.30922011389365</v>
      </c>
    </row>
    <row r="982" customFormat="false" ht="15" hidden="false" customHeight="false" outlineLevel="0" collapsed="false">
      <c r="A982" s="0" t="n">
        <v>977</v>
      </c>
      <c r="B982" s="38" t="n">
        <f aca="false">E982*Scorecard!$C$18+F982*Scorecard!$C$19+G982*Scorecard!$C$20+H982*Scorecard!$C$21+I982*Scorecard!$C$22+J982*Scorecard!$C$23</f>
        <v>3.61984898362123</v>
      </c>
      <c r="C982" s="38" t="n">
        <f aca="false">E982*Scorecard!$D$18+F982*Scorecard!$D$19+G982*Scorecard!$D$20+H982*Scorecard!$D$21+I982*Scorecard!$D$22+J982*Scorecard!$D$23</f>
        <v>2.36191752144177</v>
      </c>
      <c r="D982" s="0" t="str">
        <f aca="false">IF(AND(B982&gt;=C982,B982&gt;=K982),"A. Distribution",IF(C982&gt;=K982,"B. Manufacturing","C. Prof. services"))</f>
        <v>C. Prof. services</v>
      </c>
      <c r="E982" s="39" t="n">
        <v>0.123929820911963</v>
      </c>
      <c r="F982" s="39" t="n">
        <v>0.1526234735697</v>
      </c>
      <c r="G982" s="39" t="n">
        <v>0.213118838299587</v>
      </c>
      <c r="H982" s="39" t="n">
        <v>0.181339873521101</v>
      </c>
      <c r="I982" s="39" t="n">
        <v>0.077345450243203</v>
      </c>
      <c r="J982" s="39" t="n">
        <v>0.251642543454447</v>
      </c>
      <c r="K982" s="38" t="n">
        <f aca="false">E982*Scorecard!$E$18+F982*Scorecard!$E$19+G982*Scorecard!$E$20+H982*Scorecard!$E$21+I982*Scorecard!$E$22+J982*Scorecard!$E$23</f>
        <v>3.69318395560567</v>
      </c>
      <c r="M982" s="0" t="str">
        <f aca="false">IF(AND(T982&gt;=U982,T982&gt;=V982),"A. Distribution",IF(U982&gt;=V982,"B. Manufacturing","C. Prof. services"))</f>
        <v>A. Distribution</v>
      </c>
      <c r="N982" s="39" t="n">
        <v>0.28012680269766</v>
      </c>
      <c r="O982" s="39" t="n">
        <v>0.20941360684186</v>
      </c>
      <c r="P982" s="39" t="n">
        <v>0.236259559525047</v>
      </c>
      <c r="Q982" s="39" t="n">
        <v>0.122694893922264</v>
      </c>
      <c r="R982" s="39" t="n">
        <v>0.117928040267944</v>
      </c>
      <c r="S982" s="39" t="n">
        <v>0.0335770967452261</v>
      </c>
      <c r="T982" s="38" t="n">
        <f aca="false">N982*Scorecard!$C$18+O982*Scorecard!$C$19+P982*Scorecard!$C$20+Q982*Scorecard!$C$21+R982*Scorecard!$C$22+S982*Scorecard!$C$23</f>
        <v>4.10654848983663</v>
      </c>
      <c r="U982" s="38" t="n">
        <f aca="false">N982*Scorecard!$D$18+O982*Scorecard!$D$19+P982*Scorecard!$D$20+Q982*Scorecard!$D$21+R982*Scorecard!$D$22+S982*Scorecard!$D$23</f>
        <v>2.85404498001271</v>
      </c>
      <c r="V982" s="38" t="n">
        <f aca="false">N982*Scorecard!$E$18+O982*Scorecard!$E$19+P982*Scorecard!$E$20+Q982*Scorecard!$E$21+R982*Scorecard!$E$22+S982*Scorecard!$E$23</f>
        <v>3.38970714172416</v>
      </c>
    </row>
    <row r="983" customFormat="false" ht="15" hidden="false" customHeight="false" outlineLevel="0" collapsed="false">
      <c r="A983" s="0" t="n">
        <v>978</v>
      </c>
      <c r="B983" s="38" t="n">
        <f aca="false">E983*Scorecard!$C$18+F983*Scorecard!$C$19+G983*Scorecard!$C$20+H983*Scorecard!$C$21+I983*Scorecard!$C$22+J983*Scorecard!$C$23</f>
        <v>2.97451637098053</v>
      </c>
      <c r="C983" s="38" t="n">
        <f aca="false">E983*Scorecard!$D$18+F983*Scorecard!$D$19+G983*Scorecard!$D$20+H983*Scorecard!$D$21+I983*Scorecard!$D$22+J983*Scorecard!$D$23</f>
        <v>2.21685187764346</v>
      </c>
      <c r="D983" s="0" t="str">
        <f aca="false">IF(AND(B983&gt;=C983,B983&gt;=K983),"A. Distribution",IF(C983&gt;=K983,"B. Manufacturing","C. Prof. services"))</f>
        <v>C. Prof. services</v>
      </c>
      <c r="E983" s="39" t="n">
        <v>0.0386158804014941</v>
      </c>
      <c r="F983" s="39" t="n">
        <v>0.018728402534583</v>
      </c>
      <c r="G983" s="39" t="n">
        <v>0.0756003269482975</v>
      </c>
      <c r="H983" s="39" t="n">
        <v>0.077381420457939</v>
      </c>
      <c r="I983" s="39" t="n">
        <v>0.273287072801443</v>
      </c>
      <c r="J983" s="39" t="n">
        <v>0.516386896856243</v>
      </c>
      <c r="K983" s="38" t="n">
        <f aca="false">E983*Scorecard!$E$18+F983*Scorecard!$E$19+G983*Scorecard!$E$20+H983*Scorecard!$E$21+I983*Scorecard!$E$22+J983*Scorecard!$E$23</f>
        <v>3.73570008233584</v>
      </c>
      <c r="M983" s="0" t="str">
        <f aca="false">IF(AND(T983&gt;=U983,T983&gt;=V983),"A. Distribution",IF(U983&gt;=V983,"B. Manufacturing","C. Prof. services"))</f>
        <v>A. Distribution</v>
      </c>
      <c r="N983" s="39" t="n">
        <v>0.174452995039024</v>
      </c>
      <c r="O983" s="39" t="n">
        <v>0.228397353791493</v>
      </c>
      <c r="P983" s="39" t="n">
        <v>0.27742012565152</v>
      </c>
      <c r="Q983" s="39" t="n">
        <v>0.193048075474428</v>
      </c>
      <c r="R983" s="39" t="n">
        <v>0.0645238825966166</v>
      </c>
      <c r="S983" s="39" t="n">
        <v>0.0621575674469181</v>
      </c>
      <c r="T983" s="38" t="n">
        <f aca="false">N983*Scorecard!$C$18+O983*Scorecard!$C$19+P983*Scorecard!$C$20+Q983*Scorecard!$C$21+R983*Scorecard!$C$22+S983*Scorecard!$C$23</f>
        <v>4.06927490767299</v>
      </c>
      <c r="U983" s="38" t="n">
        <f aca="false">N983*Scorecard!$D$18+O983*Scorecard!$D$19+P983*Scorecard!$D$20+Q983*Scorecard!$D$21+R983*Scorecard!$D$22+S983*Scorecard!$D$23</f>
        <v>2.58535842444739</v>
      </c>
      <c r="V983" s="38" t="n">
        <f aca="false">N983*Scorecard!$E$18+O983*Scorecard!$E$19+P983*Scorecard!$E$20+Q983*Scorecard!$E$21+R983*Scorecard!$E$22+S983*Scorecard!$E$23</f>
        <v>3.50013865246439</v>
      </c>
    </row>
    <row r="984" customFormat="false" ht="15" hidden="false" customHeight="false" outlineLevel="0" collapsed="false">
      <c r="A984" s="0" t="n">
        <v>979</v>
      </c>
      <c r="B984" s="38" t="n">
        <f aca="false">E984*Scorecard!$C$18+F984*Scorecard!$C$19+G984*Scorecard!$C$20+H984*Scorecard!$C$21+I984*Scorecard!$C$22+J984*Scorecard!$C$23</f>
        <v>3.97648785690544</v>
      </c>
      <c r="C984" s="38" t="n">
        <f aca="false">E984*Scorecard!$D$18+F984*Scorecard!$D$19+G984*Scorecard!$D$20+H984*Scorecard!$D$21+I984*Scorecard!$D$22+J984*Scorecard!$D$23</f>
        <v>3.52378815821373</v>
      </c>
      <c r="D984" s="0" t="str">
        <f aca="false">IF(AND(B984&gt;=C984,B984&gt;=K984),"A. Distribution",IF(C984&gt;=K984,"B. Manufacturing","C. Prof. services"))</f>
        <v>A. Distribution</v>
      </c>
      <c r="E984" s="39" t="n">
        <v>0.730419835167571</v>
      </c>
      <c r="F984" s="39" t="n">
        <v>0.0497632277408785</v>
      </c>
      <c r="G984" s="39" t="n">
        <v>0.173942322508328</v>
      </c>
      <c r="H984" s="39" t="n">
        <v>0.0299367381944824</v>
      </c>
      <c r="I984" s="39" t="n">
        <v>0.0102345668546216</v>
      </c>
      <c r="J984" s="39" t="n">
        <v>0.00570330953411834</v>
      </c>
      <c r="K984" s="38" t="n">
        <f aca="false">E984*Scorecard!$E$18+F984*Scorecard!$E$19+G984*Scorecard!$E$20+H984*Scorecard!$E$21+I984*Scorecard!$E$22+J984*Scorecard!$E$23</f>
        <v>3.55130434027398</v>
      </c>
      <c r="M984" s="0" t="str">
        <f aca="false">IF(AND(T984&gt;=U984,T984&gt;=V984),"A. Distribution",IF(U984&gt;=V984,"B. Manufacturing","C. Prof. services"))</f>
        <v>A. Distribution</v>
      </c>
      <c r="N984" s="39" t="n">
        <v>0.171536124471415</v>
      </c>
      <c r="O984" s="39" t="n">
        <v>0.181810749008165</v>
      </c>
      <c r="P984" s="39" t="n">
        <v>0.131763933775479</v>
      </c>
      <c r="Q984" s="39" t="n">
        <v>0.152299741489325</v>
      </c>
      <c r="R984" s="39" t="n">
        <v>0.151262434400006</v>
      </c>
      <c r="S984" s="39" t="n">
        <v>0.21132701685561</v>
      </c>
      <c r="T984" s="38" t="n">
        <f aca="false">N984*Scorecard!$C$18+O984*Scorecard!$C$19+P984*Scorecard!$C$20+Q984*Scorecard!$C$21+R984*Scorecard!$C$22+S984*Scorecard!$C$23</f>
        <v>3.72897424709222</v>
      </c>
      <c r="U984" s="38" t="n">
        <f aca="false">N984*Scorecard!$D$18+O984*Scorecard!$D$19+P984*Scorecard!$D$20+Q984*Scorecard!$D$21+R984*Scorecard!$D$22+S984*Scorecard!$D$23</f>
        <v>2.58392834166242</v>
      </c>
      <c r="V984" s="38" t="n">
        <f aca="false">N984*Scorecard!$E$18+O984*Scorecard!$E$19+P984*Scorecard!$E$20+Q984*Scorecard!$E$21+R984*Scorecard!$E$22+S984*Scorecard!$E$23</f>
        <v>3.50063293150334</v>
      </c>
    </row>
    <row r="985" customFormat="false" ht="15" hidden="false" customHeight="false" outlineLevel="0" collapsed="false">
      <c r="A985" s="0" t="n">
        <v>980</v>
      </c>
      <c r="B985" s="38" t="n">
        <f aca="false">E985*Scorecard!$C$18+F985*Scorecard!$C$19+G985*Scorecard!$C$20+H985*Scorecard!$C$21+I985*Scorecard!$C$22+J985*Scorecard!$C$23</f>
        <v>4.38977177141326</v>
      </c>
      <c r="C985" s="38" t="n">
        <f aca="false">E985*Scorecard!$D$18+F985*Scorecard!$D$19+G985*Scorecard!$D$20+H985*Scorecard!$D$21+I985*Scorecard!$D$22+J985*Scorecard!$D$23</f>
        <v>2.55399085264372</v>
      </c>
      <c r="D985" s="0" t="str">
        <f aca="false">IF(AND(B985&gt;=C985,B985&gt;=K985),"A. Distribution",IF(C985&gt;=K985,"B. Manufacturing","C. Prof. services"))</f>
        <v>A. Distribution</v>
      </c>
      <c r="E985" s="39" t="n">
        <v>0.148082582818049</v>
      </c>
      <c r="F985" s="39" t="n">
        <v>0.450692688691334</v>
      </c>
      <c r="G985" s="39" t="n">
        <v>0.309580415478045</v>
      </c>
      <c r="H985" s="39" t="n">
        <v>0.0654373398550023</v>
      </c>
      <c r="I985" s="39" t="n">
        <v>0.00521650667338046</v>
      </c>
      <c r="J985" s="39" t="n">
        <v>0.0209904664841901</v>
      </c>
      <c r="K985" s="38" t="n">
        <f aca="false">E985*Scorecard!$E$18+F985*Scorecard!$E$19+G985*Scorecard!$E$20+H985*Scorecard!$E$21+I985*Scorecard!$E$22+J985*Scorecard!$E$23</f>
        <v>3.36759043764119</v>
      </c>
      <c r="M985" s="0" t="str">
        <f aca="false">IF(AND(T985&gt;=U985,T985&gt;=V985),"A. Distribution",IF(U985&gt;=V985,"B. Manufacturing","C. Prof. services"))</f>
        <v>A. Distribution</v>
      </c>
      <c r="N985" s="39" t="n">
        <v>0.225697691036574</v>
      </c>
      <c r="O985" s="39" t="n">
        <v>0.187270682178952</v>
      </c>
      <c r="P985" s="39" t="n">
        <v>0.152773465121889</v>
      </c>
      <c r="Q985" s="39" t="n">
        <v>0.0820526964661482</v>
      </c>
      <c r="R985" s="39" t="n">
        <v>0.214120353004258</v>
      </c>
      <c r="S985" s="39" t="n">
        <v>0.138085112192179</v>
      </c>
      <c r="T985" s="38" t="n">
        <f aca="false">N985*Scorecard!$C$18+O985*Scorecard!$C$19+P985*Scorecard!$C$20+Q985*Scorecard!$C$21+R985*Scorecard!$C$22+S985*Scorecard!$C$23</f>
        <v>3.88413869257455</v>
      </c>
      <c r="U985" s="38" t="n">
        <f aca="false">N985*Scorecard!$D$18+O985*Scorecard!$D$19+P985*Scorecard!$D$20+Q985*Scorecard!$D$21+R985*Scorecard!$D$22+S985*Scorecard!$D$23</f>
        <v>2.7963059167635</v>
      </c>
      <c r="V985" s="38" t="n">
        <f aca="false">N985*Scorecard!$E$18+O985*Scorecard!$E$19+P985*Scorecard!$E$20+Q985*Scorecard!$E$21+R985*Scorecard!$E$22+S985*Scorecard!$E$23</f>
        <v>3.34861510952086</v>
      </c>
    </row>
    <row r="986" customFormat="false" ht="15" hidden="false" customHeight="false" outlineLevel="0" collapsed="false">
      <c r="A986" s="0" t="n">
        <v>981</v>
      </c>
      <c r="B986" s="38" t="n">
        <f aca="false">E986*Scorecard!$C$18+F986*Scorecard!$C$19+G986*Scorecard!$C$20+H986*Scorecard!$C$21+I986*Scorecard!$C$22+J986*Scorecard!$C$23</f>
        <v>3.4132852332517</v>
      </c>
      <c r="C986" s="38" t="n">
        <f aca="false">E986*Scorecard!$D$18+F986*Scorecard!$D$19+G986*Scorecard!$D$20+H986*Scorecard!$D$21+I986*Scorecard!$D$22+J986*Scorecard!$D$23</f>
        <v>2.66218200747683</v>
      </c>
      <c r="D986" s="0" t="str">
        <f aca="false">IF(AND(B986&gt;=C986,B986&gt;=K986),"A. Distribution",IF(C986&gt;=K986,"B. Manufacturing","C. Prof. services"))</f>
        <v>C. Prof. services</v>
      </c>
      <c r="E986" s="39" t="n">
        <v>0.293345317933572</v>
      </c>
      <c r="F986" s="39" t="n">
        <v>0.0457288938175231</v>
      </c>
      <c r="G986" s="39" t="n">
        <v>0.161846196456991</v>
      </c>
      <c r="H986" s="39" t="n">
        <v>0.0667140460959484</v>
      </c>
      <c r="I986" s="39" t="n">
        <v>0.131513828527383</v>
      </c>
      <c r="J986" s="39" t="n">
        <v>0.300851717168583</v>
      </c>
      <c r="K986" s="38" t="n">
        <f aca="false">E986*Scorecard!$E$18+F986*Scorecard!$E$19+G986*Scorecard!$E$20+H986*Scorecard!$E$21+I986*Scorecard!$E$22+J986*Scorecard!$E$23</f>
        <v>3.7080734050718</v>
      </c>
      <c r="M986" s="0" t="str">
        <f aca="false">IF(AND(T986&gt;=U986,T986&gt;=V986),"A. Distribution",IF(U986&gt;=V986,"B. Manufacturing","C. Prof. services"))</f>
        <v>A. Distribution</v>
      </c>
      <c r="N986" s="39" t="n">
        <v>0.131930755943739</v>
      </c>
      <c r="O986" s="39" t="n">
        <v>0.283729870426583</v>
      </c>
      <c r="P986" s="39" t="n">
        <v>0.240946383358387</v>
      </c>
      <c r="Q986" s="39" t="n">
        <v>0.145814593329348</v>
      </c>
      <c r="R986" s="39" t="n">
        <v>0.058529910688821</v>
      </c>
      <c r="S986" s="39" t="n">
        <v>0.139048486253122</v>
      </c>
      <c r="T986" s="38" t="n">
        <f aca="false">N986*Scorecard!$C$18+O986*Scorecard!$C$19+P986*Scorecard!$C$20+Q986*Scorecard!$C$21+R986*Scorecard!$C$22+S986*Scorecard!$C$23</f>
        <v>3.97932899542231</v>
      </c>
      <c r="U986" s="38" t="n">
        <f aca="false">N986*Scorecard!$D$18+O986*Scorecard!$D$19+P986*Scorecard!$D$20+Q986*Scorecard!$D$21+R986*Scorecard!$D$22+S986*Scorecard!$D$23</f>
        <v>2.4683960012317</v>
      </c>
      <c r="V986" s="38" t="n">
        <f aca="false">N986*Scorecard!$E$18+O986*Scorecard!$E$19+P986*Scorecard!$E$20+Q986*Scorecard!$E$21+R986*Scorecard!$E$22+S986*Scorecard!$E$23</f>
        <v>3.51913882401361</v>
      </c>
    </row>
    <row r="987" customFormat="false" ht="15" hidden="false" customHeight="false" outlineLevel="0" collapsed="false">
      <c r="A987" s="0" t="n">
        <v>982</v>
      </c>
      <c r="B987" s="38" t="n">
        <f aca="false">E987*Scorecard!$C$18+F987*Scorecard!$C$19+G987*Scorecard!$C$20+H987*Scorecard!$C$21+I987*Scorecard!$C$22+J987*Scorecard!$C$23</f>
        <v>4.65841092200347</v>
      </c>
      <c r="C987" s="38" t="n">
        <f aca="false">E987*Scorecard!$D$18+F987*Scorecard!$D$19+G987*Scorecard!$D$20+H987*Scorecard!$D$21+I987*Scorecard!$D$22+J987*Scorecard!$D$23</f>
        <v>2.66958721228875</v>
      </c>
      <c r="D987" s="0" t="str">
        <f aca="false">IF(AND(B987&gt;=C987,B987&gt;=K987),"A. Distribution",IF(C987&gt;=K987,"B. Manufacturing","C. Prof. services"))</f>
        <v>A. Distribution</v>
      </c>
      <c r="E987" s="39" t="n">
        <v>0.0818021734575379</v>
      </c>
      <c r="F987" s="39" t="n">
        <v>0.688439537803798</v>
      </c>
      <c r="G987" s="39" t="n">
        <v>0.0649141552260332</v>
      </c>
      <c r="H987" s="39" t="n">
        <v>0.0625680802489757</v>
      </c>
      <c r="I987" s="39" t="n">
        <v>0.0939164352630421</v>
      </c>
      <c r="J987" s="39" t="n">
        <v>0.00835961800061304</v>
      </c>
      <c r="K987" s="38" t="n">
        <f aca="false">E987*Scorecard!$E$18+F987*Scorecard!$E$19+G987*Scorecard!$E$20+H987*Scorecard!$E$21+I987*Scorecard!$E$22+J987*Scorecard!$E$23</f>
        <v>2.96331063439637</v>
      </c>
      <c r="M987" s="0" t="str">
        <f aca="false">IF(AND(T987&gt;=U987,T987&gt;=V987),"A. Distribution",IF(U987&gt;=V987,"B. Manufacturing","C. Prof. services"))</f>
        <v>A. Distribution</v>
      </c>
      <c r="N987" s="39" t="n">
        <v>0.370027632745441</v>
      </c>
      <c r="O987" s="39" t="n">
        <v>0.14233342182623</v>
      </c>
      <c r="P987" s="39" t="n">
        <v>0.210669919917096</v>
      </c>
      <c r="Q987" s="39" t="n">
        <v>0.185625844189432</v>
      </c>
      <c r="R987" s="39" t="n">
        <v>0.0391630118066109</v>
      </c>
      <c r="S987" s="39" t="n">
        <v>0.0521801695151902</v>
      </c>
      <c r="T987" s="38" t="n">
        <f aca="false">N987*Scorecard!$C$18+O987*Scorecard!$C$19+P987*Scorecard!$C$20+Q987*Scorecard!$C$21+R987*Scorecard!$C$22+S987*Scorecard!$C$23</f>
        <v>3.98826346503063</v>
      </c>
      <c r="U987" s="38" t="n">
        <f aca="false">N987*Scorecard!$D$18+O987*Scorecard!$D$19+P987*Scorecard!$D$20+Q987*Scorecard!$D$21+R987*Scorecard!$D$22+S987*Scorecard!$D$23</f>
        <v>2.9044774426722</v>
      </c>
      <c r="V987" s="38" t="n">
        <f aca="false">N987*Scorecard!$E$18+O987*Scorecard!$E$19+P987*Scorecard!$E$20+Q987*Scorecard!$E$21+R987*Scorecard!$E$22+S987*Scorecard!$E$23</f>
        <v>3.54494160925883</v>
      </c>
    </row>
    <row r="988" customFormat="false" ht="15" hidden="false" customHeight="false" outlineLevel="0" collapsed="false">
      <c r="A988" s="0" t="n">
        <v>983</v>
      </c>
      <c r="B988" s="38" t="n">
        <f aca="false">E988*Scorecard!$C$18+F988*Scorecard!$C$19+G988*Scorecard!$C$20+H988*Scorecard!$C$21+I988*Scorecard!$C$22+J988*Scorecard!$C$23</f>
        <v>3.71256566996129</v>
      </c>
      <c r="C988" s="38" t="n">
        <f aca="false">E988*Scorecard!$D$18+F988*Scorecard!$D$19+G988*Scorecard!$D$20+H988*Scorecard!$D$21+I988*Scorecard!$D$22+J988*Scorecard!$D$23</f>
        <v>2.75203791671751</v>
      </c>
      <c r="D988" s="0" t="str">
        <f aca="false">IF(AND(B988&gt;=C988,B988&gt;=K988),"A. Distribution",IF(C988&gt;=K988,"B. Manufacturing","C. Prof. services"))</f>
        <v>A. Distribution</v>
      </c>
      <c r="E988" s="39" t="n">
        <v>0.275224470585222</v>
      </c>
      <c r="F988" s="39" t="n">
        <v>0.0803606561610396</v>
      </c>
      <c r="G988" s="39" t="n">
        <v>0.200813871020466</v>
      </c>
      <c r="H988" s="39" t="n">
        <v>0.129451876500815</v>
      </c>
      <c r="I988" s="39" t="n">
        <v>0.148274332598984</v>
      </c>
      <c r="J988" s="39" t="n">
        <v>0.165874793133474</v>
      </c>
      <c r="K988" s="38" t="n">
        <f aca="false">E988*Scorecard!$E$18+F988*Scorecard!$E$19+G988*Scorecard!$E$20+H988*Scorecard!$E$21+I988*Scorecard!$E$22+J988*Scorecard!$E$23</f>
        <v>3.55979117345416</v>
      </c>
      <c r="M988" s="0" t="str">
        <f aca="false">IF(AND(T988&gt;=U988,T988&gt;=V988),"A. Distribution",IF(U988&gt;=V988,"B. Manufacturing","C. Prof. services"))</f>
        <v>A. Distribution</v>
      </c>
      <c r="N988" s="39" t="n">
        <v>0.115294558578188</v>
      </c>
      <c r="O988" s="39" t="n">
        <v>0.416309796763249</v>
      </c>
      <c r="P988" s="39" t="n">
        <v>0.0729458015535314</v>
      </c>
      <c r="Q988" s="39" t="n">
        <v>0.143387121629173</v>
      </c>
      <c r="R988" s="39" t="n">
        <v>0.18695570506427</v>
      </c>
      <c r="S988" s="39" t="n">
        <v>0.0651070164115889</v>
      </c>
      <c r="T988" s="38" t="n">
        <f aca="false">N988*Scorecard!$C$18+O988*Scorecard!$C$19+P988*Scorecard!$C$20+Q988*Scorecard!$C$21+R988*Scorecard!$C$22+S988*Scorecard!$C$23</f>
        <v>4.26138908952451</v>
      </c>
      <c r="U988" s="38" t="n">
        <f aca="false">N988*Scorecard!$D$18+O988*Scorecard!$D$19+P988*Scorecard!$D$20+Q988*Scorecard!$D$21+R988*Scorecard!$D$22+S988*Scorecard!$D$23</f>
        <v>2.71247032036574</v>
      </c>
      <c r="V988" s="38" t="n">
        <f aca="false">N988*Scorecard!$E$18+O988*Scorecard!$E$19+P988*Scorecard!$E$20+Q988*Scorecard!$E$21+R988*Scorecard!$E$22+S988*Scorecard!$E$23</f>
        <v>3.11874444468422</v>
      </c>
    </row>
    <row r="989" customFormat="false" ht="15" hidden="false" customHeight="false" outlineLevel="0" collapsed="false">
      <c r="A989" s="0" t="n">
        <v>984</v>
      </c>
      <c r="B989" s="38" t="n">
        <f aca="false">E989*Scorecard!$C$18+F989*Scorecard!$C$19+G989*Scorecard!$C$20+H989*Scorecard!$C$21+I989*Scorecard!$C$22+J989*Scorecard!$C$23</f>
        <v>3.35373029771878</v>
      </c>
      <c r="C989" s="38" t="n">
        <f aca="false">E989*Scorecard!$D$18+F989*Scorecard!$D$19+G989*Scorecard!$D$20+H989*Scorecard!$D$21+I989*Scorecard!$D$22+J989*Scorecard!$D$23</f>
        <v>2.30898254233848</v>
      </c>
      <c r="D989" s="0" t="str">
        <f aca="false">IF(AND(B989&gt;=C989,B989&gt;=K989),"A. Distribution",IF(C989&gt;=K989,"B. Manufacturing","C. Prof. services"))</f>
        <v>C. Prof. services</v>
      </c>
      <c r="E989" s="39" t="n">
        <v>0.0479354967671551</v>
      </c>
      <c r="F989" s="39" t="n">
        <v>0.265460903886979</v>
      </c>
      <c r="G989" s="39" t="n">
        <v>0.000122698366537803</v>
      </c>
      <c r="H989" s="39" t="n">
        <v>0.0124466861863587</v>
      </c>
      <c r="I989" s="39" t="n">
        <v>0.220763773725235</v>
      </c>
      <c r="J989" s="39" t="n">
        <v>0.453270441067735</v>
      </c>
      <c r="K989" s="38" t="n">
        <f aca="false">E989*Scorecard!$E$18+F989*Scorecard!$E$19+G989*Scorecard!$E$20+H989*Scorecard!$E$21+I989*Scorecard!$E$22+J989*Scorecard!$E$23</f>
        <v>3.51331272066099</v>
      </c>
      <c r="M989" s="0" t="str">
        <f aca="false">IF(AND(T989&gt;=U989,T989&gt;=V989),"A. Distribution",IF(U989&gt;=V989,"B. Manufacturing","C. Prof. services"))</f>
        <v>A. Distribution</v>
      </c>
      <c r="N989" s="39" t="n">
        <v>0.0871659251048506</v>
      </c>
      <c r="O989" s="39" t="n">
        <v>0.220154881835037</v>
      </c>
      <c r="P989" s="39" t="n">
        <v>0.173932290407952</v>
      </c>
      <c r="Q989" s="39" t="n">
        <v>0.215179098809878</v>
      </c>
      <c r="R989" s="39" t="n">
        <v>0.251735383047618</v>
      </c>
      <c r="S989" s="39" t="n">
        <v>0.0518324207946646</v>
      </c>
      <c r="T989" s="38" t="n">
        <f aca="false">N989*Scorecard!$C$18+O989*Scorecard!$C$19+P989*Scorecard!$C$20+Q989*Scorecard!$C$21+R989*Scorecard!$C$22+S989*Scorecard!$C$23</f>
        <v>4.08630609533922</v>
      </c>
      <c r="U989" s="38" t="n">
        <f aca="false">N989*Scorecard!$D$18+O989*Scorecard!$D$19+P989*Scorecard!$D$20+Q989*Scorecard!$D$21+R989*Scorecard!$D$22+S989*Scorecard!$D$23</f>
        <v>2.6656209743188</v>
      </c>
      <c r="V989" s="38" t="n">
        <f aca="false">N989*Scorecard!$E$18+O989*Scorecard!$E$19+P989*Scorecard!$E$20+Q989*Scorecard!$E$21+R989*Scorecard!$E$22+S989*Scorecard!$E$23</f>
        <v>3.2292088837396</v>
      </c>
    </row>
    <row r="990" customFormat="false" ht="15" hidden="false" customHeight="false" outlineLevel="0" collapsed="false">
      <c r="A990" s="0" t="n">
        <v>985</v>
      </c>
      <c r="B990" s="38" t="n">
        <f aca="false">E990*Scorecard!$C$18+F990*Scorecard!$C$19+G990*Scorecard!$C$20+H990*Scorecard!$C$21+I990*Scorecard!$C$22+J990*Scorecard!$C$23</f>
        <v>3.36670033202806</v>
      </c>
      <c r="C990" s="38" t="n">
        <f aca="false">E990*Scorecard!$D$18+F990*Scorecard!$D$19+G990*Scorecard!$D$20+H990*Scorecard!$D$21+I990*Scorecard!$D$22+J990*Scorecard!$D$23</f>
        <v>2.20686073529874</v>
      </c>
      <c r="D990" s="0" t="str">
        <f aca="false">IF(AND(B990&gt;=C990,B990&gt;=K990),"A. Distribution",IF(C990&gt;=K990,"B. Manufacturing","C. Prof. services"))</f>
        <v>C. Prof. services</v>
      </c>
      <c r="E990" s="39" t="n">
        <v>0.147625570876869</v>
      </c>
      <c r="F990" s="39" t="n">
        <v>0.0790156375262797</v>
      </c>
      <c r="G990" s="39" t="n">
        <v>0.33921430183377</v>
      </c>
      <c r="H990" s="39" t="n">
        <v>0.0747817482251879</v>
      </c>
      <c r="I990" s="39" t="n">
        <v>0.0131601676795182</v>
      </c>
      <c r="J990" s="39" t="n">
        <v>0.346202573858376</v>
      </c>
      <c r="K990" s="38" t="n">
        <f aca="false">E990*Scorecard!$E$18+F990*Scorecard!$E$19+G990*Scorecard!$E$20+H990*Scorecard!$E$21+I990*Scorecard!$E$22+J990*Scorecard!$E$23</f>
        <v>3.95843842852754</v>
      </c>
      <c r="M990" s="0" t="str">
        <f aca="false">IF(AND(T990&gt;=U990,T990&gt;=V990),"A. Distribution",IF(U990&gt;=V990,"B. Manufacturing","C. Prof. services"))</f>
        <v>A. Distribution</v>
      </c>
      <c r="N990" s="39" t="n">
        <v>0.154040071829275</v>
      </c>
      <c r="O990" s="39" t="n">
        <v>0.157289257803275</v>
      </c>
      <c r="P990" s="39" t="n">
        <v>0.274612754392323</v>
      </c>
      <c r="Q990" s="39" t="n">
        <v>0.156461515431209</v>
      </c>
      <c r="R990" s="39" t="n">
        <v>0.0829891359918926</v>
      </c>
      <c r="S990" s="39" t="n">
        <v>0.174607264552026</v>
      </c>
      <c r="T990" s="38" t="n">
        <f aca="false">N990*Scorecard!$C$18+O990*Scorecard!$C$19+P990*Scorecard!$C$20+Q990*Scorecard!$C$21+R990*Scorecard!$C$22+S990*Scorecard!$C$23</f>
        <v>3.77884852849684</v>
      </c>
      <c r="U990" s="38" t="n">
        <f aca="false">N990*Scorecard!$D$18+O990*Scorecard!$D$19+P990*Scorecard!$D$20+Q990*Scorecard!$D$21+R990*Scorecard!$D$22+S990*Scorecard!$D$23</f>
        <v>2.46408358038697</v>
      </c>
      <c r="V990" s="38" t="n">
        <f aca="false">N990*Scorecard!$E$18+O990*Scorecard!$E$19+P990*Scorecard!$E$20+Q990*Scorecard!$E$21+R990*Scorecard!$E$22+S990*Scorecard!$E$23</f>
        <v>3.63276440608262</v>
      </c>
    </row>
    <row r="991" customFormat="false" ht="15" hidden="false" customHeight="false" outlineLevel="0" collapsed="false">
      <c r="A991" s="0" t="n">
        <v>986</v>
      </c>
      <c r="B991" s="38" t="n">
        <f aca="false">E991*Scorecard!$C$18+F991*Scorecard!$C$19+G991*Scorecard!$C$20+H991*Scorecard!$C$21+I991*Scorecard!$C$22+J991*Scorecard!$C$23</f>
        <v>3.70698466528806</v>
      </c>
      <c r="C991" s="38" t="n">
        <f aca="false">E991*Scorecard!$D$18+F991*Scorecard!$D$19+G991*Scorecard!$D$20+H991*Scorecard!$D$21+I991*Scorecard!$D$22+J991*Scorecard!$D$23</f>
        <v>2.31811965785955</v>
      </c>
      <c r="D991" s="0" t="str">
        <f aca="false">IF(AND(B991&gt;=C991,B991&gt;=K991),"A. Distribution",IF(C991&gt;=K991,"B. Manufacturing","C. Prof. services"))</f>
        <v>A. Distribution</v>
      </c>
      <c r="E991" s="39" t="n">
        <v>0.017267923777804</v>
      </c>
      <c r="F991" s="39" t="n">
        <v>0.150940192755393</v>
      </c>
      <c r="G991" s="39" t="n">
        <v>0.0734909624404196</v>
      </c>
      <c r="H991" s="39" t="n">
        <v>0.426795455772845</v>
      </c>
      <c r="I991" s="39" t="n">
        <v>0.133214624850504</v>
      </c>
      <c r="J991" s="39" t="n">
        <v>0.198290840403035</v>
      </c>
      <c r="K991" s="38" t="n">
        <f aca="false">E991*Scorecard!$E$18+F991*Scorecard!$E$19+G991*Scorecard!$E$20+H991*Scorecard!$E$21+I991*Scorecard!$E$22+J991*Scorecard!$E$23</f>
        <v>3.54845153967922</v>
      </c>
      <c r="M991" s="0" t="str">
        <f aca="false">IF(AND(T991&gt;=U991,T991&gt;=V991),"A. Distribution",IF(U991&gt;=V991,"B. Manufacturing","C. Prof. services"))</f>
        <v>A. Distribution</v>
      </c>
      <c r="N991" s="39" t="n">
        <v>0.157691337870192</v>
      </c>
      <c r="O991" s="39" t="n">
        <v>0.175325383441158</v>
      </c>
      <c r="P991" s="39" t="n">
        <v>0.143916085892205</v>
      </c>
      <c r="Q991" s="39" t="n">
        <v>0.172159304453052</v>
      </c>
      <c r="R991" s="39" t="n">
        <v>0.134781990450581</v>
      </c>
      <c r="S991" s="39" t="n">
        <v>0.216125897892812</v>
      </c>
      <c r="T991" s="38" t="n">
        <f aca="false">N991*Scorecard!$C$18+O991*Scorecard!$C$19+P991*Scorecard!$C$20+Q991*Scorecard!$C$21+R991*Scorecard!$C$22+S991*Scorecard!$C$23</f>
        <v>3.71186279311094</v>
      </c>
      <c r="U991" s="38" t="n">
        <f aca="false">N991*Scorecard!$D$18+O991*Scorecard!$D$19+P991*Scorecard!$D$20+Q991*Scorecard!$D$21+R991*Scorecard!$D$22+S991*Scorecard!$D$23</f>
        <v>2.53391129844027</v>
      </c>
      <c r="V991" s="38" t="n">
        <f aca="false">N991*Scorecard!$E$18+O991*Scorecard!$E$19+P991*Scorecard!$E$20+Q991*Scorecard!$E$21+R991*Scorecard!$E$22+S991*Scorecard!$E$23</f>
        <v>3.53867986171657</v>
      </c>
    </row>
    <row r="992" customFormat="false" ht="15" hidden="false" customHeight="false" outlineLevel="0" collapsed="false">
      <c r="A992" s="0" t="n">
        <v>987</v>
      </c>
      <c r="B992" s="38" t="n">
        <f aca="false">E992*Scorecard!$C$18+F992*Scorecard!$C$19+G992*Scorecard!$C$20+H992*Scorecard!$C$21+I992*Scorecard!$C$22+J992*Scorecard!$C$23</f>
        <v>4.11687029124922</v>
      </c>
      <c r="C992" s="38" t="n">
        <f aca="false">E992*Scorecard!$D$18+F992*Scorecard!$D$19+G992*Scorecard!$D$20+H992*Scorecard!$D$21+I992*Scorecard!$D$22+J992*Scorecard!$D$23</f>
        <v>2.58335035975042</v>
      </c>
      <c r="D992" s="0" t="str">
        <f aca="false">IF(AND(B992&gt;=C992,B992&gt;=K992),"A. Distribution",IF(C992&gt;=K992,"B. Manufacturing","C. Prof. services"))</f>
        <v>A. Distribution</v>
      </c>
      <c r="E992" s="39" t="n">
        <v>0.129496254446586</v>
      </c>
      <c r="F992" s="39" t="n">
        <v>0.214732016772064</v>
      </c>
      <c r="G992" s="39" t="n">
        <v>0.341481133711407</v>
      </c>
      <c r="H992" s="39" t="n">
        <v>0.139347319606316</v>
      </c>
      <c r="I992" s="39" t="n">
        <v>0.138718208548746</v>
      </c>
      <c r="J992" s="39" t="n">
        <v>0.0362250669148813</v>
      </c>
      <c r="K992" s="38" t="n">
        <f aca="false">E992*Scorecard!$E$18+F992*Scorecard!$E$19+G992*Scorecard!$E$20+H992*Scorecard!$E$21+I992*Scorecard!$E$22+J992*Scorecard!$E$23</f>
        <v>3.41989109850094</v>
      </c>
      <c r="M992" s="0" t="str">
        <f aca="false">IF(AND(T992&gt;=U992,T992&gt;=V992),"A. Distribution",IF(U992&gt;=V992,"B. Manufacturing","C. Prof. services"))</f>
        <v>A. Distribution</v>
      </c>
      <c r="N992" s="39" t="n">
        <v>0.201178141200083</v>
      </c>
      <c r="O992" s="39" t="n">
        <v>0.131879787139732</v>
      </c>
      <c r="P992" s="39" t="n">
        <v>0.192328428590812</v>
      </c>
      <c r="Q992" s="39" t="n">
        <v>0.27976574717005</v>
      </c>
      <c r="R992" s="39" t="n">
        <v>0.0741132044376592</v>
      </c>
      <c r="S992" s="39" t="n">
        <v>0.120734691461665</v>
      </c>
      <c r="T992" s="38" t="n">
        <f aca="false">N992*Scorecard!$C$18+O992*Scorecard!$C$19+P992*Scorecard!$C$20+Q992*Scorecard!$C$21+R992*Scorecard!$C$22+S992*Scorecard!$C$23</f>
        <v>3.84411353726784</v>
      </c>
      <c r="U992" s="38" t="n">
        <f aca="false">N992*Scorecard!$D$18+O992*Scorecard!$D$19+P992*Scorecard!$D$20+Q992*Scorecard!$D$21+R992*Scorecard!$D$22+S992*Scorecard!$D$23</f>
        <v>2.59713727740356</v>
      </c>
      <c r="V992" s="38" t="n">
        <f aca="false">N992*Scorecard!$E$18+O992*Scorecard!$E$19+P992*Scorecard!$E$20+Q992*Scorecard!$E$21+R992*Scorecard!$E$22+S992*Scorecard!$E$23</f>
        <v>3.58709770845182</v>
      </c>
    </row>
    <row r="993" customFormat="false" ht="15" hidden="false" customHeight="false" outlineLevel="0" collapsed="false">
      <c r="A993" s="0" t="n">
        <v>988</v>
      </c>
      <c r="B993" s="38" t="n">
        <f aca="false">E993*Scorecard!$C$18+F993*Scorecard!$C$19+G993*Scorecard!$C$20+H993*Scorecard!$C$21+I993*Scorecard!$C$22+J993*Scorecard!$C$23</f>
        <v>3.09649505095444</v>
      </c>
      <c r="C993" s="38" t="n">
        <f aca="false">E993*Scorecard!$D$18+F993*Scorecard!$D$19+G993*Scorecard!$D$20+H993*Scorecard!$D$21+I993*Scorecard!$D$22+J993*Scorecard!$D$23</f>
        <v>2.0250279259271</v>
      </c>
      <c r="D993" s="0" t="str">
        <f aca="false">IF(AND(B993&gt;=C993,B993&gt;=K993),"A. Distribution",IF(C993&gt;=K993,"B. Manufacturing","C. Prof. services"))</f>
        <v>C. Prof. services</v>
      </c>
      <c r="E993" s="39" t="n">
        <v>0.00431506977630669</v>
      </c>
      <c r="F993" s="39" t="n">
        <v>0.0535950785698976</v>
      </c>
      <c r="G993" s="39" t="n">
        <v>0.121979232850993</v>
      </c>
      <c r="H993" s="39" t="n">
        <v>0.242549027605268</v>
      </c>
      <c r="I993" s="39" t="n">
        <v>0.112252198927677</v>
      </c>
      <c r="J993" s="39" t="n">
        <v>0.465309392269858</v>
      </c>
      <c r="K993" s="38" t="n">
        <f aca="false">E993*Scorecard!$E$18+F993*Scorecard!$E$19+G993*Scorecard!$E$20+H993*Scorecard!$E$21+I993*Scorecard!$E$22+J993*Scorecard!$E$23</f>
        <v>3.90000597600271</v>
      </c>
      <c r="M993" s="0" t="str">
        <f aca="false">IF(AND(T993&gt;=U993,T993&gt;=V993),"A. Distribution",IF(U993&gt;=V993,"B. Manufacturing","C. Prof. services"))</f>
        <v>A. Distribution</v>
      </c>
      <c r="N993" s="39" t="n">
        <v>0.0814708835049184</v>
      </c>
      <c r="O993" s="39" t="n">
        <v>0.316401937847917</v>
      </c>
      <c r="P993" s="39" t="n">
        <v>0.156971499158376</v>
      </c>
      <c r="Q993" s="39" t="n">
        <v>0.0888653464406871</v>
      </c>
      <c r="R993" s="39" t="n">
        <v>0.269468170785585</v>
      </c>
      <c r="S993" s="39" t="n">
        <v>0.0868221622625169</v>
      </c>
      <c r="T993" s="38" t="n">
        <f aca="false">N993*Scorecard!$C$18+O993*Scorecard!$C$19+P993*Scorecard!$C$20+Q993*Scorecard!$C$21+R993*Scorecard!$C$22+S993*Scorecard!$C$23</f>
        <v>4.12664128586114</v>
      </c>
      <c r="U993" s="38" t="n">
        <f aca="false">N993*Scorecard!$D$18+O993*Scorecard!$D$19+P993*Scorecard!$D$20+Q993*Scorecard!$D$21+R993*Scorecard!$D$22+S993*Scorecard!$D$23</f>
        <v>2.6743219157124</v>
      </c>
      <c r="V993" s="38" t="n">
        <f aca="false">N993*Scorecard!$E$18+O993*Scorecard!$E$19+P993*Scorecard!$E$20+Q993*Scorecard!$E$21+R993*Scorecard!$E$22+S993*Scorecard!$E$23</f>
        <v>3.14625474173101</v>
      </c>
    </row>
    <row r="994" customFormat="false" ht="15" hidden="false" customHeight="false" outlineLevel="0" collapsed="false">
      <c r="A994" s="0" t="n">
        <v>989</v>
      </c>
      <c r="B994" s="38" t="n">
        <f aca="false">E994*Scorecard!$C$18+F994*Scorecard!$C$19+G994*Scorecard!$C$20+H994*Scorecard!$C$21+I994*Scorecard!$C$22+J994*Scorecard!$C$23</f>
        <v>4.02562278094485</v>
      </c>
      <c r="C994" s="38" t="n">
        <f aca="false">E994*Scorecard!$D$18+F994*Scorecard!$D$19+G994*Scorecard!$D$20+H994*Scorecard!$D$21+I994*Scorecard!$D$22+J994*Scorecard!$D$23</f>
        <v>2.51316505095986</v>
      </c>
      <c r="D994" s="0" t="str">
        <f aca="false">IF(AND(B994&gt;=C994,B994&gt;=K994),"A. Distribution",IF(C994&gt;=K994,"B. Manufacturing","C. Prof. services"))</f>
        <v>A. Distribution</v>
      </c>
      <c r="E994" s="39" t="n">
        <v>0.0686149082848373</v>
      </c>
      <c r="F994" s="39" t="n">
        <v>0.123767823933661</v>
      </c>
      <c r="G994" s="39" t="n">
        <v>0.395854217910036</v>
      </c>
      <c r="H994" s="39" t="n">
        <v>0.164847259140668</v>
      </c>
      <c r="I994" s="39" t="n">
        <v>0.209478898432511</v>
      </c>
      <c r="J994" s="39" t="n">
        <v>0.0374368922982868</v>
      </c>
      <c r="K994" s="38" t="n">
        <f aca="false">E994*Scorecard!$E$18+F994*Scorecard!$E$19+G994*Scorecard!$E$20+H994*Scorecard!$E$21+I994*Scorecard!$E$22+J994*Scorecard!$E$23</f>
        <v>3.43340066831619</v>
      </c>
      <c r="M994" s="0" t="str">
        <f aca="false">IF(AND(T994&gt;=U994,T994&gt;=V994),"A. Distribution",IF(U994&gt;=V994,"B. Manufacturing","C. Prof. services"))</f>
        <v>A. Distribution</v>
      </c>
      <c r="N994" s="39" t="n">
        <v>0.246525612350654</v>
      </c>
      <c r="O994" s="39" t="n">
        <v>0.206617936641109</v>
      </c>
      <c r="P994" s="39" t="n">
        <v>0.210365223776527</v>
      </c>
      <c r="Q994" s="39" t="n">
        <v>0.0626501216115907</v>
      </c>
      <c r="R994" s="39" t="n">
        <v>0.229228685491252</v>
      </c>
      <c r="S994" s="39" t="n">
        <v>0.0446124201288668</v>
      </c>
      <c r="T994" s="38" t="n">
        <f aca="false">N994*Scorecard!$C$18+O994*Scorecard!$C$19+P994*Scorecard!$C$20+Q994*Scorecard!$C$21+R994*Scorecard!$C$22+S994*Scorecard!$C$23</f>
        <v>4.09084976342279</v>
      </c>
      <c r="U994" s="38" t="n">
        <f aca="false">N994*Scorecard!$D$18+O994*Scorecard!$D$19+P994*Scorecard!$D$20+Q994*Scorecard!$D$21+R994*Scorecard!$D$22+S994*Scorecard!$D$23</f>
        <v>2.90990764590678</v>
      </c>
      <c r="V994" s="38" t="n">
        <f aca="false">N994*Scorecard!$E$18+O994*Scorecard!$E$19+P994*Scorecard!$E$20+Q994*Scorecard!$E$21+R994*Scorecard!$E$22+S994*Scorecard!$E$23</f>
        <v>3.24950180053147</v>
      </c>
    </row>
    <row r="995" customFormat="false" ht="15" hidden="false" customHeight="false" outlineLevel="0" collapsed="false">
      <c r="A995" s="0" t="n">
        <v>990</v>
      </c>
      <c r="B995" s="38" t="n">
        <f aca="false">E995*Scorecard!$C$18+F995*Scorecard!$C$19+G995*Scorecard!$C$20+H995*Scorecard!$C$21+I995*Scorecard!$C$22+J995*Scorecard!$C$23</f>
        <v>4.47941623994929</v>
      </c>
      <c r="C995" s="38" t="n">
        <f aca="false">E995*Scorecard!$D$18+F995*Scorecard!$D$19+G995*Scorecard!$D$20+H995*Scorecard!$D$21+I995*Scorecard!$D$22+J995*Scorecard!$D$23</f>
        <v>2.77270865683972</v>
      </c>
      <c r="D995" s="0" t="str">
        <f aca="false">IF(AND(B995&gt;=C995,B995&gt;=K995),"A. Distribution",IF(C995&gt;=K995,"B. Manufacturing","C. Prof. services"))</f>
        <v>A. Distribution</v>
      </c>
      <c r="E995" s="39" t="n">
        <v>0.208552070696455</v>
      </c>
      <c r="F995" s="39" t="n">
        <v>0.515428005462189</v>
      </c>
      <c r="G995" s="39" t="n">
        <v>0.101061500419024</v>
      </c>
      <c r="H995" s="39" t="n">
        <v>0.146408484859799</v>
      </c>
      <c r="I995" s="39" t="n">
        <v>0.0268038421436921</v>
      </c>
      <c r="J995" s="39" t="n">
        <v>0.00174609641884189</v>
      </c>
      <c r="K995" s="38" t="n">
        <f aca="false">E995*Scorecard!$E$18+F995*Scorecard!$E$19+G995*Scorecard!$E$20+H995*Scorecard!$E$21+I995*Scorecard!$E$22+J995*Scorecard!$E$23</f>
        <v>3.18788442656262</v>
      </c>
      <c r="M995" s="0" t="str">
        <f aca="false">IF(AND(T995&gt;=U995,T995&gt;=V995),"A. Distribution",IF(U995&gt;=V995,"B. Manufacturing","C. Prof. services"))</f>
        <v>A. Distribution</v>
      </c>
      <c r="N995" s="39" t="n">
        <v>0.311433610011451</v>
      </c>
      <c r="O995" s="39" t="n">
        <v>0.134879574353485</v>
      </c>
      <c r="P995" s="39" t="n">
        <v>0.221589926144705</v>
      </c>
      <c r="Q995" s="39" t="n">
        <v>0.117376348100672</v>
      </c>
      <c r="R995" s="39" t="n">
        <v>0.12770745164021</v>
      </c>
      <c r="S995" s="39" t="n">
        <v>0.0870130897494763</v>
      </c>
      <c r="T995" s="38" t="n">
        <f aca="false">N995*Scorecard!$C$18+O995*Scorecard!$C$19+P995*Scorecard!$C$20+Q995*Scorecard!$C$21+R995*Scorecard!$C$22+S995*Scorecard!$C$23</f>
        <v>3.92320202527686</v>
      </c>
      <c r="U995" s="38" t="n">
        <f aca="false">N995*Scorecard!$D$18+O995*Scorecard!$D$19+P995*Scorecard!$D$20+Q995*Scorecard!$D$21+R995*Scorecard!$D$22+S995*Scorecard!$D$23</f>
        <v>2.86266576225384</v>
      </c>
      <c r="V995" s="38" t="n">
        <f aca="false">N995*Scorecard!$E$18+O995*Scorecard!$E$19+P995*Scorecard!$E$20+Q995*Scorecard!$E$21+R995*Scorecard!$E$22+S995*Scorecard!$E$23</f>
        <v>3.47531128615905</v>
      </c>
    </row>
    <row r="996" customFormat="false" ht="15" hidden="false" customHeight="false" outlineLevel="0" collapsed="false">
      <c r="A996" s="0" t="n">
        <v>991</v>
      </c>
      <c r="B996" s="38" t="n">
        <f aca="false">E996*Scorecard!$C$18+F996*Scorecard!$C$19+G996*Scorecard!$C$20+H996*Scorecard!$C$21+I996*Scorecard!$C$22+J996*Scorecard!$C$23</f>
        <v>3.66302266151983</v>
      </c>
      <c r="C996" s="38" t="n">
        <f aca="false">E996*Scorecard!$D$18+F996*Scorecard!$D$19+G996*Scorecard!$D$20+H996*Scorecard!$D$21+I996*Scorecard!$D$22+J996*Scorecard!$D$23</f>
        <v>2.48483971242853</v>
      </c>
      <c r="D996" s="0" t="str">
        <f aca="false">IF(AND(B996&gt;=C996,B996&gt;=K996),"A. Distribution",IF(C996&gt;=K996,"B. Manufacturing","C. Prof. services"))</f>
        <v>A. Distribution</v>
      </c>
      <c r="E996" s="39" t="n">
        <v>0.191455692949159</v>
      </c>
      <c r="F996" s="39" t="n">
        <v>0.287960692207614</v>
      </c>
      <c r="G996" s="39" t="n">
        <v>0.0925203620127632</v>
      </c>
      <c r="H996" s="39" t="n">
        <v>0.0711933992574218</v>
      </c>
      <c r="I996" s="39" t="n">
        <v>0.0559220832718711</v>
      </c>
      <c r="J996" s="39" t="n">
        <v>0.300947770301171</v>
      </c>
      <c r="K996" s="38" t="n">
        <f aca="false">E996*Scorecard!$E$18+F996*Scorecard!$E$19+G996*Scorecard!$E$20+H996*Scorecard!$E$21+I996*Scorecard!$E$22+J996*Scorecard!$E$23</f>
        <v>3.59402165037155</v>
      </c>
      <c r="M996" s="0" t="str">
        <f aca="false">IF(AND(T996&gt;=U996,T996&gt;=V996),"A. Distribution",IF(U996&gt;=V996,"B. Manufacturing","C. Prof. services"))</f>
        <v>A. Distribution</v>
      </c>
      <c r="N996" s="39" t="n">
        <v>0.193667630878571</v>
      </c>
      <c r="O996" s="39" t="n">
        <v>0.297585649808912</v>
      </c>
      <c r="P996" s="39" t="n">
        <v>0.140096628900815</v>
      </c>
      <c r="Q996" s="39" t="n">
        <v>0.0386968340499788</v>
      </c>
      <c r="R996" s="39" t="n">
        <v>0.214221130421094</v>
      </c>
      <c r="S996" s="39" t="n">
        <v>0.115732125940629</v>
      </c>
      <c r="T996" s="38" t="n">
        <f aca="false">N996*Scorecard!$C$18+O996*Scorecard!$C$19+P996*Scorecard!$C$20+Q996*Scorecard!$C$21+R996*Scorecard!$C$22+S996*Scorecard!$C$23</f>
        <v>4.04640284245653</v>
      </c>
      <c r="U996" s="38" t="n">
        <f aca="false">N996*Scorecard!$D$18+O996*Scorecard!$D$19+P996*Scorecard!$D$20+Q996*Scorecard!$D$21+R996*Scorecard!$D$22+S996*Scorecard!$D$23</f>
        <v>2.78858479080312</v>
      </c>
      <c r="V996" s="38" t="n">
        <f aca="false">N996*Scorecard!$E$18+O996*Scorecard!$E$19+P996*Scorecard!$E$20+Q996*Scorecard!$E$21+R996*Scorecard!$E$22+S996*Scorecard!$E$23</f>
        <v>3.23559382962124</v>
      </c>
    </row>
    <row r="997" customFormat="false" ht="15" hidden="false" customHeight="false" outlineLevel="0" collapsed="false">
      <c r="A997" s="0" t="n">
        <v>992</v>
      </c>
      <c r="B997" s="38" t="n">
        <f aca="false">E997*Scorecard!$C$18+F997*Scorecard!$C$19+G997*Scorecard!$C$20+H997*Scorecard!$C$21+I997*Scorecard!$C$22+J997*Scorecard!$C$23</f>
        <v>3.72029999381797</v>
      </c>
      <c r="C997" s="38" t="n">
        <f aca="false">E997*Scorecard!$D$18+F997*Scorecard!$D$19+G997*Scorecard!$D$20+H997*Scorecard!$D$21+I997*Scorecard!$D$22+J997*Scorecard!$D$23</f>
        <v>2.50328836900225</v>
      </c>
      <c r="D997" s="0" t="str">
        <f aca="false">IF(AND(B997&gt;=C997,B997&gt;=K997),"A. Distribution",IF(C997&gt;=K997,"B. Manufacturing","C. Prof. services"))</f>
        <v>A. Distribution</v>
      </c>
      <c r="E997" s="39" t="n">
        <v>0.0755245436523969</v>
      </c>
      <c r="F997" s="39" t="n">
        <v>0.295881380585356</v>
      </c>
      <c r="G997" s="39" t="n">
        <v>0.0532768140311042</v>
      </c>
      <c r="H997" s="39" t="n">
        <v>0.0544525006026781</v>
      </c>
      <c r="I997" s="39" t="n">
        <v>0.239039523093794</v>
      </c>
      <c r="J997" s="39" t="n">
        <v>0.281825238034671</v>
      </c>
      <c r="K997" s="38" t="n">
        <f aca="false">E997*Scorecard!$E$18+F997*Scorecard!$E$19+G997*Scorecard!$E$20+H997*Scorecard!$E$21+I997*Scorecard!$E$22+J997*Scorecard!$E$23</f>
        <v>3.33323113099409</v>
      </c>
      <c r="M997" s="0" t="str">
        <f aca="false">IF(AND(T997&gt;=U997,T997&gt;=V997),"A. Distribution",IF(U997&gt;=V997,"B. Manufacturing","C. Prof. services"))</f>
        <v>A. Distribution</v>
      </c>
      <c r="N997" s="39" t="n">
        <v>0.115457499760656</v>
      </c>
      <c r="O997" s="39" t="n">
        <v>0.106660878254378</v>
      </c>
      <c r="P997" s="39" t="n">
        <v>0.21707525816362</v>
      </c>
      <c r="Q997" s="39" t="n">
        <v>0.150457320857928</v>
      </c>
      <c r="R997" s="39" t="n">
        <v>0.292616798200202</v>
      </c>
      <c r="S997" s="39" t="n">
        <v>0.117732244763216</v>
      </c>
      <c r="T997" s="38" t="n">
        <f aca="false">N997*Scorecard!$C$18+O997*Scorecard!$C$19+P997*Scorecard!$C$20+Q997*Scorecard!$C$21+R997*Scorecard!$C$22+S997*Scorecard!$C$23</f>
        <v>3.84571481417512</v>
      </c>
      <c r="U997" s="38" t="n">
        <f aca="false">N997*Scorecard!$D$18+O997*Scorecard!$D$19+P997*Scorecard!$D$20+Q997*Scorecard!$D$21+R997*Scorecard!$D$22+S997*Scorecard!$D$23</f>
        <v>2.66537369355001</v>
      </c>
      <c r="V997" s="38" t="n">
        <f aca="false">N997*Scorecard!$E$18+O997*Scorecard!$E$19+P997*Scorecard!$E$20+Q997*Scorecard!$E$21+R997*Scorecard!$E$22+S997*Scorecard!$E$23</f>
        <v>3.33671766390746</v>
      </c>
    </row>
    <row r="998" customFormat="false" ht="15" hidden="false" customHeight="false" outlineLevel="0" collapsed="false">
      <c r="A998" s="0" t="n">
        <v>993</v>
      </c>
      <c r="B998" s="38" t="n">
        <f aca="false">E998*Scorecard!$C$18+F998*Scorecard!$C$19+G998*Scorecard!$C$20+H998*Scorecard!$C$21+I998*Scorecard!$C$22+J998*Scorecard!$C$23</f>
        <v>3.94358349018425</v>
      </c>
      <c r="C998" s="38" t="n">
        <f aca="false">E998*Scorecard!$D$18+F998*Scorecard!$D$19+G998*Scorecard!$D$20+H998*Scorecard!$D$21+I998*Scorecard!$D$22+J998*Scorecard!$D$23</f>
        <v>2.69869152411371</v>
      </c>
      <c r="D998" s="0" t="str">
        <f aca="false">IF(AND(B998&gt;=C998,B998&gt;=K998),"A. Distribution",IF(C998&gt;=K998,"B. Manufacturing","C. Prof. services"))</f>
        <v>A. Distribution</v>
      </c>
      <c r="E998" s="39" t="n">
        <v>0.021798708523037</v>
      </c>
      <c r="F998" s="39" t="n">
        <v>0.189318479026076</v>
      </c>
      <c r="G998" s="39" t="n">
        <v>0.17836975955065</v>
      </c>
      <c r="H998" s="39" t="n">
        <v>0.0382775943922455</v>
      </c>
      <c r="I998" s="39" t="n">
        <v>0.452305254684567</v>
      </c>
      <c r="J998" s="39" t="n">
        <v>0.119930203823424</v>
      </c>
      <c r="K998" s="38" t="n">
        <f aca="false">E998*Scorecard!$E$18+F998*Scorecard!$E$19+G998*Scorecard!$E$20+H998*Scorecard!$E$21+I998*Scorecard!$E$22+J998*Scorecard!$E$23</f>
        <v>3.05637417468817</v>
      </c>
      <c r="M998" s="0" t="str">
        <f aca="false">IF(AND(T998&gt;=U998,T998&gt;=V998),"A. Distribution",IF(U998&gt;=V998,"B. Manufacturing","C. Prof. services"))</f>
        <v>A. Distribution</v>
      </c>
      <c r="N998" s="39" t="n">
        <v>0.233115171449353</v>
      </c>
      <c r="O998" s="39" t="n">
        <v>0.210994124482194</v>
      </c>
      <c r="P998" s="39" t="n">
        <v>0.314298647489064</v>
      </c>
      <c r="Q998" s="39" t="n">
        <v>0.0802434525903732</v>
      </c>
      <c r="R998" s="39" t="n">
        <v>0.0967371808709345</v>
      </c>
      <c r="S998" s="39" t="n">
        <v>0.0646114231180813</v>
      </c>
      <c r="T998" s="38" t="n">
        <f aca="false">N998*Scorecard!$C$18+O998*Scorecard!$C$19+P998*Scorecard!$C$20+Q998*Scorecard!$C$21+R998*Scorecard!$C$22+S998*Scorecard!$C$23</f>
        <v>4.05440893455768</v>
      </c>
      <c r="U998" s="38" t="n">
        <f aca="false">N998*Scorecard!$D$18+O998*Scorecard!$D$19+P998*Scorecard!$D$20+Q998*Scorecard!$D$21+R998*Scorecard!$D$22+S998*Scorecard!$D$23</f>
        <v>2.70358412595503</v>
      </c>
      <c r="V998" s="38" t="n">
        <f aca="false">N998*Scorecard!$E$18+O998*Scorecard!$E$19+P998*Scorecard!$E$20+Q998*Scorecard!$E$21+R998*Scorecard!$E$22+S998*Scorecard!$E$23</f>
        <v>3.47604438620965</v>
      </c>
    </row>
    <row r="999" customFormat="false" ht="15" hidden="false" customHeight="false" outlineLevel="0" collapsed="false">
      <c r="A999" s="0" t="n">
        <v>994</v>
      </c>
      <c r="B999" s="38" t="n">
        <f aca="false">E999*Scorecard!$C$18+F999*Scorecard!$C$19+G999*Scorecard!$C$20+H999*Scorecard!$C$21+I999*Scorecard!$C$22+J999*Scorecard!$C$23</f>
        <v>3.02141318820103</v>
      </c>
      <c r="C999" s="38" t="n">
        <f aca="false">E999*Scorecard!$D$18+F999*Scorecard!$D$19+G999*Scorecard!$D$20+H999*Scorecard!$D$21+I999*Scorecard!$D$22+J999*Scorecard!$D$23</f>
        <v>2.25910852792967</v>
      </c>
      <c r="D999" s="0" t="str">
        <f aca="false">IF(AND(B999&gt;=C999,B999&gt;=K999),"A. Distribution",IF(C999&gt;=K999,"B. Manufacturing","C. Prof. services"))</f>
        <v>C. Prof. services</v>
      </c>
      <c r="E999" s="39" t="n">
        <v>0.0744397537344961</v>
      </c>
      <c r="F999" s="39" t="n">
        <v>0.0727519066824464</v>
      </c>
      <c r="G999" s="39" t="n">
        <v>0.0754200623081387</v>
      </c>
      <c r="H999" s="39" t="n">
        <v>0.0088228717981529</v>
      </c>
      <c r="I999" s="39" t="n">
        <v>0.246359644805099</v>
      </c>
      <c r="J999" s="39" t="n">
        <v>0.522205760671667</v>
      </c>
      <c r="K999" s="38" t="n">
        <f aca="false">E999*Scorecard!$E$18+F999*Scorecard!$E$19+G999*Scorecard!$E$20+H999*Scorecard!$E$21+I999*Scorecard!$E$22+J999*Scorecard!$E$23</f>
        <v>3.72342069206381</v>
      </c>
      <c r="M999" s="0" t="str">
        <f aca="false">IF(AND(T999&gt;=U999,T999&gt;=V999),"A. Distribution",IF(U999&gt;=V999,"B. Manufacturing","C. Prof. services"))</f>
        <v>A. Distribution</v>
      </c>
      <c r="N999" s="39" t="n">
        <v>0.120093123352321</v>
      </c>
      <c r="O999" s="39" t="n">
        <v>0.156330962132296</v>
      </c>
      <c r="P999" s="39" t="n">
        <v>0.201709863210152</v>
      </c>
      <c r="Q999" s="39" t="n">
        <v>0.208415284766488</v>
      </c>
      <c r="R999" s="39" t="n">
        <v>0.189760077331897</v>
      </c>
      <c r="S999" s="39" t="n">
        <v>0.123690689206846</v>
      </c>
      <c r="T999" s="38" t="n">
        <f aca="false">N999*Scorecard!$C$18+O999*Scorecard!$C$19+P999*Scorecard!$C$20+Q999*Scorecard!$C$21+R999*Scorecard!$C$22+S999*Scorecard!$C$23</f>
        <v>3.87685082529101</v>
      </c>
      <c r="U999" s="38" t="n">
        <f aca="false">N999*Scorecard!$D$18+O999*Scorecard!$D$19+P999*Scorecard!$D$20+Q999*Scorecard!$D$21+R999*Scorecard!$D$22+S999*Scorecard!$D$23</f>
        <v>2.57789065283778</v>
      </c>
      <c r="V999" s="38" t="n">
        <f aca="false">N999*Scorecard!$E$18+O999*Scorecard!$E$19+P999*Scorecard!$E$20+Q999*Scorecard!$E$21+R999*Scorecard!$E$22+S999*Scorecard!$E$23</f>
        <v>3.43047720736694</v>
      </c>
    </row>
    <row r="1000" customFormat="false" ht="15" hidden="false" customHeight="false" outlineLevel="0" collapsed="false">
      <c r="A1000" s="0" t="n">
        <v>995</v>
      </c>
      <c r="B1000" s="38" t="n">
        <f aca="false">E1000*Scorecard!$C$18+F1000*Scorecard!$C$19+G1000*Scorecard!$C$20+H1000*Scorecard!$C$21+I1000*Scorecard!$C$22+J1000*Scorecard!$C$23</f>
        <v>3.86349485551399</v>
      </c>
      <c r="C1000" s="38" t="n">
        <f aca="false">E1000*Scorecard!$D$18+F1000*Scorecard!$D$19+G1000*Scorecard!$D$20+H1000*Scorecard!$D$21+I1000*Scorecard!$D$22+J1000*Scorecard!$D$23</f>
        <v>2.95893260122864</v>
      </c>
      <c r="D1000" s="0" t="str">
        <f aca="false">IF(AND(B1000&gt;=C1000,B1000&gt;=K1000),"A. Distribution",IF(C1000&gt;=K1000,"B. Manufacturing","C. Prof. services"))</f>
        <v>A. Distribution</v>
      </c>
      <c r="E1000" s="39" t="n">
        <v>0.438773266201021</v>
      </c>
      <c r="F1000" s="39" t="n">
        <v>0.0940876059099399</v>
      </c>
      <c r="G1000" s="39" t="n">
        <v>0.257576181759221</v>
      </c>
      <c r="H1000" s="39" t="n">
        <v>0.0838707735236084</v>
      </c>
      <c r="I1000" s="39" t="n">
        <v>0.032528204498019</v>
      </c>
      <c r="J1000" s="39" t="n">
        <v>0.0931639681081916</v>
      </c>
      <c r="K1000" s="38" t="n">
        <f aca="false">E1000*Scorecard!$E$18+F1000*Scorecard!$E$19+G1000*Scorecard!$E$20+H1000*Scorecard!$E$21+I1000*Scorecard!$E$22+J1000*Scorecard!$E$23</f>
        <v>3.63307446742488</v>
      </c>
      <c r="M1000" s="0" t="str">
        <f aca="false">IF(AND(T1000&gt;=U1000,T1000&gt;=V1000),"A. Distribution",IF(U1000&gt;=V1000,"B. Manufacturing","C. Prof. services"))</f>
        <v>A. Distribution</v>
      </c>
      <c r="N1000" s="39" t="n">
        <v>0.187484558303997</v>
      </c>
      <c r="O1000" s="39" t="n">
        <v>0.158134348425464</v>
      </c>
      <c r="P1000" s="39" t="n">
        <v>0.263367476119328</v>
      </c>
      <c r="Q1000" s="39" t="n">
        <v>0.204387212936407</v>
      </c>
      <c r="R1000" s="39" t="n">
        <v>0.0942288330672022</v>
      </c>
      <c r="S1000" s="39" t="n">
        <v>0.0923975711476026</v>
      </c>
      <c r="T1000" s="38" t="n">
        <f aca="false">N1000*Scorecard!$C$18+O1000*Scorecard!$C$19+P1000*Scorecard!$C$20+Q1000*Scorecard!$C$21+R1000*Scorecard!$C$22+S1000*Scorecard!$C$23</f>
        <v>3.93626383404353</v>
      </c>
      <c r="U1000" s="38" t="n">
        <f aca="false">N1000*Scorecard!$D$18+O1000*Scorecard!$D$19+P1000*Scorecard!$D$20+Q1000*Scorecard!$D$21+R1000*Scorecard!$D$22+S1000*Scorecard!$D$23</f>
        <v>2.60229855543274</v>
      </c>
      <c r="V1000" s="38" t="n">
        <f aca="false">N1000*Scorecard!$E$18+O1000*Scorecard!$E$19+P1000*Scorecard!$E$20+Q1000*Scorecard!$E$21+R1000*Scorecard!$E$22+S1000*Scorecard!$E$23</f>
        <v>3.53951853999171</v>
      </c>
    </row>
    <row r="1001" customFormat="false" ht="15" hidden="false" customHeight="false" outlineLevel="0" collapsed="false">
      <c r="A1001" s="0" t="n">
        <v>996</v>
      </c>
      <c r="B1001" s="38" t="n">
        <f aca="false">E1001*Scorecard!$C$18+F1001*Scorecard!$C$19+G1001*Scorecard!$C$20+H1001*Scorecard!$C$21+I1001*Scorecard!$C$22+J1001*Scorecard!$C$23</f>
        <v>3.9927260428578</v>
      </c>
      <c r="C1001" s="38" t="n">
        <f aca="false">E1001*Scorecard!$D$18+F1001*Scorecard!$D$19+G1001*Scorecard!$D$20+H1001*Scorecard!$D$21+I1001*Scorecard!$D$22+J1001*Scorecard!$D$23</f>
        <v>2.75246688888801</v>
      </c>
      <c r="D1001" s="0" t="str">
        <f aca="false">IF(AND(B1001&gt;=C1001,B1001&gt;=K1001),"A. Distribution",IF(C1001&gt;=K1001,"B. Manufacturing","C. Prof. services"))</f>
        <v>A. Distribution</v>
      </c>
      <c r="E1001" s="39" t="n">
        <v>0.221183452122697</v>
      </c>
      <c r="F1001" s="39" t="n">
        <v>0.092772389314746</v>
      </c>
      <c r="G1001" s="39" t="n">
        <v>0.237333974573252</v>
      </c>
      <c r="H1001" s="39" t="n">
        <v>0.283412819152164</v>
      </c>
      <c r="I1001" s="39" t="n">
        <v>0.139422193072946</v>
      </c>
      <c r="J1001" s="39" t="n">
        <v>0.0258751717641949</v>
      </c>
      <c r="K1001" s="38" t="n">
        <f aca="false">E1001*Scorecard!$E$18+F1001*Scorecard!$E$19+G1001*Scorecard!$E$20+H1001*Scorecard!$E$21+I1001*Scorecard!$E$22+J1001*Scorecard!$E$23</f>
        <v>3.4663716225535</v>
      </c>
      <c r="M1001" s="0" t="str">
        <f aca="false">IF(AND(T1001&gt;=U1001,T1001&gt;=V1001),"A. Distribution",IF(U1001&gt;=V1001,"B. Manufacturing","C. Prof. services"))</f>
        <v>A. Distribution</v>
      </c>
      <c r="N1001" s="39" t="n">
        <v>0.126739294554586</v>
      </c>
      <c r="O1001" s="39" t="n">
        <v>0.0910789282594672</v>
      </c>
      <c r="P1001" s="39" t="n">
        <v>0.211834491572394</v>
      </c>
      <c r="Q1001" s="39" t="n">
        <v>0.205854872618879</v>
      </c>
      <c r="R1001" s="39" t="n">
        <v>0.284194169208887</v>
      </c>
      <c r="S1001" s="39" t="n">
        <v>0.0802982437857872</v>
      </c>
      <c r="T1001" s="38" t="n">
        <f aca="false">N1001*Scorecard!$C$18+O1001*Scorecard!$C$19+P1001*Scorecard!$C$20+Q1001*Scorecard!$C$21+R1001*Scorecard!$C$22+S1001*Scorecard!$C$23</f>
        <v>3.89812596854068</v>
      </c>
      <c r="U1001" s="38" t="n">
        <f aca="false">N1001*Scorecard!$D$18+O1001*Scorecard!$D$19+P1001*Scorecard!$D$20+Q1001*Scorecard!$D$21+R1001*Scorecard!$D$22+S1001*Scorecard!$D$23</f>
        <v>2.70362309452391</v>
      </c>
      <c r="V1001" s="38" t="n">
        <f aca="false">N1001*Scorecard!$E$18+O1001*Scorecard!$E$19+P1001*Scorecard!$E$20+Q1001*Scorecard!$E$21+R1001*Scorecard!$E$22+S1001*Scorecard!$E$23</f>
        <v>3.32690550701967</v>
      </c>
    </row>
    <row r="1002" customFormat="false" ht="15" hidden="false" customHeight="false" outlineLevel="0" collapsed="false">
      <c r="A1002" s="0" t="n">
        <v>997</v>
      </c>
      <c r="B1002" s="38" t="n">
        <f aca="false">E1002*Scorecard!$C$18+F1002*Scorecard!$C$19+G1002*Scorecard!$C$20+H1002*Scorecard!$C$21+I1002*Scorecard!$C$22+J1002*Scorecard!$C$23</f>
        <v>3.99008567234011</v>
      </c>
      <c r="C1002" s="38" t="n">
        <f aca="false">E1002*Scorecard!$D$18+F1002*Scorecard!$D$19+G1002*Scorecard!$D$20+H1002*Scorecard!$D$21+I1002*Scorecard!$D$22+J1002*Scorecard!$D$23</f>
        <v>2.33108309745928</v>
      </c>
      <c r="D1002" s="0" t="str">
        <f aca="false">IF(AND(B1002&gt;=C1002,B1002&gt;=K1002),"A. Distribution",IF(C1002&gt;=K1002,"B. Manufacturing","C. Prof. services"))</f>
        <v>A. Distribution</v>
      </c>
      <c r="E1002" s="39" t="n">
        <v>0.0524012365524421</v>
      </c>
      <c r="F1002" s="39" t="n">
        <v>0.426420839026047</v>
      </c>
      <c r="G1002" s="39" t="n">
        <v>0.169330113215964</v>
      </c>
      <c r="H1002" s="39" t="n">
        <v>0.0784035343894646</v>
      </c>
      <c r="I1002" s="39" t="n">
        <v>0.0616042699539178</v>
      </c>
      <c r="J1002" s="39" t="n">
        <v>0.211840006862165</v>
      </c>
      <c r="K1002" s="38" t="n">
        <f aca="false">E1002*Scorecard!$E$18+F1002*Scorecard!$E$19+G1002*Scorecard!$E$20+H1002*Scorecard!$E$21+I1002*Scorecard!$E$22+J1002*Scorecard!$E$23</f>
        <v>3.44164847483359</v>
      </c>
      <c r="M1002" s="0" t="str">
        <f aca="false">IF(AND(T1002&gt;=U1002,T1002&gt;=V1002),"A. Distribution",IF(U1002&gt;=V1002,"B. Manufacturing","C. Prof. services"))</f>
        <v>A. Distribution</v>
      </c>
      <c r="N1002" s="39" t="n">
        <v>0.046855156431487</v>
      </c>
      <c r="O1002" s="39" t="n">
        <v>0.212534520844856</v>
      </c>
      <c r="P1002" s="39" t="n">
        <v>0.220480863926047</v>
      </c>
      <c r="Q1002" s="39" t="n">
        <v>0.256608242595827</v>
      </c>
      <c r="R1002" s="39" t="n">
        <v>0.206501129477041</v>
      </c>
      <c r="S1002" s="39" t="n">
        <v>0.0570200867247427</v>
      </c>
      <c r="T1002" s="38" t="n">
        <f aca="false">N1002*Scorecard!$C$18+O1002*Scorecard!$C$19+P1002*Scorecard!$C$20+Q1002*Scorecard!$C$21+R1002*Scorecard!$C$22+S1002*Scorecard!$C$23</f>
        <v>4.06708280942269</v>
      </c>
      <c r="U1002" s="38" t="n">
        <f aca="false">N1002*Scorecard!$D$18+O1002*Scorecard!$D$19+P1002*Scorecard!$D$20+Q1002*Scorecard!$D$21+R1002*Scorecard!$D$22+S1002*Scorecard!$D$23</f>
        <v>2.52922556064275</v>
      </c>
      <c r="V1002" s="38" t="n">
        <f aca="false">N1002*Scorecard!$E$18+O1002*Scorecard!$E$19+P1002*Scorecard!$E$20+Q1002*Scorecard!$E$21+R1002*Scorecard!$E$22+S1002*Scorecard!$E$23</f>
        <v>3.32290907779464</v>
      </c>
    </row>
    <row r="1003" customFormat="false" ht="15" hidden="false" customHeight="false" outlineLevel="0" collapsed="false">
      <c r="A1003" s="0" t="n">
        <v>998</v>
      </c>
      <c r="B1003" s="38" t="n">
        <f aca="false">E1003*Scorecard!$C$18+F1003*Scorecard!$C$19+G1003*Scorecard!$C$20+H1003*Scorecard!$C$21+I1003*Scorecard!$C$22+J1003*Scorecard!$C$23</f>
        <v>4.03766979812581</v>
      </c>
      <c r="C1003" s="38" t="n">
        <f aca="false">E1003*Scorecard!$D$18+F1003*Scorecard!$D$19+G1003*Scorecard!$D$20+H1003*Scorecard!$D$21+I1003*Scorecard!$D$22+J1003*Scorecard!$D$23</f>
        <v>2.30703480691682</v>
      </c>
      <c r="D1003" s="0" t="str">
        <f aca="false">IF(AND(B1003&gt;=C1003,B1003&gt;=K1003),"A. Distribution",IF(C1003&gt;=K1003,"B. Manufacturing","C. Prof. services"))</f>
        <v>A. Distribution</v>
      </c>
      <c r="E1003" s="39" t="n">
        <v>0.0673828650331622</v>
      </c>
      <c r="F1003" s="39" t="n">
        <v>0.0819763238333079</v>
      </c>
      <c r="G1003" s="39" t="n">
        <v>0.592890636349485</v>
      </c>
      <c r="H1003" s="39" t="n">
        <v>0.191814909707203</v>
      </c>
      <c r="I1003" s="39" t="n">
        <v>0.0568210631181136</v>
      </c>
      <c r="J1003" s="39" t="n">
        <v>0.00911420195872785</v>
      </c>
      <c r="K1003" s="38" t="n">
        <f aca="false">E1003*Scorecard!$E$18+F1003*Scorecard!$E$19+G1003*Scorecard!$E$20+H1003*Scorecard!$E$21+I1003*Scorecard!$E$22+J1003*Scorecard!$E$23</f>
        <v>3.71542800682365</v>
      </c>
      <c r="M1003" s="0" t="str">
        <f aca="false">IF(AND(T1003&gt;=U1003,T1003&gt;=V1003),"A. Distribution",IF(U1003&gt;=V1003,"B. Manufacturing","C. Prof. services"))</f>
        <v>A. Distribution</v>
      </c>
      <c r="N1003" s="39" t="n">
        <v>0.202328289582371</v>
      </c>
      <c r="O1003" s="39" t="n">
        <v>0.273222938344544</v>
      </c>
      <c r="P1003" s="39" t="n">
        <v>0.106369631025821</v>
      </c>
      <c r="Q1003" s="39" t="n">
        <v>0.10377184864318</v>
      </c>
      <c r="R1003" s="39" t="n">
        <v>0.138603618719561</v>
      </c>
      <c r="S1003" s="39" t="n">
        <v>0.175703673684523</v>
      </c>
      <c r="T1003" s="38" t="n">
        <f aca="false">N1003*Scorecard!$C$18+O1003*Scorecard!$C$19+P1003*Scorecard!$C$20+Q1003*Scorecard!$C$21+R1003*Scorecard!$C$22+S1003*Scorecard!$C$23</f>
        <v>3.8943898281663</v>
      </c>
      <c r="U1003" s="38" t="n">
        <f aca="false">N1003*Scorecard!$D$18+O1003*Scorecard!$D$19+P1003*Scorecard!$D$20+Q1003*Scorecard!$D$21+R1003*Scorecard!$D$22+S1003*Scorecard!$D$23</f>
        <v>2.68141329284844</v>
      </c>
      <c r="V1003" s="38" t="n">
        <f aca="false">N1003*Scorecard!$E$18+O1003*Scorecard!$E$19+P1003*Scorecard!$E$20+Q1003*Scorecard!$E$21+R1003*Scorecard!$E$22+S1003*Scorecard!$E$23</f>
        <v>3.3951201430131</v>
      </c>
    </row>
    <row r="1004" customFormat="false" ht="15" hidden="false" customHeight="false" outlineLevel="0" collapsed="false">
      <c r="A1004" s="0" t="n">
        <v>999</v>
      </c>
      <c r="B1004" s="38" t="n">
        <f aca="false">E1004*Scorecard!$C$18+F1004*Scorecard!$C$19+G1004*Scorecard!$C$20+H1004*Scorecard!$C$21+I1004*Scorecard!$C$22+J1004*Scorecard!$C$23</f>
        <v>3.79256375299152</v>
      </c>
      <c r="C1004" s="38" t="n">
        <f aca="false">E1004*Scorecard!$D$18+F1004*Scorecard!$D$19+G1004*Scorecard!$D$20+H1004*Scorecard!$D$21+I1004*Scorecard!$D$22+J1004*Scorecard!$D$23</f>
        <v>3.24449682783415</v>
      </c>
      <c r="D1004" s="0" t="str">
        <f aca="false">IF(AND(B1004&gt;=C1004,B1004&gt;=K1004),"A. Distribution",IF(C1004&gt;=K1004,"B. Manufacturing","C. Prof. services"))</f>
        <v>A. Distribution</v>
      </c>
      <c r="E1004" s="39" t="n">
        <v>0.529602610314829</v>
      </c>
      <c r="F1004" s="39" t="n">
        <v>0.000325106632105313</v>
      </c>
      <c r="G1004" s="39" t="n">
        <v>0.113910676596732</v>
      </c>
      <c r="H1004" s="39" t="n">
        <v>0.15986804758993</v>
      </c>
      <c r="I1004" s="39" t="n">
        <v>0.122285861987964</v>
      </c>
      <c r="J1004" s="39" t="n">
        <v>0.0740076968784403</v>
      </c>
      <c r="K1004" s="38" t="n">
        <f aca="false">E1004*Scorecard!$E$18+F1004*Scorecard!$E$19+G1004*Scorecard!$E$20+H1004*Scorecard!$E$21+I1004*Scorecard!$E$22+J1004*Scorecard!$E$23</f>
        <v>3.51571108724348</v>
      </c>
      <c r="M1004" s="0" t="str">
        <f aca="false">IF(AND(T1004&gt;=U1004,T1004&gt;=V1004),"A. Distribution",IF(U1004&gt;=V1004,"B. Manufacturing","C. Prof. services"))</f>
        <v>A. Distribution</v>
      </c>
      <c r="N1004" s="39" t="n">
        <v>0.323947240179738</v>
      </c>
      <c r="O1004" s="39" t="n">
        <v>0.198631583992584</v>
      </c>
      <c r="P1004" s="39" t="n">
        <v>0.113336022712997</v>
      </c>
      <c r="Q1004" s="39" t="n">
        <v>0.223850232226081</v>
      </c>
      <c r="R1004" s="39" t="n">
        <v>0.0717287394549254</v>
      </c>
      <c r="S1004" s="39" t="n">
        <v>0.0685061814336752</v>
      </c>
      <c r="T1004" s="38" t="n">
        <f aca="false">N1004*Scorecard!$C$18+O1004*Scorecard!$C$19+P1004*Scorecard!$C$20+Q1004*Scorecard!$C$21+R1004*Scorecard!$C$22+S1004*Scorecard!$C$23</f>
        <v>4.01149054908348</v>
      </c>
      <c r="U1004" s="38" t="n">
        <f aca="false">N1004*Scorecard!$D$18+O1004*Scorecard!$D$19+P1004*Scorecard!$D$20+Q1004*Scorecard!$D$21+R1004*Scorecard!$D$22+S1004*Scorecard!$D$23</f>
        <v>2.8874983532495</v>
      </c>
      <c r="V1004" s="38" t="n">
        <f aca="false">N1004*Scorecard!$E$18+O1004*Scorecard!$E$19+P1004*Scorecard!$E$20+Q1004*Scorecard!$E$21+R1004*Scorecard!$E$22+S1004*Scorecard!$E$23</f>
        <v>3.44206540043269</v>
      </c>
    </row>
    <row r="1005" customFormat="false" ht="15" hidden="false" customHeight="false" outlineLevel="0" collapsed="false">
      <c r="A1005" s="0" t="n">
        <v>1000</v>
      </c>
      <c r="B1005" s="38" t="n">
        <f aca="false">E1005*Scorecard!$C$18+F1005*Scorecard!$C$19+G1005*Scorecard!$C$20+H1005*Scorecard!$C$21+I1005*Scorecard!$C$22+J1005*Scorecard!$C$23</f>
        <v>3.95520165842045</v>
      </c>
      <c r="C1005" s="38" t="n">
        <f aca="false">E1005*Scorecard!$D$18+F1005*Scorecard!$D$19+G1005*Scorecard!$D$20+H1005*Scorecard!$D$21+I1005*Scorecard!$D$22+J1005*Scorecard!$D$23</f>
        <v>2.79142694865397</v>
      </c>
      <c r="D1005" s="0" t="str">
        <f aca="false">IF(AND(B1005&gt;=C1005,B1005&gt;=K1005),"A. Distribution",IF(C1005&gt;=K1005,"B. Manufacturing","C. Prof. services"))</f>
        <v>A. Distribution</v>
      </c>
      <c r="E1005" s="39" t="n">
        <v>0.270232966415549</v>
      </c>
      <c r="F1005" s="39" t="n">
        <v>0.300359096783366</v>
      </c>
      <c r="G1005" s="39" t="n">
        <v>0.0723644277194666</v>
      </c>
      <c r="H1005" s="39" t="n">
        <v>0.0997861854571665</v>
      </c>
      <c r="I1005" s="39" t="n">
        <v>0.100902680722226</v>
      </c>
      <c r="J1005" s="39" t="n">
        <v>0.156354642902226</v>
      </c>
      <c r="K1005" s="38" t="n">
        <f aca="false">E1005*Scorecard!$E$18+F1005*Scorecard!$E$19+G1005*Scorecard!$E$20+H1005*Scorecard!$E$21+I1005*Scorecard!$E$22+J1005*Scorecard!$E$23</f>
        <v>3.38319400260066</v>
      </c>
      <c r="M1005" s="0" t="str">
        <f aca="false">IF(AND(T1005&gt;=U1005,T1005&gt;=V1005),"A. Distribution",IF(U1005&gt;=V1005,"B. Manufacturing","C. Prof. services"))</f>
        <v>A. Distribution</v>
      </c>
      <c r="N1005" s="39" t="n">
        <v>0.231733858972142</v>
      </c>
      <c r="O1005" s="39" t="n">
        <v>0.106886129134375</v>
      </c>
      <c r="P1005" s="39" t="n">
        <v>0.151498435099191</v>
      </c>
      <c r="Q1005" s="39" t="n">
        <v>0.246101131023637</v>
      </c>
      <c r="R1005" s="39" t="n">
        <v>0.220229938066858</v>
      </c>
      <c r="S1005" s="39" t="n">
        <v>0.043550507703798</v>
      </c>
      <c r="T1005" s="38" t="n">
        <f aca="false">N1005*Scorecard!$C$18+O1005*Scorecard!$C$19+P1005*Scorecard!$C$20+Q1005*Scorecard!$C$21+R1005*Scorecard!$C$22+S1005*Scorecard!$C$23</f>
        <v>3.97466240898108</v>
      </c>
      <c r="U1005" s="38" t="n">
        <f aca="false">N1005*Scorecard!$D$18+O1005*Scorecard!$D$19+P1005*Scorecard!$D$20+Q1005*Scorecard!$D$21+R1005*Scorecard!$D$22+S1005*Scorecard!$D$23</f>
        <v>2.86928970108658</v>
      </c>
      <c r="V1005" s="38" t="n">
        <f aca="false">N1005*Scorecard!$E$18+O1005*Scorecard!$E$19+P1005*Scorecard!$E$20+Q1005*Scorecard!$E$21+R1005*Scorecard!$E$22+S1005*Scorecard!$E$23</f>
        <v>3.33058374968637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G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2"/>
    <col collapsed="false" customWidth="true" hidden="false" outlineLevel="0" max="5" min="3" style="0" width="16"/>
    <col collapsed="false" customWidth="true" hidden="false" outlineLevel="0" max="6" min="6" style="0" width="22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198</v>
      </c>
    </row>
    <row r="2" customFormat="false" ht="15" hidden="false" customHeight="false" outlineLevel="0" collapsed="false">
      <c r="A2" s="2" t="s">
        <v>199</v>
      </c>
    </row>
    <row r="4" customFormat="false" ht="30" hidden="false" customHeight="true" outlineLevel="0" collapsed="false">
      <c r="A4" s="5" t="s">
        <v>200</v>
      </c>
      <c r="B4" s="5" t="s">
        <v>201</v>
      </c>
      <c r="C4" s="5" t="s">
        <v>19</v>
      </c>
      <c r="D4" s="5" t="s">
        <v>20</v>
      </c>
      <c r="E4" s="5" t="s">
        <v>21</v>
      </c>
      <c r="F4" s="5" t="s">
        <v>159</v>
      </c>
      <c r="G4" s="5" t="s">
        <v>160</v>
      </c>
    </row>
    <row r="5" customFormat="false" ht="30" hidden="false" customHeight="true" outlineLevel="0" collapsed="false">
      <c r="A5" s="10" t="s">
        <v>202</v>
      </c>
      <c r="B5" s="4" t="s">
        <v>203</v>
      </c>
      <c r="C5" s="28" t="n">
        <f aca="false">C39</f>
        <v>3.96778005760975</v>
      </c>
      <c r="D5" s="28" t="n">
        <f aca="false">D39</f>
        <v>2.7044652725028</v>
      </c>
      <c r="E5" s="28" t="n">
        <f aca="false">E39</f>
        <v>3.41185001533273</v>
      </c>
      <c r="F5" s="30" t="str">
        <f aca="false">INDEX($C$4:$E$4,MATCH(MAX(C5:E5),C5:E5,0))</f>
        <v>A. Industrial Distribution</v>
      </c>
      <c r="G5" s="28" t="n">
        <f aca="false">MAX(C5:E5)-LARGE(C5:E5,2)</f>
        <v>0.555930042277025</v>
      </c>
    </row>
    <row r="6" customFormat="false" ht="30" hidden="false" customHeight="true" outlineLevel="0" collapsed="false">
      <c r="A6" s="10" t="s">
        <v>204</v>
      </c>
      <c r="B6" s="4" t="s">
        <v>205</v>
      </c>
      <c r="C6" s="28" t="n">
        <f aca="false">C63</f>
        <v>4.11778005760975</v>
      </c>
      <c r="D6" s="28" t="n">
        <f aca="false">D63</f>
        <v>2.7044652725028</v>
      </c>
      <c r="E6" s="28" t="n">
        <f aca="false">E63</f>
        <v>3.41185001533273</v>
      </c>
      <c r="F6" s="30" t="str">
        <f aca="false">INDEX($C$4:$E$4,MATCH(MAX(C6:E6),C6:E6,0))</f>
        <v>A. Industrial Distribution</v>
      </c>
      <c r="G6" s="28" t="n">
        <f aca="false">MAX(C6:E6)-LARGE(C6:E6,2)</f>
        <v>0.705930042277025</v>
      </c>
    </row>
    <row r="7" customFormat="false" ht="30" hidden="false" customHeight="true" outlineLevel="0" collapsed="false">
      <c r="A7" s="10" t="s">
        <v>206</v>
      </c>
      <c r="B7" s="4" t="s">
        <v>207</v>
      </c>
      <c r="C7" s="28" t="n">
        <f aca="false">C87</f>
        <v>3.96778005760975</v>
      </c>
      <c r="D7" s="28" t="n">
        <f aca="false">D87</f>
        <v>2.7044652725028</v>
      </c>
      <c r="E7" s="28" t="n">
        <f aca="false">E87</f>
        <v>3.61185001533273</v>
      </c>
      <c r="F7" s="30" t="str">
        <f aca="false">INDEX($C$4:$E$4,MATCH(MAX(C7:E7),C7:E7,0))</f>
        <v>A. Industrial Distribution</v>
      </c>
      <c r="G7" s="28" t="n">
        <f aca="false">MAX(C7:E7)-LARGE(C7:E7,2)</f>
        <v>0.355930042277025</v>
      </c>
    </row>
    <row r="8" customFormat="false" ht="30" hidden="false" customHeight="true" outlineLevel="0" collapsed="false">
      <c r="A8" s="10" t="s">
        <v>208</v>
      </c>
      <c r="B8" s="4" t="s">
        <v>209</v>
      </c>
      <c r="C8" s="28" t="n">
        <f aca="false">C111</f>
        <v>3.95594405760975</v>
      </c>
      <c r="D8" s="28" t="n">
        <f aca="false">D111</f>
        <v>2.84839206633221</v>
      </c>
      <c r="E8" s="28" t="n">
        <f aca="false">E111</f>
        <v>3.55151801533273</v>
      </c>
      <c r="F8" s="30" t="str">
        <f aca="false">INDEX($C$4:$E$4,MATCH(MAX(C8:E8),C8:E8,0))</f>
        <v>A. Industrial Distribution</v>
      </c>
      <c r="G8" s="28" t="n">
        <f aca="false">MAX(C8:E8)-LARGE(C8:E8,2)</f>
        <v>0.404426042277025</v>
      </c>
    </row>
    <row r="9" customFormat="false" ht="30" hidden="false" customHeight="true" outlineLevel="0" collapsed="false">
      <c r="A9" s="10" t="s">
        <v>210</v>
      </c>
      <c r="B9" s="4" t="s">
        <v>211</v>
      </c>
      <c r="C9" s="28" t="n">
        <f aca="false">C135</f>
        <v>3.80161746958922</v>
      </c>
      <c r="D9" s="28" t="n">
        <f aca="false">D135</f>
        <v>2.81924467220613</v>
      </c>
      <c r="E9" s="28" t="n">
        <f aca="false">E135</f>
        <v>3.61091138717388</v>
      </c>
      <c r="F9" s="30" t="str">
        <f aca="false">INDEX($C$4:$E$4,MATCH(MAX(C9:E9),C9:E9,0))</f>
        <v>A. Industrial Distribution</v>
      </c>
      <c r="G9" s="28" t="n">
        <f aca="false">MAX(C9:E9)-LARGE(C9:E9,2)</f>
        <v>0.190706082415335</v>
      </c>
    </row>
    <row r="10" customFormat="false" ht="30" hidden="false" customHeight="true" outlineLevel="0" collapsed="false">
      <c r="A10" s="10" t="s">
        <v>212</v>
      </c>
      <c r="B10" s="4" t="s">
        <v>213</v>
      </c>
      <c r="C10" s="28" t="n">
        <f aca="false">C159</f>
        <v>3.76778005760975</v>
      </c>
      <c r="D10" s="28" t="n">
        <f aca="false">D159</f>
        <v>2.7044652725028</v>
      </c>
      <c r="E10" s="28" t="n">
        <f aca="false">E159</f>
        <v>3.41185001533273</v>
      </c>
      <c r="F10" s="30" t="str">
        <f aca="false">INDEX($C$4:$E$4,MATCH(MAX(C10:E10),C10:E10,0))</f>
        <v>A. Industrial Distribution</v>
      </c>
      <c r="G10" s="28" t="n">
        <f aca="false">MAX(C10:E10)-LARGE(C10:E10,2)</f>
        <v>0.355930042277025</v>
      </c>
    </row>
    <row r="11" customFormat="false" ht="30" hidden="false" customHeight="true" outlineLevel="0" collapsed="false">
      <c r="A11" s="10" t="s">
        <v>214</v>
      </c>
      <c r="B11" s="4" t="s">
        <v>215</v>
      </c>
      <c r="C11" s="28" t="n">
        <f aca="false">C183</f>
        <v>3.81778005760975</v>
      </c>
      <c r="D11" s="28" t="n">
        <f aca="false">D183</f>
        <v>2.7044652725028</v>
      </c>
      <c r="E11" s="28" t="n">
        <f aca="false">E183</f>
        <v>3.41185001533273</v>
      </c>
      <c r="F11" s="30" t="str">
        <f aca="false">INDEX($C$4:$E$4,MATCH(MAX(C11:E11),C11:E11,0))</f>
        <v>A. Industrial Distribution</v>
      </c>
      <c r="G11" s="28" t="n">
        <f aca="false">MAX(C11:E11)-LARGE(C11:E11,2)</f>
        <v>0.405930042277025</v>
      </c>
    </row>
    <row r="12" customFormat="false" ht="30" hidden="false" customHeight="true" outlineLevel="0" collapsed="false">
      <c r="A12" s="10" t="s">
        <v>216</v>
      </c>
      <c r="B12" s="4" t="s">
        <v>217</v>
      </c>
      <c r="C12" s="28" t="n">
        <f aca="false">C207</f>
        <v>3.60594405760975</v>
      </c>
      <c r="D12" s="28" t="n">
        <f aca="false">D207</f>
        <v>2.84839206633221</v>
      </c>
      <c r="E12" s="28" t="n">
        <f aca="false">E207</f>
        <v>3.55151801533273</v>
      </c>
      <c r="F12" s="30" t="str">
        <f aca="false">INDEX($C$4:$E$4,MATCH(MAX(C12:E12),C12:E12,0))</f>
        <v>A. Industrial Distribution</v>
      </c>
      <c r="G12" s="28" t="n">
        <f aca="false">MAX(C12:E12)-LARGE(C12:E12,2)</f>
        <v>0.0544260422770253</v>
      </c>
    </row>
    <row r="13" customFormat="false" ht="30" hidden="false" customHeight="true" outlineLevel="0" collapsed="false">
      <c r="A13" s="10" t="s">
        <v>218</v>
      </c>
      <c r="B13" s="4" t="s">
        <v>219</v>
      </c>
      <c r="C13" s="28" t="n">
        <f aca="false">C231</f>
        <v>3.96778005760975</v>
      </c>
      <c r="D13" s="28" t="n">
        <f aca="false">D231</f>
        <v>2.7044652725028</v>
      </c>
      <c r="E13" s="28" t="n">
        <f aca="false">E231</f>
        <v>3.76185501533273</v>
      </c>
      <c r="F13" s="30" t="str">
        <f aca="false">INDEX($C$4:$E$4,MATCH(MAX(C13:E13),C13:E13,0))</f>
        <v>A. Industrial Distribution</v>
      </c>
      <c r="G13" s="28" t="n">
        <f aca="false">MAX(C13:E13)-LARGE(C13:E13,2)</f>
        <v>0.205925042277025</v>
      </c>
    </row>
    <row r="14" customFormat="false" ht="30" hidden="false" customHeight="true" outlineLevel="0" collapsed="false">
      <c r="A14" s="10" t="s">
        <v>220</v>
      </c>
      <c r="B14" s="4" t="s">
        <v>221</v>
      </c>
      <c r="C14" s="28" t="n">
        <f aca="false">C255</f>
        <v>3.60594405760975</v>
      </c>
      <c r="D14" s="28" t="n">
        <f aca="false">D255</f>
        <v>2.84839206633221</v>
      </c>
      <c r="E14" s="28" t="n">
        <f aca="false">E255</f>
        <v>3.90152301533273</v>
      </c>
      <c r="F14" s="30" t="str">
        <f aca="false">INDEX($C$4:$E$4,MATCH(MAX(C14:E14),C14:E14,0))</f>
        <v>C. B2B Prof. Services</v>
      </c>
      <c r="G14" s="28" t="n">
        <f aca="false">MAX(C14:E14)-LARGE(C14:E14,2)</f>
        <v>0.295578957722975</v>
      </c>
    </row>
    <row r="15" customFormat="false" ht="30" hidden="false" customHeight="true" outlineLevel="0" collapsed="false">
      <c r="A15" s="10" t="s">
        <v>222</v>
      </c>
      <c r="B15" s="4" t="s">
        <v>223</v>
      </c>
      <c r="C15" s="28" t="n">
        <f aca="false">C279</f>
        <v>3.75172270324004</v>
      </c>
      <c r="D15" s="28" t="n">
        <f aca="false">D279</f>
        <v>2.5091308629234</v>
      </c>
      <c r="E15" s="28" t="n">
        <f aca="false">E279</f>
        <v>3.71185001533273</v>
      </c>
      <c r="F15" s="30" t="str">
        <f aca="false">INDEX($C$4:$E$4,MATCH(MAX(C15:E15),C15:E15,0))</f>
        <v>A. Industrial Distribution</v>
      </c>
      <c r="G15" s="28" t="n">
        <f aca="false">MAX(C15:E15)-LARGE(C15:E15,2)</f>
        <v>0.0398726879073128</v>
      </c>
    </row>
    <row r="16" customFormat="false" ht="30" hidden="false" customHeight="true" outlineLevel="0" collapsed="false">
      <c r="A16" s="10" t="s">
        <v>224</v>
      </c>
      <c r="B16" s="4" t="s">
        <v>225</v>
      </c>
      <c r="C16" s="28" t="n">
        <f aca="false">C303</f>
        <v>3.65</v>
      </c>
      <c r="D16" s="28" t="n">
        <f aca="false">D303</f>
        <v>2.09532853807718</v>
      </c>
      <c r="E16" s="28" t="n">
        <f aca="false">E303</f>
        <v>3.09216283650591</v>
      </c>
      <c r="F16" s="30" t="str">
        <f aca="false">INDEX($C$4:$E$4,MATCH(MAX(C16:E16),C16:E16,0))</f>
        <v>A. Industrial Distribution</v>
      </c>
      <c r="G16" s="28" t="n">
        <f aca="false">MAX(C16:E16)-LARGE(C16:E16,2)</f>
        <v>0.557837163494088</v>
      </c>
    </row>
    <row r="18" customFormat="false" ht="23.85" hidden="false" customHeight="false" outlineLevel="0" collapsed="false">
      <c r="A18" s="40" t="s">
        <v>226</v>
      </c>
    </row>
    <row r="20" customFormat="false" ht="15" hidden="false" customHeight="false" outlineLevel="0" collapsed="false">
      <c r="A20" s="3" t="s">
        <v>227</v>
      </c>
      <c r="B20" s="12"/>
      <c r="C20" s="12"/>
      <c r="D20" s="12"/>
      <c r="E20" s="12"/>
    </row>
    <row r="21" customFormat="false" ht="15" hidden="false" customHeight="false" outlineLevel="0" collapsed="false">
      <c r="A21" s="4" t="s">
        <v>125</v>
      </c>
      <c r="B21" s="4" t="s">
        <v>126</v>
      </c>
      <c r="C21" s="25" t="n">
        <f aca="false">Inputs!D5</f>
        <v>68163346.58</v>
      </c>
      <c r="D21" s="25" t="n">
        <f aca="false">Inputs!E5</f>
        <v>75842616.73</v>
      </c>
      <c r="E21" s="25" t="n">
        <f aca="false">Inputs!F5</f>
        <v>148227391.96</v>
      </c>
    </row>
    <row r="22" customFormat="false" ht="23.85" hidden="false" customHeight="false" outlineLevel="0" collapsed="false">
      <c r="A22" s="4" t="s">
        <v>127</v>
      </c>
      <c r="B22" s="4" t="s">
        <v>126</v>
      </c>
      <c r="C22" s="6" t="n">
        <f aca="false">Inputs!D6</f>
        <v>5</v>
      </c>
      <c r="D22" s="6" t="n">
        <f aca="false">Inputs!E6</f>
        <v>5</v>
      </c>
      <c r="E22" s="6" t="n">
        <f aca="false">Inputs!F6</f>
        <v>2</v>
      </c>
    </row>
    <row r="23" customFormat="false" ht="23.85" hidden="false" customHeight="false" outlineLevel="0" collapsed="false">
      <c r="A23" s="4" t="s">
        <v>128</v>
      </c>
      <c r="B23" s="4" t="s">
        <v>126</v>
      </c>
      <c r="C23" s="26" t="n">
        <f aca="false">Inputs!D7</f>
        <v>2.54356</v>
      </c>
      <c r="D23" s="26" t="n">
        <f aca="false">Inputs!E7</f>
        <v>0.31725</v>
      </c>
      <c r="E23" s="26" t="n">
        <f aca="false">Inputs!F7</f>
        <v>0.71487</v>
      </c>
    </row>
    <row r="24" customFormat="false" ht="23.85" hidden="false" customHeight="false" outlineLevel="0" collapsed="false">
      <c r="A24" s="4" t="s">
        <v>129</v>
      </c>
      <c r="B24" s="4" t="s">
        <v>126</v>
      </c>
      <c r="C24" s="26" t="n">
        <f aca="false">Inputs!D8</f>
        <v>0.62124</v>
      </c>
      <c r="D24" s="26" t="n">
        <f aca="false">Inputs!E8</f>
        <v>0.97041</v>
      </c>
      <c r="E24" s="26" t="n">
        <f aca="false">Inputs!F8</f>
        <v>1</v>
      </c>
    </row>
    <row r="25" customFormat="false" ht="23.85" hidden="false" customHeight="false" outlineLevel="0" collapsed="false">
      <c r="A25" s="4" t="s">
        <v>130</v>
      </c>
      <c r="B25" s="4" t="s">
        <v>126</v>
      </c>
      <c r="C25" s="6" t="n">
        <f aca="false">Inputs!D9</f>
        <v>4</v>
      </c>
      <c r="D25" s="6" t="n">
        <f aca="false">Inputs!E9</f>
        <v>2</v>
      </c>
      <c r="E25" s="6" t="n">
        <f aca="false">Inputs!F9</f>
        <v>4</v>
      </c>
    </row>
    <row r="26" customFormat="false" ht="15" hidden="false" customHeight="false" outlineLevel="0" collapsed="false">
      <c r="A26" s="4" t="s">
        <v>131</v>
      </c>
      <c r="B26" s="4" t="s">
        <v>126</v>
      </c>
      <c r="C26" s="25" t="n">
        <f aca="false">Inputs!D10</f>
        <v>1864123.57</v>
      </c>
      <c r="D26" s="25" t="n">
        <f aca="false">Inputs!E10</f>
        <v>2149272.49</v>
      </c>
      <c r="E26" s="25" t="n">
        <f aca="false">Inputs!F10</f>
        <v>4178480.91</v>
      </c>
    </row>
    <row r="27" customFormat="false" ht="23.85" hidden="false" customHeight="false" outlineLevel="0" collapsed="false">
      <c r="A27" s="4" t="s">
        <v>132</v>
      </c>
      <c r="B27" s="4" t="s">
        <v>126</v>
      </c>
      <c r="C27" s="27" t="n">
        <f aca="false">Inputs!D11</f>
        <v>27.7</v>
      </c>
      <c r="D27" s="27" t="n">
        <f aca="false">Inputs!E11</f>
        <v>3.65</v>
      </c>
      <c r="E27" s="27" t="n">
        <f aca="false">Inputs!F11</f>
        <v>9.32</v>
      </c>
    </row>
    <row r="28" customFormat="false" ht="15" hidden="false" customHeight="false" outlineLevel="0" collapsed="false">
      <c r="A28" s="4" t="s">
        <v>133</v>
      </c>
      <c r="B28" s="4" t="s">
        <v>126</v>
      </c>
      <c r="C28" s="6" t="n">
        <f aca="false">Inputs!D12</f>
        <v>4</v>
      </c>
      <c r="D28" s="6" t="n">
        <f aca="false">Inputs!E12</f>
        <v>3.3333</v>
      </c>
      <c r="E28" s="6" t="n">
        <f aca="false">Inputs!F12</f>
        <v>2.3333</v>
      </c>
    </row>
    <row r="29" customFormat="false" ht="15" hidden="false" customHeight="false" outlineLevel="0" collapsed="false">
      <c r="A29" s="4" t="s">
        <v>134</v>
      </c>
      <c r="B29" s="4" t="s">
        <v>126</v>
      </c>
      <c r="C29" s="6" t="n">
        <f aca="false">Inputs!D13</f>
        <v>2</v>
      </c>
      <c r="D29" s="6" t="n">
        <f aca="false">Inputs!E13</f>
        <v>1.5</v>
      </c>
      <c r="E29" s="6" t="n">
        <f aca="false">Inputs!F13</f>
        <v>4.5</v>
      </c>
    </row>
    <row r="30" customFormat="false" ht="23.85" hidden="false" customHeight="false" outlineLevel="0" collapsed="false">
      <c r="A30" s="4" t="s">
        <v>135</v>
      </c>
      <c r="B30" s="4" t="s">
        <v>136</v>
      </c>
      <c r="C30" s="14" t="n">
        <f aca="false">Weights!$G$14</f>
        <v>0.5</v>
      </c>
    </row>
    <row r="31" customFormat="false" ht="15" hidden="false" customHeight="false" outlineLevel="0" collapsed="false">
      <c r="A31" s="4" t="s">
        <v>137</v>
      </c>
      <c r="B31" s="4" t="s">
        <v>136</v>
      </c>
      <c r="C31" s="14" t="n">
        <f aca="false">Weights!$G$15</f>
        <v>0.5</v>
      </c>
    </row>
    <row r="32" customFormat="false" ht="15" hidden="false" customHeight="false" outlineLevel="0" collapsed="false">
      <c r="A32" s="4" t="s">
        <v>138</v>
      </c>
      <c r="B32" s="4" t="s">
        <v>136</v>
      </c>
      <c r="C32" s="14" t="n">
        <f aca="false">Weights!$G$16</f>
        <v>0.5</v>
      </c>
    </row>
    <row r="33" customFormat="false" ht="15" hidden="false" customHeight="false" outlineLevel="0" collapsed="false">
      <c r="A33" s="10" t="s">
        <v>139</v>
      </c>
      <c r="B33" s="4" t="s">
        <v>90</v>
      </c>
      <c r="C33" s="28" t="n">
        <f aca="false">$C$30*(1+4*C21/MAX($C$21:$E$21))+(1-$C$30)*C22</f>
        <v>3.91971322815144</v>
      </c>
      <c r="D33" s="28" t="n">
        <f aca="false">$C$30*(1+4*D21/MAX($C$21:$E$21))+(1-$C$30)*D22</f>
        <v>4.02332795210303</v>
      </c>
      <c r="E33" s="28" t="n">
        <f aca="false">$C$30*(1+4*E21/MAX($C$21:$E$21))+(1-$C$30)*E22</f>
        <v>3.5</v>
      </c>
    </row>
    <row r="34" customFormat="false" ht="15" hidden="false" customHeight="false" outlineLevel="0" collapsed="false">
      <c r="A34" s="10" t="s">
        <v>141</v>
      </c>
      <c r="B34" s="4" t="s">
        <v>90</v>
      </c>
      <c r="C34" s="28" t="n">
        <f aca="false">$C$31*(1+4*C23/MAX($C$23:$E$23))+(1-$C$31)*(1+4*MIN($C$24:$E$24)/C24)</f>
        <v>5</v>
      </c>
      <c r="D34" s="28" t="n">
        <f aca="false">$C$31*(1+4*D23/MAX($C$23:$E$23))+(1-$C$31)*(1+4*MIN($C$24:$E$24)/D24)</f>
        <v>2.52981955268848</v>
      </c>
      <c r="E34" s="28" t="n">
        <f aca="false">$C$31*(1+4*E23/MAX($C$23:$E$23))+(1-$C$31)*(1+4*MIN($C$24:$E$24)/E24)</f>
        <v>2.80458193586941</v>
      </c>
    </row>
    <row r="35" customFormat="false" ht="15" hidden="false" customHeight="false" outlineLevel="0" collapsed="false">
      <c r="A35" s="10" t="s">
        <v>143</v>
      </c>
      <c r="B35" s="4" t="s">
        <v>90</v>
      </c>
      <c r="C35" s="28" t="n">
        <f aca="false">C25</f>
        <v>4</v>
      </c>
      <c r="D35" s="28" t="n">
        <f aca="false">D25</f>
        <v>2</v>
      </c>
      <c r="E35" s="28" t="n">
        <f aca="false">E25</f>
        <v>4</v>
      </c>
    </row>
    <row r="36" customFormat="false" ht="15" hidden="false" customHeight="false" outlineLevel="0" collapsed="false">
      <c r="A36" s="10" t="s">
        <v>145</v>
      </c>
      <c r="B36" s="4" t="s">
        <v>90</v>
      </c>
      <c r="C36" s="28" t="n">
        <f aca="false">$C$32*(1+4*C26/MAX($C$26:$E$26))+(1-$C$32)*(1+4*C27/MAX($C$27:$E$27))</f>
        <v>3.89224941319643</v>
      </c>
      <c r="D36" s="28" t="n">
        <f aca="false">$C$32*(1+4*D26/MAX($C$26:$E$26))+(1-$C$32)*(1+4*D27/MAX($C$27:$E$27))</f>
        <v>2.29227181029663</v>
      </c>
      <c r="E36" s="28" t="n">
        <f aca="false">$C$32*(1+4*E26/MAX($C$26:$E$26))+(1-$C$32)*(1+4*E27/MAX($C$27:$E$27))</f>
        <v>3.67292418772563</v>
      </c>
    </row>
    <row r="37" customFormat="false" ht="15" hidden="false" customHeight="false" outlineLevel="0" collapsed="false">
      <c r="A37" s="10" t="s">
        <v>147</v>
      </c>
      <c r="B37" s="4" t="s">
        <v>90</v>
      </c>
      <c r="C37" s="28" t="n">
        <f aca="false">C28</f>
        <v>4</v>
      </c>
      <c r="D37" s="28" t="n">
        <f aca="false">D28</f>
        <v>3.3333</v>
      </c>
      <c r="E37" s="28" t="n">
        <f aca="false">E28</f>
        <v>2.3333</v>
      </c>
    </row>
    <row r="38" customFormat="false" ht="15" hidden="false" customHeight="false" outlineLevel="0" collapsed="false">
      <c r="A38" s="10" t="s">
        <v>149</v>
      </c>
      <c r="B38" s="4" t="s">
        <v>90</v>
      </c>
      <c r="C38" s="28" t="n">
        <f aca="false">C29</f>
        <v>2</v>
      </c>
      <c r="D38" s="28" t="n">
        <f aca="false">D29</f>
        <v>1.5</v>
      </c>
      <c r="E38" s="28" t="n">
        <f aca="false">E29</f>
        <v>4.5</v>
      </c>
    </row>
    <row r="39" customFormat="false" ht="15" hidden="false" customHeight="false" outlineLevel="0" collapsed="false">
      <c r="A39" s="7" t="s">
        <v>151</v>
      </c>
      <c r="B39" s="9" t="s">
        <v>90</v>
      </c>
      <c r="C39" s="29" t="n">
        <f aca="false">SUMPRODUCT(Weights!$B$5:$B$10,C33:C38)</f>
        <v>3.96778005760975</v>
      </c>
      <c r="D39" s="29" t="n">
        <f aca="false">SUMPRODUCT(Weights!$B$5:$B$10,D33:D38)</f>
        <v>2.7044652725028</v>
      </c>
      <c r="E39" s="29" t="n">
        <f aca="false">SUMPRODUCT(Weights!$B$5:$B$10,E33:E38)</f>
        <v>3.41185001533273</v>
      </c>
    </row>
    <row r="40" customFormat="false" ht="15" hidden="false" customHeight="false" outlineLevel="0" collapsed="false">
      <c r="A40" s="10" t="s">
        <v>31</v>
      </c>
      <c r="C40" s="30" t="n">
        <f aca="false">RANK(C39,$C$39:$E$39)</f>
        <v>1</v>
      </c>
      <c r="D40" s="30" t="n">
        <f aca="false">RANK(D39,$C$39:$E$39)</f>
        <v>3</v>
      </c>
      <c r="E40" s="30" t="n">
        <f aca="false">RANK(E39,$C$39:$E$39)</f>
        <v>2</v>
      </c>
    </row>
    <row r="41" customFormat="false" ht="23.85" hidden="false" customHeight="false" outlineLevel="0" collapsed="false">
      <c r="A41" s="10" t="s">
        <v>152</v>
      </c>
      <c r="C41" s="30" t="str">
        <f aca="false">INDEX($C$4:$E$4,MATCH(MAX(C39:E39),C39:E39,0))</f>
        <v>A. Industrial Distribution</v>
      </c>
      <c r="D41" s="28" t="n">
        <f aca="false">MAX(C39:E39)-LARGE(C39:E39,2)</f>
        <v>0.555930042277025</v>
      </c>
      <c r="E41" s="4"/>
    </row>
    <row r="44" customFormat="false" ht="35.05" hidden="false" customHeight="false" outlineLevel="0" collapsed="false">
      <c r="A44" s="3" t="s">
        <v>228</v>
      </c>
      <c r="B44" s="12"/>
      <c r="C44" s="12"/>
      <c r="D44" s="12"/>
      <c r="E44" s="12"/>
    </row>
    <row r="45" customFormat="false" ht="15" hidden="false" customHeight="false" outlineLevel="0" collapsed="false">
      <c r="A45" s="4" t="s">
        <v>125</v>
      </c>
      <c r="B45" s="4" t="s">
        <v>126</v>
      </c>
      <c r="C45" s="25" t="n">
        <f aca="false">Inputs!D5</f>
        <v>68163346.58</v>
      </c>
      <c r="D45" s="25" t="n">
        <f aca="false">Inputs!E5</f>
        <v>75842616.73</v>
      </c>
      <c r="E45" s="25" t="n">
        <f aca="false">Inputs!F5</f>
        <v>148227391.96</v>
      </c>
    </row>
    <row r="46" customFormat="false" ht="23.85" hidden="false" customHeight="false" outlineLevel="0" collapsed="false">
      <c r="A46" s="4" t="s">
        <v>127</v>
      </c>
      <c r="B46" s="4" t="s">
        <v>126</v>
      </c>
      <c r="C46" s="6" t="n">
        <f aca="false">Inputs!D6</f>
        <v>5</v>
      </c>
      <c r="D46" s="6" t="n">
        <f aca="false">Inputs!E6</f>
        <v>5</v>
      </c>
      <c r="E46" s="6" t="n">
        <f aca="false">Inputs!F6</f>
        <v>2</v>
      </c>
    </row>
    <row r="47" customFormat="false" ht="23.85" hidden="false" customHeight="false" outlineLevel="0" collapsed="false">
      <c r="A47" s="4" t="s">
        <v>128</v>
      </c>
      <c r="B47" s="4" t="s">
        <v>126</v>
      </c>
      <c r="C47" s="26" t="n">
        <f aca="false">Inputs!D7</f>
        <v>2.54356</v>
      </c>
      <c r="D47" s="26" t="n">
        <f aca="false">Inputs!E7</f>
        <v>0.31725</v>
      </c>
      <c r="E47" s="26" t="n">
        <f aca="false">Inputs!F7</f>
        <v>0.71487</v>
      </c>
    </row>
    <row r="48" customFormat="false" ht="23.85" hidden="false" customHeight="false" outlineLevel="0" collapsed="false">
      <c r="A48" s="4" t="s">
        <v>129</v>
      </c>
      <c r="B48" s="4" t="s">
        <v>126</v>
      </c>
      <c r="C48" s="26" t="n">
        <f aca="false">Inputs!D8</f>
        <v>0.62124</v>
      </c>
      <c r="D48" s="26" t="n">
        <f aca="false">Inputs!E8</f>
        <v>0.97041</v>
      </c>
      <c r="E48" s="26" t="n">
        <f aca="false">Inputs!F8</f>
        <v>1</v>
      </c>
    </row>
    <row r="49" customFormat="false" ht="23.85" hidden="false" customHeight="false" outlineLevel="0" collapsed="false">
      <c r="A49" s="4" t="s">
        <v>130</v>
      </c>
      <c r="B49" s="4" t="s">
        <v>126</v>
      </c>
      <c r="C49" s="6" t="n">
        <f aca="false">Inputs!D9</f>
        <v>4</v>
      </c>
      <c r="D49" s="6" t="n">
        <f aca="false">Inputs!E9</f>
        <v>2</v>
      </c>
      <c r="E49" s="6" t="n">
        <f aca="false">Inputs!F9</f>
        <v>4</v>
      </c>
    </row>
    <row r="50" customFormat="false" ht="15" hidden="false" customHeight="false" outlineLevel="0" collapsed="false">
      <c r="A50" s="4" t="s">
        <v>131</v>
      </c>
      <c r="B50" s="4" t="s">
        <v>126</v>
      </c>
      <c r="C50" s="25" t="n">
        <f aca="false">Inputs!D10</f>
        <v>1864123.57</v>
      </c>
      <c r="D50" s="25" t="n">
        <f aca="false">Inputs!E10</f>
        <v>2149272.49</v>
      </c>
      <c r="E50" s="25" t="n">
        <f aca="false">Inputs!F10</f>
        <v>4178480.91</v>
      </c>
    </row>
    <row r="51" customFormat="false" ht="23.85" hidden="false" customHeight="false" outlineLevel="0" collapsed="false">
      <c r="A51" s="4" t="s">
        <v>132</v>
      </c>
      <c r="B51" s="4" t="s">
        <v>126</v>
      </c>
      <c r="C51" s="27" t="n">
        <f aca="false">Inputs!D11</f>
        <v>27.7</v>
      </c>
      <c r="D51" s="27" t="n">
        <f aca="false">Inputs!E11</f>
        <v>3.65</v>
      </c>
      <c r="E51" s="27" t="n">
        <f aca="false">Inputs!F11</f>
        <v>9.32</v>
      </c>
    </row>
    <row r="52" customFormat="false" ht="15" hidden="false" customHeight="false" outlineLevel="0" collapsed="false">
      <c r="A52" s="4" t="s">
        <v>133</v>
      </c>
      <c r="B52" s="4" t="s">
        <v>126</v>
      </c>
      <c r="C52" s="6" t="n">
        <f aca="false">Inputs!D12</f>
        <v>4</v>
      </c>
      <c r="D52" s="6" t="n">
        <f aca="false">Inputs!E12</f>
        <v>3.3333</v>
      </c>
      <c r="E52" s="6" t="n">
        <f aca="false">Inputs!F12</f>
        <v>2.3333</v>
      </c>
    </row>
    <row r="53" customFormat="false" ht="15" hidden="false" customHeight="false" outlineLevel="0" collapsed="false">
      <c r="A53" s="4" t="s">
        <v>134</v>
      </c>
      <c r="B53" s="4" t="s">
        <v>126</v>
      </c>
      <c r="C53" s="20" t="n">
        <v>3.5</v>
      </c>
      <c r="D53" s="6" t="n">
        <f aca="false">Inputs!E13</f>
        <v>1.5</v>
      </c>
      <c r="E53" s="6" t="n">
        <f aca="false">Inputs!F13</f>
        <v>4.5</v>
      </c>
    </row>
    <row r="54" customFormat="false" ht="23.85" hidden="false" customHeight="false" outlineLevel="0" collapsed="false">
      <c r="A54" s="4" t="s">
        <v>135</v>
      </c>
      <c r="B54" s="4" t="s">
        <v>136</v>
      </c>
      <c r="C54" s="14" t="n">
        <f aca="false">Weights!$G$14</f>
        <v>0.5</v>
      </c>
    </row>
    <row r="55" customFormat="false" ht="15" hidden="false" customHeight="false" outlineLevel="0" collapsed="false">
      <c r="A55" s="4" t="s">
        <v>137</v>
      </c>
      <c r="B55" s="4" t="s">
        <v>136</v>
      </c>
      <c r="C55" s="14" t="n">
        <f aca="false">Weights!$G$15</f>
        <v>0.5</v>
      </c>
    </row>
    <row r="56" customFormat="false" ht="15" hidden="false" customHeight="false" outlineLevel="0" collapsed="false">
      <c r="A56" s="4" t="s">
        <v>138</v>
      </c>
      <c r="B56" s="4" t="s">
        <v>136</v>
      </c>
      <c r="C56" s="14" t="n">
        <f aca="false">Weights!$G$16</f>
        <v>0.5</v>
      </c>
    </row>
    <row r="57" customFormat="false" ht="15" hidden="false" customHeight="false" outlineLevel="0" collapsed="false">
      <c r="A57" s="10" t="s">
        <v>139</v>
      </c>
      <c r="B57" s="4" t="s">
        <v>90</v>
      </c>
      <c r="C57" s="28" t="n">
        <f aca="false">$C$54*(1+4*C45/MAX($C$45:$E$45))+(1-$C$54)*C46</f>
        <v>3.91971322815144</v>
      </c>
      <c r="D57" s="28" t="n">
        <f aca="false">$C$54*(1+4*D45/MAX($C$45:$E$45))+(1-$C$54)*D46</f>
        <v>4.02332795210303</v>
      </c>
      <c r="E57" s="28" t="n">
        <f aca="false">$C$54*(1+4*E45/MAX($C$45:$E$45))+(1-$C$54)*E46</f>
        <v>3.5</v>
      </c>
    </row>
    <row r="58" customFormat="false" ht="15" hidden="false" customHeight="false" outlineLevel="0" collapsed="false">
      <c r="A58" s="10" t="s">
        <v>141</v>
      </c>
      <c r="B58" s="4" t="s">
        <v>90</v>
      </c>
      <c r="C58" s="28" t="n">
        <f aca="false">$C$55*(1+4*C47/MAX($C$47:$E$47))+(1-$C$55)*(1+4*MIN($C$48:$E$48)/C48)</f>
        <v>5</v>
      </c>
      <c r="D58" s="28" t="n">
        <f aca="false">$C$55*(1+4*D47/MAX($C$47:$E$47))+(1-$C$55)*(1+4*MIN($C$48:$E$48)/D48)</f>
        <v>2.52981955268848</v>
      </c>
      <c r="E58" s="28" t="n">
        <f aca="false">$C$55*(1+4*E47/MAX($C$47:$E$47))+(1-$C$55)*(1+4*MIN($C$48:$E$48)/E48)</f>
        <v>2.80458193586941</v>
      </c>
    </row>
    <row r="59" customFormat="false" ht="15" hidden="false" customHeight="false" outlineLevel="0" collapsed="false">
      <c r="A59" s="10" t="s">
        <v>143</v>
      </c>
      <c r="B59" s="4" t="s">
        <v>90</v>
      </c>
      <c r="C59" s="28" t="n">
        <f aca="false">C49</f>
        <v>4</v>
      </c>
      <c r="D59" s="28" t="n">
        <f aca="false">D49</f>
        <v>2</v>
      </c>
      <c r="E59" s="28" t="n">
        <f aca="false">E49</f>
        <v>4</v>
      </c>
    </row>
    <row r="60" customFormat="false" ht="15" hidden="false" customHeight="false" outlineLevel="0" collapsed="false">
      <c r="A60" s="10" t="s">
        <v>145</v>
      </c>
      <c r="B60" s="4" t="s">
        <v>90</v>
      </c>
      <c r="C60" s="28" t="n">
        <f aca="false">$C$56*(1+4*C50/MAX($C$50:$E$50))+(1-$C$56)*(1+4*C51/MAX($C$51:$E$51))</f>
        <v>3.89224941319643</v>
      </c>
      <c r="D60" s="28" t="n">
        <f aca="false">$C$56*(1+4*D50/MAX($C$50:$E$50))+(1-$C$56)*(1+4*D51/MAX($C$51:$E$51))</f>
        <v>2.29227181029663</v>
      </c>
      <c r="E60" s="28" t="n">
        <f aca="false">$C$56*(1+4*E50/MAX($C$50:$E$50))+(1-$C$56)*(1+4*E51/MAX($C$51:$E$51))</f>
        <v>3.67292418772563</v>
      </c>
    </row>
    <row r="61" customFormat="false" ht="15" hidden="false" customHeight="false" outlineLevel="0" collapsed="false">
      <c r="A61" s="10" t="s">
        <v>147</v>
      </c>
      <c r="B61" s="4" t="s">
        <v>90</v>
      </c>
      <c r="C61" s="28" t="n">
        <f aca="false">C52</f>
        <v>4</v>
      </c>
      <c r="D61" s="28" t="n">
        <f aca="false">D52</f>
        <v>3.3333</v>
      </c>
      <c r="E61" s="28" t="n">
        <f aca="false">E52</f>
        <v>2.3333</v>
      </c>
    </row>
    <row r="62" customFormat="false" ht="15" hidden="false" customHeight="false" outlineLevel="0" collapsed="false">
      <c r="A62" s="10" t="s">
        <v>149</v>
      </c>
      <c r="B62" s="4" t="s">
        <v>90</v>
      </c>
      <c r="C62" s="28" t="n">
        <f aca="false">C53</f>
        <v>3.5</v>
      </c>
      <c r="D62" s="28" t="n">
        <f aca="false">D53</f>
        <v>1.5</v>
      </c>
      <c r="E62" s="28" t="n">
        <f aca="false">E53</f>
        <v>4.5</v>
      </c>
    </row>
    <row r="63" customFormat="false" ht="15" hidden="false" customHeight="false" outlineLevel="0" collapsed="false">
      <c r="A63" s="7" t="s">
        <v>151</v>
      </c>
      <c r="B63" s="9" t="s">
        <v>90</v>
      </c>
      <c r="C63" s="29" t="n">
        <f aca="false">SUMPRODUCT(Weights!$B$5:$B$10,C57:C62)</f>
        <v>4.11778005760975</v>
      </c>
      <c r="D63" s="29" t="n">
        <f aca="false">SUMPRODUCT(Weights!$B$5:$B$10,D57:D62)</f>
        <v>2.7044652725028</v>
      </c>
      <c r="E63" s="29" t="n">
        <f aca="false">SUMPRODUCT(Weights!$B$5:$B$10,E57:E62)</f>
        <v>3.41185001533273</v>
      </c>
    </row>
    <row r="64" customFormat="false" ht="15" hidden="false" customHeight="false" outlineLevel="0" collapsed="false">
      <c r="A64" s="10" t="s">
        <v>31</v>
      </c>
      <c r="C64" s="30" t="n">
        <f aca="false">RANK(C63,$C$63:$E$63)</f>
        <v>1</v>
      </c>
      <c r="D64" s="30" t="n">
        <f aca="false">RANK(D63,$C$63:$E$63)</f>
        <v>3</v>
      </c>
      <c r="E64" s="30" t="n">
        <f aca="false">RANK(E63,$C$63:$E$63)</f>
        <v>2</v>
      </c>
    </row>
    <row r="65" customFormat="false" ht="23.85" hidden="false" customHeight="false" outlineLevel="0" collapsed="false">
      <c r="A65" s="10" t="s">
        <v>152</v>
      </c>
      <c r="C65" s="30" t="str">
        <f aca="false">INDEX($C$4:$E$4,MATCH(MAX(C63:E63),C63:E63,0))</f>
        <v>A. Industrial Distribution</v>
      </c>
      <c r="D65" s="28" t="n">
        <f aca="false">MAX(C63:E63)-LARGE(C63:E63,2)</f>
        <v>0.705930042277025</v>
      </c>
      <c r="E65" s="4"/>
    </row>
    <row r="68" customFormat="false" ht="35.05" hidden="false" customHeight="false" outlineLevel="0" collapsed="false">
      <c r="A68" s="3" t="s">
        <v>229</v>
      </c>
      <c r="B68" s="12"/>
      <c r="C68" s="12"/>
      <c r="D68" s="12"/>
      <c r="E68" s="12"/>
    </row>
    <row r="69" customFormat="false" ht="15" hidden="false" customHeight="false" outlineLevel="0" collapsed="false">
      <c r="A69" s="4" t="s">
        <v>125</v>
      </c>
      <c r="B69" s="4" t="s">
        <v>126</v>
      </c>
      <c r="C69" s="25" t="n">
        <f aca="false">Inputs!D5</f>
        <v>68163346.58</v>
      </c>
      <c r="D69" s="25" t="n">
        <f aca="false">Inputs!E5</f>
        <v>75842616.73</v>
      </c>
      <c r="E69" s="25" t="n">
        <f aca="false">Inputs!F5</f>
        <v>148227391.96</v>
      </c>
    </row>
    <row r="70" customFormat="false" ht="23.85" hidden="false" customHeight="false" outlineLevel="0" collapsed="false">
      <c r="A70" s="4" t="s">
        <v>127</v>
      </c>
      <c r="B70" s="4" t="s">
        <v>126</v>
      </c>
      <c r="C70" s="6" t="n">
        <f aca="false">Inputs!D6</f>
        <v>5</v>
      </c>
      <c r="D70" s="6" t="n">
        <f aca="false">Inputs!E6</f>
        <v>5</v>
      </c>
      <c r="E70" s="20" t="n">
        <v>4</v>
      </c>
    </row>
    <row r="71" customFormat="false" ht="23.85" hidden="false" customHeight="false" outlineLevel="0" collapsed="false">
      <c r="A71" s="4" t="s">
        <v>128</v>
      </c>
      <c r="B71" s="4" t="s">
        <v>126</v>
      </c>
      <c r="C71" s="26" t="n">
        <f aca="false">Inputs!D7</f>
        <v>2.54356</v>
      </c>
      <c r="D71" s="26" t="n">
        <f aca="false">Inputs!E7</f>
        <v>0.31725</v>
      </c>
      <c r="E71" s="26" t="n">
        <f aca="false">Inputs!F7</f>
        <v>0.71487</v>
      </c>
    </row>
    <row r="72" customFormat="false" ht="23.85" hidden="false" customHeight="false" outlineLevel="0" collapsed="false">
      <c r="A72" s="4" t="s">
        <v>129</v>
      </c>
      <c r="B72" s="4" t="s">
        <v>126</v>
      </c>
      <c r="C72" s="26" t="n">
        <f aca="false">Inputs!D8</f>
        <v>0.62124</v>
      </c>
      <c r="D72" s="26" t="n">
        <f aca="false">Inputs!E8</f>
        <v>0.97041</v>
      </c>
      <c r="E72" s="26" t="n">
        <f aca="false">Inputs!F8</f>
        <v>1</v>
      </c>
    </row>
    <row r="73" customFormat="false" ht="23.85" hidden="false" customHeight="false" outlineLevel="0" collapsed="false">
      <c r="A73" s="4" t="s">
        <v>130</v>
      </c>
      <c r="B73" s="4" t="s">
        <v>126</v>
      </c>
      <c r="C73" s="6" t="n">
        <f aca="false">Inputs!D9</f>
        <v>4</v>
      </c>
      <c r="D73" s="6" t="n">
        <f aca="false">Inputs!E9</f>
        <v>2</v>
      </c>
      <c r="E73" s="6" t="n">
        <f aca="false">Inputs!F9</f>
        <v>4</v>
      </c>
    </row>
    <row r="74" customFormat="false" ht="15" hidden="false" customHeight="false" outlineLevel="0" collapsed="false">
      <c r="A74" s="4" t="s">
        <v>131</v>
      </c>
      <c r="B74" s="4" t="s">
        <v>126</v>
      </c>
      <c r="C74" s="25" t="n">
        <f aca="false">Inputs!D10</f>
        <v>1864123.57</v>
      </c>
      <c r="D74" s="25" t="n">
        <f aca="false">Inputs!E10</f>
        <v>2149272.49</v>
      </c>
      <c r="E74" s="25" t="n">
        <f aca="false">Inputs!F10</f>
        <v>4178480.91</v>
      </c>
    </row>
    <row r="75" customFormat="false" ht="23.85" hidden="false" customHeight="false" outlineLevel="0" collapsed="false">
      <c r="A75" s="4" t="s">
        <v>132</v>
      </c>
      <c r="B75" s="4" t="s">
        <v>126</v>
      </c>
      <c r="C75" s="27" t="n">
        <f aca="false">Inputs!D11</f>
        <v>27.7</v>
      </c>
      <c r="D75" s="27" t="n">
        <f aca="false">Inputs!E11</f>
        <v>3.65</v>
      </c>
      <c r="E75" s="27" t="n">
        <f aca="false">Inputs!F11</f>
        <v>9.32</v>
      </c>
    </row>
    <row r="76" customFormat="false" ht="15" hidden="false" customHeight="false" outlineLevel="0" collapsed="false">
      <c r="A76" s="4" t="s">
        <v>133</v>
      </c>
      <c r="B76" s="4" t="s">
        <v>126</v>
      </c>
      <c r="C76" s="6" t="n">
        <f aca="false">Inputs!D12</f>
        <v>4</v>
      </c>
      <c r="D76" s="6" t="n">
        <f aca="false">Inputs!E12</f>
        <v>3.3333</v>
      </c>
      <c r="E76" s="6" t="n">
        <f aca="false">Inputs!F12</f>
        <v>2.3333</v>
      </c>
    </row>
    <row r="77" customFormat="false" ht="15" hidden="false" customHeight="false" outlineLevel="0" collapsed="false">
      <c r="A77" s="4" t="s">
        <v>134</v>
      </c>
      <c r="B77" s="4" t="s">
        <v>126</v>
      </c>
      <c r="C77" s="6" t="n">
        <f aca="false">Inputs!D13</f>
        <v>2</v>
      </c>
      <c r="D77" s="6" t="n">
        <f aca="false">Inputs!E13</f>
        <v>1.5</v>
      </c>
      <c r="E77" s="6" t="n">
        <f aca="false">Inputs!F13</f>
        <v>4.5</v>
      </c>
    </row>
    <row r="78" customFormat="false" ht="23.85" hidden="false" customHeight="false" outlineLevel="0" collapsed="false">
      <c r="A78" s="4" t="s">
        <v>135</v>
      </c>
      <c r="B78" s="4" t="s">
        <v>136</v>
      </c>
      <c r="C78" s="14" t="n">
        <f aca="false">Weights!$G$14</f>
        <v>0.5</v>
      </c>
    </row>
    <row r="79" customFormat="false" ht="15" hidden="false" customHeight="false" outlineLevel="0" collapsed="false">
      <c r="A79" s="4" t="s">
        <v>137</v>
      </c>
      <c r="B79" s="4" t="s">
        <v>136</v>
      </c>
      <c r="C79" s="14" t="n">
        <f aca="false">Weights!$G$15</f>
        <v>0.5</v>
      </c>
    </row>
    <row r="80" customFormat="false" ht="15" hidden="false" customHeight="false" outlineLevel="0" collapsed="false">
      <c r="A80" s="4" t="s">
        <v>138</v>
      </c>
      <c r="B80" s="4" t="s">
        <v>136</v>
      </c>
      <c r="C80" s="14" t="n">
        <f aca="false">Weights!$G$16</f>
        <v>0.5</v>
      </c>
    </row>
    <row r="81" customFormat="false" ht="15" hidden="false" customHeight="false" outlineLevel="0" collapsed="false">
      <c r="A81" s="10" t="s">
        <v>139</v>
      </c>
      <c r="B81" s="4" t="s">
        <v>90</v>
      </c>
      <c r="C81" s="28" t="n">
        <f aca="false">$C$78*(1+4*C69/MAX($C$69:$E$69))+(1-$C$78)*C70</f>
        <v>3.91971322815144</v>
      </c>
      <c r="D81" s="28" t="n">
        <f aca="false">$C$78*(1+4*D69/MAX($C$69:$E$69))+(1-$C$78)*D70</f>
        <v>4.02332795210303</v>
      </c>
      <c r="E81" s="28" t="n">
        <f aca="false">$C$78*(1+4*E69/MAX($C$69:$E$69))+(1-$C$78)*E70</f>
        <v>4.5</v>
      </c>
    </row>
    <row r="82" customFormat="false" ht="15" hidden="false" customHeight="false" outlineLevel="0" collapsed="false">
      <c r="A82" s="10" t="s">
        <v>141</v>
      </c>
      <c r="B82" s="4" t="s">
        <v>90</v>
      </c>
      <c r="C82" s="28" t="n">
        <f aca="false">$C$79*(1+4*C71/MAX($C$71:$E$71))+(1-$C$79)*(1+4*MIN($C$72:$E$72)/C72)</f>
        <v>5</v>
      </c>
      <c r="D82" s="28" t="n">
        <f aca="false">$C$79*(1+4*D71/MAX($C$71:$E$71))+(1-$C$79)*(1+4*MIN($C$72:$E$72)/D72)</f>
        <v>2.52981955268848</v>
      </c>
      <c r="E82" s="28" t="n">
        <f aca="false">$C$79*(1+4*E71/MAX($C$71:$E$71))+(1-$C$79)*(1+4*MIN($C$72:$E$72)/E72)</f>
        <v>2.80458193586941</v>
      </c>
    </row>
    <row r="83" customFormat="false" ht="15" hidden="false" customHeight="false" outlineLevel="0" collapsed="false">
      <c r="A83" s="10" t="s">
        <v>143</v>
      </c>
      <c r="B83" s="4" t="s">
        <v>90</v>
      </c>
      <c r="C83" s="28" t="n">
        <f aca="false">C73</f>
        <v>4</v>
      </c>
      <c r="D83" s="28" t="n">
        <f aca="false">D73</f>
        <v>2</v>
      </c>
      <c r="E83" s="28" t="n">
        <f aca="false">E73</f>
        <v>4</v>
      </c>
    </row>
    <row r="84" customFormat="false" ht="15" hidden="false" customHeight="false" outlineLevel="0" collapsed="false">
      <c r="A84" s="10" t="s">
        <v>145</v>
      </c>
      <c r="B84" s="4" t="s">
        <v>90</v>
      </c>
      <c r="C84" s="28" t="n">
        <f aca="false">$C$80*(1+4*C74/MAX($C$74:$E$74))+(1-$C$80)*(1+4*C75/MAX($C$75:$E$75))</f>
        <v>3.89224941319643</v>
      </c>
      <c r="D84" s="28" t="n">
        <f aca="false">$C$80*(1+4*D74/MAX($C$74:$E$74))+(1-$C$80)*(1+4*D75/MAX($C$75:$E$75))</f>
        <v>2.29227181029663</v>
      </c>
      <c r="E84" s="28" t="n">
        <f aca="false">$C$80*(1+4*E74/MAX($C$74:$E$74))+(1-$C$80)*(1+4*E75/MAX($C$75:$E$75))</f>
        <v>3.67292418772563</v>
      </c>
    </row>
    <row r="85" customFormat="false" ht="15" hidden="false" customHeight="false" outlineLevel="0" collapsed="false">
      <c r="A85" s="10" t="s">
        <v>147</v>
      </c>
      <c r="B85" s="4" t="s">
        <v>90</v>
      </c>
      <c r="C85" s="28" t="n">
        <f aca="false">C76</f>
        <v>4</v>
      </c>
      <c r="D85" s="28" t="n">
        <f aca="false">D76</f>
        <v>3.3333</v>
      </c>
      <c r="E85" s="28" t="n">
        <f aca="false">E76</f>
        <v>2.3333</v>
      </c>
    </row>
    <row r="86" customFormat="false" ht="15" hidden="false" customHeight="false" outlineLevel="0" collapsed="false">
      <c r="A86" s="10" t="s">
        <v>149</v>
      </c>
      <c r="B86" s="4" t="s">
        <v>90</v>
      </c>
      <c r="C86" s="28" t="n">
        <f aca="false">C77</f>
        <v>2</v>
      </c>
      <c r="D86" s="28" t="n">
        <f aca="false">D77</f>
        <v>1.5</v>
      </c>
      <c r="E86" s="28" t="n">
        <f aca="false">E77</f>
        <v>4.5</v>
      </c>
    </row>
    <row r="87" customFormat="false" ht="15" hidden="false" customHeight="false" outlineLevel="0" collapsed="false">
      <c r="A87" s="7" t="s">
        <v>151</v>
      </c>
      <c r="B87" s="9" t="s">
        <v>90</v>
      </c>
      <c r="C87" s="29" t="n">
        <f aca="false">SUMPRODUCT(Weights!$B$5:$B$10,C81:C86)</f>
        <v>3.96778005760975</v>
      </c>
      <c r="D87" s="29" t="n">
        <f aca="false">SUMPRODUCT(Weights!$B$5:$B$10,D81:D86)</f>
        <v>2.7044652725028</v>
      </c>
      <c r="E87" s="29" t="n">
        <f aca="false">SUMPRODUCT(Weights!$B$5:$B$10,E81:E86)</f>
        <v>3.61185001533273</v>
      </c>
    </row>
    <row r="88" customFormat="false" ht="15" hidden="false" customHeight="false" outlineLevel="0" collapsed="false">
      <c r="A88" s="10" t="s">
        <v>31</v>
      </c>
      <c r="C88" s="30" t="n">
        <f aca="false">RANK(C87,$C$87:$E$87)</f>
        <v>1</v>
      </c>
      <c r="D88" s="30" t="n">
        <f aca="false">RANK(D87,$C$87:$E$87)</f>
        <v>3</v>
      </c>
      <c r="E88" s="30" t="n">
        <f aca="false">RANK(E87,$C$87:$E$87)</f>
        <v>2</v>
      </c>
    </row>
    <row r="89" customFormat="false" ht="23.85" hidden="false" customHeight="false" outlineLevel="0" collapsed="false">
      <c r="A89" s="10" t="s">
        <v>152</v>
      </c>
      <c r="C89" s="30" t="str">
        <f aca="false">INDEX($C$4:$E$4,MATCH(MAX(C87:E87),C87:E87,0))</f>
        <v>A. Industrial Distribution</v>
      </c>
      <c r="D89" s="28" t="n">
        <f aca="false">MAX(C87:E87)-LARGE(C87:E87,2)</f>
        <v>0.355930042277025</v>
      </c>
      <c r="E89" s="4"/>
    </row>
    <row r="92" customFormat="false" ht="35.05" hidden="false" customHeight="false" outlineLevel="0" collapsed="false">
      <c r="A92" s="3" t="s">
        <v>230</v>
      </c>
      <c r="B92" s="12"/>
      <c r="C92" s="12"/>
      <c r="D92" s="12"/>
      <c r="E92" s="12"/>
    </row>
    <row r="93" customFormat="false" ht="15" hidden="false" customHeight="false" outlineLevel="0" collapsed="false">
      <c r="A93" s="4" t="s">
        <v>125</v>
      </c>
      <c r="B93" s="4" t="s">
        <v>126</v>
      </c>
      <c r="C93" s="25" t="n">
        <f aca="false">Inputs!D5</f>
        <v>68163346.58</v>
      </c>
      <c r="D93" s="25" t="n">
        <f aca="false">Inputs!E5</f>
        <v>75842616.73</v>
      </c>
      <c r="E93" s="25" t="n">
        <f aca="false">Inputs!F5</f>
        <v>148227391.96</v>
      </c>
    </row>
    <row r="94" customFormat="false" ht="23.85" hidden="false" customHeight="false" outlineLevel="0" collapsed="false">
      <c r="A94" s="4" t="s">
        <v>127</v>
      </c>
      <c r="B94" s="4" t="s">
        <v>126</v>
      </c>
      <c r="C94" s="6" t="n">
        <f aca="false">Inputs!D6</f>
        <v>5</v>
      </c>
      <c r="D94" s="6" t="n">
        <f aca="false">Inputs!E6</f>
        <v>5</v>
      </c>
      <c r="E94" s="6" t="n">
        <f aca="false">Inputs!F6</f>
        <v>2</v>
      </c>
    </row>
    <row r="95" customFormat="false" ht="23.85" hidden="false" customHeight="false" outlineLevel="0" collapsed="false">
      <c r="A95" s="4" t="s">
        <v>128</v>
      </c>
      <c r="B95" s="4" t="s">
        <v>126</v>
      </c>
      <c r="C95" s="26" t="n">
        <f aca="false">Inputs!D7</f>
        <v>2.54356</v>
      </c>
      <c r="D95" s="26" t="n">
        <f aca="false">Inputs!E7</f>
        <v>0.31725</v>
      </c>
      <c r="E95" s="26" t="n">
        <f aca="false">Inputs!F7</f>
        <v>0.71487</v>
      </c>
    </row>
    <row r="96" customFormat="false" ht="23.85" hidden="false" customHeight="false" outlineLevel="0" collapsed="false">
      <c r="A96" s="4" t="s">
        <v>129</v>
      </c>
      <c r="B96" s="4" t="s">
        <v>126</v>
      </c>
      <c r="C96" s="41" t="n">
        <v>1</v>
      </c>
      <c r="D96" s="26" t="n">
        <f aca="false">Inputs!E8</f>
        <v>0.97041</v>
      </c>
      <c r="E96" s="26" t="n">
        <f aca="false">Inputs!F8</f>
        <v>1</v>
      </c>
    </row>
    <row r="97" customFormat="false" ht="23.85" hidden="false" customHeight="false" outlineLevel="0" collapsed="false">
      <c r="A97" s="4" t="s">
        <v>130</v>
      </c>
      <c r="B97" s="4" t="s">
        <v>126</v>
      </c>
      <c r="C97" s="6" t="n">
        <f aca="false">Inputs!D9</f>
        <v>4</v>
      </c>
      <c r="D97" s="6" t="n">
        <f aca="false">Inputs!E9</f>
        <v>2</v>
      </c>
      <c r="E97" s="6" t="n">
        <f aca="false">Inputs!F9</f>
        <v>4</v>
      </c>
    </row>
    <row r="98" customFormat="false" ht="15" hidden="false" customHeight="false" outlineLevel="0" collapsed="false">
      <c r="A98" s="4" t="s">
        <v>131</v>
      </c>
      <c r="B98" s="4" t="s">
        <v>126</v>
      </c>
      <c r="C98" s="25" t="n">
        <f aca="false">Inputs!D10</f>
        <v>1864123.57</v>
      </c>
      <c r="D98" s="25" t="n">
        <f aca="false">Inputs!E10</f>
        <v>2149272.49</v>
      </c>
      <c r="E98" s="25" t="n">
        <f aca="false">Inputs!F10</f>
        <v>4178480.91</v>
      </c>
    </row>
    <row r="99" customFormat="false" ht="23.85" hidden="false" customHeight="false" outlineLevel="0" collapsed="false">
      <c r="A99" s="4" t="s">
        <v>132</v>
      </c>
      <c r="B99" s="4" t="s">
        <v>126</v>
      </c>
      <c r="C99" s="27" t="n">
        <f aca="false">Inputs!D11</f>
        <v>27.7</v>
      </c>
      <c r="D99" s="27" t="n">
        <f aca="false">Inputs!E11</f>
        <v>3.65</v>
      </c>
      <c r="E99" s="27" t="n">
        <f aca="false">Inputs!F11</f>
        <v>9.32</v>
      </c>
    </row>
    <row r="100" customFormat="false" ht="15" hidden="false" customHeight="false" outlineLevel="0" collapsed="false">
      <c r="A100" s="4" t="s">
        <v>133</v>
      </c>
      <c r="B100" s="4" t="s">
        <v>126</v>
      </c>
      <c r="C100" s="6" t="n">
        <f aca="false">Inputs!D12</f>
        <v>4</v>
      </c>
      <c r="D100" s="6" t="n">
        <f aca="false">Inputs!E12</f>
        <v>3.3333</v>
      </c>
      <c r="E100" s="6" t="n">
        <f aca="false">Inputs!F12</f>
        <v>2.3333</v>
      </c>
    </row>
    <row r="101" customFormat="false" ht="15" hidden="false" customHeight="false" outlineLevel="0" collapsed="false">
      <c r="A101" s="4" t="s">
        <v>134</v>
      </c>
      <c r="B101" s="4" t="s">
        <v>126</v>
      </c>
      <c r="C101" s="6" t="n">
        <f aca="false">Inputs!D13</f>
        <v>2</v>
      </c>
      <c r="D101" s="6" t="n">
        <f aca="false">Inputs!E13</f>
        <v>1.5</v>
      </c>
      <c r="E101" s="6" t="n">
        <f aca="false">Inputs!F13</f>
        <v>4.5</v>
      </c>
    </row>
    <row r="102" customFormat="false" ht="23.85" hidden="false" customHeight="false" outlineLevel="0" collapsed="false">
      <c r="A102" s="4" t="s">
        <v>135</v>
      </c>
      <c r="B102" s="4" t="s">
        <v>136</v>
      </c>
      <c r="C102" s="14" t="n">
        <f aca="false">Weights!$G$14</f>
        <v>0.5</v>
      </c>
    </row>
    <row r="103" customFormat="false" ht="15" hidden="false" customHeight="false" outlineLevel="0" collapsed="false">
      <c r="A103" s="4" t="s">
        <v>137</v>
      </c>
      <c r="B103" s="4" t="s">
        <v>136</v>
      </c>
      <c r="C103" s="14" t="n">
        <f aca="false">Weights!$G$15</f>
        <v>0.5</v>
      </c>
    </row>
    <row r="104" customFormat="false" ht="15" hidden="false" customHeight="false" outlineLevel="0" collapsed="false">
      <c r="A104" s="4" t="s">
        <v>138</v>
      </c>
      <c r="B104" s="4" t="s">
        <v>136</v>
      </c>
      <c r="C104" s="14" t="n">
        <f aca="false">Weights!$G$16</f>
        <v>0.5</v>
      </c>
    </row>
    <row r="105" customFormat="false" ht="15" hidden="false" customHeight="false" outlineLevel="0" collapsed="false">
      <c r="A105" s="10" t="s">
        <v>139</v>
      </c>
      <c r="B105" s="4" t="s">
        <v>90</v>
      </c>
      <c r="C105" s="28" t="n">
        <f aca="false">$C$102*(1+4*C93/MAX($C$93:$E$93))+(1-$C$102)*C94</f>
        <v>3.91971322815144</v>
      </c>
      <c r="D105" s="28" t="n">
        <f aca="false">$C$102*(1+4*D93/MAX($C$93:$E$93))+(1-$C$102)*D94</f>
        <v>4.02332795210303</v>
      </c>
      <c r="E105" s="28" t="n">
        <f aca="false">$C$102*(1+4*E93/MAX($C$93:$E$93))+(1-$C$102)*E94</f>
        <v>3.5</v>
      </c>
    </row>
    <row r="106" customFormat="false" ht="15" hidden="false" customHeight="false" outlineLevel="0" collapsed="false">
      <c r="A106" s="10" t="s">
        <v>141</v>
      </c>
      <c r="B106" s="4" t="s">
        <v>90</v>
      </c>
      <c r="C106" s="28" t="n">
        <f aca="false">$C$103*(1+4*C95/MAX($C$95:$E$95))+(1-$C$103)*(1+4*MIN($C$96:$E$96)/C96)</f>
        <v>4.94082</v>
      </c>
      <c r="D106" s="28" t="n">
        <f aca="false">$C$103*(1+4*D95/MAX($C$95:$E$95))+(1-$C$103)*(1+4*MIN($C$96:$E$96)/D96)</f>
        <v>3.24945352183554</v>
      </c>
      <c r="E106" s="28" t="n">
        <f aca="false">$C$103*(1+4*E95/MAX($C$95:$E$95))+(1-$C$103)*(1+4*MIN($C$96:$E$96)/E96)</f>
        <v>3.50292193586941</v>
      </c>
    </row>
    <row r="107" customFormat="false" ht="15" hidden="false" customHeight="false" outlineLevel="0" collapsed="false">
      <c r="A107" s="10" t="s">
        <v>143</v>
      </c>
      <c r="B107" s="4" t="s">
        <v>90</v>
      </c>
      <c r="C107" s="28" t="n">
        <f aca="false">C97</f>
        <v>4</v>
      </c>
      <c r="D107" s="28" t="n">
        <f aca="false">D97</f>
        <v>2</v>
      </c>
      <c r="E107" s="28" t="n">
        <f aca="false">E97</f>
        <v>4</v>
      </c>
    </row>
    <row r="108" customFormat="false" ht="15" hidden="false" customHeight="false" outlineLevel="0" collapsed="false">
      <c r="A108" s="10" t="s">
        <v>145</v>
      </c>
      <c r="B108" s="4" t="s">
        <v>90</v>
      </c>
      <c r="C108" s="28" t="n">
        <f aca="false">$C$104*(1+4*C98/MAX($C$98:$E$98))+(1-$C$104)*(1+4*C99/MAX($C$99:$E$99))</f>
        <v>3.89224941319643</v>
      </c>
      <c r="D108" s="28" t="n">
        <f aca="false">$C$104*(1+4*D98/MAX($C$98:$E$98))+(1-$C$104)*(1+4*D99/MAX($C$99:$E$99))</f>
        <v>2.29227181029663</v>
      </c>
      <c r="E108" s="28" t="n">
        <f aca="false">$C$104*(1+4*E98/MAX($C$98:$E$98))+(1-$C$104)*(1+4*E99/MAX($C$99:$E$99))</f>
        <v>3.67292418772563</v>
      </c>
    </row>
    <row r="109" customFormat="false" ht="15" hidden="false" customHeight="false" outlineLevel="0" collapsed="false">
      <c r="A109" s="10" t="s">
        <v>147</v>
      </c>
      <c r="B109" s="4" t="s">
        <v>90</v>
      </c>
      <c r="C109" s="28" t="n">
        <f aca="false">C100</f>
        <v>4</v>
      </c>
      <c r="D109" s="28" t="n">
        <f aca="false">D100</f>
        <v>3.3333</v>
      </c>
      <c r="E109" s="28" t="n">
        <f aca="false">E100</f>
        <v>2.3333</v>
      </c>
    </row>
    <row r="110" customFormat="false" ht="15" hidden="false" customHeight="false" outlineLevel="0" collapsed="false">
      <c r="A110" s="10" t="s">
        <v>149</v>
      </c>
      <c r="B110" s="4" t="s">
        <v>90</v>
      </c>
      <c r="C110" s="28" t="n">
        <f aca="false">C101</f>
        <v>2</v>
      </c>
      <c r="D110" s="28" t="n">
        <f aca="false">D101</f>
        <v>1.5</v>
      </c>
      <c r="E110" s="28" t="n">
        <f aca="false">E101</f>
        <v>4.5</v>
      </c>
    </row>
    <row r="111" customFormat="false" ht="15" hidden="false" customHeight="false" outlineLevel="0" collapsed="false">
      <c r="A111" s="7" t="s">
        <v>151</v>
      </c>
      <c r="B111" s="9" t="s">
        <v>90</v>
      </c>
      <c r="C111" s="29" t="n">
        <f aca="false">SUMPRODUCT(Weights!$B$5:$B$10,C105:C110)</f>
        <v>3.95594405760975</v>
      </c>
      <c r="D111" s="29" t="n">
        <f aca="false">SUMPRODUCT(Weights!$B$5:$B$10,D105:D110)</f>
        <v>2.84839206633221</v>
      </c>
      <c r="E111" s="29" t="n">
        <f aca="false">SUMPRODUCT(Weights!$B$5:$B$10,E105:E110)</f>
        <v>3.55151801533273</v>
      </c>
    </row>
    <row r="112" customFormat="false" ht="15" hidden="false" customHeight="false" outlineLevel="0" collapsed="false">
      <c r="A112" s="10" t="s">
        <v>31</v>
      </c>
      <c r="C112" s="30" t="n">
        <f aca="false">RANK(C111,$C$111:$E$111)</f>
        <v>1</v>
      </c>
      <c r="D112" s="30" t="n">
        <f aca="false">RANK(D111,$C$111:$E$111)</f>
        <v>3</v>
      </c>
      <c r="E112" s="30" t="n">
        <f aca="false">RANK(E111,$C$111:$E$111)</f>
        <v>2</v>
      </c>
    </row>
    <row r="113" customFormat="false" ht="23.85" hidden="false" customHeight="false" outlineLevel="0" collapsed="false">
      <c r="A113" s="10" t="s">
        <v>152</v>
      </c>
      <c r="C113" s="30" t="str">
        <f aca="false">INDEX($C$4:$E$4,MATCH(MAX(C111:E111),C111:E111,0))</f>
        <v>A. Industrial Distribution</v>
      </c>
      <c r="D113" s="28" t="n">
        <f aca="false">MAX(C111:E111)-LARGE(C111:E111,2)</f>
        <v>0.404426042277025</v>
      </c>
      <c r="E113" s="4"/>
    </row>
    <row r="116" customFormat="false" ht="35.05" hidden="false" customHeight="false" outlineLevel="0" collapsed="false">
      <c r="A116" s="3" t="s">
        <v>231</v>
      </c>
      <c r="B116" s="12"/>
      <c r="C116" s="12"/>
      <c r="D116" s="12"/>
      <c r="E116" s="12"/>
    </row>
    <row r="117" customFormat="false" ht="15" hidden="false" customHeight="false" outlineLevel="0" collapsed="false">
      <c r="A117" s="4" t="s">
        <v>125</v>
      </c>
      <c r="B117" s="4" t="s">
        <v>126</v>
      </c>
      <c r="C117" s="25" t="n">
        <f aca="false">Inputs!D5</f>
        <v>68163346.58</v>
      </c>
      <c r="D117" s="25" t="n">
        <f aca="false">Inputs!E5</f>
        <v>75842616.73</v>
      </c>
      <c r="E117" s="25" t="n">
        <f aca="false">Inputs!F5</f>
        <v>148227391.96</v>
      </c>
    </row>
    <row r="118" customFormat="false" ht="23.85" hidden="false" customHeight="false" outlineLevel="0" collapsed="false">
      <c r="A118" s="4" t="s">
        <v>127</v>
      </c>
      <c r="B118" s="4" t="s">
        <v>126</v>
      </c>
      <c r="C118" s="6" t="n">
        <f aca="false">Inputs!D6</f>
        <v>5</v>
      </c>
      <c r="D118" s="6" t="n">
        <f aca="false">Inputs!E6</f>
        <v>5</v>
      </c>
      <c r="E118" s="6" t="n">
        <f aca="false">Inputs!F6</f>
        <v>2</v>
      </c>
    </row>
    <row r="119" customFormat="false" ht="23.85" hidden="false" customHeight="false" outlineLevel="0" collapsed="false">
      <c r="A119" s="4" t="s">
        <v>128</v>
      </c>
      <c r="B119" s="4" t="s">
        <v>126</v>
      </c>
      <c r="C119" s="26" t="n">
        <f aca="false">Inputs!D7</f>
        <v>2.54356</v>
      </c>
      <c r="D119" s="26" t="n">
        <f aca="false">Inputs!E7</f>
        <v>0.31725</v>
      </c>
      <c r="E119" s="26" t="n">
        <f aca="false">Inputs!F7</f>
        <v>0.71487</v>
      </c>
    </row>
    <row r="120" customFormat="false" ht="23.85" hidden="false" customHeight="false" outlineLevel="0" collapsed="false">
      <c r="A120" s="4" t="s">
        <v>129</v>
      </c>
      <c r="B120" s="4" t="s">
        <v>126</v>
      </c>
      <c r="C120" s="26" t="n">
        <f aca="false">Inputs!D8</f>
        <v>0.62124</v>
      </c>
      <c r="D120" s="26" t="n">
        <f aca="false">Inputs!E8</f>
        <v>0.97041</v>
      </c>
      <c r="E120" s="26" t="n">
        <f aca="false">Inputs!F8</f>
        <v>1</v>
      </c>
    </row>
    <row r="121" customFormat="false" ht="23.85" hidden="false" customHeight="false" outlineLevel="0" collapsed="false">
      <c r="A121" s="4" t="s">
        <v>130</v>
      </c>
      <c r="B121" s="4" t="s">
        <v>126</v>
      </c>
      <c r="C121" s="6" t="n">
        <f aca="false">Inputs!D9</f>
        <v>4</v>
      </c>
      <c r="D121" s="6" t="n">
        <f aca="false">Inputs!E9</f>
        <v>2</v>
      </c>
      <c r="E121" s="6" t="n">
        <f aca="false">Inputs!F9</f>
        <v>4</v>
      </c>
    </row>
    <row r="122" customFormat="false" ht="15" hidden="false" customHeight="false" outlineLevel="0" collapsed="false">
      <c r="A122" s="4" t="s">
        <v>131</v>
      </c>
      <c r="B122" s="4" t="s">
        <v>126</v>
      </c>
      <c r="C122" s="25" t="n">
        <f aca="false">Inputs!D10</f>
        <v>1864123.57</v>
      </c>
      <c r="D122" s="25" t="n">
        <f aca="false">Inputs!E10</f>
        <v>2149272.49</v>
      </c>
      <c r="E122" s="25" t="n">
        <f aca="false">Inputs!F10</f>
        <v>4178480.91</v>
      </c>
    </row>
    <row r="123" customFormat="false" ht="23.85" hidden="false" customHeight="false" outlineLevel="0" collapsed="false">
      <c r="A123" s="4" t="s">
        <v>132</v>
      </c>
      <c r="B123" s="4" t="s">
        <v>126</v>
      </c>
      <c r="C123" s="27" t="n">
        <f aca="false">Inputs!D11</f>
        <v>27.7</v>
      </c>
      <c r="D123" s="27" t="n">
        <f aca="false">Inputs!E11</f>
        <v>3.65</v>
      </c>
      <c r="E123" s="27" t="n">
        <f aca="false">Inputs!F11</f>
        <v>9.32</v>
      </c>
    </row>
    <row r="124" customFormat="false" ht="15" hidden="false" customHeight="false" outlineLevel="0" collapsed="false">
      <c r="A124" s="4" t="s">
        <v>133</v>
      </c>
      <c r="B124" s="4" t="s">
        <v>126</v>
      </c>
      <c r="C124" s="6" t="n">
        <f aca="false">Inputs!D12</f>
        <v>4</v>
      </c>
      <c r="D124" s="6" t="n">
        <f aca="false">Inputs!E12</f>
        <v>3.3333</v>
      </c>
      <c r="E124" s="6" t="n">
        <f aca="false">Inputs!F12</f>
        <v>2.3333</v>
      </c>
    </row>
    <row r="125" customFormat="false" ht="15" hidden="false" customHeight="false" outlineLevel="0" collapsed="false">
      <c r="A125" s="4" t="s">
        <v>134</v>
      </c>
      <c r="B125" s="4" t="s">
        <v>126</v>
      </c>
      <c r="C125" s="6" t="n">
        <f aca="false">Inputs!D13</f>
        <v>2</v>
      </c>
      <c r="D125" s="6" t="n">
        <f aca="false">Inputs!E13</f>
        <v>1.5</v>
      </c>
      <c r="E125" s="6" t="n">
        <f aca="false">Inputs!F13</f>
        <v>4.5</v>
      </c>
    </row>
    <row r="126" customFormat="false" ht="23.85" hidden="false" customHeight="false" outlineLevel="0" collapsed="false">
      <c r="A126" s="4" t="s">
        <v>135</v>
      </c>
      <c r="B126" s="4" t="s">
        <v>136</v>
      </c>
      <c r="C126" s="14" t="n">
        <f aca="false">Weights!$G$14</f>
        <v>0.5</v>
      </c>
    </row>
    <row r="127" customFormat="false" ht="15" hidden="false" customHeight="false" outlineLevel="0" collapsed="false">
      <c r="A127" s="4" t="s">
        <v>137</v>
      </c>
      <c r="B127" s="4" t="s">
        <v>136</v>
      </c>
      <c r="C127" s="14" t="n">
        <f aca="false">Weights!$G$15</f>
        <v>0.5</v>
      </c>
    </row>
    <row r="128" customFormat="false" ht="15" hidden="false" customHeight="false" outlineLevel="0" collapsed="false">
      <c r="A128" s="4" t="s">
        <v>138</v>
      </c>
      <c r="B128" s="4" t="s">
        <v>136</v>
      </c>
      <c r="C128" s="16" t="n">
        <v>1</v>
      </c>
    </row>
    <row r="129" customFormat="false" ht="15" hidden="false" customHeight="false" outlineLevel="0" collapsed="false">
      <c r="A129" s="10" t="s">
        <v>139</v>
      </c>
      <c r="B129" s="4" t="s">
        <v>90</v>
      </c>
      <c r="C129" s="28" t="n">
        <f aca="false">$C$126*(1+4*C117/MAX($C$117:$E$117))+(1-$C$126)*C118</f>
        <v>3.91971322815144</v>
      </c>
      <c r="D129" s="28" t="n">
        <f aca="false">$C$126*(1+4*D117/MAX($C$117:$E$117))+(1-$C$126)*D118</f>
        <v>4.02332795210303</v>
      </c>
      <c r="E129" s="28" t="n">
        <f aca="false">$C$126*(1+4*E117/MAX($C$117:$E$117))+(1-$C$126)*E118</f>
        <v>3.5</v>
      </c>
    </row>
    <row r="130" customFormat="false" ht="15" hidden="false" customHeight="false" outlineLevel="0" collapsed="false">
      <c r="A130" s="10" t="s">
        <v>141</v>
      </c>
      <c r="B130" s="4" t="s">
        <v>90</v>
      </c>
      <c r="C130" s="28" t="n">
        <f aca="false">$C$127*(1+4*C119/MAX($C$119:$E$119))+(1-$C$127)*(1+4*MIN($C$120:$E$120)/C120)</f>
        <v>5</v>
      </c>
      <c r="D130" s="28" t="n">
        <f aca="false">$C$127*(1+4*D119/MAX($C$119:$E$119))+(1-$C$127)*(1+4*MIN($C$120:$E$120)/D120)</f>
        <v>2.52981955268848</v>
      </c>
      <c r="E130" s="28" t="n">
        <f aca="false">$C$127*(1+4*E119/MAX($C$119:$E$119))+(1-$C$127)*(1+4*MIN($C$120:$E$120)/E120)</f>
        <v>2.80458193586941</v>
      </c>
    </row>
    <row r="131" customFormat="false" ht="15" hidden="false" customHeight="false" outlineLevel="0" collapsed="false">
      <c r="A131" s="10" t="s">
        <v>143</v>
      </c>
      <c r="B131" s="4" t="s">
        <v>90</v>
      </c>
      <c r="C131" s="28" t="n">
        <f aca="false">C121</f>
        <v>4</v>
      </c>
      <c r="D131" s="28" t="n">
        <f aca="false">D121</f>
        <v>2</v>
      </c>
      <c r="E131" s="28" t="n">
        <f aca="false">E121</f>
        <v>4</v>
      </c>
    </row>
    <row r="132" customFormat="false" ht="15" hidden="false" customHeight="false" outlineLevel="0" collapsed="false">
      <c r="A132" s="10" t="s">
        <v>145</v>
      </c>
      <c r="B132" s="4" t="s">
        <v>90</v>
      </c>
      <c r="C132" s="28" t="n">
        <f aca="false">$C$128*(1+4*C122/MAX($C$122:$E$122))+(1-$C$128)*(1+4*C123/MAX($C$123:$E$123))</f>
        <v>2.78449882639287</v>
      </c>
      <c r="D132" s="28" t="n">
        <f aca="false">$C$128*(1+4*D122/MAX($C$122:$E$122))+(1-$C$128)*(1+4*D123/MAX($C$123:$E$123))</f>
        <v>3.05746780831889</v>
      </c>
      <c r="E132" s="28" t="n">
        <f aca="false">$C$128*(1+4*E122/MAX($C$122:$E$122))+(1-$C$128)*(1+4*E123/MAX($C$123:$E$123))</f>
        <v>5</v>
      </c>
    </row>
    <row r="133" customFormat="false" ht="15" hidden="false" customHeight="false" outlineLevel="0" collapsed="false">
      <c r="A133" s="10" t="s">
        <v>147</v>
      </c>
      <c r="B133" s="4" t="s">
        <v>90</v>
      </c>
      <c r="C133" s="28" t="n">
        <f aca="false">C124</f>
        <v>4</v>
      </c>
      <c r="D133" s="28" t="n">
        <f aca="false">D124</f>
        <v>3.3333</v>
      </c>
      <c r="E133" s="28" t="n">
        <f aca="false">E124</f>
        <v>2.3333</v>
      </c>
    </row>
    <row r="134" customFormat="false" ht="15" hidden="false" customHeight="false" outlineLevel="0" collapsed="false">
      <c r="A134" s="10" t="s">
        <v>149</v>
      </c>
      <c r="B134" s="4" t="s">
        <v>90</v>
      </c>
      <c r="C134" s="28" t="n">
        <f aca="false">C125</f>
        <v>2</v>
      </c>
      <c r="D134" s="28" t="n">
        <f aca="false">D125</f>
        <v>1.5</v>
      </c>
      <c r="E134" s="28" t="n">
        <f aca="false">E125</f>
        <v>4.5</v>
      </c>
    </row>
    <row r="135" customFormat="false" ht="15" hidden="false" customHeight="false" outlineLevel="0" collapsed="false">
      <c r="A135" s="7" t="s">
        <v>151</v>
      </c>
      <c r="B135" s="9" t="s">
        <v>90</v>
      </c>
      <c r="C135" s="29" t="n">
        <f aca="false">SUMPRODUCT(Weights!$B$5:$B$10,C129:C134)</f>
        <v>3.80161746958922</v>
      </c>
      <c r="D135" s="29" t="n">
        <f aca="false">SUMPRODUCT(Weights!$B$5:$B$10,D129:D134)</f>
        <v>2.81924467220613</v>
      </c>
      <c r="E135" s="29" t="n">
        <f aca="false">SUMPRODUCT(Weights!$B$5:$B$10,E129:E134)</f>
        <v>3.61091138717388</v>
      </c>
    </row>
    <row r="136" customFormat="false" ht="15" hidden="false" customHeight="false" outlineLevel="0" collapsed="false">
      <c r="A136" s="10" t="s">
        <v>31</v>
      </c>
      <c r="C136" s="30" t="n">
        <f aca="false">RANK(C135,$C$135:$E$135)</f>
        <v>1</v>
      </c>
      <c r="D136" s="30" t="n">
        <f aca="false">RANK(D135,$C$135:$E$135)</f>
        <v>3</v>
      </c>
      <c r="E136" s="30" t="n">
        <f aca="false">RANK(E135,$C$135:$E$135)</f>
        <v>2</v>
      </c>
    </row>
    <row r="137" customFormat="false" ht="23.85" hidden="false" customHeight="false" outlineLevel="0" collapsed="false">
      <c r="A137" s="10" t="s">
        <v>152</v>
      </c>
      <c r="C137" s="30" t="str">
        <f aca="false">INDEX($C$4:$E$4,MATCH(MAX(C135:E135),C135:E135,0))</f>
        <v>A. Industrial Distribution</v>
      </c>
      <c r="D137" s="28" t="n">
        <f aca="false">MAX(C135:E135)-LARGE(C135:E135,2)</f>
        <v>0.190706082415335</v>
      </c>
      <c r="E137" s="4"/>
    </row>
    <row r="140" customFormat="false" ht="15" hidden="false" customHeight="false" outlineLevel="0" collapsed="false">
      <c r="A140" s="3" t="s">
        <v>232</v>
      </c>
      <c r="B140" s="12"/>
      <c r="C140" s="12"/>
      <c r="D140" s="12"/>
      <c r="E140" s="12"/>
    </row>
    <row r="141" customFormat="false" ht="15" hidden="false" customHeight="false" outlineLevel="0" collapsed="false">
      <c r="A141" s="4" t="s">
        <v>125</v>
      </c>
      <c r="B141" s="4" t="s">
        <v>126</v>
      </c>
      <c r="C141" s="25" t="n">
        <f aca="false">Inputs!D5</f>
        <v>68163346.58</v>
      </c>
      <c r="D141" s="25" t="n">
        <f aca="false">Inputs!E5</f>
        <v>75842616.73</v>
      </c>
      <c r="E141" s="25" t="n">
        <f aca="false">Inputs!F5</f>
        <v>148227391.96</v>
      </c>
    </row>
    <row r="142" customFormat="false" ht="23.85" hidden="false" customHeight="false" outlineLevel="0" collapsed="false">
      <c r="A142" s="4" t="s">
        <v>127</v>
      </c>
      <c r="B142" s="4" t="s">
        <v>126</v>
      </c>
      <c r="C142" s="6" t="n">
        <f aca="false">Inputs!D6</f>
        <v>5</v>
      </c>
      <c r="D142" s="6" t="n">
        <f aca="false">Inputs!E6</f>
        <v>5</v>
      </c>
      <c r="E142" s="6" t="n">
        <f aca="false">Inputs!F6</f>
        <v>2</v>
      </c>
    </row>
    <row r="143" customFormat="false" ht="23.85" hidden="false" customHeight="false" outlineLevel="0" collapsed="false">
      <c r="A143" s="4" t="s">
        <v>128</v>
      </c>
      <c r="B143" s="4" t="s">
        <v>126</v>
      </c>
      <c r="C143" s="26" t="n">
        <f aca="false">Inputs!D7</f>
        <v>2.54356</v>
      </c>
      <c r="D143" s="26" t="n">
        <f aca="false">Inputs!E7</f>
        <v>0.31725</v>
      </c>
      <c r="E143" s="26" t="n">
        <f aca="false">Inputs!F7</f>
        <v>0.71487</v>
      </c>
    </row>
    <row r="144" customFormat="false" ht="23.85" hidden="false" customHeight="false" outlineLevel="0" collapsed="false">
      <c r="A144" s="4" t="s">
        <v>129</v>
      </c>
      <c r="B144" s="4" t="s">
        <v>126</v>
      </c>
      <c r="C144" s="26" t="n">
        <f aca="false">Inputs!D8</f>
        <v>0.62124</v>
      </c>
      <c r="D144" s="26" t="n">
        <f aca="false">Inputs!E8</f>
        <v>0.97041</v>
      </c>
      <c r="E144" s="26" t="n">
        <f aca="false">Inputs!F8</f>
        <v>1</v>
      </c>
    </row>
    <row r="145" customFormat="false" ht="23.85" hidden="false" customHeight="false" outlineLevel="0" collapsed="false">
      <c r="A145" s="4" t="s">
        <v>130</v>
      </c>
      <c r="B145" s="4" t="s">
        <v>126</v>
      </c>
      <c r="C145" s="20" t="n">
        <v>3</v>
      </c>
      <c r="D145" s="6" t="n">
        <f aca="false">Inputs!E9</f>
        <v>2</v>
      </c>
      <c r="E145" s="6" t="n">
        <f aca="false">Inputs!F9</f>
        <v>4</v>
      </c>
    </row>
    <row r="146" customFormat="false" ht="15" hidden="false" customHeight="false" outlineLevel="0" collapsed="false">
      <c r="A146" s="4" t="s">
        <v>131</v>
      </c>
      <c r="B146" s="4" t="s">
        <v>126</v>
      </c>
      <c r="C146" s="25" t="n">
        <f aca="false">Inputs!D10</f>
        <v>1864123.57</v>
      </c>
      <c r="D146" s="25" t="n">
        <f aca="false">Inputs!E10</f>
        <v>2149272.49</v>
      </c>
      <c r="E146" s="25" t="n">
        <f aca="false">Inputs!F10</f>
        <v>4178480.91</v>
      </c>
    </row>
    <row r="147" customFormat="false" ht="23.85" hidden="false" customHeight="false" outlineLevel="0" collapsed="false">
      <c r="A147" s="4" t="s">
        <v>132</v>
      </c>
      <c r="B147" s="4" t="s">
        <v>126</v>
      </c>
      <c r="C147" s="27" t="n">
        <f aca="false">Inputs!D11</f>
        <v>27.7</v>
      </c>
      <c r="D147" s="27" t="n">
        <f aca="false">Inputs!E11</f>
        <v>3.65</v>
      </c>
      <c r="E147" s="27" t="n">
        <f aca="false">Inputs!F11</f>
        <v>9.32</v>
      </c>
    </row>
    <row r="148" customFormat="false" ht="15" hidden="false" customHeight="false" outlineLevel="0" collapsed="false">
      <c r="A148" s="4" t="s">
        <v>133</v>
      </c>
      <c r="B148" s="4" t="s">
        <v>126</v>
      </c>
      <c r="C148" s="6" t="n">
        <f aca="false">Inputs!D12</f>
        <v>4</v>
      </c>
      <c r="D148" s="6" t="n">
        <f aca="false">Inputs!E12</f>
        <v>3.3333</v>
      </c>
      <c r="E148" s="6" t="n">
        <f aca="false">Inputs!F12</f>
        <v>2.3333</v>
      </c>
    </row>
    <row r="149" customFormat="false" ht="15" hidden="false" customHeight="false" outlineLevel="0" collapsed="false">
      <c r="A149" s="4" t="s">
        <v>134</v>
      </c>
      <c r="B149" s="4" t="s">
        <v>126</v>
      </c>
      <c r="C149" s="6" t="n">
        <f aca="false">Inputs!D13</f>
        <v>2</v>
      </c>
      <c r="D149" s="6" t="n">
        <f aca="false">Inputs!E13</f>
        <v>1.5</v>
      </c>
      <c r="E149" s="6" t="n">
        <f aca="false">Inputs!F13</f>
        <v>4.5</v>
      </c>
    </row>
    <row r="150" customFormat="false" ht="23.85" hidden="false" customHeight="false" outlineLevel="0" collapsed="false">
      <c r="A150" s="4" t="s">
        <v>135</v>
      </c>
      <c r="B150" s="4" t="s">
        <v>136</v>
      </c>
      <c r="C150" s="14" t="n">
        <f aca="false">Weights!$G$14</f>
        <v>0.5</v>
      </c>
    </row>
    <row r="151" customFormat="false" ht="15" hidden="false" customHeight="false" outlineLevel="0" collapsed="false">
      <c r="A151" s="4" t="s">
        <v>137</v>
      </c>
      <c r="B151" s="4" t="s">
        <v>136</v>
      </c>
      <c r="C151" s="14" t="n">
        <f aca="false">Weights!$G$15</f>
        <v>0.5</v>
      </c>
    </row>
    <row r="152" customFormat="false" ht="15" hidden="false" customHeight="false" outlineLevel="0" collapsed="false">
      <c r="A152" s="4" t="s">
        <v>138</v>
      </c>
      <c r="B152" s="4" t="s">
        <v>136</v>
      </c>
      <c r="C152" s="14" t="n">
        <f aca="false">Weights!$G$16</f>
        <v>0.5</v>
      </c>
    </row>
    <row r="153" customFormat="false" ht="15" hidden="false" customHeight="false" outlineLevel="0" collapsed="false">
      <c r="A153" s="10" t="s">
        <v>139</v>
      </c>
      <c r="B153" s="4" t="s">
        <v>90</v>
      </c>
      <c r="C153" s="28" t="n">
        <f aca="false">$C$150*(1+4*C141/MAX($C$141:$E$141))+(1-$C$150)*C142</f>
        <v>3.91971322815144</v>
      </c>
      <c r="D153" s="28" t="n">
        <f aca="false">$C$150*(1+4*D141/MAX($C$141:$E$141))+(1-$C$150)*D142</f>
        <v>4.02332795210303</v>
      </c>
      <c r="E153" s="28" t="n">
        <f aca="false">$C$150*(1+4*E141/MAX($C$141:$E$141))+(1-$C$150)*E142</f>
        <v>3.5</v>
      </c>
    </row>
    <row r="154" customFormat="false" ht="15" hidden="false" customHeight="false" outlineLevel="0" collapsed="false">
      <c r="A154" s="10" t="s">
        <v>141</v>
      </c>
      <c r="B154" s="4" t="s">
        <v>90</v>
      </c>
      <c r="C154" s="28" t="n">
        <f aca="false">$C$151*(1+4*C143/MAX($C$143:$E$143))+(1-$C$151)*(1+4*MIN($C$144:$E$144)/C144)</f>
        <v>5</v>
      </c>
      <c r="D154" s="28" t="n">
        <f aca="false">$C$151*(1+4*D143/MAX($C$143:$E$143))+(1-$C$151)*(1+4*MIN($C$144:$E$144)/D144)</f>
        <v>2.52981955268848</v>
      </c>
      <c r="E154" s="28" t="n">
        <f aca="false">$C$151*(1+4*E143/MAX($C$143:$E$143))+(1-$C$151)*(1+4*MIN($C$144:$E$144)/E144)</f>
        <v>2.80458193586941</v>
      </c>
    </row>
    <row r="155" customFormat="false" ht="15" hidden="false" customHeight="false" outlineLevel="0" collapsed="false">
      <c r="A155" s="10" t="s">
        <v>143</v>
      </c>
      <c r="B155" s="4" t="s">
        <v>90</v>
      </c>
      <c r="C155" s="28" t="n">
        <f aca="false">C145</f>
        <v>3</v>
      </c>
      <c r="D155" s="28" t="n">
        <f aca="false">D145</f>
        <v>2</v>
      </c>
      <c r="E155" s="28" t="n">
        <f aca="false">E145</f>
        <v>4</v>
      </c>
    </row>
    <row r="156" customFormat="false" ht="15" hidden="false" customHeight="false" outlineLevel="0" collapsed="false">
      <c r="A156" s="10" t="s">
        <v>145</v>
      </c>
      <c r="B156" s="4" t="s">
        <v>90</v>
      </c>
      <c r="C156" s="28" t="n">
        <f aca="false">$C$152*(1+4*C146/MAX($C$146:$E$146))+(1-$C$152)*(1+4*C147/MAX($C$147:$E$147))</f>
        <v>3.89224941319643</v>
      </c>
      <c r="D156" s="28" t="n">
        <f aca="false">$C$152*(1+4*D146/MAX($C$146:$E$146))+(1-$C$152)*(1+4*D147/MAX($C$147:$E$147))</f>
        <v>2.29227181029663</v>
      </c>
      <c r="E156" s="28" t="n">
        <f aca="false">$C$152*(1+4*E146/MAX($C$146:$E$146))+(1-$C$152)*(1+4*E147/MAX($C$147:$E$147))</f>
        <v>3.67292418772563</v>
      </c>
    </row>
    <row r="157" customFormat="false" ht="15" hidden="false" customHeight="false" outlineLevel="0" collapsed="false">
      <c r="A157" s="10" t="s">
        <v>147</v>
      </c>
      <c r="B157" s="4" t="s">
        <v>90</v>
      </c>
      <c r="C157" s="28" t="n">
        <f aca="false">C148</f>
        <v>4</v>
      </c>
      <c r="D157" s="28" t="n">
        <f aca="false">D148</f>
        <v>3.3333</v>
      </c>
      <c r="E157" s="28" t="n">
        <f aca="false">E148</f>
        <v>2.3333</v>
      </c>
    </row>
    <row r="158" customFormat="false" ht="15" hidden="false" customHeight="false" outlineLevel="0" collapsed="false">
      <c r="A158" s="10" t="s">
        <v>149</v>
      </c>
      <c r="B158" s="4" t="s">
        <v>90</v>
      </c>
      <c r="C158" s="28" t="n">
        <f aca="false">C149</f>
        <v>2</v>
      </c>
      <c r="D158" s="28" t="n">
        <f aca="false">D149</f>
        <v>1.5</v>
      </c>
      <c r="E158" s="28" t="n">
        <f aca="false">E149</f>
        <v>4.5</v>
      </c>
    </row>
    <row r="159" customFormat="false" ht="15" hidden="false" customHeight="false" outlineLevel="0" collapsed="false">
      <c r="A159" s="7" t="s">
        <v>151</v>
      </c>
      <c r="B159" s="9" t="s">
        <v>90</v>
      </c>
      <c r="C159" s="29" t="n">
        <f aca="false">SUMPRODUCT(Weights!$B$5:$B$10,C153:C158)</f>
        <v>3.76778005760975</v>
      </c>
      <c r="D159" s="29" t="n">
        <f aca="false">SUMPRODUCT(Weights!$B$5:$B$10,D153:D158)</f>
        <v>2.7044652725028</v>
      </c>
      <c r="E159" s="29" t="n">
        <f aca="false">SUMPRODUCT(Weights!$B$5:$B$10,E153:E158)</f>
        <v>3.41185001533273</v>
      </c>
    </row>
    <row r="160" customFormat="false" ht="15" hidden="false" customHeight="false" outlineLevel="0" collapsed="false">
      <c r="A160" s="10" t="s">
        <v>31</v>
      </c>
      <c r="C160" s="30" t="n">
        <f aca="false">RANK(C159,$C$159:$E$159)</f>
        <v>1</v>
      </c>
      <c r="D160" s="30" t="n">
        <f aca="false">RANK(D159,$C$159:$E$159)</f>
        <v>3</v>
      </c>
      <c r="E160" s="30" t="n">
        <f aca="false">RANK(E159,$C$159:$E$159)</f>
        <v>2</v>
      </c>
    </row>
    <row r="161" customFormat="false" ht="23.85" hidden="false" customHeight="false" outlineLevel="0" collapsed="false">
      <c r="A161" s="10" t="s">
        <v>152</v>
      </c>
      <c r="C161" s="30" t="str">
        <f aca="false">INDEX($C$4:$E$4,MATCH(MAX(C159:E159),C159:E159,0))</f>
        <v>A. Industrial Distribution</v>
      </c>
      <c r="D161" s="28" t="n">
        <f aca="false">MAX(C159:E159)-LARGE(C159:E159,2)</f>
        <v>0.355930042277025</v>
      </c>
      <c r="E161" s="4"/>
    </row>
    <row r="164" customFormat="false" ht="23.85" hidden="false" customHeight="false" outlineLevel="0" collapsed="false">
      <c r="A164" s="3" t="s">
        <v>233</v>
      </c>
      <c r="B164" s="12"/>
      <c r="C164" s="12"/>
      <c r="D164" s="12"/>
      <c r="E164" s="12"/>
    </row>
    <row r="165" customFormat="false" ht="15" hidden="false" customHeight="false" outlineLevel="0" collapsed="false">
      <c r="A165" s="4" t="s">
        <v>125</v>
      </c>
      <c r="B165" s="4" t="s">
        <v>126</v>
      </c>
      <c r="C165" s="25" t="n">
        <f aca="false">Inputs!D5</f>
        <v>68163346.58</v>
      </c>
      <c r="D165" s="25" t="n">
        <f aca="false">Inputs!E5</f>
        <v>75842616.73</v>
      </c>
      <c r="E165" s="25" t="n">
        <f aca="false">Inputs!F5</f>
        <v>148227391.96</v>
      </c>
    </row>
    <row r="166" customFormat="false" ht="23.85" hidden="false" customHeight="false" outlineLevel="0" collapsed="false">
      <c r="A166" s="4" t="s">
        <v>127</v>
      </c>
      <c r="B166" s="4" t="s">
        <v>126</v>
      </c>
      <c r="C166" s="6" t="n">
        <f aca="false">Inputs!D6</f>
        <v>5</v>
      </c>
      <c r="D166" s="6" t="n">
        <f aca="false">Inputs!E6</f>
        <v>5</v>
      </c>
      <c r="E166" s="6" t="n">
        <f aca="false">Inputs!F6</f>
        <v>2</v>
      </c>
    </row>
    <row r="167" customFormat="false" ht="23.85" hidden="false" customHeight="false" outlineLevel="0" collapsed="false">
      <c r="A167" s="4" t="s">
        <v>128</v>
      </c>
      <c r="B167" s="4" t="s">
        <v>126</v>
      </c>
      <c r="C167" s="26" t="n">
        <f aca="false">Inputs!D7</f>
        <v>2.54356</v>
      </c>
      <c r="D167" s="26" t="n">
        <f aca="false">Inputs!E7</f>
        <v>0.31725</v>
      </c>
      <c r="E167" s="26" t="n">
        <f aca="false">Inputs!F7</f>
        <v>0.71487</v>
      </c>
    </row>
    <row r="168" customFormat="false" ht="23.85" hidden="false" customHeight="false" outlineLevel="0" collapsed="false">
      <c r="A168" s="4" t="s">
        <v>129</v>
      </c>
      <c r="B168" s="4" t="s">
        <v>126</v>
      </c>
      <c r="C168" s="26" t="n">
        <f aca="false">Inputs!D8</f>
        <v>0.62124</v>
      </c>
      <c r="D168" s="26" t="n">
        <f aca="false">Inputs!E8</f>
        <v>0.97041</v>
      </c>
      <c r="E168" s="26" t="n">
        <f aca="false">Inputs!F8</f>
        <v>1</v>
      </c>
    </row>
    <row r="169" customFormat="false" ht="23.85" hidden="false" customHeight="false" outlineLevel="0" collapsed="false">
      <c r="A169" s="4" t="s">
        <v>130</v>
      </c>
      <c r="B169" s="4" t="s">
        <v>126</v>
      </c>
      <c r="C169" s="6" t="n">
        <f aca="false">Inputs!D9</f>
        <v>4</v>
      </c>
      <c r="D169" s="6" t="n">
        <f aca="false">Inputs!E9</f>
        <v>2</v>
      </c>
      <c r="E169" s="6" t="n">
        <f aca="false">Inputs!F9</f>
        <v>4</v>
      </c>
    </row>
    <row r="170" customFormat="false" ht="15" hidden="false" customHeight="false" outlineLevel="0" collapsed="false">
      <c r="A170" s="4" t="s">
        <v>131</v>
      </c>
      <c r="B170" s="4" t="s">
        <v>126</v>
      </c>
      <c r="C170" s="25" t="n">
        <f aca="false">Inputs!D10</f>
        <v>1864123.57</v>
      </c>
      <c r="D170" s="25" t="n">
        <f aca="false">Inputs!E10</f>
        <v>2149272.49</v>
      </c>
      <c r="E170" s="25" t="n">
        <f aca="false">Inputs!F10</f>
        <v>4178480.91</v>
      </c>
    </row>
    <row r="171" customFormat="false" ht="23.85" hidden="false" customHeight="false" outlineLevel="0" collapsed="false">
      <c r="A171" s="4" t="s">
        <v>132</v>
      </c>
      <c r="B171" s="4" t="s">
        <v>126</v>
      </c>
      <c r="C171" s="27" t="n">
        <f aca="false">Inputs!D11</f>
        <v>27.7</v>
      </c>
      <c r="D171" s="27" t="n">
        <f aca="false">Inputs!E11</f>
        <v>3.65</v>
      </c>
      <c r="E171" s="27" t="n">
        <f aca="false">Inputs!F11</f>
        <v>9.32</v>
      </c>
    </row>
    <row r="172" customFormat="false" ht="15" hidden="false" customHeight="false" outlineLevel="0" collapsed="false">
      <c r="A172" s="4" t="s">
        <v>133</v>
      </c>
      <c r="B172" s="4" t="s">
        <v>126</v>
      </c>
      <c r="C172" s="20" t="n">
        <v>3</v>
      </c>
      <c r="D172" s="6" t="n">
        <f aca="false">Inputs!E12</f>
        <v>3.3333</v>
      </c>
      <c r="E172" s="6" t="n">
        <f aca="false">Inputs!F12</f>
        <v>2.3333</v>
      </c>
    </row>
    <row r="173" customFormat="false" ht="15" hidden="false" customHeight="false" outlineLevel="0" collapsed="false">
      <c r="A173" s="4" t="s">
        <v>134</v>
      </c>
      <c r="B173" s="4" t="s">
        <v>126</v>
      </c>
      <c r="C173" s="6" t="n">
        <f aca="false">Inputs!D13</f>
        <v>2</v>
      </c>
      <c r="D173" s="6" t="n">
        <f aca="false">Inputs!E13</f>
        <v>1.5</v>
      </c>
      <c r="E173" s="6" t="n">
        <f aca="false">Inputs!F13</f>
        <v>4.5</v>
      </c>
    </row>
    <row r="174" customFormat="false" ht="23.85" hidden="false" customHeight="false" outlineLevel="0" collapsed="false">
      <c r="A174" s="4" t="s">
        <v>135</v>
      </c>
      <c r="B174" s="4" t="s">
        <v>136</v>
      </c>
      <c r="C174" s="14" t="n">
        <f aca="false">Weights!$G$14</f>
        <v>0.5</v>
      </c>
    </row>
    <row r="175" customFormat="false" ht="15" hidden="false" customHeight="false" outlineLevel="0" collapsed="false">
      <c r="A175" s="4" t="s">
        <v>137</v>
      </c>
      <c r="B175" s="4" t="s">
        <v>136</v>
      </c>
      <c r="C175" s="14" t="n">
        <f aca="false">Weights!$G$15</f>
        <v>0.5</v>
      </c>
    </row>
    <row r="176" customFormat="false" ht="15" hidden="false" customHeight="false" outlineLevel="0" collapsed="false">
      <c r="A176" s="4" t="s">
        <v>138</v>
      </c>
      <c r="B176" s="4" t="s">
        <v>136</v>
      </c>
      <c r="C176" s="14" t="n">
        <f aca="false">Weights!$G$16</f>
        <v>0.5</v>
      </c>
    </row>
    <row r="177" customFormat="false" ht="15" hidden="false" customHeight="false" outlineLevel="0" collapsed="false">
      <c r="A177" s="10" t="s">
        <v>139</v>
      </c>
      <c r="B177" s="4" t="s">
        <v>90</v>
      </c>
      <c r="C177" s="28" t="n">
        <f aca="false">$C$174*(1+4*C165/MAX($C$165:$E$165))+(1-$C$174)*C166</f>
        <v>3.91971322815144</v>
      </c>
      <c r="D177" s="28" t="n">
        <f aca="false">$C$174*(1+4*D165/MAX($C$165:$E$165))+(1-$C$174)*D166</f>
        <v>4.02332795210303</v>
      </c>
      <c r="E177" s="28" t="n">
        <f aca="false">$C$174*(1+4*E165/MAX($C$165:$E$165))+(1-$C$174)*E166</f>
        <v>3.5</v>
      </c>
    </row>
    <row r="178" customFormat="false" ht="15" hidden="false" customHeight="false" outlineLevel="0" collapsed="false">
      <c r="A178" s="10" t="s">
        <v>141</v>
      </c>
      <c r="B178" s="4" t="s">
        <v>90</v>
      </c>
      <c r="C178" s="28" t="n">
        <f aca="false">$C$175*(1+4*C167/MAX($C$167:$E$167))+(1-$C$175)*(1+4*MIN($C$168:$E$168)/C168)</f>
        <v>5</v>
      </c>
      <c r="D178" s="28" t="n">
        <f aca="false">$C$175*(1+4*D167/MAX($C$167:$E$167))+(1-$C$175)*(1+4*MIN($C$168:$E$168)/D168)</f>
        <v>2.52981955268848</v>
      </c>
      <c r="E178" s="28" t="n">
        <f aca="false">$C$175*(1+4*E167/MAX($C$167:$E$167))+(1-$C$175)*(1+4*MIN($C$168:$E$168)/E168)</f>
        <v>2.80458193586941</v>
      </c>
    </row>
    <row r="179" customFormat="false" ht="15" hidden="false" customHeight="false" outlineLevel="0" collapsed="false">
      <c r="A179" s="10" t="s">
        <v>143</v>
      </c>
      <c r="B179" s="4" t="s">
        <v>90</v>
      </c>
      <c r="C179" s="28" t="n">
        <f aca="false">C169</f>
        <v>4</v>
      </c>
      <c r="D179" s="28" t="n">
        <f aca="false">D169</f>
        <v>2</v>
      </c>
      <c r="E179" s="28" t="n">
        <f aca="false">E169</f>
        <v>4</v>
      </c>
    </row>
    <row r="180" customFormat="false" ht="15" hidden="false" customHeight="false" outlineLevel="0" collapsed="false">
      <c r="A180" s="10" t="s">
        <v>145</v>
      </c>
      <c r="B180" s="4" t="s">
        <v>90</v>
      </c>
      <c r="C180" s="28" t="n">
        <f aca="false">$C$176*(1+4*C170/MAX($C$170:$E$170))+(1-$C$176)*(1+4*C171/MAX($C$171:$E$171))</f>
        <v>3.89224941319643</v>
      </c>
      <c r="D180" s="28" t="n">
        <f aca="false">$C$176*(1+4*D170/MAX($C$170:$E$170))+(1-$C$176)*(1+4*D171/MAX($C$171:$E$171))</f>
        <v>2.29227181029663</v>
      </c>
      <c r="E180" s="28" t="n">
        <f aca="false">$C$176*(1+4*E170/MAX($C$170:$E$170))+(1-$C$176)*(1+4*E171/MAX($C$171:$E$171))</f>
        <v>3.67292418772563</v>
      </c>
    </row>
    <row r="181" customFormat="false" ht="15" hidden="false" customHeight="false" outlineLevel="0" collapsed="false">
      <c r="A181" s="10" t="s">
        <v>147</v>
      </c>
      <c r="B181" s="4" t="s">
        <v>90</v>
      </c>
      <c r="C181" s="28" t="n">
        <f aca="false">C172</f>
        <v>3</v>
      </c>
      <c r="D181" s="28" t="n">
        <f aca="false">D172</f>
        <v>3.3333</v>
      </c>
      <c r="E181" s="28" t="n">
        <f aca="false">E172</f>
        <v>2.3333</v>
      </c>
    </row>
    <row r="182" customFormat="false" ht="15" hidden="false" customHeight="false" outlineLevel="0" collapsed="false">
      <c r="A182" s="10" t="s">
        <v>149</v>
      </c>
      <c r="B182" s="4" t="s">
        <v>90</v>
      </c>
      <c r="C182" s="28" t="n">
        <f aca="false">C173</f>
        <v>2</v>
      </c>
      <c r="D182" s="28" t="n">
        <f aca="false">D173</f>
        <v>1.5</v>
      </c>
      <c r="E182" s="28" t="n">
        <f aca="false">E173</f>
        <v>4.5</v>
      </c>
    </row>
    <row r="183" customFormat="false" ht="15" hidden="false" customHeight="false" outlineLevel="0" collapsed="false">
      <c r="A183" s="7" t="s">
        <v>151</v>
      </c>
      <c r="B183" s="9" t="s">
        <v>90</v>
      </c>
      <c r="C183" s="29" t="n">
        <f aca="false">SUMPRODUCT(Weights!$B$5:$B$10,C177:C182)</f>
        <v>3.81778005760975</v>
      </c>
      <c r="D183" s="29" t="n">
        <f aca="false">SUMPRODUCT(Weights!$B$5:$B$10,D177:D182)</f>
        <v>2.7044652725028</v>
      </c>
      <c r="E183" s="29" t="n">
        <f aca="false">SUMPRODUCT(Weights!$B$5:$B$10,E177:E182)</f>
        <v>3.41185001533273</v>
      </c>
    </row>
    <row r="184" customFormat="false" ht="15" hidden="false" customHeight="false" outlineLevel="0" collapsed="false">
      <c r="A184" s="10" t="s">
        <v>31</v>
      </c>
      <c r="C184" s="30" t="n">
        <f aca="false">RANK(C183,$C$183:$E$183)</f>
        <v>1</v>
      </c>
      <c r="D184" s="30" t="n">
        <f aca="false">RANK(D183,$C$183:$E$183)</f>
        <v>3</v>
      </c>
      <c r="E184" s="30" t="n">
        <f aca="false">RANK(E183,$C$183:$E$183)</f>
        <v>2</v>
      </c>
    </row>
    <row r="185" customFormat="false" ht="23.85" hidden="false" customHeight="false" outlineLevel="0" collapsed="false">
      <c r="A185" s="10" t="s">
        <v>152</v>
      </c>
      <c r="C185" s="30" t="str">
        <f aca="false">INDEX($C$4:$E$4,MATCH(MAX(C183:E183),C183:E183,0))</f>
        <v>A. Industrial Distribution</v>
      </c>
      <c r="D185" s="28" t="n">
        <f aca="false">MAX(C183:E183)-LARGE(C183:E183,2)</f>
        <v>0.405930042277025</v>
      </c>
      <c r="E185" s="4"/>
    </row>
    <row r="188" customFormat="false" ht="23.85" hidden="false" customHeight="false" outlineLevel="0" collapsed="false">
      <c r="A188" s="3" t="s">
        <v>234</v>
      </c>
      <c r="B188" s="12"/>
      <c r="C188" s="12"/>
      <c r="D188" s="12"/>
      <c r="E188" s="12"/>
    </row>
    <row r="189" customFormat="false" ht="15" hidden="false" customHeight="false" outlineLevel="0" collapsed="false">
      <c r="A189" s="4" t="s">
        <v>125</v>
      </c>
      <c r="B189" s="4" t="s">
        <v>126</v>
      </c>
      <c r="C189" s="25" t="n">
        <f aca="false">Inputs!D5</f>
        <v>68163346.58</v>
      </c>
      <c r="D189" s="25" t="n">
        <f aca="false">Inputs!E5</f>
        <v>75842616.73</v>
      </c>
      <c r="E189" s="25" t="n">
        <f aca="false">Inputs!F5</f>
        <v>148227391.96</v>
      </c>
    </row>
    <row r="190" customFormat="false" ht="23.85" hidden="false" customHeight="false" outlineLevel="0" collapsed="false">
      <c r="A190" s="4" t="s">
        <v>127</v>
      </c>
      <c r="B190" s="4" t="s">
        <v>126</v>
      </c>
      <c r="C190" s="6" t="n">
        <f aca="false">Inputs!D6</f>
        <v>5</v>
      </c>
      <c r="D190" s="6" t="n">
        <f aca="false">Inputs!E6</f>
        <v>5</v>
      </c>
      <c r="E190" s="6" t="n">
        <f aca="false">Inputs!F6</f>
        <v>2</v>
      </c>
    </row>
    <row r="191" customFormat="false" ht="23.85" hidden="false" customHeight="false" outlineLevel="0" collapsed="false">
      <c r="A191" s="4" t="s">
        <v>128</v>
      </c>
      <c r="B191" s="4" t="s">
        <v>126</v>
      </c>
      <c r="C191" s="26" t="n">
        <f aca="false">Inputs!D7</f>
        <v>2.54356</v>
      </c>
      <c r="D191" s="26" t="n">
        <f aca="false">Inputs!E7</f>
        <v>0.31725</v>
      </c>
      <c r="E191" s="26" t="n">
        <f aca="false">Inputs!F7</f>
        <v>0.71487</v>
      </c>
    </row>
    <row r="192" customFormat="false" ht="23.85" hidden="false" customHeight="false" outlineLevel="0" collapsed="false">
      <c r="A192" s="4" t="s">
        <v>129</v>
      </c>
      <c r="B192" s="4" t="s">
        <v>126</v>
      </c>
      <c r="C192" s="41" t="n">
        <v>1</v>
      </c>
      <c r="D192" s="26" t="n">
        <f aca="false">Inputs!E8</f>
        <v>0.97041</v>
      </c>
      <c r="E192" s="26" t="n">
        <f aca="false">Inputs!F8</f>
        <v>1</v>
      </c>
    </row>
    <row r="193" customFormat="false" ht="23.85" hidden="false" customHeight="false" outlineLevel="0" collapsed="false">
      <c r="A193" s="4" t="s">
        <v>130</v>
      </c>
      <c r="B193" s="4" t="s">
        <v>126</v>
      </c>
      <c r="C193" s="20" t="n">
        <v>3</v>
      </c>
      <c r="D193" s="6" t="n">
        <f aca="false">Inputs!E9</f>
        <v>2</v>
      </c>
      <c r="E193" s="6" t="n">
        <f aca="false">Inputs!F9</f>
        <v>4</v>
      </c>
    </row>
    <row r="194" customFormat="false" ht="15" hidden="false" customHeight="false" outlineLevel="0" collapsed="false">
      <c r="A194" s="4" t="s">
        <v>131</v>
      </c>
      <c r="B194" s="4" t="s">
        <v>126</v>
      </c>
      <c r="C194" s="25" t="n">
        <f aca="false">Inputs!D10</f>
        <v>1864123.57</v>
      </c>
      <c r="D194" s="25" t="n">
        <f aca="false">Inputs!E10</f>
        <v>2149272.49</v>
      </c>
      <c r="E194" s="25" t="n">
        <f aca="false">Inputs!F10</f>
        <v>4178480.91</v>
      </c>
    </row>
    <row r="195" customFormat="false" ht="23.85" hidden="false" customHeight="false" outlineLevel="0" collapsed="false">
      <c r="A195" s="4" t="s">
        <v>132</v>
      </c>
      <c r="B195" s="4" t="s">
        <v>126</v>
      </c>
      <c r="C195" s="27" t="n">
        <f aca="false">Inputs!D11</f>
        <v>27.7</v>
      </c>
      <c r="D195" s="27" t="n">
        <f aca="false">Inputs!E11</f>
        <v>3.65</v>
      </c>
      <c r="E195" s="27" t="n">
        <f aca="false">Inputs!F11</f>
        <v>9.32</v>
      </c>
    </row>
    <row r="196" customFormat="false" ht="15" hidden="false" customHeight="false" outlineLevel="0" collapsed="false">
      <c r="A196" s="4" t="s">
        <v>133</v>
      </c>
      <c r="B196" s="4" t="s">
        <v>126</v>
      </c>
      <c r="C196" s="20" t="n">
        <v>3</v>
      </c>
      <c r="D196" s="6" t="n">
        <f aca="false">Inputs!E12</f>
        <v>3.3333</v>
      </c>
      <c r="E196" s="6" t="n">
        <f aca="false">Inputs!F12</f>
        <v>2.3333</v>
      </c>
    </row>
    <row r="197" customFormat="false" ht="15" hidden="false" customHeight="false" outlineLevel="0" collapsed="false">
      <c r="A197" s="4" t="s">
        <v>134</v>
      </c>
      <c r="B197" s="4" t="s">
        <v>126</v>
      </c>
      <c r="C197" s="6" t="n">
        <f aca="false">Inputs!D13</f>
        <v>2</v>
      </c>
      <c r="D197" s="6" t="n">
        <f aca="false">Inputs!E13</f>
        <v>1.5</v>
      </c>
      <c r="E197" s="6" t="n">
        <f aca="false">Inputs!F13</f>
        <v>4.5</v>
      </c>
    </row>
    <row r="198" customFormat="false" ht="23.85" hidden="false" customHeight="false" outlineLevel="0" collapsed="false">
      <c r="A198" s="4" t="s">
        <v>135</v>
      </c>
      <c r="B198" s="4" t="s">
        <v>136</v>
      </c>
      <c r="C198" s="14" t="n">
        <f aca="false">Weights!$G$14</f>
        <v>0.5</v>
      </c>
    </row>
    <row r="199" customFormat="false" ht="15" hidden="false" customHeight="false" outlineLevel="0" collapsed="false">
      <c r="A199" s="4" t="s">
        <v>137</v>
      </c>
      <c r="B199" s="4" t="s">
        <v>136</v>
      </c>
      <c r="C199" s="14" t="n">
        <f aca="false">Weights!$G$15</f>
        <v>0.5</v>
      </c>
    </row>
    <row r="200" customFormat="false" ht="15" hidden="false" customHeight="false" outlineLevel="0" collapsed="false">
      <c r="A200" s="4" t="s">
        <v>138</v>
      </c>
      <c r="B200" s="4" t="s">
        <v>136</v>
      </c>
      <c r="C200" s="14" t="n">
        <f aca="false">Weights!$G$16</f>
        <v>0.5</v>
      </c>
    </row>
    <row r="201" customFormat="false" ht="15" hidden="false" customHeight="false" outlineLevel="0" collapsed="false">
      <c r="A201" s="10" t="s">
        <v>139</v>
      </c>
      <c r="B201" s="4" t="s">
        <v>90</v>
      </c>
      <c r="C201" s="28" t="n">
        <f aca="false">$C$198*(1+4*C189/MAX($C$189:$E$189))+(1-$C$198)*C190</f>
        <v>3.91971322815144</v>
      </c>
      <c r="D201" s="28" t="n">
        <f aca="false">$C$198*(1+4*D189/MAX($C$189:$E$189))+(1-$C$198)*D190</f>
        <v>4.02332795210303</v>
      </c>
      <c r="E201" s="28" t="n">
        <f aca="false">$C$198*(1+4*E189/MAX($C$189:$E$189))+(1-$C$198)*E190</f>
        <v>3.5</v>
      </c>
    </row>
    <row r="202" customFormat="false" ht="15" hidden="false" customHeight="false" outlineLevel="0" collapsed="false">
      <c r="A202" s="10" t="s">
        <v>141</v>
      </c>
      <c r="B202" s="4" t="s">
        <v>90</v>
      </c>
      <c r="C202" s="28" t="n">
        <f aca="false">$C$199*(1+4*C191/MAX($C$191:$E$191))+(1-$C$199)*(1+4*MIN($C$192:$E$192)/C192)</f>
        <v>4.94082</v>
      </c>
      <c r="D202" s="28" t="n">
        <f aca="false">$C$199*(1+4*D191/MAX($C$191:$E$191))+(1-$C$199)*(1+4*MIN($C$192:$E$192)/D192)</f>
        <v>3.24945352183554</v>
      </c>
      <c r="E202" s="28" t="n">
        <f aca="false">$C$199*(1+4*E191/MAX($C$191:$E$191))+(1-$C$199)*(1+4*MIN($C$192:$E$192)/E192)</f>
        <v>3.50292193586941</v>
      </c>
    </row>
    <row r="203" customFormat="false" ht="15" hidden="false" customHeight="false" outlineLevel="0" collapsed="false">
      <c r="A203" s="10" t="s">
        <v>143</v>
      </c>
      <c r="B203" s="4" t="s">
        <v>90</v>
      </c>
      <c r="C203" s="28" t="n">
        <f aca="false">C193</f>
        <v>3</v>
      </c>
      <c r="D203" s="28" t="n">
        <f aca="false">D193</f>
        <v>2</v>
      </c>
      <c r="E203" s="28" t="n">
        <f aca="false">E193</f>
        <v>4</v>
      </c>
    </row>
    <row r="204" customFormat="false" ht="15" hidden="false" customHeight="false" outlineLevel="0" collapsed="false">
      <c r="A204" s="10" t="s">
        <v>145</v>
      </c>
      <c r="B204" s="4" t="s">
        <v>90</v>
      </c>
      <c r="C204" s="28" t="n">
        <f aca="false">$C$200*(1+4*C194/MAX($C$194:$E$194))+(1-$C$200)*(1+4*C195/MAX($C$195:$E$195))</f>
        <v>3.89224941319643</v>
      </c>
      <c r="D204" s="28" t="n">
        <f aca="false">$C$200*(1+4*D194/MAX($C$194:$E$194))+(1-$C$200)*(1+4*D195/MAX($C$195:$E$195))</f>
        <v>2.29227181029663</v>
      </c>
      <c r="E204" s="28" t="n">
        <f aca="false">$C$200*(1+4*E194/MAX($C$194:$E$194))+(1-$C$200)*(1+4*E195/MAX($C$195:$E$195))</f>
        <v>3.67292418772563</v>
      </c>
    </row>
    <row r="205" customFormat="false" ht="15" hidden="false" customHeight="false" outlineLevel="0" collapsed="false">
      <c r="A205" s="10" t="s">
        <v>147</v>
      </c>
      <c r="B205" s="4" t="s">
        <v>90</v>
      </c>
      <c r="C205" s="28" t="n">
        <f aca="false">C196</f>
        <v>3</v>
      </c>
      <c r="D205" s="28" t="n">
        <f aca="false">D196</f>
        <v>3.3333</v>
      </c>
      <c r="E205" s="28" t="n">
        <f aca="false">E196</f>
        <v>2.3333</v>
      </c>
    </row>
    <row r="206" customFormat="false" ht="15" hidden="false" customHeight="false" outlineLevel="0" collapsed="false">
      <c r="A206" s="10" t="s">
        <v>149</v>
      </c>
      <c r="B206" s="4" t="s">
        <v>90</v>
      </c>
      <c r="C206" s="28" t="n">
        <f aca="false">C197</f>
        <v>2</v>
      </c>
      <c r="D206" s="28" t="n">
        <f aca="false">D197</f>
        <v>1.5</v>
      </c>
      <c r="E206" s="28" t="n">
        <f aca="false">E197</f>
        <v>4.5</v>
      </c>
    </row>
    <row r="207" customFormat="false" ht="15" hidden="false" customHeight="false" outlineLevel="0" collapsed="false">
      <c r="A207" s="7" t="s">
        <v>151</v>
      </c>
      <c r="B207" s="9" t="s">
        <v>90</v>
      </c>
      <c r="C207" s="29" t="n">
        <f aca="false">SUMPRODUCT(Weights!$B$5:$B$10,C201:C206)</f>
        <v>3.60594405760975</v>
      </c>
      <c r="D207" s="29" t="n">
        <f aca="false">SUMPRODUCT(Weights!$B$5:$B$10,D201:D206)</f>
        <v>2.84839206633221</v>
      </c>
      <c r="E207" s="29" t="n">
        <f aca="false">SUMPRODUCT(Weights!$B$5:$B$10,E201:E206)</f>
        <v>3.55151801533273</v>
      </c>
    </row>
    <row r="208" customFormat="false" ht="15" hidden="false" customHeight="false" outlineLevel="0" collapsed="false">
      <c r="A208" s="10" t="s">
        <v>31</v>
      </c>
      <c r="C208" s="30" t="n">
        <f aca="false">RANK(C207,$C$207:$E$207)</f>
        <v>1</v>
      </c>
      <c r="D208" s="30" t="n">
        <f aca="false">RANK(D207,$C$207:$E$207)</f>
        <v>3</v>
      </c>
      <c r="E208" s="30" t="n">
        <f aca="false">RANK(E207,$C$207:$E$207)</f>
        <v>2</v>
      </c>
    </row>
    <row r="209" customFormat="false" ht="23.85" hidden="false" customHeight="false" outlineLevel="0" collapsed="false">
      <c r="A209" s="10" t="s">
        <v>152</v>
      </c>
      <c r="C209" s="30" t="str">
        <f aca="false">INDEX($C$4:$E$4,MATCH(MAX(C207:E207),C207:E207,0))</f>
        <v>A. Industrial Distribution</v>
      </c>
      <c r="D209" s="28" t="n">
        <f aca="false">MAX(C207:E207)-LARGE(C207:E207,2)</f>
        <v>0.0544260422770253</v>
      </c>
      <c r="E209" s="4"/>
    </row>
    <row r="212" customFormat="false" ht="23.85" hidden="false" customHeight="false" outlineLevel="0" collapsed="false">
      <c r="A212" s="3" t="s">
        <v>235</v>
      </c>
      <c r="B212" s="12"/>
      <c r="C212" s="12"/>
      <c r="D212" s="12"/>
      <c r="E212" s="12"/>
    </row>
    <row r="213" customFormat="false" ht="15" hidden="false" customHeight="false" outlineLevel="0" collapsed="false">
      <c r="A213" s="4" t="s">
        <v>125</v>
      </c>
      <c r="B213" s="4" t="s">
        <v>126</v>
      </c>
      <c r="C213" s="25" t="n">
        <f aca="false">Inputs!D5</f>
        <v>68163346.58</v>
      </c>
      <c r="D213" s="25" t="n">
        <f aca="false">Inputs!E5</f>
        <v>75842616.73</v>
      </c>
      <c r="E213" s="25" t="n">
        <f aca="false">Inputs!F5</f>
        <v>148227391.96</v>
      </c>
    </row>
    <row r="214" customFormat="false" ht="23.85" hidden="false" customHeight="false" outlineLevel="0" collapsed="false">
      <c r="A214" s="4" t="s">
        <v>127</v>
      </c>
      <c r="B214" s="4" t="s">
        <v>126</v>
      </c>
      <c r="C214" s="6" t="n">
        <f aca="false">Inputs!D6</f>
        <v>5</v>
      </c>
      <c r="D214" s="6" t="n">
        <f aca="false">Inputs!E6</f>
        <v>5</v>
      </c>
      <c r="E214" s="20" t="n">
        <v>4</v>
      </c>
    </row>
    <row r="215" customFormat="false" ht="23.85" hidden="false" customHeight="false" outlineLevel="0" collapsed="false">
      <c r="A215" s="4" t="s">
        <v>128</v>
      </c>
      <c r="B215" s="4" t="s">
        <v>126</v>
      </c>
      <c r="C215" s="26" t="n">
        <f aca="false">Inputs!D7</f>
        <v>2.54356</v>
      </c>
      <c r="D215" s="26" t="n">
        <f aca="false">Inputs!E7</f>
        <v>0.31725</v>
      </c>
      <c r="E215" s="26" t="n">
        <f aca="false">Inputs!F7</f>
        <v>0.71487</v>
      </c>
    </row>
    <row r="216" customFormat="false" ht="23.85" hidden="false" customHeight="false" outlineLevel="0" collapsed="false">
      <c r="A216" s="4" t="s">
        <v>129</v>
      </c>
      <c r="B216" s="4" t="s">
        <v>126</v>
      </c>
      <c r="C216" s="26" t="n">
        <f aca="false">Inputs!D8</f>
        <v>0.62124</v>
      </c>
      <c r="D216" s="26" t="n">
        <f aca="false">Inputs!E8</f>
        <v>0.97041</v>
      </c>
      <c r="E216" s="26" t="n">
        <f aca="false">Inputs!F8</f>
        <v>1</v>
      </c>
    </row>
    <row r="217" customFormat="false" ht="23.85" hidden="false" customHeight="false" outlineLevel="0" collapsed="false">
      <c r="A217" s="4" t="s">
        <v>130</v>
      </c>
      <c r="B217" s="4" t="s">
        <v>126</v>
      </c>
      <c r="C217" s="6" t="n">
        <f aca="false">Inputs!D9</f>
        <v>4</v>
      </c>
      <c r="D217" s="6" t="n">
        <f aca="false">Inputs!E9</f>
        <v>2</v>
      </c>
      <c r="E217" s="6" t="n">
        <f aca="false">Inputs!F9</f>
        <v>4</v>
      </c>
    </row>
    <row r="218" customFormat="false" ht="15" hidden="false" customHeight="false" outlineLevel="0" collapsed="false">
      <c r="A218" s="4" t="s">
        <v>131</v>
      </c>
      <c r="B218" s="4" t="s">
        <v>126</v>
      </c>
      <c r="C218" s="25" t="n">
        <f aca="false">Inputs!D10</f>
        <v>1864123.57</v>
      </c>
      <c r="D218" s="25" t="n">
        <f aca="false">Inputs!E10</f>
        <v>2149272.49</v>
      </c>
      <c r="E218" s="25" t="n">
        <f aca="false">Inputs!F10</f>
        <v>4178480.91</v>
      </c>
    </row>
    <row r="219" customFormat="false" ht="23.85" hidden="false" customHeight="false" outlineLevel="0" collapsed="false">
      <c r="A219" s="4" t="s">
        <v>132</v>
      </c>
      <c r="B219" s="4" t="s">
        <v>126</v>
      </c>
      <c r="C219" s="27" t="n">
        <f aca="false">Inputs!D11</f>
        <v>27.7</v>
      </c>
      <c r="D219" s="27" t="n">
        <f aca="false">Inputs!E11</f>
        <v>3.65</v>
      </c>
      <c r="E219" s="27" t="n">
        <f aca="false">Inputs!F11</f>
        <v>9.32</v>
      </c>
    </row>
    <row r="220" customFormat="false" ht="15" hidden="false" customHeight="false" outlineLevel="0" collapsed="false">
      <c r="A220" s="4" t="s">
        <v>133</v>
      </c>
      <c r="B220" s="4" t="s">
        <v>126</v>
      </c>
      <c r="C220" s="6" t="n">
        <f aca="false">Inputs!D12</f>
        <v>4</v>
      </c>
      <c r="D220" s="6" t="n">
        <f aca="false">Inputs!E12</f>
        <v>3.3333</v>
      </c>
      <c r="E220" s="20" t="n">
        <v>3</v>
      </c>
    </row>
    <row r="221" customFormat="false" ht="15" hidden="false" customHeight="false" outlineLevel="0" collapsed="false">
      <c r="A221" s="4" t="s">
        <v>134</v>
      </c>
      <c r="B221" s="4" t="s">
        <v>126</v>
      </c>
      <c r="C221" s="6" t="n">
        <f aca="false">Inputs!D13</f>
        <v>2</v>
      </c>
      <c r="D221" s="6" t="n">
        <f aca="false">Inputs!E13</f>
        <v>1.5</v>
      </c>
      <c r="E221" s="20" t="n">
        <v>5</v>
      </c>
    </row>
    <row r="222" customFormat="false" ht="23.85" hidden="false" customHeight="false" outlineLevel="0" collapsed="false">
      <c r="A222" s="4" t="s">
        <v>135</v>
      </c>
      <c r="B222" s="4" t="s">
        <v>136</v>
      </c>
      <c r="C222" s="14" t="n">
        <f aca="false">Weights!$G$14</f>
        <v>0.5</v>
      </c>
    </row>
    <row r="223" customFormat="false" ht="15" hidden="false" customHeight="false" outlineLevel="0" collapsed="false">
      <c r="A223" s="4" t="s">
        <v>137</v>
      </c>
      <c r="B223" s="4" t="s">
        <v>136</v>
      </c>
      <c r="C223" s="14" t="n">
        <f aca="false">Weights!$G$15</f>
        <v>0.5</v>
      </c>
    </row>
    <row r="224" customFormat="false" ht="15" hidden="false" customHeight="false" outlineLevel="0" collapsed="false">
      <c r="A224" s="4" t="s">
        <v>138</v>
      </c>
      <c r="B224" s="4" t="s">
        <v>136</v>
      </c>
      <c r="C224" s="14" t="n">
        <f aca="false">Weights!$G$16</f>
        <v>0.5</v>
      </c>
    </row>
    <row r="225" customFormat="false" ht="15" hidden="false" customHeight="false" outlineLevel="0" collapsed="false">
      <c r="A225" s="10" t="s">
        <v>139</v>
      </c>
      <c r="B225" s="4" t="s">
        <v>90</v>
      </c>
      <c r="C225" s="28" t="n">
        <f aca="false">$C$222*(1+4*C213/MAX($C$213:$E$213))+(1-$C$222)*C214</f>
        <v>3.91971322815144</v>
      </c>
      <c r="D225" s="28" t="n">
        <f aca="false">$C$222*(1+4*D213/MAX($C$213:$E$213))+(1-$C$222)*D214</f>
        <v>4.02332795210303</v>
      </c>
      <c r="E225" s="28" t="n">
        <f aca="false">$C$222*(1+4*E213/MAX($C$213:$E$213))+(1-$C$222)*E214</f>
        <v>4.5</v>
      </c>
    </row>
    <row r="226" customFormat="false" ht="15" hidden="false" customHeight="false" outlineLevel="0" collapsed="false">
      <c r="A226" s="10" t="s">
        <v>141</v>
      </c>
      <c r="B226" s="4" t="s">
        <v>90</v>
      </c>
      <c r="C226" s="28" t="n">
        <f aca="false">$C$223*(1+4*C215/MAX($C$215:$E$215))+(1-$C$223)*(1+4*MIN($C$216:$E$216)/C216)</f>
        <v>5</v>
      </c>
      <c r="D226" s="28" t="n">
        <f aca="false">$C$223*(1+4*D215/MAX($C$215:$E$215))+(1-$C$223)*(1+4*MIN($C$216:$E$216)/D216)</f>
        <v>2.52981955268848</v>
      </c>
      <c r="E226" s="28" t="n">
        <f aca="false">$C$223*(1+4*E215/MAX($C$215:$E$215))+(1-$C$223)*(1+4*MIN($C$216:$E$216)/E216)</f>
        <v>2.80458193586941</v>
      </c>
    </row>
    <row r="227" customFormat="false" ht="15" hidden="false" customHeight="false" outlineLevel="0" collapsed="false">
      <c r="A227" s="10" t="s">
        <v>143</v>
      </c>
      <c r="B227" s="4" t="s">
        <v>90</v>
      </c>
      <c r="C227" s="28" t="n">
        <f aca="false">C217</f>
        <v>4</v>
      </c>
      <c r="D227" s="28" t="n">
        <f aca="false">D217</f>
        <v>2</v>
      </c>
      <c r="E227" s="28" t="n">
        <f aca="false">E217</f>
        <v>4</v>
      </c>
    </row>
    <row r="228" customFormat="false" ht="15" hidden="false" customHeight="false" outlineLevel="0" collapsed="false">
      <c r="A228" s="10" t="s">
        <v>145</v>
      </c>
      <c r="B228" s="4" t="s">
        <v>90</v>
      </c>
      <c r="C228" s="28" t="n">
        <f aca="false">$C$224*(1+4*C218/MAX($C$218:$E$218))+(1-$C$224)*(1+4*C219/MAX($C$219:$E$219))</f>
        <v>3.89224941319643</v>
      </c>
      <c r="D228" s="28" t="n">
        <f aca="false">$C$224*(1+4*D218/MAX($C$218:$E$218))+(1-$C$224)*(1+4*D219/MAX($C$219:$E$219))</f>
        <v>2.29227181029663</v>
      </c>
      <c r="E228" s="28" t="n">
        <f aca="false">$C$224*(1+4*E218/MAX($C$218:$E$218))+(1-$C$224)*(1+4*E219/MAX($C$219:$E$219))</f>
        <v>3.67292418772563</v>
      </c>
    </row>
    <row r="229" customFormat="false" ht="15" hidden="false" customHeight="false" outlineLevel="0" collapsed="false">
      <c r="A229" s="10" t="s">
        <v>147</v>
      </c>
      <c r="B229" s="4" t="s">
        <v>90</v>
      </c>
      <c r="C229" s="28" t="n">
        <f aca="false">C220</f>
        <v>4</v>
      </c>
      <c r="D229" s="28" t="n">
        <f aca="false">D220</f>
        <v>3.3333</v>
      </c>
      <c r="E229" s="28" t="n">
        <f aca="false">E220</f>
        <v>3</v>
      </c>
    </row>
    <row r="230" customFormat="false" ht="15" hidden="false" customHeight="false" outlineLevel="0" collapsed="false">
      <c r="A230" s="10" t="s">
        <v>149</v>
      </c>
      <c r="B230" s="4" t="s">
        <v>90</v>
      </c>
      <c r="C230" s="28" t="n">
        <f aca="false">C221</f>
        <v>2</v>
      </c>
      <c r="D230" s="28" t="n">
        <f aca="false">D221</f>
        <v>1.5</v>
      </c>
      <c r="E230" s="28" t="n">
        <f aca="false">E221</f>
        <v>5</v>
      </c>
    </row>
    <row r="231" customFormat="false" ht="15" hidden="false" customHeight="false" outlineLevel="0" collapsed="false">
      <c r="A231" s="7" t="s">
        <v>151</v>
      </c>
      <c r="B231" s="9" t="s">
        <v>90</v>
      </c>
      <c r="C231" s="29" t="n">
        <f aca="false">SUMPRODUCT(Weights!$B$5:$B$10,C225:C230)</f>
        <v>3.96778005760975</v>
      </c>
      <c r="D231" s="29" t="n">
        <f aca="false">SUMPRODUCT(Weights!$B$5:$B$10,D225:D230)</f>
        <v>2.7044652725028</v>
      </c>
      <c r="E231" s="29" t="n">
        <f aca="false">SUMPRODUCT(Weights!$B$5:$B$10,E225:E230)</f>
        <v>3.76185501533273</v>
      </c>
    </row>
    <row r="232" customFormat="false" ht="15" hidden="false" customHeight="false" outlineLevel="0" collapsed="false">
      <c r="A232" s="10" t="s">
        <v>31</v>
      </c>
      <c r="C232" s="30" t="n">
        <f aca="false">RANK(C231,$C$231:$E$231)</f>
        <v>1</v>
      </c>
      <c r="D232" s="30" t="n">
        <f aca="false">RANK(D231,$C$231:$E$231)</f>
        <v>3</v>
      </c>
      <c r="E232" s="30" t="n">
        <f aca="false">RANK(E231,$C$231:$E$231)</f>
        <v>2</v>
      </c>
    </row>
    <row r="233" customFormat="false" ht="23.85" hidden="false" customHeight="false" outlineLevel="0" collapsed="false">
      <c r="A233" s="10" t="s">
        <v>152</v>
      </c>
      <c r="C233" s="30" t="str">
        <f aca="false">INDEX($C$4:$E$4,MATCH(MAX(C231:E231),C231:E231,0))</f>
        <v>A. Industrial Distribution</v>
      </c>
      <c r="D233" s="28" t="n">
        <f aca="false">MAX(C231:E231)-LARGE(C231:E231,2)</f>
        <v>0.205925042277025</v>
      </c>
      <c r="E233" s="4"/>
    </row>
    <row r="236" customFormat="false" ht="23.85" hidden="false" customHeight="false" outlineLevel="0" collapsed="false">
      <c r="A236" s="3" t="s">
        <v>236</v>
      </c>
      <c r="B236" s="12"/>
      <c r="C236" s="12"/>
      <c r="D236" s="12"/>
      <c r="E236" s="12"/>
    </row>
    <row r="237" customFormat="false" ht="15" hidden="false" customHeight="false" outlineLevel="0" collapsed="false">
      <c r="A237" s="4" t="s">
        <v>125</v>
      </c>
      <c r="B237" s="4" t="s">
        <v>126</v>
      </c>
      <c r="C237" s="25" t="n">
        <f aca="false">Inputs!D5</f>
        <v>68163346.58</v>
      </c>
      <c r="D237" s="25" t="n">
        <f aca="false">Inputs!E5</f>
        <v>75842616.73</v>
      </c>
      <c r="E237" s="25" t="n">
        <f aca="false">Inputs!F5</f>
        <v>148227391.96</v>
      </c>
    </row>
    <row r="238" customFormat="false" ht="23.85" hidden="false" customHeight="false" outlineLevel="0" collapsed="false">
      <c r="A238" s="4" t="s">
        <v>127</v>
      </c>
      <c r="B238" s="4" t="s">
        <v>126</v>
      </c>
      <c r="C238" s="6" t="n">
        <f aca="false">Inputs!D6</f>
        <v>5</v>
      </c>
      <c r="D238" s="6" t="n">
        <f aca="false">Inputs!E6</f>
        <v>5</v>
      </c>
      <c r="E238" s="20" t="n">
        <v>4</v>
      </c>
    </row>
    <row r="239" customFormat="false" ht="23.85" hidden="false" customHeight="false" outlineLevel="0" collapsed="false">
      <c r="A239" s="4" t="s">
        <v>128</v>
      </c>
      <c r="B239" s="4" t="s">
        <v>126</v>
      </c>
      <c r="C239" s="26" t="n">
        <f aca="false">Inputs!D7</f>
        <v>2.54356</v>
      </c>
      <c r="D239" s="26" t="n">
        <f aca="false">Inputs!E7</f>
        <v>0.31725</v>
      </c>
      <c r="E239" s="26" t="n">
        <f aca="false">Inputs!F7</f>
        <v>0.71487</v>
      </c>
    </row>
    <row r="240" customFormat="false" ht="23.85" hidden="false" customHeight="false" outlineLevel="0" collapsed="false">
      <c r="A240" s="4" t="s">
        <v>129</v>
      </c>
      <c r="B240" s="4" t="s">
        <v>126</v>
      </c>
      <c r="C240" s="41" t="n">
        <v>1</v>
      </c>
      <c r="D240" s="26" t="n">
        <f aca="false">Inputs!E8</f>
        <v>0.97041</v>
      </c>
      <c r="E240" s="26" t="n">
        <f aca="false">Inputs!F8</f>
        <v>1</v>
      </c>
    </row>
    <row r="241" customFormat="false" ht="23.85" hidden="false" customHeight="false" outlineLevel="0" collapsed="false">
      <c r="A241" s="4" t="s">
        <v>130</v>
      </c>
      <c r="B241" s="4" t="s">
        <v>126</v>
      </c>
      <c r="C241" s="20" t="n">
        <v>3</v>
      </c>
      <c r="D241" s="6" t="n">
        <f aca="false">Inputs!E9</f>
        <v>2</v>
      </c>
      <c r="E241" s="6" t="n">
        <f aca="false">Inputs!F9</f>
        <v>4</v>
      </c>
    </row>
    <row r="242" customFormat="false" ht="15" hidden="false" customHeight="false" outlineLevel="0" collapsed="false">
      <c r="A242" s="4" t="s">
        <v>131</v>
      </c>
      <c r="B242" s="4" t="s">
        <v>126</v>
      </c>
      <c r="C242" s="25" t="n">
        <f aca="false">Inputs!D10</f>
        <v>1864123.57</v>
      </c>
      <c r="D242" s="25" t="n">
        <f aca="false">Inputs!E10</f>
        <v>2149272.49</v>
      </c>
      <c r="E242" s="25" t="n">
        <f aca="false">Inputs!F10</f>
        <v>4178480.91</v>
      </c>
    </row>
    <row r="243" customFormat="false" ht="23.85" hidden="false" customHeight="false" outlineLevel="0" collapsed="false">
      <c r="A243" s="4" t="s">
        <v>132</v>
      </c>
      <c r="B243" s="4" t="s">
        <v>126</v>
      </c>
      <c r="C243" s="27" t="n">
        <f aca="false">Inputs!D11</f>
        <v>27.7</v>
      </c>
      <c r="D243" s="27" t="n">
        <f aca="false">Inputs!E11</f>
        <v>3.65</v>
      </c>
      <c r="E243" s="27" t="n">
        <f aca="false">Inputs!F11</f>
        <v>9.32</v>
      </c>
    </row>
    <row r="244" customFormat="false" ht="15" hidden="false" customHeight="false" outlineLevel="0" collapsed="false">
      <c r="A244" s="4" t="s">
        <v>133</v>
      </c>
      <c r="B244" s="4" t="s">
        <v>126</v>
      </c>
      <c r="C244" s="20" t="n">
        <v>3</v>
      </c>
      <c r="D244" s="6" t="n">
        <f aca="false">Inputs!E12</f>
        <v>3.3333</v>
      </c>
      <c r="E244" s="20" t="n">
        <v>3</v>
      </c>
    </row>
    <row r="245" customFormat="false" ht="15" hidden="false" customHeight="false" outlineLevel="0" collapsed="false">
      <c r="A245" s="4" t="s">
        <v>134</v>
      </c>
      <c r="B245" s="4" t="s">
        <v>126</v>
      </c>
      <c r="C245" s="6" t="n">
        <f aca="false">Inputs!D13</f>
        <v>2</v>
      </c>
      <c r="D245" s="6" t="n">
        <f aca="false">Inputs!E13</f>
        <v>1.5</v>
      </c>
      <c r="E245" s="20" t="n">
        <v>5</v>
      </c>
    </row>
    <row r="246" customFormat="false" ht="23.85" hidden="false" customHeight="false" outlineLevel="0" collapsed="false">
      <c r="A246" s="4" t="s">
        <v>135</v>
      </c>
      <c r="B246" s="4" t="s">
        <v>136</v>
      </c>
      <c r="C246" s="14" t="n">
        <f aca="false">Weights!$G$14</f>
        <v>0.5</v>
      </c>
    </row>
    <row r="247" customFormat="false" ht="15" hidden="false" customHeight="false" outlineLevel="0" collapsed="false">
      <c r="A247" s="4" t="s">
        <v>137</v>
      </c>
      <c r="B247" s="4" t="s">
        <v>136</v>
      </c>
      <c r="C247" s="14" t="n">
        <f aca="false">Weights!$G$15</f>
        <v>0.5</v>
      </c>
    </row>
    <row r="248" customFormat="false" ht="15" hidden="false" customHeight="false" outlineLevel="0" collapsed="false">
      <c r="A248" s="4" t="s">
        <v>138</v>
      </c>
      <c r="B248" s="4" t="s">
        <v>136</v>
      </c>
      <c r="C248" s="14" t="n">
        <f aca="false">Weights!$G$16</f>
        <v>0.5</v>
      </c>
    </row>
    <row r="249" customFormat="false" ht="15" hidden="false" customHeight="false" outlineLevel="0" collapsed="false">
      <c r="A249" s="10" t="s">
        <v>139</v>
      </c>
      <c r="B249" s="4" t="s">
        <v>90</v>
      </c>
      <c r="C249" s="28" t="n">
        <f aca="false">$C$246*(1+4*C237/MAX($C$237:$E$237))+(1-$C$246)*C238</f>
        <v>3.91971322815144</v>
      </c>
      <c r="D249" s="28" t="n">
        <f aca="false">$C$246*(1+4*D237/MAX($C$237:$E$237))+(1-$C$246)*D238</f>
        <v>4.02332795210303</v>
      </c>
      <c r="E249" s="28" t="n">
        <f aca="false">$C$246*(1+4*E237/MAX($C$237:$E$237))+(1-$C$246)*E238</f>
        <v>4.5</v>
      </c>
    </row>
    <row r="250" customFormat="false" ht="15" hidden="false" customHeight="false" outlineLevel="0" collapsed="false">
      <c r="A250" s="10" t="s">
        <v>141</v>
      </c>
      <c r="B250" s="4" t="s">
        <v>90</v>
      </c>
      <c r="C250" s="28" t="n">
        <f aca="false">$C$247*(1+4*C239/MAX($C$239:$E$239))+(1-$C$247)*(1+4*MIN($C$240:$E$240)/C240)</f>
        <v>4.94082</v>
      </c>
      <c r="D250" s="28" t="n">
        <f aca="false">$C$247*(1+4*D239/MAX($C$239:$E$239))+(1-$C$247)*(1+4*MIN($C$240:$E$240)/D240)</f>
        <v>3.24945352183554</v>
      </c>
      <c r="E250" s="28" t="n">
        <f aca="false">$C$247*(1+4*E239/MAX($C$239:$E$239))+(1-$C$247)*(1+4*MIN($C$240:$E$240)/E240)</f>
        <v>3.50292193586941</v>
      </c>
    </row>
    <row r="251" customFormat="false" ht="15" hidden="false" customHeight="false" outlineLevel="0" collapsed="false">
      <c r="A251" s="10" t="s">
        <v>143</v>
      </c>
      <c r="B251" s="4" t="s">
        <v>90</v>
      </c>
      <c r="C251" s="28" t="n">
        <f aca="false">C241</f>
        <v>3</v>
      </c>
      <c r="D251" s="28" t="n">
        <f aca="false">D241</f>
        <v>2</v>
      </c>
      <c r="E251" s="28" t="n">
        <f aca="false">E241</f>
        <v>4</v>
      </c>
    </row>
    <row r="252" customFormat="false" ht="15" hidden="false" customHeight="false" outlineLevel="0" collapsed="false">
      <c r="A252" s="10" t="s">
        <v>145</v>
      </c>
      <c r="B252" s="4" t="s">
        <v>90</v>
      </c>
      <c r="C252" s="28" t="n">
        <f aca="false">$C$248*(1+4*C242/MAX($C$242:$E$242))+(1-$C$248)*(1+4*C243/MAX($C$243:$E$243))</f>
        <v>3.89224941319643</v>
      </c>
      <c r="D252" s="28" t="n">
        <f aca="false">$C$248*(1+4*D242/MAX($C$242:$E$242))+(1-$C$248)*(1+4*D243/MAX($C$243:$E$243))</f>
        <v>2.29227181029663</v>
      </c>
      <c r="E252" s="28" t="n">
        <f aca="false">$C$248*(1+4*E242/MAX($C$242:$E$242))+(1-$C$248)*(1+4*E243/MAX($C$243:$E$243))</f>
        <v>3.67292418772563</v>
      </c>
    </row>
    <row r="253" customFormat="false" ht="15" hidden="false" customHeight="false" outlineLevel="0" collapsed="false">
      <c r="A253" s="10" t="s">
        <v>147</v>
      </c>
      <c r="B253" s="4" t="s">
        <v>90</v>
      </c>
      <c r="C253" s="28" t="n">
        <f aca="false">C244</f>
        <v>3</v>
      </c>
      <c r="D253" s="28" t="n">
        <f aca="false">D244</f>
        <v>3.3333</v>
      </c>
      <c r="E253" s="28" t="n">
        <f aca="false">E244</f>
        <v>3</v>
      </c>
    </row>
    <row r="254" customFormat="false" ht="15" hidden="false" customHeight="false" outlineLevel="0" collapsed="false">
      <c r="A254" s="10" t="s">
        <v>149</v>
      </c>
      <c r="B254" s="4" t="s">
        <v>90</v>
      </c>
      <c r="C254" s="28" t="n">
        <f aca="false">C245</f>
        <v>2</v>
      </c>
      <c r="D254" s="28" t="n">
        <f aca="false">D245</f>
        <v>1.5</v>
      </c>
      <c r="E254" s="28" t="n">
        <f aca="false">E245</f>
        <v>5</v>
      </c>
    </row>
    <row r="255" customFormat="false" ht="15" hidden="false" customHeight="false" outlineLevel="0" collapsed="false">
      <c r="A255" s="7" t="s">
        <v>151</v>
      </c>
      <c r="B255" s="9" t="s">
        <v>90</v>
      </c>
      <c r="C255" s="29" t="n">
        <f aca="false">SUMPRODUCT(Weights!$B$5:$B$10,C249:C254)</f>
        <v>3.60594405760975</v>
      </c>
      <c r="D255" s="29" t="n">
        <f aca="false">SUMPRODUCT(Weights!$B$5:$B$10,D249:D254)</f>
        <v>2.84839206633221</v>
      </c>
      <c r="E255" s="29" t="n">
        <f aca="false">SUMPRODUCT(Weights!$B$5:$B$10,E249:E254)</f>
        <v>3.90152301533273</v>
      </c>
    </row>
    <row r="256" customFormat="false" ht="15" hidden="false" customHeight="false" outlineLevel="0" collapsed="false">
      <c r="A256" s="10" t="s">
        <v>31</v>
      </c>
      <c r="C256" s="30" t="n">
        <f aca="false">RANK(C255,$C$255:$E$255)</f>
        <v>2</v>
      </c>
      <c r="D256" s="30" t="n">
        <f aca="false">RANK(D255,$C$255:$E$255)</f>
        <v>3</v>
      </c>
      <c r="E256" s="30" t="n">
        <f aca="false">RANK(E255,$C$255:$E$255)</f>
        <v>1</v>
      </c>
    </row>
    <row r="257" customFormat="false" ht="23.85" hidden="false" customHeight="false" outlineLevel="0" collapsed="false">
      <c r="A257" s="10" t="s">
        <v>152</v>
      </c>
      <c r="C257" s="30" t="str">
        <f aca="false">INDEX($C$4:$E$4,MATCH(MAX(C255:E255),C255:E255,0))</f>
        <v>C. B2B Prof. Services</v>
      </c>
      <c r="D257" s="28" t="n">
        <f aca="false">MAX(C255:E255)-LARGE(C255:E255,2)</f>
        <v>0.295578957722975</v>
      </c>
      <c r="E257" s="4"/>
    </row>
    <row r="260" customFormat="false" ht="23.85" hidden="false" customHeight="false" outlineLevel="0" collapsed="false">
      <c r="A260" s="3" t="s">
        <v>237</v>
      </c>
      <c r="B260" s="12"/>
      <c r="C260" s="12"/>
      <c r="D260" s="12"/>
      <c r="E260" s="12"/>
    </row>
    <row r="261" customFormat="false" ht="15" hidden="false" customHeight="false" outlineLevel="0" collapsed="false">
      <c r="A261" s="4" t="s">
        <v>125</v>
      </c>
      <c r="B261" s="4" t="s">
        <v>126</v>
      </c>
      <c r="C261" s="25" t="n">
        <f aca="false">Inputs!D5</f>
        <v>68163346.58</v>
      </c>
      <c r="D261" s="25" t="n">
        <f aca="false">Inputs!E5</f>
        <v>75842616.73</v>
      </c>
      <c r="E261" s="25" t="n">
        <f aca="false">Inputs!F5</f>
        <v>148227391.96</v>
      </c>
    </row>
    <row r="262" customFormat="false" ht="23.85" hidden="false" customHeight="false" outlineLevel="0" collapsed="false">
      <c r="A262" s="4" t="s">
        <v>127</v>
      </c>
      <c r="B262" s="4" t="s">
        <v>126</v>
      </c>
      <c r="C262" s="6" t="n">
        <f aca="false">Inputs!D6</f>
        <v>5</v>
      </c>
      <c r="D262" s="6" t="n">
        <f aca="false">Inputs!E6</f>
        <v>5</v>
      </c>
      <c r="E262" s="6" t="n">
        <f aca="false">Inputs!F6</f>
        <v>2</v>
      </c>
    </row>
    <row r="263" customFormat="false" ht="23.85" hidden="false" customHeight="false" outlineLevel="0" collapsed="false">
      <c r="A263" s="4" t="s">
        <v>128</v>
      </c>
      <c r="B263" s="4" t="s">
        <v>126</v>
      </c>
      <c r="C263" s="26" t="n">
        <f aca="false">Inputs!D7</f>
        <v>2.54356</v>
      </c>
      <c r="D263" s="26" t="n">
        <f aca="false">Inputs!E7</f>
        <v>0.31725</v>
      </c>
      <c r="E263" s="26" t="n">
        <f aca="false">Inputs!F7</f>
        <v>0.71487</v>
      </c>
    </row>
    <row r="264" customFormat="false" ht="23.85" hidden="false" customHeight="false" outlineLevel="0" collapsed="false">
      <c r="A264" s="4" t="s">
        <v>129</v>
      </c>
      <c r="B264" s="4" t="s">
        <v>126</v>
      </c>
      <c r="C264" s="26" t="n">
        <f aca="false">Inputs!D8</f>
        <v>0.62124</v>
      </c>
      <c r="D264" s="26" t="n">
        <f aca="false">Inputs!E8</f>
        <v>0.97041</v>
      </c>
      <c r="E264" s="26" t="n">
        <f aca="false">Inputs!F8</f>
        <v>1</v>
      </c>
    </row>
    <row r="265" customFormat="false" ht="23.85" hidden="false" customHeight="false" outlineLevel="0" collapsed="false">
      <c r="A265" s="4" t="s">
        <v>130</v>
      </c>
      <c r="B265" s="4" t="s">
        <v>126</v>
      </c>
      <c r="C265" s="6" t="n">
        <f aca="false">Inputs!D9</f>
        <v>4</v>
      </c>
      <c r="D265" s="6" t="n">
        <f aca="false">Inputs!E9</f>
        <v>2</v>
      </c>
      <c r="E265" s="6" t="n">
        <f aca="false">Inputs!F9</f>
        <v>4</v>
      </c>
    </row>
    <row r="266" customFormat="false" ht="15" hidden="false" customHeight="false" outlineLevel="0" collapsed="false">
      <c r="A266" s="4" t="s">
        <v>131</v>
      </c>
      <c r="B266" s="4" t="s">
        <v>126</v>
      </c>
      <c r="C266" s="25" t="n">
        <f aca="false">Inputs!D10</f>
        <v>1864123.57</v>
      </c>
      <c r="D266" s="25" t="n">
        <f aca="false">Inputs!E10</f>
        <v>2149272.49</v>
      </c>
      <c r="E266" s="25" t="n">
        <f aca="false">Inputs!F10</f>
        <v>4178480.91</v>
      </c>
    </row>
    <row r="267" customFormat="false" ht="23.85" hidden="false" customHeight="false" outlineLevel="0" collapsed="false">
      <c r="A267" s="4" t="s">
        <v>132</v>
      </c>
      <c r="B267" s="4" t="s">
        <v>126</v>
      </c>
      <c r="C267" s="27" t="n">
        <f aca="false">Inputs!D11</f>
        <v>27.7</v>
      </c>
      <c r="D267" s="27" t="n">
        <f aca="false">Inputs!E11</f>
        <v>3.65</v>
      </c>
      <c r="E267" s="27" t="n">
        <f aca="false">Inputs!F11</f>
        <v>9.32</v>
      </c>
    </row>
    <row r="268" customFormat="false" ht="15" hidden="false" customHeight="false" outlineLevel="0" collapsed="false">
      <c r="A268" s="4" t="s">
        <v>133</v>
      </c>
      <c r="B268" s="4" t="s">
        <v>126</v>
      </c>
      <c r="C268" s="6" t="n">
        <f aca="false">Inputs!D12</f>
        <v>4</v>
      </c>
      <c r="D268" s="6" t="n">
        <f aca="false">Inputs!E12</f>
        <v>3.3333</v>
      </c>
      <c r="E268" s="6" t="n">
        <f aca="false">Inputs!F12</f>
        <v>2.3333</v>
      </c>
    </row>
    <row r="269" customFormat="false" ht="15" hidden="false" customHeight="false" outlineLevel="0" collapsed="false">
      <c r="A269" s="4" t="s">
        <v>134</v>
      </c>
      <c r="B269" s="4" t="s">
        <v>126</v>
      </c>
      <c r="C269" s="6" t="n">
        <f aca="false">Inputs!D13</f>
        <v>2</v>
      </c>
      <c r="D269" s="6" t="n">
        <f aca="false">Inputs!E13</f>
        <v>1.5</v>
      </c>
      <c r="E269" s="6" t="n">
        <f aca="false">Inputs!F13</f>
        <v>4.5</v>
      </c>
    </row>
    <row r="270" customFormat="false" ht="23.85" hidden="false" customHeight="false" outlineLevel="0" collapsed="false">
      <c r="A270" s="4" t="s">
        <v>135</v>
      </c>
      <c r="B270" s="4" t="s">
        <v>136</v>
      </c>
      <c r="C270" s="16" t="n">
        <v>1</v>
      </c>
    </row>
    <row r="271" customFormat="false" ht="15" hidden="false" customHeight="false" outlineLevel="0" collapsed="false">
      <c r="A271" s="4" t="s">
        <v>137</v>
      </c>
      <c r="B271" s="4" t="s">
        <v>136</v>
      </c>
      <c r="C271" s="14" t="n">
        <f aca="false">Weights!$G$15</f>
        <v>0.5</v>
      </c>
    </row>
    <row r="272" customFormat="false" ht="15" hidden="false" customHeight="false" outlineLevel="0" collapsed="false">
      <c r="A272" s="4" t="s">
        <v>138</v>
      </c>
      <c r="B272" s="4" t="s">
        <v>136</v>
      </c>
      <c r="C272" s="14" t="n">
        <f aca="false">Weights!$G$16</f>
        <v>0.5</v>
      </c>
    </row>
    <row r="273" customFormat="false" ht="15" hidden="false" customHeight="false" outlineLevel="0" collapsed="false">
      <c r="A273" s="10" t="s">
        <v>139</v>
      </c>
      <c r="B273" s="4" t="s">
        <v>90</v>
      </c>
      <c r="C273" s="28" t="n">
        <f aca="false">$C$270*(1+4*C261/MAX($C$261:$E$261))+(1-$C$270)*C262</f>
        <v>2.83942645630287</v>
      </c>
      <c r="D273" s="28" t="n">
        <f aca="false">$C$270*(1+4*D261/MAX($C$261:$E$261))+(1-$C$270)*D262</f>
        <v>3.04665590420606</v>
      </c>
      <c r="E273" s="28" t="n">
        <f aca="false">$C$270*(1+4*E261/MAX($C$261:$E$261))+(1-$C$270)*E262</f>
        <v>5</v>
      </c>
    </row>
    <row r="274" customFormat="false" ht="15" hidden="false" customHeight="false" outlineLevel="0" collapsed="false">
      <c r="A274" s="10" t="s">
        <v>141</v>
      </c>
      <c r="B274" s="4" t="s">
        <v>90</v>
      </c>
      <c r="C274" s="28" t="n">
        <f aca="false">$C$271*(1+4*C263/MAX($C$263:$E$263))+(1-$C$271)*(1+4*MIN($C$264:$E$264)/C264)</f>
        <v>5</v>
      </c>
      <c r="D274" s="28" t="n">
        <f aca="false">$C$271*(1+4*D263/MAX($C$263:$E$263))+(1-$C$271)*(1+4*MIN($C$264:$E$264)/D264)</f>
        <v>2.52981955268848</v>
      </c>
      <c r="E274" s="28" t="n">
        <f aca="false">$C$271*(1+4*E263/MAX($C$263:$E$263))+(1-$C$271)*(1+4*MIN($C$264:$E$264)/E264)</f>
        <v>2.80458193586941</v>
      </c>
    </row>
    <row r="275" customFormat="false" ht="15" hidden="false" customHeight="false" outlineLevel="0" collapsed="false">
      <c r="A275" s="10" t="s">
        <v>143</v>
      </c>
      <c r="B275" s="4" t="s">
        <v>90</v>
      </c>
      <c r="C275" s="28" t="n">
        <f aca="false">C265</f>
        <v>4</v>
      </c>
      <c r="D275" s="28" t="n">
        <f aca="false">D265</f>
        <v>2</v>
      </c>
      <c r="E275" s="28" t="n">
        <f aca="false">E265</f>
        <v>4</v>
      </c>
    </row>
    <row r="276" customFormat="false" ht="15" hidden="false" customHeight="false" outlineLevel="0" collapsed="false">
      <c r="A276" s="10" t="s">
        <v>145</v>
      </c>
      <c r="B276" s="4" t="s">
        <v>90</v>
      </c>
      <c r="C276" s="28" t="n">
        <f aca="false">$C$272*(1+4*C266/MAX($C$266:$E$266))+(1-$C$272)*(1+4*C267/MAX($C$267:$E$267))</f>
        <v>3.89224941319643</v>
      </c>
      <c r="D276" s="28" t="n">
        <f aca="false">$C$272*(1+4*D266/MAX($C$266:$E$266))+(1-$C$272)*(1+4*D267/MAX($C$267:$E$267))</f>
        <v>2.29227181029663</v>
      </c>
      <c r="E276" s="28" t="n">
        <f aca="false">$C$272*(1+4*E266/MAX($C$266:$E$266))+(1-$C$272)*(1+4*E267/MAX($C$267:$E$267))</f>
        <v>3.67292418772563</v>
      </c>
    </row>
    <row r="277" customFormat="false" ht="15" hidden="false" customHeight="false" outlineLevel="0" collapsed="false">
      <c r="A277" s="10" t="s">
        <v>147</v>
      </c>
      <c r="B277" s="4" t="s">
        <v>90</v>
      </c>
      <c r="C277" s="28" t="n">
        <f aca="false">C268</f>
        <v>4</v>
      </c>
      <c r="D277" s="28" t="n">
        <f aca="false">D268</f>
        <v>3.3333</v>
      </c>
      <c r="E277" s="28" t="n">
        <f aca="false">E268</f>
        <v>2.3333</v>
      </c>
    </row>
    <row r="278" customFormat="false" ht="15" hidden="false" customHeight="false" outlineLevel="0" collapsed="false">
      <c r="A278" s="10" t="s">
        <v>149</v>
      </c>
      <c r="B278" s="4" t="s">
        <v>90</v>
      </c>
      <c r="C278" s="28" t="n">
        <f aca="false">C269</f>
        <v>2</v>
      </c>
      <c r="D278" s="28" t="n">
        <f aca="false">D269</f>
        <v>1.5</v>
      </c>
      <c r="E278" s="28" t="n">
        <f aca="false">E269</f>
        <v>4.5</v>
      </c>
    </row>
    <row r="279" customFormat="false" ht="15" hidden="false" customHeight="false" outlineLevel="0" collapsed="false">
      <c r="A279" s="7" t="s">
        <v>151</v>
      </c>
      <c r="B279" s="9" t="s">
        <v>90</v>
      </c>
      <c r="C279" s="29" t="n">
        <f aca="false">SUMPRODUCT(Weights!$B$5:$B$10,C273:C278)</f>
        <v>3.75172270324004</v>
      </c>
      <c r="D279" s="29" t="n">
        <f aca="false">SUMPRODUCT(Weights!$B$5:$B$10,D273:D278)</f>
        <v>2.5091308629234</v>
      </c>
      <c r="E279" s="29" t="n">
        <f aca="false">SUMPRODUCT(Weights!$B$5:$B$10,E273:E278)</f>
        <v>3.71185001533273</v>
      </c>
    </row>
    <row r="280" customFormat="false" ht="15" hidden="false" customHeight="false" outlineLevel="0" collapsed="false">
      <c r="A280" s="10" t="s">
        <v>31</v>
      </c>
      <c r="C280" s="30" t="n">
        <f aca="false">RANK(C279,$C$279:$E$279)</f>
        <v>1</v>
      </c>
      <c r="D280" s="30" t="n">
        <f aca="false">RANK(D279,$C$279:$E$279)</f>
        <v>3</v>
      </c>
      <c r="E280" s="30" t="n">
        <f aca="false">RANK(E279,$C$279:$E$279)</f>
        <v>2</v>
      </c>
    </row>
    <row r="281" customFormat="false" ht="23.85" hidden="false" customHeight="false" outlineLevel="0" collapsed="false">
      <c r="A281" s="10" t="s">
        <v>152</v>
      </c>
      <c r="C281" s="30" t="str">
        <f aca="false">INDEX($C$4:$E$4,MATCH(MAX(C279:E279),C279:E279,0))</f>
        <v>A. Industrial Distribution</v>
      </c>
      <c r="D281" s="28" t="n">
        <f aca="false">MAX(C279:E279)-LARGE(C279:E279,2)</f>
        <v>0.0398726879073128</v>
      </c>
      <c r="E281" s="4"/>
    </row>
    <row r="284" customFormat="false" ht="35.05" hidden="false" customHeight="false" outlineLevel="0" collapsed="false">
      <c r="A284" s="3" t="s">
        <v>238</v>
      </c>
      <c r="B284" s="12"/>
      <c r="C284" s="12"/>
      <c r="D284" s="12"/>
      <c r="E284" s="12"/>
    </row>
    <row r="285" customFormat="false" ht="15" hidden="false" customHeight="false" outlineLevel="0" collapsed="false">
      <c r="A285" s="4" t="s">
        <v>125</v>
      </c>
      <c r="B285" s="4" t="s">
        <v>126</v>
      </c>
      <c r="C285" s="25" t="n">
        <f aca="false">Inputs!D5</f>
        <v>68163346.58</v>
      </c>
      <c r="D285" s="25" t="n">
        <f aca="false">Inputs!E5</f>
        <v>75842616.73</v>
      </c>
      <c r="E285" s="25" t="n">
        <f aca="false">Inputs!F5</f>
        <v>148227391.96</v>
      </c>
    </row>
    <row r="286" customFormat="false" ht="23.85" hidden="false" customHeight="false" outlineLevel="0" collapsed="false">
      <c r="A286" s="4" t="s">
        <v>127</v>
      </c>
      <c r="B286" s="4" t="s">
        <v>126</v>
      </c>
      <c r="C286" s="6" t="n">
        <f aca="false">Inputs!D6</f>
        <v>5</v>
      </c>
      <c r="D286" s="6" t="n">
        <f aca="false">Inputs!E6</f>
        <v>5</v>
      </c>
      <c r="E286" s="6" t="n">
        <f aca="false">Inputs!F6</f>
        <v>2</v>
      </c>
    </row>
    <row r="287" customFormat="false" ht="23.85" hidden="false" customHeight="false" outlineLevel="0" collapsed="false">
      <c r="A287" s="4" t="s">
        <v>128</v>
      </c>
      <c r="B287" s="4" t="s">
        <v>126</v>
      </c>
      <c r="C287" s="26" t="n">
        <f aca="false">Inputs!D7</f>
        <v>2.54356</v>
      </c>
      <c r="D287" s="26" t="n">
        <f aca="false">Inputs!E7</f>
        <v>0.31725</v>
      </c>
      <c r="E287" s="26" t="n">
        <f aca="false">Inputs!F7</f>
        <v>0.71487</v>
      </c>
    </row>
    <row r="288" customFormat="false" ht="23.85" hidden="false" customHeight="false" outlineLevel="0" collapsed="false">
      <c r="A288" s="4" t="s">
        <v>129</v>
      </c>
      <c r="B288" s="4" t="s">
        <v>126</v>
      </c>
      <c r="C288" s="26" t="n">
        <f aca="false">Inputs!D8</f>
        <v>0.62124</v>
      </c>
      <c r="D288" s="26" t="n">
        <f aca="false">Inputs!E8</f>
        <v>0.97041</v>
      </c>
      <c r="E288" s="26" t="n">
        <f aca="false">Inputs!F8</f>
        <v>1</v>
      </c>
    </row>
    <row r="289" customFormat="false" ht="23.85" hidden="false" customHeight="false" outlineLevel="0" collapsed="false">
      <c r="A289" s="4" t="s">
        <v>130</v>
      </c>
      <c r="B289" s="4" t="s">
        <v>126</v>
      </c>
      <c r="C289" s="6" t="n">
        <f aca="false">Inputs!D9</f>
        <v>4</v>
      </c>
      <c r="D289" s="6" t="n">
        <f aca="false">Inputs!E9</f>
        <v>2</v>
      </c>
      <c r="E289" s="6" t="n">
        <f aca="false">Inputs!F9</f>
        <v>4</v>
      </c>
    </row>
    <row r="290" customFormat="false" ht="15" hidden="false" customHeight="false" outlineLevel="0" collapsed="false">
      <c r="A290" s="4" t="s">
        <v>131</v>
      </c>
      <c r="B290" s="4" t="s">
        <v>126</v>
      </c>
      <c r="C290" s="25" t="n">
        <f aca="false">Inputs!D10</f>
        <v>1864123.57</v>
      </c>
      <c r="D290" s="25" t="n">
        <f aca="false">Inputs!E10</f>
        <v>2149272.49</v>
      </c>
      <c r="E290" s="25" t="n">
        <f aca="false">Inputs!F10</f>
        <v>4178480.91</v>
      </c>
    </row>
    <row r="291" customFormat="false" ht="23.85" hidden="false" customHeight="false" outlineLevel="0" collapsed="false">
      <c r="A291" s="4" t="s">
        <v>132</v>
      </c>
      <c r="B291" s="4" t="s">
        <v>126</v>
      </c>
      <c r="C291" s="27" t="n">
        <f aca="false">Inputs!D11</f>
        <v>27.7</v>
      </c>
      <c r="D291" s="27" t="n">
        <f aca="false">Inputs!E11</f>
        <v>3.65</v>
      </c>
      <c r="E291" s="27" t="n">
        <f aca="false">Inputs!F11</f>
        <v>9.32</v>
      </c>
    </row>
    <row r="292" customFormat="false" ht="15" hidden="false" customHeight="false" outlineLevel="0" collapsed="false">
      <c r="A292" s="4" t="s">
        <v>133</v>
      </c>
      <c r="B292" s="4" t="s">
        <v>126</v>
      </c>
      <c r="C292" s="6" t="n">
        <f aca="false">Inputs!D12</f>
        <v>4</v>
      </c>
      <c r="D292" s="6" t="n">
        <f aca="false">Inputs!E12</f>
        <v>3.3333</v>
      </c>
      <c r="E292" s="6" t="n">
        <f aca="false">Inputs!F12</f>
        <v>2.3333</v>
      </c>
    </row>
    <row r="293" customFormat="false" ht="15" hidden="false" customHeight="false" outlineLevel="0" collapsed="false">
      <c r="A293" s="4" t="s">
        <v>134</v>
      </c>
      <c r="B293" s="4" t="s">
        <v>126</v>
      </c>
      <c r="C293" s="6" t="n">
        <f aca="false">Inputs!D13</f>
        <v>2</v>
      </c>
      <c r="D293" s="6" t="n">
        <f aca="false">Inputs!E13</f>
        <v>1.5</v>
      </c>
      <c r="E293" s="6" t="n">
        <f aca="false">Inputs!F13</f>
        <v>4.5</v>
      </c>
    </row>
    <row r="294" customFormat="false" ht="23.85" hidden="false" customHeight="false" outlineLevel="0" collapsed="false">
      <c r="A294" s="4" t="s">
        <v>135</v>
      </c>
      <c r="B294" s="4" t="s">
        <v>136</v>
      </c>
      <c r="C294" s="14" t="n">
        <f aca="false">Weights!$G$14</f>
        <v>0.5</v>
      </c>
    </row>
    <row r="295" customFormat="false" ht="15" hidden="false" customHeight="false" outlineLevel="0" collapsed="false">
      <c r="A295" s="4" t="s">
        <v>137</v>
      </c>
      <c r="B295" s="4" t="s">
        <v>136</v>
      </c>
      <c r="C295" s="14" t="n">
        <f aca="false">Weights!$G$15</f>
        <v>0.5</v>
      </c>
    </row>
    <row r="296" customFormat="false" ht="15" hidden="false" customHeight="false" outlineLevel="0" collapsed="false">
      <c r="A296" s="4" t="s">
        <v>138</v>
      </c>
      <c r="B296" s="4" t="s">
        <v>136</v>
      </c>
      <c r="C296" s="14" t="n">
        <f aca="false">Weights!$G$16</f>
        <v>0.5</v>
      </c>
    </row>
    <row r="297" customFormat="false" ht="15" hidden="false" customHeight="false" outlineLevel="0" collapsed="false">
      <c r="A297" s="10" t="s">
        <v>139</v>
      </c>
      <c r="B297" s="4" t="s">
        <v>90</v>
      </c>
      <c r="C297" s="28" t="n">
        <f aca="false">$C$294*(1+4*(C285-MIN($C$285:$E$285))/(MAX($C$285:$E$285)-MIN($C$285:$E$285)))+(1-$C$294)*C286</f>
        <v>3</v>
      </c>
      <c r="D297" s="28" t="n">
        <f aca="false">$C$294*(1+4*(D285-MIN($C$285:$E$285))/(MAX($C$285:$E$285)-MIN($C$285:$E$285)))+(1-$C$294)*D286</f>
        <v>3.19182818238955</v>
      </c>
      <c r="E297" s="28" t="n">
        <f aca="false">$C$294*(1+4*(E285-MIN($C$285:$E$285))/(MAX($C$285:$E$285)-MIN($C$285:$E$285)))+(1-$C$294)*E286</f>
        <v>3.5</v>
      </c>
    </row>
    <row r="298" customFormat="false" ht="15" hidden="false" customHeight="false" outlineLevel="0" collapsed="false">
      <c r="A298" s="10" t="s">
        <v>141</v>
      </c>
      <c r="B298" s="4" t="s">
        <v>90</v>
      </c>
      <c r="C298" s="28" t="n">
        <f aca="false">$C$295*(1+4*(C287-MIN($C$287:$E$287))/(MAX($C$287:$E$287)-MIN($C$287:$E$287)))+(1-$C$295)*(1+4*(1/C288-1/MAX($C$288:$E$288))/(1/MIN($C$288:$E$288)-1/MAX($C$288:$E$288)))</f>
        <v>5</v>
      </c>
      <c r="D298" s="28" t="n">
        <f aca="false">$C$295*(1+4*(D287-MIN($C$287:$E$287))/(MAX($C$287:$E$287)-MIN($C$287:$E$287)))+(1-$C$295)*(1+4*(1/D288-1/MAX($C$288:$E$288))/(1/MIN($C$288:$E$288)-1/MAX($C$288:$E$288)))</f>
        <v>1.10002648340094</v>
      </c>
      <c r="E298" s="28" t="n">
        <f aca="false">$C$295*(1+4*(E287-MIN($C$287:$E$287))/(MAX($C$287:$E$287)-MIN($C$287:$E$287)))+(1-$C$295)*(1+4*(1/E288-1/MAX($C$288:$E$288))/(1/MIN($C$288:$E$288)-1/MAX($C$288:$E$288)))</f>
        <v>1.3572009288913</v>
      </c>
    </row>
    <row r="299" customFormat="false" ht="15" hidden="false" customHeight="false" outlineLevel="0" collapsed="false">
      <c r="A299" s="10" t="s">
        <v>143</v>
      </c>
      <c r="B299" s="4" t="s">
        <v>90</v>
      </c>
      <c r="C299" s="28" t="n">
        <f aca="false">C289</f>
        <v>4</v>
      </c>
      <c r="D299" s="28" t="n">
        <f aca="false">D289</f>
        <v>2</v>
      </c>
      <c r="E299" s="28" t="n">
        <f aca="false">E289</f>
        <v>4</v>
      </c>
    </row>
    <row r="300" customFormat="false" ht="15" hidden="false" customHeight="false" outlineLevel="0" collapsed="false">
      <c r="A300" s="10" t="s">
        <v>145</v>
      </c>
      <c r="B300" s="4" t="s">
        <v>90</v>
      </c>
      <c r="C300" s="28" t="n">
        <f aca="false">$C$296*(1+4*(C290-MIN($C$290:$E$290))/(MAX($C$290:$E$290)-MIN($C$290:$E$290)))+(1-$C$296)*(1+4*(C291-MIN($C$291:$E$291))/(MAX($C$291:$E$291)-MIN($C$291:$E$291)))</f>
        <v>3</v>
      </c>
      <c r="D300" s="28" t="n">
        <f aca="false">$C$296*(1+4*(D290-MIN($C$290:$E$290))/(MAX($C$290:$E$290)-MIN($C$290:$E$290)))+(1-$C$296)*(1+4*(D291-MIN($C$291:$E$291))/(MAX($C$291:$E$291)-MIN($C$291:$E$291)))</f>
        <v>1.24641736612722</v>
      </c>
      <c r="E300" s="28" t="n">
        <f aca="false">$C$296*(1+4*(E290-MIN($C$290:$E$290))/(MAX($C$290:$E$290)-MIN($C$290:$E$290)))+(1-$C$296)*(1+4*(E291-MIN($C$291:$E$291))/(MAX($C$291:$E$291)-MIN($C$291:$E$291)))</f>
        <v>3.47151767151767</v>
      </c>
    </row>
    <row r="301" customFormat="false" ht="15" hidden="false" customHeight="false" outlineLevel="0" collapsed="false">
      <c r="A301" s="10" t="s">
        <v>147</v>
      </c>
      <c r="B301" s="4" t="s">
        <v>90</v>
      </c>
      <c r="C301" s="28" t="n">
        <f aca="false">C292</f>
        <v>4</v>
      </c>
      <c r="D301" s="28" t="n">
        <f aca="false">D292</f>
        <v>3.3333</v>
      </c>
      <c r="E301" s="28" t="n">
        <f aca="false">E292</f>
        <v>2.3333</v>
      </c>
    </row>
    <row r="302" customFormat="false" ht="15" hidden="false" customHeight="false" outlineLevel="0" collapsed="false">
      <c r="A302" s="10" t="s">
        <v>149</v>
      </c>
      <c r="B302" s="4" t="s">
        <v>90</v>
      </c>
      <c r="C302" s="28" t="n">
        <f aca="false">C293</f>
        <v>2</v>
      </c>
      <c r="D302" s="28" t="n">
        <f aca="false">D293</f>
        <v>1.5</v>
      </c>
      <c r="E302" s="28" t="n">
        <f aca="false">E293</f>
        <v>4.5</v>
      </c>
    </row>
    <row r="303" customFormat="false" ht="15" hidden="false" customHeight="false" outlineLevel="0" collapsed="false">
      <c r="A303" s="7" t="s">
        <v>151</v>
      </c>
      <c r="B303" s="9" t="s">
        <v>90</v>
      </c>
      <c r="C303" s="29" t="n">
        <f aca="false">SUMPRODUCT(Weights!$B$5:$B$10,C297:C302)</f>
        <v>3.65</v>
      </c>
      <c r="D303" s="29" t="n">
        <f aca="false">SUMPRODUCT(Weights!$B$5:$B$10,D297:D302)</f>
        <v>2.09532853807718</v>
      </c>
      <c r="E303" s="29" t="n">
        <f aca="false">SUMPRODUCT(Weights!$B$5:$B$10,E297:E302)</f>
        <v>3.09216283650591</v>
      </c>
    </row>
    <row r="304" customFormat="false" ht="15" hidden="false" customHeight="false" outlineLevel="0" collapsed="false">
      <c r="A304" s="10" t="s">
        <v>31</v>
      </c>
      <c r="C304" s="30" t="n">
        <f aca="false">RANK(C303,$C$303:$E$303)</f>
        <v>1</v>
      </c>
      <c r="D304" s="30" t="n">
        <f aca="false">RANK(D303,$C$303:$E$303)</f>
        <v>3</v>
      </c>
      <c r="E304" s="30" t="n">
        <f aca="false">RANK(E303,$C$303:$E$303)</f>
        <v>2</v>
      </c>
    </row>
    <row r="305" customFormat="false" ht="23.85" hidden="false" customHeight="false" outlineLevel="0" collapsed="false">
      <c r="A305" s="10" t="s">
        <v>152</v>
      </c>
      <c r="C305" s="30" t="str">
        <f aca="false">INDEX($C$4:$E$4,MATCH(MAX(C303:E303),C303:E303,0))</f>
        <v>A. Industrial Distribution</v>
      </c>
      <c r="D305" s="28" t="n">
        <f aca="false">MAX(C303:E303)-LARGE(C303:E303,2)</f>
        <v>0.557837163494088</v>
      </c>
      <c r="E305" s="4"/>
    </row>
  </sheetData>
  <conditionalFormatting sqref="C5:E16">
    <cfRule type="colorScale" priority="2">
      <colorScale>
        <cfvo type="min" val="0"/>
        <cfvo type="max" val="0"/>
        <color rgb="FFFFFFFF"/>
        <color rgb="FFC6E0B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6" min="3" style="0" width="17"/>
    <col collapsed="false" customWidth="true" hidden="false" outlineLevel="0" max="7" min="7" style="0" width="80"/>
  </cols>
  <sheetData>
    <row r="1" customFormat="false" ht="17.35" hidden="false" customHeight="false" outlineLevel="0" collapsed="false">
      <c r="A1" s="1" t="s">
        <v>239</v>
      </c>
    </row>
    <row r="2" customFormat="false" ht="15" hidden="false" customHeight="false" outlineLevel="0" collapsed="false">
      <c r="A2" s="2" t="s">
        <v>240</v>
      </c>
    </row>
    <row r="4" customFormat="false" ht="30" hidden="false" customHeight="true" outlineLevel="0" collapsed="false">
      <c r="A4" s="5" t="s">
        <v>18</v>
      </c>
      <c r="B4" s="5" t="s">
        <v>241</v>
      </c>
      <c r="C4" s="5" t="s">
        <v>242</v>
      </c>
      <c r="D4" s="5" t="s">
        <v>243</v>
      </c>
      <c r="E4" s="5" t="s">
        <v>244</v>
      </c>
      <c r="F4" s="5" t="s">
        <v>245</v>
      </c>
      <c r="G4" s="5" t="s">
        <v>246</v>
      </c>
    </row>
    <row r="5" customFormat="false" ht="39.75" hidden="false" customHeight="true" outlineLevel="0" collapsed="false">
      <c r="A5" s="4" t="s">
        <v>247</v>
      </c>
      <c r="B5" s="4"/>
      <c r="C5" s="42" t="n">
        <v>1268</v>
      </c>
      <c r="D5" s="42" t="n">
        <v>2578</v>
      </c>
      <c r="E5" s="42" t="n">
        <v>1821</v>
      </c>
      <c r="F5" s="42" t="n">
        <v>6009</v>
      </c>
      <c r="G5" s="4" t="s">
        <v>248</v>
      </c>
    </row>
    <row r="6" customFormat="false" ht="39.75" hidden="false" customHeight="true" outlineLevel="0" collapsed="false">
      <c r="A6" s="4" t="s">
        <v>249</v>
      </c>
      <c r="B6" s="4"/>
      <c r="C6" s="43" t="n">
        <v>1.423</v>
      </c>
      <c r="D6" s="43" t="n">
        <v>1.64</v>
      </c>
      <c r="E6" s="43" t="n">
        <v>2.213</v>
      </c>
      <c r="F6" s="43" t="n">
        <v>1.574</v>
      </c>
      <c r="G6" s="4" t="s">
        <v>250</v>
      </c>
    </row>
    <row r="7" customFormat="false" ht="39.75" hidden="false" customHeight="true" outlineLevel="0" collapsed="false">
      <c r="A7" s="4" t="s">
        <v>251</v>
      </c>
      <c r="B7" s="4"/>
      <c r="C7" s="22" t="n">
        <v>87.6</v>
      </c>
      <c r="D7" s="22" t="n">
        <v>44.3</v>
      </c>
      <c r="E7" s="22" t="n">
        <v>32.2</v>
      </c>
      <c r="F7" s="22" t="n">
        <v>34.1</v>
      </c>
      <c r="G7" s="4" t="s">
        <v>252</v>
      </c>
    </row>
    <row r="8" customFormat="false" ht="39.75" hidden="false" customHeight="true" outlineLevel="0" collapsed="false">
      <c r="A8" s="4" t="s">
        <v>253</v>
      </c>
      <c r="B8" s="4"/>
      <c r="C8" s="44" t="n">
        <v>2</v>
      </c>
      <c r="D8" s="44" t="n">
        <v>5</v>
      </c>
      <c r="E8" s="44" t="n">
        <v>5</v>
      </c>
      <c r="F8" s="44" t="n">
        <v>4</v>
      </c>
      <c r="G8" s="4" t="s">
        <v>254</v>
      </c>
    </row>
    <row r="9" customFormat="false" ht="39.75" hidden="false" customHeight="true" outlineLevel="0" collapsed="false">
      <c r="A9" s="4" t="s">
        <v>255</v>
      </c>
      <c r="B9" s="4"/>
      <c r="C9" s="44" t="n">
        <v>1</v>
      </c>
      <c r="D9" s="44" t="n">
        <v>5</v>
      </c>
      <c r="E9" s="44" t="n">
        <v>1</v>
      </c>
      <c r="F9" s="44" t="n">
        <v>1</v>
      </c>
      <c r="G9" s="4" t="s">
        <v>256</v>
      </c>
    </row>
    <row r="11" customFormat="false" ht="30" hidden="false" customHeight="true" outlineLevel="0" collapsed="false">
      <c r="A11" s="5" t="s">
        <v>257</v>
      </c>
      <c r="B11" s="5" t="s">
        <v>241</v>
      </c>
      <c r="C11" s="5" t="s">
        <v>258</v>
      </c>
      <c r="D11" s="5" t="s">
        <v>259</v>
      </c>
      <c r="E11" s="5" t="s">
        <v>260</v>
      </c>
      <c r="F11" s="5" t="s">
        <v>261</v>
      </c>
      <c r="G11" s="5" t="s">
        <v>262</v>
      </c>
    </row>
    <row r="12" customFormat="false" ht="15" hidden="false" customHeight="false" outlineLevel="0" collapsed="false">
      <c r="A12" s="10" t="s">
        <v>263</v>
      </c>
      <c r="B12" s="16" t="n">
        <v>0.2</v>
      </c>
      <c r="C12" s="28" t="n">
        <f aca="false">1+4*C5/MAX($C$5:$F$5)</f>
        <v>1.84406723248461</v>
      </c>
      <c r="D12" s="28" t="n">
        <f aca="false">1+4*D5/MAX($C$5:$F$5)</f>
        <v>2.71609252787485</v>
      </c>
      <c r="E12" s="28" t="n">
        <f aca="false">1+4*E5/MAX($C$5:$F$5)</f>
        <v>2.21218172740889</v>
      </c>
      <c r="F12" s="28" t="n">
        <f aca="false">1+4*F5/MAX($C$5:$F$5)</f>
        <v>5</v>
      </c>
      <c r="G12" s="4" t="s">
        <v>264</v>
      </c>
    </row>
    <row r="13" customFormat="false" ht="15" hidden="false" customHeight="false" outlineLevel="0" collapsed="false">
      <c r="A13" s="10" t="s">
        <v>265</v>
      </c>
      <c r="B13" s="16" t="n">
        <v>0.15</v>
      </c>
      <c r="C13" s="28" t="n">
        <f aca="false">1+4*C6/MAX($C$6:$F$6)</f>
        <v>3.57207410754632</v>
      </c>
      <c r="D13" s="28" t="n">
        <f aca="false">1+4*D6/MAX($C$6:$F$6)</f>
        <v>3.96430185268866</v>
      </c>
      <c r="E13" s="28" t="n">
        <f aca="false">1+4*E6/MAX($C$6:$F$6)</f>
        <v>5</v>
      </c>
      <c r="F13" s="28" t="n">
        <f aca="false">1+4*F6/MAX($C$6:$F$6)</f>
        <v>3.84500677812924</v>
      </c>
      <c r="G13" s="4" t="s">
        <v>264</v>
      </c>
    </row>
    <row r="14" customFormat="false" ht="15" hidden="false" customHeight="false" outlineLevel="0" collapsed="false">
      <c r="A14" s="10" t="s">
        <v>266</v>
      </c>
      <c r="B14" s="16" t="n">
        <v>0.15</v>
      </c>
      <c r="C14" s="28" t="n">
        <f aca="false">1+4*C7/MAX($C$7:$F$7)</f>
        <v>5</v>
      </c>
      <c r="D14" s="28" t="n">
        <f aca="false">1+4*D7/MAX($C$7:$F$7)</f>
        <v>3.02283105022831</v>
      </c>
      <c r="E14" s="28" t="n">
        <f aca="false">1+4*E7/MAX($C$7:$F$7)</f>
        <v>2.4703196347032</v>
      </c>
      <c r="F14" s="28" t="n">
        <f aca="false">1+4*F7/MAX($C$7:$F$7)</f>
        <v>2.55707762557078</v>
      </c>
      <c r="G14" s="4" t="s">
        <v>264</v>
      </c>
    </row>
    <row r="15" customFormat="false" ht="15" hidden="false" customHeight="false" outlineLevel="0" collapsed="false">
      <c r="A15" s="10" t="s">
        <v>267</v>
      </c>
      <c r="B15" s="16" t="n">
        <v>0.35</v>
      </c>
      <c r="C15" s="28" t="n">
        <f aca="false">C8</f>
        <v>2</v>
      </c>
      <c r="D15" s="28" t="n">
        <f aca="false">D8</f>
        <v>5</v>
      </c>
      <c r="E15" s="28" t="n">
        <f aca="false">E8</f>
        <v>5</v>
      </c>
      <c r="F15" s="28" t="n">
        <f aca="false">F8</f>
        <v>4</v>
      </c>
      <c r="G15" s="4" t="s">
        <v>268</v>
      </c>
    </row>
    <row r="16" customFormat="false" ht="15" hidden="false" customHeight="false" outlineLevel="0" collapsed="false">
      <c r="A16" s="10" t="s">
        <v>269</v>
      </c>
      <c r="B16" s="16" t="n">
        <v>0.15</v>
      </c>
      <c r="C16" s="28" t="n">
        <f aca="false">C9</f>
        <v>1</v>
      </c>
      <c r="D16" s="28" t="n">
        <f aca="false">D9</f>
        <v>5</v>
      </c>
      <c r="E16" s="28" t="n">
        <f aca="false">E9</f>
        <v>1</v>
      </c>
      <c r="F16" s="28" t="n">
        <f aca="false">F9</f>
        <v>1</v>
      </c>
      <c r="G16" s="4" t="s">
        <v>268</v>
      </c>
    </row>
    <row r="17" customFormat="false" ht="15" hidden="false" customHeight="false" outlineLevel="0" collapsed="false">
      <c r="A17" s="7" t="s">
        <v>270</v>
      </c>
      <c r="B17" s="45" t="n">
        <f aca="false">SUM(B12:B16)</f>
        <v>1</v>
      </c>
      <c r="C17" s="29" t="n">
        <f aca="false">SUMPRODUCT($B$12:$B$16,C12:C16)</f>
        <v>2.50462456262887</v>
      </c>
      <c r="D17" s="29" t="n">
        <f aca="false">SUMPRODUCT($B$12:$B$16,D12:D16)</f>
        <v>4.09128844101252</v>
      </c>
      <c r="E17" s="29" t="n">
        <f aca="false">SUMPRODUCT($B$12:$B$16,E12:E16)</f>
        <v>3.46298429068726</v>
      </c>
      <c r="F17" s="29" t="n">
        <f aca="false">SUMPRODUCT($B$12:$B$16,F12:F16)</f>
        <v>3.510312660555</v>
      </c>
    </row>
    <row r="18" customFormat="false" ht="15" hidden="false" customHeight="false" outlineLevel="0" collapsed="false">
      <c r="A18" s="10" t="s">
        <v>31</v>
      </c>
      <c r="C18" s="30" t="n">
        <f aca="false">RANK(C17,$C$17:$F$17)</f>
        <v>4</v>
      </c>
      <c r="D18" s="30" t="n">
        <f aca="false">RANK(D17,$C$17:$F$17)</f>
        <v>1</v>
      </c>
      <c r="E18" s="30" t="n">
        <f aca="false">RANK(E17,$C$17:$F$17)</f>
        <v>3</v>
      </c>
      <c r="F18" s="30" t="n">
        <f aca="false">RANK(F17,$C$17:$F$17)</f>
        <v>2</v>
      </c>
    </row>
    <row r="19" customFormat="false" ht="23.85" hidden="false" customHeight="false" outlineLevel="0" collapsed="false">
      <c r="A19" s="10" t="s">
        <v>271</v>
      </c>
      <c r="C19" s="28" t="n">
        <f aca="false">SUMPRODUCT($B$12:$B$15,C12:C15)/SUM($B$12:$B$15)</f>
        <v>2.77014654426926</v>
      </c>
      <c r="D19" s="28" t="n">
        <f aca="false">SUMPRODUCT($B$12:$B$15,D12:D15)/SUM($B$12:$B$15)</f>
        <v>3.93092757766178</v>
      </c>
      <c r="E19" s="28" t="n">
        <f aca="false">SUMPRODUCT($B$12:$B$15,E12:E15)/SUM($B$12:$B$15)</f>
        <v>3.89762857727913</v>
      </c>
      <c r="F19" s="28" t="n">
        <f aca="false">SUMPRODUCT($B$12:$B$15,F12:F15)/SUM($B$12:$B$15)</f>
        <v>3.95330901241765</v>
      </c>
    </row>
    <row r="20" customFormat="false" ht="15" hidden="false" customHeight="false" outlineLevel="0" collapsed="false">
      <c r="A20" s="10" t="s">
        <v>272</v>
      </c>
      <c r="C20" s="37" t="n">
        <f aca="false">RANK(C19,$C$19:$F$19)</f>
        <v>4</v>
      </c>
      <c r="D20" s="37" t="n">
        <f aca="false">RANK(D19,$C$19:$F$19)</f>
        <v>2</v>
      </c>
      <c r="E20" s="37" t="n">
        <f aca="false">RANK(E19,$C$19:$F$19)</f>
        <v>3</v>
      </c>
      <c r="F20" s="37" t="n">
        <f aca="false">RANK(F19,$C$19:$F$19)</f>
        <v>1</v>
      </c>
    </row>
    <row r="22" customFormat="false" ht="57.75" hidden="false" customHeight="true" outlineLevel="0" collapsed="false">
      <c r="A22" s="23" t="s">
        <v>273</v>
      </c>
      <c r="B22" s="23"/>
      <c r="C22" s="23"/>
      <c r="D22" s="23"/>
      <c r="E22" s="23"/>
      <c r="F22" s="23"/>
      <c r="G22" s="23"/>
    </row>
  </sheetData>
  <mergeCells count="1"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48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274</v>
      </c>
    </row>
    <row r="2" customFormat="false" ht="15" hidden="false" customHeight="false" outlineLevel="0" collapsed="false">
      <c r="A2" s="2" t="s">
        <v>275</v>
      </c>
    </row>
    <row r="4" customFormat="false" ht="30" hidden="false" customHeight="true" outlineLevel="0" collapsed="false">
      <c r="A4" s="5" t="s">
        <v>276</v>
      </c>
      <c r="B4" s="5" t="s">
        <v>277</v>
      </c>
      <c r="C4" s="5" t="s">
        <v>278</v>
      </c>
      <c r="D4" s="5" t="s">
        <v>279</v>
      </c>
      <c r="E4" s="5" t="s">
        <v>280</v>
      </c>
      <c r="F4" s="5" t="s">
        <v>281</v>
      </c>
      <c r="G4" s="5" t="s">
        <v>282</v>
      </c>
    </row>
    <row r="5" customFormat="false" ht="96" hidden="false" customHeight="true" outlineLevel="0" collapsed="false">
      <c r="A5" s="4" t="s">
        <v>283</v>
      </c>
      <c r="B5" s="10" t="s">
        <v>284</v>
      </c>
      <c r="C5" s="4" t="s">
        <v>285</v>
      </c>
      <c r="D5" s="4" t="s">
        <v>286</v>
      </c>
      <c r="E5" s="4" t="s">
        <v>287</v>
      </c>
      <c r="F5" s="4" t="s">
        <v>288</v>
      </c>
      <c r="G5" s="10" t="s">
        <v>289</v>
      </c>
    </row>
    <row r="6" customFormat="false" ht="96" hidden="false" customHeight="true" outlineLevel="0" collapsed="false">
      <c r="A6" s="4" t="s">
        <v>290</v>
      </c>
      <c r="B6" s="10" t="s">
        <v>291</v>
      </c>
      <c r="C6" s="4" t="s">
        <v>292</v>
      </c>
      <c r="D6" s="4" t="s">
        <v>293</v>
      </c>
      <c r="E6" s="4" t="s">
        <v>294</v>
      </c>
      <c r="F6" s="4" t="s">
        <v>295</v>
      </c>
      <c r="G6" s="10" t="s">
        <v>296</v>
      </c>
    </row>
    <row r="7" customFormat="false" ht="96" hidden="false" customHeight="true" outlineLevel="0" collapsed="false">
      <c r="A7" s="4" t="s">
        <v>297</v>
      </c>
      <c r="B7" s="10" t="s">
        <v>298</v>
      </c>
      <c r="C7" s="4" t="s">
        <v>299</v>
      </c>
      <c r="D7" s="4" t="s">
        <v>300</v>
      </c>
      <c r="E7" s="4" t="s">
        <v>301</v>
      </c>
      <c r="F7" s="4" t="s">
        <v>302</v>
      </c>
      <c r="G7" s="10" t="s">
        <v>303</v>
      </c>
    </row>
    <row r="8" customFormat="false" ht="96" hidden="false" customHeight="true" outlineLevel="0" collapsed="false">
      <c r="A8" s="4" t="s">
        <v>304</v>
      </c>
      <c r="B8" s="10" t="s">
        <v>305</v>
      </c>
      <c r="C8" s="4" t="s">
        <v>306</v>
      </c>
      <c r="D8" s="4" t="s">
        <v>307</v>
      </c>
      <c r="E8" s="4" t="s">
        <v>308</v>
      </c>
      <c r="F8" s="4" t="s">
        <v>309</v>
      </c>
      <c r="G8" s="10" t="s">
        <v>310</v>
      </c>
    </row>
    <row r="9" customFormat="false" ht="96" hidden="false" customHeight="true" outlineLevel="0" collapsed="false">
      <c r="A9" s="9" t="s">
        <v>311</v>
      </c>
      <c r="B9" s="7" t="s">
        <v>312</v>
      </c>
      <c r="C9" s="9" t="s">
        <v>313</v>
      </c>
      <c r="D9" s="9" t="s">
        <v>314</v>
      </c>
      <c r="E9" s="9" t="s">
        <v>315</v>
      </c>
      <c r="F9" s="9" t="s">
        <v>309</v>
      </c>
      <c r="G9" s="7" t="s">
        <v>316</v>
      </c>
    </row>
    <row r="11" customFormat="false" ht="51.75" hidden="false" customHeight="true" outlineLevel="0" collapsed="false">
      <c r="A11" s="23" t="s">
        <v>317</v>
      </c>
      <c r="B11" s="23"/>
      <c r="C11" s="23"/>
      <c r="D11" s="23"/>
      <c r="E11" s="23"/>
      <c r="F11" s="23"/>
      <c r="G11" s="23"/>
    </row>
  </sheetData>
  <mergeCells count="1"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318</v>
      </c>
    </row>
    <row r="2" customFormat="false" ht="15" hidden="false" customHeight="false" outlineLevel="0" collapsed="false">
      <c r="A2" s="2" t="s">
        <v>319</v>
      </c>
    </row>
    <row r="4" customFormat="false" ht="30" hidden="false" customHeight="true" outlineLevel="0" collapsed="false">
      <c r="A4" s="5" t="s">
        <v>276</v>
      </c>
      <c r="B4" s="5" t="s">
        <v>320</v>
      </c>
      <c r="C4" s="5" t="s">
        <v>321</v>
      </c>
      <c r="D4" s="5" t="s">
        <v>322</v>
      </c>
      <c r="E4" s="5" t="s">
        <v>323</v>
      </c>
      <c r="F4" s="5" t="s">
        <v>324</v>
      </c>
    </row>
    <row r="5" customFormat="false" ht="57.75" hidden="false" customHeight="true" outlineLevel="0" collapsed="false">
      <c r="A5" s="4" t="s">
        <v>290</v>
      </c>
      <c r="B5" s="4" t="s">
        <v>325</v>
      </c>
      <c r="C5" s="4" t="s">
        <v>326</v>
      </c>
      <c r="D5" s="4" t="s">
        <v>327</v>
      </c>
      <c r="E5" s="4" t="str">
        <f aca="false">Weight_Sensitivity!G20</f>
        <v>C overtakes A if this weight exceeds 26% (base 10%)</v>
      </c>
      <c r="F5" s="4" t="s">
        <v>328</v>
      </c>
    </row>
    <row r="6" customFormat="false" ht="57.75" hidden="false" customHeight="true" outlineLevel="0" collapsed="false">
      <c r="A6" s="4" t="s">
        <v>297</v>
      </c>
      <c r="B6" s="4" t="s">
        <v>329</v>
      </c>
      <c r="C6" s="4" t="s">
        <v>330</v>
      </c>
      <c r="D6" s="4" t="s">
        <v>331</v>
      </c>
      <c r="E6" s="4" t="str">
        <f aca="false">Stress_Tests!F12&amp;" wins under T7 (margin "&amp;TEXT(Stress_Tests!G12,"0.00")&amp;")"</f>
        <v>A. Industrial Distribution wins under T7 (margin 0.05)</v>
      </c>
      <c r="F6" s="4" t="s">
        <v>332</v>
      </c>
    </row>
    <row r="7" customFormat="false" ht="57.75" hidden="false" customHeight="true" outlineLevel="0" collapsed="false">
      <c r="A7" s="4" t="s">
        <v>304</v>
      </c>
      <c r="B7" s="4" t="s">
        <v>333</v>
      </c>
      <c r="C7" s="4" t="s">
        <v>334</v>
      </c>
      <c r="D7" s="4" t="s">
        <v>335</v>
      </c>
      <c r="E7" s="4" t="s">
        <v>336</v>
      </c>
      <c r="F7" s="4" t="s">
        <v>337</v>
      </c>
    </row>
    <row r="8" customFormat="false" ht="57.75" hidden="false" customHeight="true" outlineLevel="0" collapsed="false">
      <c r="A8" s="4" t="s">
        <v>311</v>
      </c>
      <c r="B8" s="4" t="s">
        <v>338</v>
      </c>
      <c r="C8" s="4" t="s">
        <v>339</v>
      </c>
      <c r="D8" s="4" t="s">
        <v>340</v>
      </c>
      <c r="E8" s="4" t="str">
        <f aca="false">Stress_Tests!F7&amp;" wins under T2; "&amp;Stress_Tests!F13&amp;" under T8"</f>
        <v>A. Industrial Distribution wins under T2; A. Industrial Distribution under T8</v>
      </c>
      <c r="F8" s="4" t="s">
        <v>341</v>
      </c>
    </row>
    <row r="9" customFormat="false" ht="57.75" hidden="false" customHeight="true" outlineLevel="0" collapsed="false">
      <c r="A9" s="4" t="s">
        <v>342</v>
      </c>
      <c r="B9" s="4" t="s">
        <v>343</v>
      </c>
      <c r="C9" s="4" t="s">
        <v>344</v>
      </c>
      <c r="D9" s="4" t="s">
        <v>345</v>
      </c>
      <c r="E9" s="4" t="str">
        <f aca="false">Stress_Tests!F9&amp;" wins under T4 (margin "&amp;TEXT(Stress_Tests!G9,"0.00")&amp;")"</f>
        <v>A. Industrial Distribution wins under T4 (margin 0.19)</v>
      </c>
      <c r="F9" s="4" t="s">
        <v>346</v>
      </c>
    </row>
    <row r="10" customFormat="false" ht="57.75" hidden="false" customHeight="true" outlineLevel="0" collapsed="false">
      <c r="A10" s="4" t="s">
        <v>347</v>
      </c>
      <c r="B10" s="4" t="s">
        <v>348</v>
      </c>
      <c r="C10" s="4" t="s">
        <v>349</v>
      </c>
      <c r="D10" s="4" t="s">
        <v>350</v>
      </c>
      <c r="E10" s="4" t="str">
        <f aca="false">Stress_Tests!F11&amp;" wins under T6"</f>
        <v>A. Industrial Distribution wins under T6</v>
      </c>
      <c r="F10" s="4" t="s">
        <v>351</v>
      </c>
    </row>
    <row r="11" customFormat="false" ht="57.75" hidden="false" customHeight="true" outlineLevel="0" collapsed="false">
      <c r="A11" s="4" t="s">
        <v>352</v>
      </c>
      <c r="B11" s="4" t="s">
        <v>353</v>
      </c>
      <c r="C11" s="4" t="s">
        <v>354</v>
      </c>
      <c r="D11" s="4" t="s">
        <v>355</v>
      </c>
      <c r="E11" s="4" t="s">
        <v>356</v>
      </c>
      <c r="F11" s="4" t="s">
        <v>357</v>
      </c>
    </row>
    <row r="13" customFormat="false" ht="43.5" hidden="false" customHeight="true" outlineLevel="0" collapsed="false">
      <c r="A13" s="23" t="s">
        <v>358</v>
      </c>
      <c r="B13" s="23"/>
      <c r="C13" s="23"/>
      <c r="D13" s="23"/>
      <c r="E13" s="23"/>
      <c r="F13" s="23"/>
    </row>
  </sheetData>
  <mergeCells count="1"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359</v>
      </c>
    </row>
    <row r="2" customFormat="false" ht="15" hidden="false" customHeight="false" outlineLevel="0" collapsed="false">
      <c r="A2" s="2" t="s">
        <v>360</v>
      </c>
    </row>
    <row r="4" customFormat="false" ht="30" hidden="false" customHeight="true" outlineLevel="0" collapsed="false">
      <c r="A4" s="5" t="s">
        <v>361</v>
      </c>
      <c r="B4" s="5" t="s">
        <v>362</v>
      </c>
      <c r="C4" s="5" t="s">
        <v>363</v>
      </c>
    </row>
    <row r="5" customFormat="false" ht="15" hidden="false" customHeight="false" outlineLevel="0" collapsed="false">
      <c r="A5" s="4" t="s">
        <v>364</v>
      </c>
      <c r="B5" s="4" t="s">
        <v>365</v>
      </c>
      <c r="C5" s="4" t="s">
        <v>366</v>
      </c>
    </row>
    <row r="6" customFormat="false" ht="15" hidden="false" customHeight="false" outlineLevel="0" collapsed="false">
      <c r="A6" s="4" t="s">
        <v>367</v>
      </c>
      <c r="B6" s="4" t="s">
        <v>368</v>
      </c>
      <c r="C6" s="4" t="s">
        <v>369</v>
      </c>
    </row>
    <row r="7" customFormat="false" ht="15" hidden="false" customHeight="false" outlineLevel="0" collapsed="false">
      <c r="A7" s="4" t="s">
        <v>370</v>
      </c>
      <c r="B7" s="4" t="s">
        <v>371</v>
      </c>
      <c r="C7" s="4" t="s">
        <v>372</v>
      </c>
    </row>
    <row r="8" customFormat="false" ht="15" hidden="false" customHeight="false" outlineLevel="0" collapsed="false">
      <c r="A8" s="4" t="s">
        <v>373</v>
      </c>
      <c r="B8" s="4" t="s">
        <v>374</v>
      </c>
      <c r="C8" s="4" t="s">
        <v>375</v>
      </c>
    </row>
    <row r="9" customFormat="false" ht="15" hidden="false" customHeight="false" outlineLevel="0" collapsed="false">
      <c r="A9" s="4" t="s">
        <v>376</v>
      </c>
      <c r="B9" s="4" t="s">
        <v>377</v>
      </c>
      <c r="C9" s="4" t="s">
        <v>378</v>
      </c>
    </row>
    <row r="10" customFormat="false" ht="15" hidden="false" customHeight="false" outlineLevel="0" collapsed="false">
      <c r="A10" s="4" t="s">
        <v>379</v>
      </c>
      <c r="B10" s="4" t="s">
        <v>380</v>
      </c>
      <c r="C10" s="4" t="s">
        <v>381</v>
      </c>
    </row>
    <row r="11" customFormat="false" ht="15" hidden="false" customHeight="false" outlineLevel="0" collapsed="false">
      <c r="A11" s="4" t="s">
        <v>382</v>
      </c>
      <c r="B11" s="4" t="s">
        <v>383</v>
      </c>
      <c r="C11" s="4" t="s">
        <v>384</v>
      </c>
    </row>
    <row r="12" customFormat="false" ht="15" hidden="false" customHeight="false" outlineLevel="0" collapsed="false">
      <c r="A12" s="4" t="s">
        <v>385</v>
      </c>
      <c r="B12" s="4" t="s">
        <v>386</v>
      </c>
      <c r="C12" s="4" t="s">
        <v>387</v>
      </c>
    </row>
    <row r="13" customFormat="false" ht="15" hidden="false" customHeight="false" outlineLevel="0" collapsed="false">
      <c r="A13" s="4" t="s">
        <v>388</v>
      </c>
      <c r="B13" s="4" t="s">
        <v>389</v>
      </c>
      <c r="C13" s="4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2026-10-19T20:09:25Z</dcterms:created>
  <dc:creator>openpyxl</dc:creator>
  <dc:description/>
  <dc:language>en-US</dc:language>
  <cp:lastModifiedBy/>
  <dcterms:modified xsi:type="dcterms:W3CDTF">2026-10-19T15:09:29Z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