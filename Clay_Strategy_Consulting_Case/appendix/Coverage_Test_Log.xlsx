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Recheck" sheetId="4" state="visible" r:id="rId4"/>
    <sheet xmlns:r="http://schemas.openxmlformats.org/officeDocument/2006/relationships" name="Defini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\×"/>
    <numFmt numFmtId="165" formatCode="\+0%;\-0%;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E8ECF3"/>
        <bgColor rgb="FFFFF2CC"/>
      </patternFill>
    </fill>
    <fill>
      <patternFill patternType="solid">
        <fgColor rgb="FF1F2A44"/>
        <bgColor rgb="FF003366"/>
      </patternFill>
    </fill>
    <fill>
      <patternFill patternType="solid">
        <fgColor rgb="FFFFF2CC"/>
        <bgColor rgb="FFE8ECF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1" fontId="6" fillId="2" borderId="1" applyAlignment="1" pivotButton="0" quotePrefix="0" xfId="0">
      <alignment horizontal="general" vertical="bottom"/>
    </xf>
    <xf numFmtId="9" fontId="7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164" fontId="6" fillId="2" borderId="1" applyAlignment="1" pivotButton="0" quotePrefix="0" xfId="0">
      <alignment horizontal="general" vertical="bottom"/>
    </xf>
    <xf numFmtId="165" fontId="6" fillId="2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9" fontId="6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1" fontId="6" fillId="2" borderId="1" applyAlignment="1" pivotButton="0" quotePrefix="0" xfId="0">
      <alignment horizontal="general" vertical="bottom"/>
    </xf>
    <xf numFmtId="9" fontId="7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164" fontId="6" fillId="2" borderId="1" applyAlignment="1" pivotButton="0" quotePrefix="0" xfId="0">
      <alignment horizontal="general" vertical="bottom"/>
    </xf>
    <xf numFmtId="165" fontId="6" fillId="2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9" fontId="6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C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55555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2A44"/>
    <outlinePr summaryBelow="1" summaryRight="1"/>
    <pageSetUpPr fitToPage="0"/>
  </sheetPr>
  <dimension ref="A1:B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3" min="1" max="1"/>
    <col width="120" customWidth="1" style="23" min="2" max="2"/>
  </cols>
  <sheetData>
    <row r="1" ht="17.35" customHeight="1" s="24">
      <c r="A1" s="25" t="inlineStr">
        <is>
          <t>Contractor coverage test — log and results (review M5; preview of sprint test T1)</t>
        </is>
      </c>
    </row>
    <row r="2" ht="15" customHeight="1" s="24">
      <c r="A2" s="26" t="inlineStr">
        <is>
          <t>Independent case study · not commissioned by or affiliated with Clay Labs Inc. · all observations entered by hand; this workbook contains no results until the test is run</t>
        </is>
      </c>
    </row>
    <row r="4" ht="45.75" customHeight="1" s="24">
      <c r="A4" s="27" t="inlineStr">
        <is>
          <t>Question</t>
        </is>
      </c>
      <c r="B4" s="28" t="inlineStr">
        <is>
          <t>For contractors that electrical, HVAC and plumbing distributors (NAICS 4236/4237) sell to, how often does a standard B2B database (Apollo) list a decision-maker, and how much does adding public-web sources raise that share?</t>
        </is>
      </c>
    </row>
    <row r="5" ht="45.75" customHeight="1" s="24">
      <c r="A5" s="27" t="inlineStr">
        <is>
          <t>Why it matters</t>
        </is>
      </c>
      <c r="B5" s="28" t="inlineStr">
        <is>
          <t>The 'data your database misses' positioning (08 v2) and H3 rest on an education-based LinkedIn proxy (05) and one vendor case study (S07). This test replaces the proxy with a measured match rate.</t>
        </is>
      </c>
    </row>
    <row r="6" ht="45.75" customHeight="1" s="24">
      <c r="A6" s="27" t="inlineStr">
        <is>
          <t>Sample frame</t>
        </is>
      </c>
      <c r="B6" s="28" t="inlineStr">
        <is>
          <t>CSLB 'List by Classification' download (S56): currently licensed California contractors in C-10, C-20, C-36. Seeded, stratified random draw (appendix/coverage_test.py sample).</t>
        </is>
      </c>
    </row>
    <row r="7" ht="45.75" customHeight="1" s="24">
      <c r="A7" s="27" t="inlineStr">
        <is>
          <t>Protocol</t>
        </is>
      </c>
      <c r="B7" s="28" t="inlineStr">
        <is>
          <t>appendix/Coverage_Test_Protocol.md — definitions, search procedure, stopping and replacement rules, pre-registered verdict. Definitions are frozen after the 10-firm pilot.</t>
        </is>
      </c>
    </row>
    <row r="8" ht="45.75" customHeight="1" s="24">
      <c r="A8" s="27" t="inlineStr">
        <is>
          <t>How to use</t>
        </is>
      </c>
      <c r="B8" s="28" t="inlineStr">
        <is>
          <t>1) Run the sampler. 2) Pilot the first 10 IDs; adjust definitions only now and note changes in Definitions. 3) Work through Primary rows in ID order; use Reserve rows only to replace Skipped rows, in order, within the same stratum. 4) Re-check 15 random Done rows on a different day (Recheck sheet). 5) Read Results.</t>
        </is>
      </c>
    </row>
    <row r="9" ht="45.75" customHeight="1" s="24">
      <c r="A9" s="27" t="inlineStr">
        <is>
          <t>Colour code</t>
        </is>
      </c>
      <c r="B9" s="28" t="inlineStr">
        <is>
          <t>Yellow = hand-entered observation. Grey-blue = formula. Blue text = input you may change (Results: z value, proxy, thresholds).</t>
        </is>
      </c>
    </row>
    <row r="10" ht="45.75" customHeight="1" s="24">
      <c r="A10" s="27" t="inlineStr">
        <is>
          <t>Data handling</t>
        </is>
      </c>
      <c r="B10" s="28" t="inlineStr">
        <is>
          <t>Record Y/N flags and title categories only. Do not record individuals' names, emails, phone numbers or profile URLs. Business-level registry fields are public (CSLB). No automated scraping; manual lookups only, within each site's terms.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1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23" min="1" max="1"/>
    <col width="9" customWidth="1" style="23" min="2" max="2"/>
    <col width="8" customWidth="1" style="23" min="3" max="3"/>
    <col width="11" customWidth="1" style="23" min="4" max="4"/>
    <col width="34" customWidth="1" style="23" min="5" max="5"/>
    <col width="16" customWidth="1" style="23" min="6" max="6"/>
    <col width="8" customWidth="1" style="23" min="7" max="7"/>
    <col width="14" customWidth="1" style="23" min="8" max="8"/>
    <col width="22" customWidth="1" style="23" min="9" max="9"/>
    <col width="9" customWidth="1" style="23" min="10" max="10"/>
    <col width="10" customWidth="1" style="23" min="11" max="16"/>
    <col width="11" customWidth="1" style="23" min="17" max="17"/>
    <col width="10" customWidth="1" style="23" min="18" max="19"/>
    <col width="8" customWidth="1" style="23" min="20" max="20"/>
    <col width="30" customWidth="1" style="23" min="21" max="21"/>
    <col width="7" customWidth="1" style="23" min="22" max="22"/>
    <col width="9" customWidth="1" style="23" min="23" max="23"/>
    <col width="10" customWidth="1" style="23" min="24" max="24"/>
    <col width="9" customWidth="1" style="23" min="25" max="25"/>
    <col width="14" customWidth="1" style="23" min="26" max="26"/>
  </cols>
  <sheetData>
    <row r="1" ht="17.35" customHeight="1" s="24">
      <c r="A1" s="25" t="inlineStr">
        <is>
          <t>Log — one row per sampled contractor</t>
        </is>
      </c>
    </row>
    <row r="2" ht="15" customHeight="1" s="24">
      <c r="A2" s="26" t="inlineStr">
        <is>
          <t>Columns A–H are written by the sampler. Enter observations in the yellow columns; formulas in V–Y. Status must be 'Done' for a row to count.</t>
        </is>
      </c>
    </row>
    <row r="3" ht="15" customHeight="1" s="24">
      <c r="A3" s="29" t="inlineStr">
        <is>
          <t>Sample frame file:</t>
        </is>
      </c>
      <c r="D3" s="30" t="inlineStr">
        <is>
          <t>CSLBSearchData_215814037.xlsx · 52,821 licenses read · 52,821 current · 51,240 with a CA address · C-10: 26,923 · C-20: 11,387 · C-36: 17,278</t>
        </is>
      </c>
      <c r="I3" s="29" t="inlineStr">
        <is>
          <t>Seed / draw date:</t>
        </is>
      </c>
      <c r="L3" s="30" t="inlineStr">
        <is>
          <t>seed 2026 · drawn 2026-10-20 · n 100 + 20 reserve</t>
        </is>
      </c>
    </row>
    <row r="5" ht="54" customHeight="1" s="24">
      <c r="A5" s="31" t="inlineStr">
        <is>
          <t>ID</t>
        </is>
      </c>
      <c r="B5" s="31" t="inlineStr">
        <is>
          <t>Draw</t>
        </is>
      </c>
      <c r="C5" s="31" t="inlineStr">
        <is>
          <t>Stratum</t>
        </is>
      </c>
      <c r="D5" s="31" t="inlineStr">
        <is>
          <t>License #</t>
        </is>
      </c>
      <c r="E5" s="31" t="inlineStr">
        <is>
          <t>Business name (removed in public copy)</t>
        </is>
      </c>
      <c r="F5" s="31" t="inlineStr">
        <is>
          <t>City</t>
        </is>
      </c>
      <c r="G5" s="31" t="inlineStr">
        <is>
          <t>ZIP</t>
        </is>
      </c>
      <c r="H5" s="31" t="inlineStr">
        <is>
          <t>Business phone (removed in public copy)</t>
        </is>
      </c>
      <c r="I5" s="31" t="inlineStr">
        <is>
          <t>Status</t>
        </is>
      </c>
      <c r="J5" s="31" t="inlineStr">
        <is>
          <t>Website found</t>
        </is>
      </c>
      <c r="K5" s="31" t="inlineStr">
        <is>
          <t>Google Business Profile</t>
        </is>
      </c>
      <c r="L5" s="31" t="inlineStr">
        <is>
          <t>Web DM identifiable</t>
        </is>
      </c>
      <c r="M5" s="31" t="inlineStr">
        <is>
          <t>Registry person of record</t>
        </is>
      </c>
      <c r="N5" s="31" t="inlineStr">
        <is>
          <t>Apollo company record</t>
        </is>
      </c>
      <c r="O5" s="31" t="inlineStr">
        <is>
          <t>Apollo contacts listed</t>
        </is>
      </c>
      <c r="P5" s="31" t="inlineStr">
        <is>
          <t>Apollo DM listed</t>
        </is>
      </c>
      <c r="Q5" s="31" t="inlineStr">
        <is>
          <t>Apollo DM email shown available</t>
        </is>
      </c>
      <c r="R5" s="31" t="inlineStr">
        <is>
          <t>LinkedIn company page</t>
        </is>
      </c>
      <c r="S5" s="31" t="inlineStr">
        <is>
          <t>LinkedIn DM profile</t>
        </is>
      </c>
      <c r="T5" s="31" t="inlineStr">
        <is>
          <t>Minutes</t>
        </is>
      </c>
      <c r="U5" s="31" t="inlineStr">
        <is>
          <t>Notes (no personal data)</t>
        </is>
      </c>
      <c r="V5" s="31" t="inlineStr">
        <is>
          <t>Done?</t>
        </is>
      </c>
      <c r="W5" s="31" t="inlineStr">
        <is>
          <t>Apollo ∪ web DM</t>
        </is>
      </c>
      <c r="X5" s="31" t="inlineStr">
        <is>
          <t>Apollo ∪ web ∪ registry DM</t>
        </is>
      </c>
      <c r="Y5" s="31" t="inlineStr">
        <is>
          <t>Apollo ∪ LinkedIn DM</t>
        </is>
      </c>
      <c r="Z5" s="31" t="inlineStr">
        <is>
          <t>Business type (CSLB)</t>
        </is>
      </c>
    </row>
    <row r="6" ht="15" customHeight="1" s="24">
      <c r="A6" s="32" t="inlineStr">
        <is>
          <t>P001</t>
        </is>
      </c>
      <c r="B6" s="32" t="inlineStr">
        <is>
          <t>Primary</t>
        </is>
      </c>
      <c r="C6" s="32" t="inlineStr">
        <is>
          <t>C-10</t>
        </is>
      </c>
      <c r="D6" s="32" t="inlineStr">
        <is>
          <t>545063</t>
        </is>
      </c>
      <c r="E6" s="32" t="n"/>
      <c r="F6" s="32" t="inlineStr">
        <is>
          <t>NEWPORT BEACH</t>
        </is>
      </c>
      <c r="G6" s="32" t="inlineStr">
        <is>
          <t>92658</t>
        </is>
      </c>
      <c r="H6" s="32" t="n"/>
      <c r="I6" s="33" t="inlineStr">
        <is>
          <t>Not started</t>
        </is>
      </c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4">
        <f>IF(I6="Done",1,0)</f>
        <v/>
      </c>
      <c r="W6" s="34">
        <f>IF(V6=1,IF(OR(P6="Y",L6="Y"),1,0),"")</f>
        <v/>
      </c>
      <c r="X6" s="34">
        <f>IF(V6=1,IF(OR(P6="Y",L6="Y",M6="Y"),1,0),"")</f>
        <v/>
      </c>
      <c r="Y6" s="34">
        <f>IF(V6=1,IF(OR(P6="Y",S6="Y"),1,0),"")</f>
        <v/>
      </c>
      <c r="Z6" s="32" t="inlineStr">
        <is>
          <t>Corporation</t>
        </is>
      </c>
    </row>
    <row r="7" ht="15" customHeight="1" s="24">
      <c r="A7" s="32" t="inlineStr">
        <is>
          <t>P002</t>
        </is>
      </c>
      <c r="B7" s="32" t="inlineStr">
        <is>
          <t>Primary</t>
        </is>
      </c>
      <c r="C7" s="32" t="inlineStr">
        <is>
          <t>C-36</t>
        </is>
      </c>
      <c r="D7" s="32" t="inlineStr">
        <is>
          <t>888679</t>
        </is>
      </c>
      <c r="E7" s="32" t="n"/>
      <c r="F7" s="32" t="inlineStr">
        <is>
          <t>RIVERBANK</t>
        </is>
      </c>
      <c r="G7" s="32" t="inlineStr">
        <is>
          <t>95367</t>
        </is>
      </c>
      <c r="H7" s="32" t="n"/>
      <c r="I7" s="33" t="inlineStr">
        <is>
          <t>Not started</t>
        </is>
      </c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4">
        <f>IF(I7="Done",1,0)</f>
        <v/>
      </c>
      <c r="W7" s="34">
        <f>IF(V7=1,IF(OR(P7="Y",L7="Y"),1,0),"")</f>
        <v/>
      </c>
      <c r="X7" s="34">
        <f>IF(V7=1,IF(OR(P7="Y",L7="Y",M7="Y"),1,0),"")</f>
        <v/>
      </c>
      <c r="Y7" s="34">
        <f>IF(V7=1,IF(OR(P7="Y",S7="Y"),1,0),"")</f>
        <v/>
      </c>
      <c r="Z7" s="32" t="inlineStr">
        <is>
          <t>Sole Owner</t>
        </is>
      </c>
    </row>
    <row r="8" ht="15" customHeight="1" s="24">
      <c r="A8" s="32" t="inlineStr">
        <is>
          <t>P003</t>
        </is>
      </c>
      <c r="B8" s="32" t="inlineStr">
        <is>
          <t>Primary</t>
        </is>
      </c>
      <c r="C8" s="32" t="inlineStr">
        <is>
          <t>C-36</t>
        </is>
      </c>
      <c r="D8" s="32" t="inlineStr">
        <is>
          <t>1008227</t>
        </is>
      </c>
      <c r="E8" s="32" t="n"/>
      <c r="F8" s="32" t="inlineStr">
        <is>
          <t>RIVERSIDE</t>
        </is>
      </c>
      <c r="G8" s="32" t="inlineStr">
        <is>
          <t>92513</t>
        </is>
      </c>
      <c r="H8" s="32" t="n"/>
      <c r="I8" s="33" t="inlineStr">
        <is>
          <t>Not started</t>
        </is>
      </c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4">
        <f>IF(I8="Done",1,0)</f>
        <v/>
      </c>
      <c r="W8" s="34">
        <f>IF(V8=1,IF(OR(P8="Y",L8="Y"),1,0),"")</f>
        <v/>
      </c>
      <c r="X8" s="34">
        <f>IF(V8=1,IF(OR(P8="Y",L8="Y",M8="Y"),1,0),"")</f>
        <v/>
      </c>
      <c r="Y8" s="34">
        <f>IF(V8=1,IF(OR(P8="Y",S8="Y"),1,0),"")</f>
        <v/>
      </c>
      <c r="Z8" s="32" t="inlineStr">
        <is>
          <t>Corporation</t>
        </is>
      </c>
    </row>
    <row r="9" ht="15" customHeight="1" s="24">
      <c r="A9" s="32" t="inlineStr">
        <is>
          <t>P004</t>
        </is>
      </c>
      <c r="B9" s="32" t="inlineStr">
        <is>
          <t>Primary</t>
        </is>
      </c>
      <c r="C9" s="32" t="inlineStr">
        <is>
          <t>C-10</t>
        </is>
      </c>
      <c r="D9" s="32" t="inlineStr">
        <is>
          <t>1053851</t>
        </is>
      </c>
      <c r="E9" s="32" t="n"/>
      <c r="F9" s="32" t="inlineStr">
        <is>
          <t>BURBANK</t>
        </is>
      </c>
      <c r="G9" s="32" t="inlineStr">
        <is>
          <t>91506</t>
        </is>
      </c>
      <c r="H9" s="32" t="n"/>
      <c r="I9" s="33" t="inlineStr">
        <is>
          <t>Not started</t>
        </is>
      </c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4">
        <f>IF(I9="Done",1,0)</f>
        <v/>
      </c>
      <c r="W9" s="34">
        <f>IF(V9=1,IF(OR(P9="Y",L9="Y"),1,0),"")</f>
        <v/>
      </c>
      <c r="X9" s="34">
        <f>IF(V9=1,IF(OR(P9="Y",L9="Y",M9="Y"),1,0),"")</f>
        <v/>
      </c>
      <c r="Y9" s="34">
        <f>IF(V9=1,IF(OR(P9="Y",S9="Y"),1,0),"")</f>
        <v/>
      </c>
      <c r="Z9" s="32" t="inlineStr">
        <is>
          <t>Corporation</t>
        </is>
      </c>
    </row>
    <row r="10" ht="15" customHeight="1" s="24">
      <c r="A10" s="32" t="inlineStr">
        <is>
          <t>P005</t>
        </is>
      </c>
      <c r="B10" s="32" t="inlineStr">
        <is>
          <t>Primary</t>
        </is>
      </c>
      <c r="C10" s="32" t="inlineStr">
        <is>
          <t>C-10</t>
        </is>
      </c>
      <c r="D10" s="32" t="inlineStr">
        <is>
          <t>756502</t>
        </is>
      </c>
      <c r="E10" s="32" t="n"/>
      <c r="F10" s="32" t="inlineStr">
        <is>
          <t>WEST SACRAMENTO</t>
        </is>
      </c>
      <c r="G10" s="32" t="inlineStr">
        <is>
          <t>95691</t>
        </is>
      </c>
      <c r="H10" s="32" t="n"/>
      <c r="I10" s="33" t="inlineStr">
        <is>
          <t>Not started</t>
        </is>
      </c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4">
        <f>IF(I10="Done",1,0)</f>
        <v/>
      </c>
      <c r="W10" s="34">
        <f>IF(V10=1,IF(OR(P10="Y",L10="Y"),1,0),"")</f>
        <v/>
      </c>
      <c r="X10" s="34">
        <f>IF(V10=1,IF(OR(P10="Y",L10="Y",M10="Y"),1,0),"")</f>
        <v/>
      </c>
      <c r="Y10" s="34">
        <f>IF(V10=1,IF(OR(P10="Y",S10="Y"),1,0),"")</f>
        <v/>
      </c>
      <c r="Z10" s="32" t="inlineStr">
        <is>
          <t>Partnership</t>
        </is>
      </c>
    </row>
    <row r="11" ht="15" customHeight="1" s="24">
      <c r="A11" s="32" t="inlineStr">
        <is>
          <t>P006</t>
        </is>
      </c>
      <c r="B11" s="32" t="inlineStr">
        <is>
          <t>Primary</t>
        </is>
      </c>
      <c r="C11" s="32" t="inlineStr">
        <is>
          <t>C-10</t>
        </is>
      </c>
      <c r="D11" s="32" t="inlineStr">
        <is>
          <t>1110897</t>
        </is>
      </c>
      <c r="E11" s="32" t="n"/>
      <c r="F11" s="32" t="inlineStr">
        <is>
          <t>LOS ANGELES</t>
        </is>
      </c>
      <c r="G11" s="32" t="inlineStr">
        <is>
          <t>90023</t>
        </is>
      </c>
      <c r="H11" s="32" t="n"/>
      <c r="I11" s="33" t="inlineStr">
        <is>
          <t>Not started</t>
        </is>
      </c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4">
        <f>IF(I11="Done",1,0)</f>
        <v/>
      </c>
      <c r="W11" s="34">
        <f>IF(V11=1,IF(OR(P11="Y",L11="Y"),1,0),"")</f>
        <v/>
      </c>
      <c r="X11" s="34">
        <f>IF(V11=1,IF(OR(P11="Y",L11="Y",M11="Y"),1,0),"")</f>
        <v/>
      </c>
      <c r="Y11" s="34">
        <f>IF(V11=1,IF(OR(P11="Y",S11="Y"),1,0),"")</f>
        <v/>
      </c>
      <c r="Z11" s="32" t="inlineStr">
        <is>
          <t>Corporation</t>
        </is>
      </c>
    </row>
    <row r="12" ht="15" customHeight="1" s="24">
      <c r="A12" s="32" t="inlineStr">
        <is>
          <t>P007</t>
        </is>
      </c>
      <c r="B12" s="32" t="inlineStr">
        <is>
          <t>Primary</t>
        </is>
      </c>
      <c r="C12" s="32" t="inlineStr">
        <is>
          <t>C-10</t>
        </is>
      </c>
      <c r="D12" s="32" t="inlineStr">
        <is>
          <t>867414</t>
        </is>
      </c>
      <c r="E12" s="32" t="n"/>
      <c r="F12" s="32" t="inlineStr">
        <is>
          <t>CHINO HILLS</t>
        </is>
      </c>
      <c r="G12" s="32" t="inlineStr">
        <is>
          <t>91709</t>
        </is>
      </c>
      <c r="H12" s="32" t="n"/>
      <c r="I12" s="33" t="inlineStr">
        <is>
          <t>Not started</t>
        </is>
      </c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4">
        <f>IF(I12="Done",1,0)</f>
        <v/>
      </c>
      <c r="W12" s="34">
        <f>IF(V12=1,IF(OR(P12="Y",L12="Y"),1,0),"")</f>
        <v/>
      </c>
      <c r="X12" s="34">
        <f>IF(V12=1,IF(OR(P12="Y",L12="Y",M12="Y"),1,0),"")</f>
        <v/>
      </c>
      <c r="Y12" s="34">
        <f>IF(V12=1,IF(OR(P12="Y",S12="Y"),1,0),"")</f>
        <v/>
      </c>
      <c r="Z12" s="32" t="inlineStr">
        <is>
          <t>Corporation</t>
        </is>
      </c>
    </row>
    <row r="13" ht="15" customHeight="1" s="24">
      <c r="A13" s="32" t="inlineStr">
        <is>
          <t>P008</t>
        </is>
      </c>
      <c r="B13" s="32" t="inlineStr">
        <is>
          <t>Primary</t>
        </is>
      </c>
      <c r="C13" s="32" t="inlineStr">
        <is>
          <t>C-36</t>
        </is>
      </c>
      <c r="D13" s="32" t="inlineStr">
        <is>
          <t>950494</t>
        </is>
      </c>
      <c r="E13" s="32" t="n"/>
      <c r="F13" s="32" t="inlineStr">
        <is>
          <t>COLTON</t>
        </is>
      </c>
      <c r="G13" s="32" t="inlineStr">
        <is>
          <t>92324</t>
        </is>
      </c>
      <c r="H13" s="32" t="n"/>
      <c r="I13" s="33" t="inlineStr">
        <is>
          <t>Not started</t>
        </is>
      </c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4">
        <f>IF(I13="Done",1,0)</f>
        <v/>
      </c>
      <c r="W13" s="34">
        <f>IF(V13=1,IF(OR(P13="Y",L13="Y"),1,0),"")</f>
        <v/>
      </c>
      <c r="X13" s="34">
        <f>IF(V13=1,IF(OR(P13="Y",L13="Y",M13="Y"),1,0),"")</f>
        <v/>
      </c>
      <c r="Y13" s="34">
        <f>IF(V13=1,IF(OR(P13="Y",S13="Y"),1,0),"")</f>
        <v/>
      </c>
      <c r="Z13" s="32" t="inlineStr">
        <is>
          <t>Limited Liability</t>
        </is>
      </c>
    </row>
    <row r="14" ht="15" customHeight="1" s="24">
      <c r="A14" s="32" t="inlineStr">
        <is>
          <t>P009</t>
        </is>
      </c>
      <c r="B14" s="32" t="inlineStr">
        <is>
          <t>Primary</t>
        </is>
      </c>
      <c r="C14" s="32" t="inlineStr">
        <is>
          <t>C-10</t>
        </is>
      </c>
      <c r="D14" s="32" t="inlineStr">
        <is>
          <t>1135579</t>
        </is>
      </c>
      <c r="E14" s="32" t="n"/>
      <c r="F14" s="32" t="inlineStr">
        <is>
          <t>SACRAMENTO</t>
        </is>
      </c>
      <c r="G14" s="32" t="inlineStr">
        <is>
          <t>95816</t>
        </is>
      </c>
      <c r="H14" s="32" t="n"/>
      <c r="I14" s="33" t="inlineStr">
        <is>
          <t>Not started</t>
        </is>
      </c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4">
        <f>IF(I14="Done",1,0)</f>
        <v/>
      </c>
      <c r="W14" s="34">
        <f>IF(V14=1,IF(OR(P14="Y",L14="Y"),1,0),"")</f>
        <v/>
      </c>
      <c r="X14" s="34">
        <f>IF(V14=1,IF(OR(P14="Y",L14="Y",M14="Y"),1,0),"")</f>
        <v/>
      </c>
      <c r="Y14" s="34">
        <f>IF(V14=1,IF(OR(P14="Y",S14="Y"),1,0),"")</f>
        <v/>
      </c>
      <c r="Z14" s="32" t="inlineStr">
        <is>
          <t>Limited Liability</t>
        </is>
      </c>
    </row>
    <row r="15" ht="15" customHeight="1" s="24">
      <c r="A15" s="32" t="inlineStr">
        <is>
          <t>P010</t>
        </is>
      </c>
      <c r="B15" s="32" t="inlineStr">
        <is>
          <t>Primary</t>
        </is>
      </c>
      <c r="C15" s="32" t="inlineStr">
        <is>
          <t>C-20</t>
        </is>
      </c>
      <c r="D15" s="32" t="inlineStr">
        <is>
          <t>899054</t>
        </is>
      </c>
      <c r="E15" s="32" t="n"/>
      <c r="F15" s="32" t="inlineStr">
        <is>
          <t>CULVER CITY</t>
        </is>
      </c>
      <c r="G15" s="32" t="inlineStr">
        <is>
          <t>90231</t>
        </is>
      </c>
      <c r="H15" s="32" t="n"/>
      <c r="I15" s="33" t="inlineStr">
        <is>
          <t>Not started</t>
        </is>
      </c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4">
        <f>IF(I15="Done",1,0)</f>
        <v/>
      </c>
      <c r="W15" s="34">
        <f>IF(V15=1,IF(OR(P15="Y",L15="Y"),1,0),"")</f>
        <v/>
      </c>
      <c r="X15" s="34">
        <f>IF(V15=1,IF(OR(P15="Y",L15="Y",M15="Y"),1,0),"")</f>
        <v/>
      </c>
      <c r="Y15" s="34">
        <f>IF(V15=1,IF(OR(P15="Y",S15="Y"),1,0),"")</f>
        <v/>
      </c>
      <c r="Z15" s="32" t="inlineStr">
        <is>
          <t>Corporation</t>
        </is>
      </c>
    </row>
    <row r="16" ht="15" customHeight="1" s="24">
      <c r="A16" s="32" t="inlineStr">
        <is>
          <t>P011</t>
        </is>
      </c>
      <c r="B16" s="32" t="inlineStr">
        <is>
          <t>Primary</t>
        </is>
      </c>
      <c r="C16" s="32" t="inlineStr">
        <is>
          <t>C-10</t>
        </is>
      </c>
      <c r="D16" s="32" t="inlineStr">
        <is>
          <t>659468</t>
        </is>
      </c>
      <c r="E16" s="32" t="n"/>
      <c r="F16" s="32" t="inlineStr">
        <is>
          <t>BEVERLY HILLS</t>
        </is>
      </c>
      <c r="G16" s="32" t="inlineStr">
        <is>
          <t>90212</t>
        </is>
      </c>
      <c r="H16" s="32" t="n"/>
      <c r="I16" s="33" t="inlineStr">
        <is>
          <t>Not started</t>
        </is>
      </c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4">
        <f>IF(I16="Done",1,0)</f>
        <v/>
      </c>
      <c r="W16" s="34">
        <f>IF(V16=1,IF(OR(P16="Y",L16="Y"),1,0),"")</f>
        <v/>
      </c>
      <c r="X16" s="34">
        <f>IF(V16=1,IF(OR(P16="Y",L16="Y",M16="Y"),1,0),"")</f>
        <v/>
      </c>
      <c r="Y16" s="34">
        <f>IF(V16=1,IF(OR(P16="Y",S16="Y"),1,0),"")</f>
        <v/>
      </c>
      <c r="Z16" s="32" t="inlineStr">
        <is>
          <t>Sole Owner</t>
        </is>
      </c>
    </row>
    <row r="17" ht="15" customHeight="1" s="24">
      <c r="A17" s="32" t="inlineStr">
        <is>
          <t>P012</t>
        </is>
      </c>
      <c r="B17" s="32" t="inlineStr">
        <is>
          <t>Primary</t>
        </is>
      </c>
      <c r="C17" s="32" t="inlineStr">
        <is>
          <t>C-10</t>
        </is>
      </c>
      <c r="D17" s="32" t="inlineStr">
        <is>
          <t>996746</t>
        </is>
      </c>
      <c r="E17" s="32" t="n"/>
      <c r="F17" s="32" t="inlineStr">
        <is>
          <t>SACRAMENTO</t>
        </is>
      </c>
      <c r="G17" s="32" t="inlineStr">
        <is>
          <t>95820</t>
        </is>
      </c>
      <c r="H17" s="32" t="n"/>
      <c r="I17" s="33" t="inlineStr">
        <is>
          <t>Not started</t>
        </is>
      </c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4">
        <f>IF(I17="Done",1,0)</f>
        <v/>
      </c>
      <c r="W17" s="34">
        <f>IF(V17=1,IF(OR(P17="Y",L17="Y"),1,0),"")</f>
        <v/>
      </c>
      <c r="X17" s="34">
        <f>IF(V17=1,IF(OR(P17="Y",L17="Y",M17="Y"),1,0),"")</f>
        <v/>
      </c>
      <c r="Y17" s="34">
        <f>IF(V17=1,IF(OR(P17="Y",S17="Y"),1,0),"")</f>
        <v/>
      </c>
      <c r="Z17" s="32" t="inlineStr">
        <is>
          <t>Sole Owner</t>
        </is>
      </c>
    </row>
    <row r="18" ht="15" customHeight="1" s="24">
      <c r="A18" s="32" t="inlineStr">
        <is>
          <t>P013</t>
        </is>
      </c>
      <c r="B18" s="32" t="inlineStr">
        <is>
          <t>Primary</t>
        </is>
      </c>
      <c r="C18" s="32" t="inlineStr">
        <is>
          <t>C-10</t>
        </is>
      </c>
      <c r="D18" s="32" t="inlineStr">
        <is>
          <t>823195</t>
        </is>
      </c>
      <c r="E18" s="32" t="n"/>
      <c r="F18" s="32" t="inlineStr">
        <is>
          <t>SAN FRANCISCO</t>
        </is>
      </c>
      <c r="G18" s="32" t="inlineStr">
        <is>
          <t>94118</t>
        </is>
      </c>
      <c r="H18" s="32" t="n"/>
      <c r="I18" s="33" t="inlineStr">
        <is>
          <t>Not started</t>
        </is>
      </c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4">
        <f>IF(I18="Done",1,0)</f>
        <v/>
      </c>
      <c r="W18" s="34">
        <f>IF(V18=1,IF(OR(P18="Y",L18="Y"),1,0),"")</f>
        <v/>
      </c>
      <c r="X18" s="34">
        <f>IF(V18=1,IF(OR(P18="Y",L18="Y",M18="Y"),1,0),"")</f>
        <v/>
      </c>
      <c r="Y18" s="34">
        <f>IF(V18=1,IF(OR(P18="Y",S18="Y"),1,0),"")</f>
        <v/>
      </c>
      <c r="Z18" s="32" t="inlineStr">
        <is>
          <t>Sole Owner</t>
        </is>
      </c>
    </row>
    <row r="19" ht="15" customHeight="1" s="24">
      <c r="A19" s="32" t="inlineStr">
        <is>
          <t>P014</t>
        </is>
      </c>
      <c r="B19" s="32" t="inlineStr">
        <is>
          <t>Primary</t>
        </is>
      </c>
      <c r="C19" s="32" t="inlineStr">
        <is>
          <t>C-20</t>
        </is>
      </c>
      <c r="D19" s="32" t="inlineStr">
        <is>
          <t>1068876</t>
        </is>
      </c>
      <c r="E19" s="32" t="n"/>
      <c r="F19" s="32" t="inlineStr">
        <is>
          <t>SPRING VALLEY</t>
        </is>
      </c>
      <c r="G19" s="32" t="inlineStr">
        <is>
          <t>91977</t>
        </is>
      </c>
      <c r="H19" s="32" t="n"/>
      <c r="I19" s="33" t="inlineStr">
        <is>
          <t>Not started</t>
        </is>
      </c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4">
        <f>IF(I19="Done",1,0)</f>
        <v/>
      </c>
      <c r="W19" s="34">
        <f>IF(V19=1,IF(OR(P19="Y",L19="Y"),1,0),"")</f>
        <v/>
      </c>
      <c r="X19" s="34">
        <f>IF(V19=1,IF(OR(P19="Y",L19="Y",M19="Y"),1,0),"")</f>
        <v/>
      </c>
      <c r="Y19" s="34">
        <f>IF(V19=1,IF(OR(P19="Y",S19="Y"),1,0),"")</f>
        <v/>
      </c>
      <c r="Z19" s="32" t="inlineStr">
        <is>
          <t>Corporation</t>
        </is>
      </c>
    </row>
    <row r="20" ht="15" customHeight="1" s="24">
      <c r="A20" s="32" t="inlineStr">
        <is>
          <t>P015</t>
        </is>
      </c>
      <c r="B20" s="32" t="inlineStr">
        <is>
          <t>Primary</t>
        </is>
      </c>
      <c r="C20" s="32" t="inlineStr">
        <is>
          <t>C-36</t>
        </is>
      </c>
      <c r="D20" s="32" t="inlineStr">
        <is>
          <t>1107309</t>
        </is>
      </c>
      <c r="E20" s="32" t="n"/>
      <c r="F20" s="32" t="inlineStr">
        <is>
          <t>AUBURN</t>
        </is>
      </c>
      <c r="G20" s="32" t="inlineStr">
        <is>
          <t>95603</t>
        </is>
      </c>
      <c r="H20" s="32" t="n"/>
      <c r="I20" s="33" t="inlineStr">
        <is>
          <t>Not started</t>
        </is>
      </c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4">
        <f>IF(I20="Done",1,0)</f>
        <v/>
      </c>
      <c r="W20" s="34">
        <f>IF(V20=1,IF(OR(P20="Y",L20="Y"),1,0),"")</f>
        <v/>
      </c>
      <c r="X20" s="34">
        <f>IF(V20=1,IF(OR(P20="Y",L20="Y",M20="Y"),1,0),"")</f>
        <v/>
      </c>
      <c r="Y20" s="34">
        <f>IF(V20=1,IF(OR(P20="Y",S20="Y"),1,0),"")</f>
        <v/>
      </c>
      <c r="Z20" s="32" t="inlineStr">
        <is>
          <t>Corporation</t>
        </is>
      </c>
    </row>
    <row r="21" ht="15" customHeight="1" s="24">
      <c r="A21" s="32" t="inlineStr">
        <is>
          <t>P016</t>
        </is>
      </c>
      <c r="B21" s="32" t="inlineStr">
        <is>
          <t>Primary</t>
        </is>
      </c>
      <c r="C21" s="32" t="inlineStr">
        <is>
          <t>C-20</t>
        </is>
      </c>
      <c r="D21" s="32" t="inlineStr">
        <is>
          <t>829011</t>
        </is>
      </c>
      <c r="E21" s="32" t="n"/>
      <c r="F21" s="32" t="inlineStr">
        <is>
          <t>CONCORD</t>
        </is>
      </c>
      <c r="G21" s="32" t="inlineStr">
        <is>
          <t>94519</t>
        </is>
      </c>
      <c r="H21" s="32" t="n"/>
      <c r="I21" s="33" t="inlineStr">
        <is>
          <t>Not started</t>
        </is>
      </c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4">
        <f>IF(I21="Done",1,0)</f>
        <v/>
      </c>
      <c r="W21" s="34">
        <f>IF(V21=1,IF(OR(P21="Y",L21="Y"),1,0),"")</f>
        <v/>
      </c>
      <c r="X21" s="34">
        <f>IF(V21=1,IF(OR(P21="Y",L21="Y",M21="Y"),1,0),"")</f>
        <v/>
      </c>
      <c r="Y21" s="34">
        <f>IF(V21=1,IF(OR(P21="Y",S21="Y"),1,0),"")</f>
        <v/>
      </c>
      <c r="Z21" s="32" t="inlineStr">
        <is>
          <t>Corporation</t>
        </is>
      </c>
    </row>
    <row r="22" ht="15" customHeight="1" s="24">
      <c r="A22" s="32" t="inlineStr">
        <is>
          <t>P017</t>
        </is>
      </c>
      <c r="B22" s="32" t="inlineStr">
        <is>
          <t>Primary</t>
        </is>
      </c>
      <c r="C22" s="32" t="inlineStr">
        <is>
          <t>C-36</t>
        </is>
      </c>
      <c r="D22" s="32" t="inlineStr">
        <is>
          <t>279868</t>
        </is>
      </c>
      <c r="E22" s="32" t="n"/>
      <c r="F22" s="32" t="inlineStr">
        <is>
          <t>MODESTO</t>
        </is>
      </c>
      <c r="G22" s="32" t="inlineStr">
        <is>
          <t>95358</t>
        </is>
      </c>
      <c r="H22" s="32" t="n"/>
      <c r="I22" s="33" t="inlineStr">
        <is>
          <t>Not started</t>
        </is>
      </c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4">
        <f>IF(I22="Done",1,0)</f>
        <v/>
      </c>
      <c r="W22" s="34">
        <f>IF(V22=1,IF(OR(P22="Y",L22="Y"),1,0),"")</f>
        <v/>
      </c>
      <c r="X22" s="34">
        <f>IF(V22=1,IF(OR(P22="Y",L22="Y",M22="Y"),1,0),"")</f>
        <v/>
      </c>
      <c r="Y22" s="34">
        <f>IF(V22=1,IF(OR(P22="Y",S22="Y"),1,0),"")</f>
        <v/>
      </c>
      <c r="Z22" s="32" t="inlineStr">
        <is>
          <t>Sole Owner</t>
        </is>
      </c>
    </row>
    <row r="23" ht="15" customHeight="1" s="24">
      <c r="A23" s="32" t="inlineStr">
        <is>
          <t>P018</t>
        </is>
      </c>
      <c r="B23" s="32" t="inlineStr">
        <is>
          <t>Primary</t>
        </is>
      </c>
      <c r="C23" s="32" t="inlineStr">
        <is>
          <t>C-20</t>
        </is>
      </c>
      <c r="D23" s="32" t="inlineStr">
        <is>
          <t>719460</t>
        </is>
      </c>
      <c r="E23" s="32" t="n"/>
      <c r="F23" s="32" t="inlineStr">
        <is>
          <t>MARIPOSA</t>
        </is>
      </c>
      <c r="G23" s="32" t="inlineStr">
        <is>
          <t>95338</t>
        </is>
      </c>
      <c r="H23" s="32" t="n"/>
      <c r="I23" s="33" t="inlineStr">
        <is>
          <t>Not started</t>
        </is>
      </c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4">
        <f>IF(I23="Done",1,0)</f>
        <v/>
      </c>
      <c r="W23" s="34">
        <f>IF(V23=1,IF(OR(P23="Y",L23="Y"),1,0),"")</f>
        <v/>
      </c>
      <c r="X23" s="34">
        <f>IF(V23=1,IF(OR(P23="Y",L23="Y",M23="Y"),1,0),"")</f>
        <v/>
      </c>
      <c r="Y23" s="34">
        <f>IF(V23=1,IF(OR(P23="Y",S23="Y"),1,0),"")</f>
        <v/>
      </c>
      <c r="Z23" s="32" t="inlineStr">
        <is>
          <t>Sole Owner</t>
        </is>
      </c>
    </row>
    <row r="24" ht="15" customHeight="1" s="24">
      <c r="A24" s="32" t="inlineStr">
        <is>
          <t>P019</t>
        </is>
      </c>
      <c r="B24" s="32" t="inlineStr">
        <is>
          <t>Primary</t>
        </is>
      </c>
      <c r="C24" s="32" t="inlineStr">
        <is>
          <t>C-20</t>
        </is>
      </c>
      <c r="D24" s="32" t="inlineStr">
        <is>
          <t>872542</t>
        </is>
      </c>
      <c r="E24" s="32" t="n"/>
      <c r="F24" s="32" t="inlineStr">
        <is>
          <t>PERRIS</t>
        </is>
      </c>
      <c r="G24" s="32" t="inlineStr">
        <is>
          <t>92570</t>
        </is>
      </c>
      <c r="H24" s="32" t="n"/>
      <c r="I24" s="33" t="inlineStr">
        <is>
          <t>Not started</t>
        </is>
      </c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4">
        <f>IF(I24="Done",1,0)</f>
        <v/>
      </c>
      <c r="W24" s="34">
        <f>IF(V24=1,IF(OR(P24="Y",L24="Y"),1,0),"")</f>
        <v/>
      </c>
      <c r="X24" s="34">
        <f>IF(V24=1,IF(OR(P24="Y",L24="Y",M24="Y"),1,0),"")</f>
        <v/>
      </c>
      <c r="Y24" s="34">
        <f>IF(V24=1,IF(OR(P24="Y",S24="Y"),1,0),"")</f>
        <v/>
      </c>
      <c r="Z24" s="32" t="inlineStr">
        <is>
          <t>Sole Owner</t>
        </is>
      </c>
    </row>
    <row r="25" ht="15" customHeight="1" s="24">
      <c r="A25" s="32" t="inlineStr">
        <is>
          <t>P020</t>
        </is>
      </c>
      <c r="B25" s="32" t="inlineStr">
        <is>
          <t>Primary</t>
        </is>
      </c>
      <c r="C25" s="32" t="inlineStr">
        <is>
          <t>C-36</t>
        </is>
      </c>
      <c r="D25" s="32" t="inlineStr">
        <is>
          <t>939351</t>
        </is>
      </c>
      <c r="E25" s="32" t="n"/>
      <c r="F25" s="32" t="inlineStr">
        <is>
          <t>STOCKTON</t>
        </is>
      </c>
      <c r="G25" s="32" t="inlineStr">
        <is>
          <t>95207</t>
        </is>
      </c>
      <c r="H25" s="32" t="n"/>
      <c r="I25" s="33" t="inlineStr">
        <is>
          <t>Not started</t>
        </is>
      </c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4">
        <f>IF(I25="Done",1,0)</f>
        <v/>
      </c>
      <c r="W25" s="34">
        <f>IF(V25=1,IF(OR(P25="Y",L25="Y"),1,0),"")</f>
        <v/>
      </c>
      <c r="X25" s="34">
        <f>IF(V25=1,IF(OR(P25="Y",L25="Y",M25="Y"),1,0),"")</f>
        <v/>
      </c>
      <c r="Y25" s="34">
        <f>IF(V25=1,IF(OR(P25="Y",S25="Y"),1,0),"")</f>
        <v/>
      </c>
      <c r="Z25" s="32" t="inlineStr">
        <is>
          <t>Corporation</t>
        </is>
      </c>
    </row>
    <row r="26" ht="15" customHeight="1" s="24">
      <c r="A26" s="32" t="inlineStr">
        <is>
          <t>P021</t>
        </is>
      </c>
      <c r="B26" s="32" t="inlineStr">
        <is>
          <t>Primary</t>
        </is>
      </c>
      <c r="C26" s="32" t="inlineStr">
        <is>
          <t>C-10</t>
        </is>
      </c>
      <c r="D26" s="32" t="inlineStr">
        <is>
          <t>963036</t>
        </is>
      </c>
      <c r="E26" s="32" t="n"/>
      <c r="F26" s="32" t="inlineStr">
        <is>
          <t>PASADENA</t>
        </is>
      </c>
      <c r="G26" s="32" t="inlineStr">
        <is>
          <t>91101</t>
        </is>
      </c>
      <c r="H26" s="32" t="n"/>
      <c r="I26" s="33" t="inlineStr">
        <is>
          <t>Not started</t>
        </is>
      </c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4">
        <f>IF(I26="Done",1,0)</f>
        <v/>
      </c>
      <c r="W26" s="34">
        <f>IF(V26=1,IF(OR(P26="Y",L26="Y"),1,0),"")</f>
        <v/>
      </c>
      <c r="X26" s="34">
        <f>IF(V26=1,IF(OR(P26="Y",L26="Y",M26="Y"),1,0),"")</f>
        <v/>
      </c>
      <c r="Y26" s="34">
        <f>IF(V26=1,IF(OR(P26="Y",S26="Y"),1,0),"")</f>
        <v/>
      </c>
      <c r="Z26" s="32" t="inlineStr">
        <is>
          <t>Corporation</t>
        </is>
      </c>
    </row>
    <row r="27" ht="15" customHeight="1" s="24">
      <c r="A27" s="32" t="inlineStr">
        <is>
          <t>P022</t>
        </is>
      </c>
      <c r="B27" s="32" t="inlineStr">
        <is>
          <t>Primary</t>
        </is>
      </c>
      <c r="C27" s="32" t="inlineStr">
        <is>
          <t>C-10</t>
        </is>
      </c>
      <c r="D27" s="32" t="inlineStr">
        <is>
          <t>1117257</t>
        </is>
      </c>
      <c r="E27" s="32" t="n"/>
      <c r="F27" s="32" t="inlineStr">
        <is>
          <t>RIDGECREST</t>
        </is>
      </c>
      <c r="G27" s="32" t="inlineStr">
        <is>
          <t>93555</t>
        </is>
      </c>
      <c r="H27" s="32" t="n"/>
      <c r="I27" s="33" t="inlineStr">
        <is>
          <t>Not started</t>
        </is>
      </c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4">
        <f>IF(I27="Done",1,0)</f>
        <v/>
      </c>
      <c r="W27" s="34">
        <f>IF(V27=1,IF(OR(P27="Y",L27="Y"),1,0),"")</f>
        <v/>
      </c>
      <c r="X27" s="34">
        <f>IF(V27=1,IF(OR(P27="Y",L27="Y",M27="Y"),1,0),"")</f>
        <v/>
      </c>
      <c r="Y27" s="34">
        <f>IF(V27=1,IF(OR(P27="Y",S27="Y"),1,0),"")</f>
        <v/>
      </c>
      <c r="Z27" s="32" t="inlineStr">
        <is>
          <t>Sole Owner</t>
        </is>
      </c>
    </row>
    <row r="28" ht="15" customHeight="1" s="24">
      <c r="A28" s="32" t="inlineStr">
        <is>
          <t>P023</t>
        </is>
      </c>
      <c r="B28" s="32" t="inlineStr">
        <is>
          <t>Primary</t>
        </is>
      </c>
      <c r="C28" s="32" t="inlineStr">
        <is>
          <t>C-20</t>
        </is>
      </c>
      <c r="D28" s="32" t="inlineStr">
        <is>
          <t>375658</t>
        </is>
      </c>
      <c r="E28" s="32" t="n"/>
      <c r="F28" s="32" t="inlineStr">
        <is>
          <t>SACRAMENTO</t>
        </is>
      </c>
      <c r="G28" s="32" t="inlineStr">
        <is>
          <t>95826</t>
        </is>
      </c>
      <c r="H28" s="32" t="n"/>
      <c r="I28" s="33" t="inlineStr">
        <is>
          <t>Not started</t>
        </is>
      </c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4">
        <f>IF(I28="Done",1,0)</f>
        <v/>
      </c>
      <c r="W28" s="34">
        <f>IF(V28=1,IF(OR(P28="Y",L28="Y"),1,0),"")</f>
        <v/>
      </c>
      <c r="X28" s="34">
        <f>IF(V28=1,IF(OR(P28="Y",L28="Y",M28="Y"),1,0),"")</f>
        <v/>
      </c>
      <c r="Y28" s="34">
        <f>IF(V28=1,IF(OR(P28="Y",S28="Y"),1,0),"")</f>
        <v/>
      </c>
      <c r="Z28" s="32" t="inlineStr">
        <is>
          <t>Corporation</t>
        </is>
      </c>
    </row>
    <row r="29" ht="15" customHeight="1" s="24">
      <c r="A29" s="32" t="inlineStr">
        <is>
          <t>P024</t>
        </is>
      </c>
      <c r="B29" s="32" t="inlineStr">
        <is>
          <t>Primary</t>
        </is>
      </c>
      <c r="C29" s="32" t="inlineStr">
        <is>
          <t>C-36</t>
        </is>
      </c>
      <c r="D29" s="32" t="inlineStr">
        <is>
          <t>1082185</t>
        </is>
      </c>
      <c r="E29" s="32" t="n"/>
      <c r="F29" s="32" t="inlineStr">
        <is>
          <t>OAKLEY</t>
        </is>
      </c>
      <c r="G29" s="32" t="inlineStr">
        <is>
          <t>94561</t>
        </is>
      </c>
      <c r="H29" s="32" t="n"/>
      <c r="I29" s="33" t="inlineStr">
        <is>
          <t>Not started</t>
        </is>
      </c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4">
        <f>IF(I29="Done",1,0)</f>
        <v/>
      </c>
      <c r="W29" s="34">
        <f>IF(V29=1,IF(OR(P29="Y",L29="Y"),1,0),"")</f>
        <v/>
      </c>
      <c r="X29" s="34">
        <f>IF(V29=1,IF(OR(P29="Y",L29="Y",M29="Y"),1,0),"")</f>
        <v/>
      </c>
      <c r="Y29" s="34">
        <f>IF(V29=1,IF(OR(P29="Y",S29="Y"),1,0),"")</f>
        <v/>
      </c>
      <c r="Z29" s="32" t="inlineStr">
        <is>
          <t>Corporation</t>
        </is>
      </c>
    </row>
    <row r="30" ht="15" customHeight="1" s="24">
      <c r="A30" s="32" t="inlineStr">
        <is>
          <t>P025</t>
        </is>
      </c>
      <c r="B30" s="32" t="inlineStr">
        <is>
          <t>Primary</t>
        </is>
      </c>
      <c r="C30" s="32" t="inlineStr">
        <is>
          <t>C-10</t>
        </is>
      </c>
      <c r="D30" s="32" t="inlineStr">
        <is>
          <t>804994</t>
        </is>
      </c>
      <c r="E30" s="32" t="n"/>
      <c r="F30" s="32" t="inlineStr">
        <is>
          <t>MORGAN HILL</t>
        </is>
      </c>
      <c r="G30" s="32" t="inlineStr">
        <is>
          <t>95037</t>
        </is>
      </c>
      <c r="H30" s="32" t="n"/>
      <c r="I30" s="33" t="inlineStr">
        <is>
          <t>Not started</t>
        </is>
      </c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4">
        <f>IF(I30="Done",1,0)</f>
        <v/>
      </c>
      <c r="W30" s="34">
        <f>IF(V30=1,IF(OR(P30="Y",L30="Y"),1,0),"")</f>
        <v/>
      </c>
      <c r="X30" s="34">
        <f>IF(V30=1,IF(OR(P30="Y",L30="Y",M30="Y"),1,0),"")</f>
        <v/>
      </c>
      <c r="Y30" s="34">
        <f>IF(V30=1,IF(OR(P30="Y",S30="Y"),1,0),"")</f>
        <v/>
      </c>
      <c r="Z30" s="32" t="inlineStr">
        <is>
          <t>Sole Owner</t>
        </is>
      </c>
    </row>
    <row r="31" ht="15" customHeight="1" s="24">
      <c r="A31" s="32" t="inlineStr">
        <is>
          <t>P026</t>
        </is>
      </c>
      <c r="B31" s="32" t="inlineStr">
        <is>
          <t>Primary</t>
        </is>
      </c>
      <c r="C31" s="32" t="inlineStr">
        <is>
          <t>C-36</t>
        </is>
      </c>
      <c r="D31" s="32" t="inlineStr">
        <is>
          <t>1155260</t>
        </is>
      </c>
      <c r="E31" s="32" t="n"/>
      <c r="F31" s="32" t="inlineStr">
        <is>
          <t>OXNARD</t>
        </is>
      </c>
      <c r="G31" s="32" t="inlineStr">
        <is>
          <t>93033</t>
        </is>
      </c>
      <c r="H31" s="32" t="n"/>
      <c r="I31" s="33" t="inlineStr">
        <is>
          <t>Not started</t>
        </is>
      </c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4">
        <f>IF(I31="Done",1,0)</f>
        <v/>
      </c>
      <c r="W31" s="34">
        <f>IF(V31=1,IF(OR(P31="Y",L31="Y"),1,0),"")</f>
        <v/>
      </c>
      <c r="X31" s="34">
        <f>IF(V31=1,IF(OR(P31="Y",L31="Y",M31="Y"),1,0),"")</f>
        <v/>
      </c>
      <c r="Y31" s="34">
        <f>IF(V31=1,IF(OR(P31="Y",S31="Y"),1,0),"")</f>
        <v/>
      </c>
      <c r="Z31" s="32" t="inlineStr">
        <is>
          <t>Sole Owner</t>
        </is>
      </c>
    </row>
    <row r="32" ht="15" customHeight="1" s="24">
      <c r="A32" s="32" t="inlineStr">
        <is>
          <t>P027</t>
        </is>
      </c>
      <c r="B32" s="32" t="inlineStr">
        <is>
          <t>Primary</t>
        </is>
      </c>
      <c r="C32" s="32" t="inlineStr">
        <is>
          <t>C-36</t>
        </is>
      </c>
      <c r="D32" s="32" t="inlineStr">
        <is>
          <t>1094243</t>
        </is>
      </c>
      <c r="E32" s="32" t="n"/>
      <c r="F32" s="32" t="inlineStr">
        <is>
          <t>BELLFLOWER</t>
        </is>
      </c>
      <c r="G32" s="32" t="inlineStr">
        <is>
          <t>90706</t>
        </is>
      </c>
      <c r="H32" s="32" t="n"/>
      <c r="I32" s="33" t="inlineStr">
        <is>
          <t>Not started</t>
        </is>
      </c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4">
        <f>IF(I32="Done",1,0)</f>
        <v/>
      </c>
      <c r="W32" s="34">
        <f>IF(V32=1,IF(OR(P32="Y",L32="Y"),1,0),"")</f>
        <v/>
      </c>
      <c r="X32" s="34">
        <f>IF(V32=1,IF(OR(P32="Y",L32="Y",M32="Y"),1,0),"")</f>
        <v/>
      </c>
      <c r="Y32" s="34">
        <f>IF(V32=1,IF(OR(P32="Y",S32="Y"),1,0),"")</f>
        <v/>
      </c>
      <c r="Z32" s="32" t="inlineStr">
        <is>
          <t>Corporation</t>
        </is>
      </c>
    </row>
    <row r="33" ht="15" customHeight="1" s="24">
      <c r="A33" s="32" t="inlineStr">
        <is>
          <t>P028</t>
        </is>
      </c>
      <c r="B33" s="32" t="inlineStr">
        <is>
          <t>Primary</t>
        </is>
      </c>
      <c r="C33" s="32" t="inlineStr">
        <is>
          <t>C-10</t>
        </is>
      </c>
      <c r="D33" s="32" t="inlineStr">
        <is>
          <t>682841</t>
        </is>
      </c>
      <c r="E33" s="32" t="n"/>
      <c r="F33" s="32" t="inlineStr">
        <is>
          <t>ROHNERT PARK</t>
        </is>
      </c>
      <c r="G33" s="32" t="inlineStr">
        <is>
          <t>94928</t>
        </is>
      </c>
      <c r="H33" s="32" t="n"/>
      <c r="I33" s="33" t="inlineStr">
        <is>
          <t>Not started</t>
        </is>
      </c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4">
        <f>IF(I33="Done",1,0)</f>
        <v/>
      </c>
      <c r="W33" s="34">
        <f>IF(V33=1,IF(OR(P33="Y",L33="Y"),1,0),"")</f>
        <v/>
      </c>
      <c r="X33" s="34">
        <f>IF(V33=1,IF(OR(P33="Y",L33="Y",M33="Y"),1,0),"")</f>
        <v/>
      </c>
      <c r="Y33" s="34">
        <f>IF(V33=1,IF(OR(P33="Y",S33="Y"),1,0),"")</f>
        <v/>
      </c>
      <c r="Z33" s="32" t="inlineStr">
        <is>
          <t>Sole Owner</t>
        </is>
      </c>
    </row>
    <row r="34" ht="15" customHeight="1" s="24">
      <c r="A34" s="32" t="inlineStr">
        <is>
          <t>P029</t>
        </is>
      </c>
      <c r="B34" s="32" t="inlineStr">
        <is>
          <t>Primary</t>
        </is>
      </c>
      <c r="C34" s="32" t="inlineStr">
        <is>
          <t>C-20</t>
        </is>
      </c>
      <c r="D34" s="32" t="inlineStr">
        <is>
          <t>1160332</t>
        </is>
      </c>
      <c r="E34" s="32" t="n"/>
      <c r="F34" s="32" t="inlineStr">
        <is>
          <t>ROSEVILLE</t>
        </is>
      </c>
      <c r="G34" s="32" t="inlineStr">
        <is>
          <t>95678</t>
        </is>
      </c>
      <c r="H34" s="32" t="n"/>
      <c r="I34" s="33" t="inlineStr">
        <is>
          <t>Not started</t>
        </is>
      </c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4">
        <f>IF(I34="Done",1,0)</f>
        <v/>
      </c>
      <c r="W34" s="34">
        <f>IF(V34=1,IF(OR(P34="Y",L34="Y"),1,0),"")</f>
        <v/>
      </c>
      <c r="X34" s="34">
        <f>IF(V34=1,IF(OR(P34="Y",L34="Y",M34="Y"),1,0),"")</f>
        <v/>
      </c>
      <c r="Y34" s="34">
        <f>IF(V34=1,IF(OR(P34="Y",S34="Y"),1,0),"")</f>
        <v/>
      </c>
      <c r="Z34" s="32" t="inlineStr">
        <is>
          <t>Corporation</t>
        </is>
      </c>
    </row>
    <row r="35" ht="15" customHeight="1" s="24">
      <c r="A35" s="32" t="inlineStr">
        <is>
          <t>P030</t>
        </is>
      </c>
      <c r="B35" s="32" t="inlineStr">
        <is>
          <t>Primary</t>
        </is>
      </c>
      <c r="C35" s="32" t="inlineStr">
        <is>
          <t>C-10</t>
        </is>
      </c>
      <c r="D35" s="32" t="inlineStr">
        <is>
          <t>699923</t>
        </is>
      </c>
      <c r="E35" s="32" t="n"/>
      <c r="F35" s="32" t="inlineStr">
        <is>
          <t>VAN NUYS</t>
        </is>
      </c>
      <c r="G35" s="32" t="inlineStr">
        <is>
          <t>91406</t>
        </is>
      </c>
      <c r="H35" s="32" t="n"/>
      <c r="I35" s="33" t="inlineStr">
        <is>
          <t>Not started</t>
        </is>
      </c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4">
        <f>IF(I35="Done",1,0)</f>
        <v/>
      </c>
      <c r="W35" s="34">
        <f>IF(V35=1,IF(OR(P35="Y",L35="Y"),1,0),"")</f>
        <v/>
      </c>
      <c r="X35" s="34">
        <f>IF(V35=1,IF(OR(P35="Y",L35="Y",M35="Y"),1,0),"")</f>
        <v/>
      </c>
      <c r="Y35" s="34">
        <f>IF(V35=1,IF(OR(P35="Y",S35="Y"),1,0),"")</f>
        <v/>
      </c>
      <c r="Z35" s="32" t="inlineStr">
        <is>
          <t>Sole Owner</t>
        </is>
      </c>
    </row>
    <row r="36" ht="15" customHeight="1" s="24">
      <c r="A36" s="32" t="inlineStr">
        <is>
          <t>P031</t>
        </is>
      </c>
      <c r="B36" s="32" t="inlineStr">
        <is>
          <t>Primary</t>
        </is>
      </c>
      <c r="C36" s="32" t="inlineStr">
        <is>
          <t>C-20</t>
        </is>
      </c>
      <c r="D36" s="32" t="inlineStr">
        <is>
          <t>775717</t>
        </is>
      </c>
      <c r="E36" s="32" t="n"/>
      <c r="F36" s="32" t="inlineStr">
        <is>
          <t>MENIFEE</t>
        </is>
      </c>
      <c r="G36" s="32" t="inlineStr">
        <is>
          <t>92585</t>
        </is>
      </c>
      <c r="H36" s="32" t="n"/>
      <c r="I36" s="33" t="inlineStr">
        <is>
          <t>Not started</t>
        </is>
      </c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4">
        <f>IF(I36="Done",1,0)</f>
        <v/>
      </c>
      <c r="W36" s="34">
        <f>IF(V36=1,IF(OR(P36="Y",L36="Y"),1,0),"")</f>
        <v/>
      </c>
      <c r="X36" s="34">
        <f>IF(V36=1,IF(OR(P36="Y",L36="Y",M36="Y"),1,0),"")</f>
        <v/>
      </c>
      <c r="Y36" s="34">
        <f>IF(V36=1,IF(OR(P36="Y",S36="Y"),1,0),"")</f>
        <v/>
      </c>
      <c r="Z36" s="32" t="inlineStr">
        <is>
          <t>Sole Owner</t>
        </is>
      </c>
    </row>
    <row r="37" ht="15" customHeight="1" s="24">
      <c r="A37" s="32" t="inlineStr">
        <is>
          <t>P032</t>
        </is>
      </c>
      <c r="B37" s="32" t="inlineStr">
        <is>
          <t>Primary</t>
        </is>
      </c>
      <c r="C37" s="32" t="inlineStr">
        <is>
          <t>C-20</t>
        </is>
      </c>
      <c r="D37" s="32" t="inlineStr">
        <is>
          <t>420848</t>
        </is>
      </c>
      <c r="E37" s="32" t="n"/>
      <c r="F37" s="32" t="inlineStr">
        <is>
          <t>SANTA MARIA</t>
        </is>
      </c>
      <c r="G37" s="32" t="inlineStr">
        <is>
          <t>93455</t>
        </is>
      </c>
      <c r="H37" s="32" t="n"/>
      <c r="I37" s="33" t="inlineStr">
        <is>
          <t>Not started</t>
        </is>
      </c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4">
        <f>IF(I37="Done",1,0)</f>
        <v/>
      </c>
      <c r="W37" s="34">
        <f>IF(V37=1,IF(OR(P37="Y",L37="Y"),1,0),"")</f>
        <v/>
      </c>
      <c r="X37" s="34">
        <f>IF(V37=1,IF(OR(P37="Y",L37="Y",M37="Y"),1,0),"")</f>
        <v/>
      </c>
      <c r="Y37" s="34">
        <f>IF(V37=1,IF(OR(P37="Y",S37="Y"),1,0),"")</f>
        <v/>
      </c>
      <c r="Z37" s="32" t="inlineStr">
        <is>
          <t>Corporation</t>
        </is>
      </c>
    </row>
    <row r="38" ht="15" customHeight="1" s="24">
      <c r="A38" s="32" t="inlineStr">
        <is>
          <t>P033</t>
        </is>
      </c>
      <c r="B38" s="32" t="inlineStr">
        <is>
          <t>Primary</t>
        </is>
      </c>
      <c r="C38" s="32" t="inlineStr">
        <is>
          <t>C-36</t>
        </is>
      </c>
      <c r="D38" s="32" t="inlineStr">
        <is>
          <t>613539</t>
        </is>
      </c>
      <c r="E38" s="32" t="n"/>
      <c r="F38" s="32" t="inlineStr">
        <is>
          <t>SAN FRANCISCO</t>
        </is>
      </c>
      <c r="G38" s="32" t="inlineStr">
        <is>
          <t>94122</t>
        </is>
      </c>
      <c r="H38" s="32" t="n"/>
      <c r="I38" s="33" t="inlineStr">
        <is>
          <t>Not started</t>
        </is>
      </c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4">
        <f>IF(I38="Done",1,0)</f>
        <v/>
      </c>
      <c r="W38" s="34">
        <f>IF(V38=1,IF(OR(P38="Y",L38="Y"),1,0),"")</f>
        <v/>
      </c>
      <c r="X38" s="34">
        <f>IF(V38=1,IF(OR(P38="Y",L38="Y",M38="Y"),1,0),"")</f>
        <v/>
      </c>
      <c r="Y38" s="34">
        <f>IF(V38=1,IF(OR(P38="Y",S38="Y"),1,0),"")</f>
        <v/>
      </c>
      <c r="Z38" s="32" t="inlineStr">
        <is>
          <t>Corporation</t>
        </is>
      </c>
    </row>
    <row r="39" ht="15" customHeight="1" s="24">
      <c r="A39" s="32" t="inlineStr">
        <is>
          <t>P034</t>
        </is>
      </c>
      <c r="B39" s="32" t="inlineStr">
        <is>
          <t>Primary</t>
        </is>
      </c>
      <c r="C39" s="32" t="inlineStr">
        <is>
          <t>C-36</t>
        </is>
      </c>
      <c r="D39" s="32" t="inlineStr">
        <is>
          <t>1111714</t>
        </is>
      </c>
      <c r="E39" s="32" t="n"/>
      <c r="F39" s="32" t="inlineStr">
        <is>
          <t>OCEANSIDE</t>
        </is>
      </c>
      <c r="G39" s="32" t="inlineStr">
        <is>
          <t>92054</t>
        </is>
      </c>
      <c r="H39" s="32" t="n"/>
      <c r="I39" s="33" t="inlineStr">
        <is>
          <t>Not started</t>
        </is>
      </c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4">
        <f>IF(I39="Done",1,0)</f>
        <v/>
      </c>
      <c r="W39" s="34">
        <f>IF(V39=1,IF(OR(P39="Y",L39="Y"),1,0),"")</f>
        <v/>
      </c>
      <c r="X39" s="34">
        <f>IF(V39=1,IF(OR(P39="Y",L39="Y",M39="Y"),1,0),"")</f>
        <v/>
      </c>
      <c r="Y39" s="34">
        <f>IF(V39=1,IF(OR(P39="Y",S39="Y"),1,0),"")</f>
        <v/>
      </c>
      <c r="Z39" s="32" t="inlineStr">
        <is>
          <t>Corporation</t>
        </is>
      </c>
    </row>
    <row r="40" ht="15" customHeight="1" s="24">
      <c r="A40" s="32" t="inlineStr">
        <is>
          <t>P035</t>
        </is>
      </c>
      <c r="B40" s="32" t="inlineStr">
        <is>
          <t>Primary</t>
        </is>
      </c>
      <c r="C40" s="32" t="inlineStr">
        <is>
          <t>C-10</t>
        </is>
      </c>
      <c r="D40" s="32" t="inlineStr">
        <is>
          <t>767382</t>
        </is>
      </c>
      <c r="E40" s="32" t="n"/>
      <c r="F40" s="32" t="inlineStr">
        <is>
          <t>DOWNEY</t>
        </is>
      </c>
      <c r="G40" s="32" t="inlineStr">
        <is>
          <t>90240</t>
        </is>
      </c>
      <c r="H40" s="32" t="n"/>
      <c r="I40" s="33" t="inlineStr">
        <is>
          <t>Not started</t>
        </is>
      </c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4">
        <f>IF(I40="Done",1,0)</f>
        <v/>
      </c>
      <c r="W40" s="34">
        <f>IF(V40=1,IF(OR(P40="Y",L40="Y"),1,0),"")</f>
        <v/>
      </c>
      <c r="X40" s="34">
        <f>IF(V40=1,IF(OR(P40="Y",L40="Y",M40="Y"),1,0),"")</f>
        <v/>
      </c>
      <c r="Y40" s="34">
        <f>IF(V40=1,IF(OR(P40="Y",S40="Y"),1,0),"")</f>
        <v/>
      </c>
      <c r="Z40" s="32" t="inlineStr">
        <is>
          <t>Corporation</t>
        </is>
      </c>
    </row>
    <row r="41" ht="15" customHeight="1" s="24">
      <c r="A41" s="32" t="inlineStr">
        <is>
          <t>P036</t>
        </is>
      </c>
      <c r="B41" s="32" t="inlineStr">
        <is>
          <t>Primary</t>
        </is>
      </c>
      <c r="C41" s="32" t="inlineStr">
        <is>
          <t>C-36</t>
        </is>
      </c>
      <c r="D41" s="32" t="inlineStr">
        <is>
          <t>841262</t>
        </is>
      </c>
      <c r="E41" s="32" t="n"/>
      <c r="F41" s="32" t="inlineStr">
        <is>
          <t>LA MIRADA</t>
        </is>
      </c>
      <c r="G41" s="32" t="inlineStr">
        <is>
          <t>90638</t>
        </is>
      </c>
      <c r="H41" s="32" t="n"/>
      <c r="I41" s="33" t="inlineStr">
        <is>
          <t>Not started</t>
        </is>
      </c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4">
        <f>IF(I41="Done",1,0)</f>
        <v/>
      </c>
      <c r="W41" s="34">
        <f>IF(V41=1,IF(OR(P41="Y",L41="Y"),1,0),"")</f>
        <v/>
      </c>
      <c r="X41" s="34">
        <f>IF(V41=1,IF(OR(P41="Y",L41="Y",M41="Y"),1,0),"")</f>
        <v/>
      </c>
      <c r="Y41" s="34">
        <f>IF(V41=1,IF(OR(P41="Y",S41="Y"),1,0),"")</f>
        <v/>
      </c>
      <c r="Z41" s="32" t="inlineStr">
        <is>
          <t>Sole Owner</t>
        </is>
      </c>
    </row>
    <row r="42" ht="15" customHeight="1" s="24">
      <c r="A42" s="32" t="inlineStr">
        <is>
          <t>P037</t>
        </is>
      </c>
      <c r="B42" s="32" t="inlineStr">
        <is>
          <t>Primary</t>
        </is>
      </c>
      <c r="C42" s="32" t="inlineStr">
        <is>
          <t>C-20</t>
        </is>
      </c>
      <c r="D42" s="32" t="inlineStr">
        <is>
          <t>1143364</t>
        </is>
      </c>
      <c r="E42" s="32" t="n"/>
      <c r="F42" s="32" t="inlineStr">
        <is>
          <t>GLENDALE</t>
        </is>
      </c>
      <c r="G42" s="32" t="inlineStr">
        <is>
          <t>91201</t>
        </is>
      </c>
      <c r="H42" s="32" t="n"/>
      <c r="I42" s="33" t="inlineStr">
        <is>
          <t>Not started</t>
        </is>
      </c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4">
        <f>IF(I42="Done",1,0)</f>
        <v/>
      </c>
      <c r="W42" s="34">
        <f>IF(V42=1,IF(OR(P42="Y",L42="Y"),1,0),"")</f>
        <v/>
      </c>
      <c r="X42" s="34">
        <f>IF(V42=1,IF(OR(P42="Y",L42="Y",M42="Y"),1,0),"")</f>
        <v/>
      </c>
      <c r="Y42" s="34">
        <f>IF(V42=1,IF(OR(P42="Y",S42="Y"),1,0),"")</f>
        <v/>
      </c>
      <c r="Z42" s="32" t="inlineStr">
        <is>
          <t>Corporation</t>
        </is>
      </c>
    </row>
    <row r="43" ht="15" customHeight="1" s="24">
      <c r="A43" s="32" t="inlineStr">
        <is>
          <t>P038</t>
        </is>
      </c>
      <c r="B43" s="32" t="inlineStr">
        <is>
          <t>Primary</t>
        </is>
      </c>
      <c r="C43" s="32" t="inlineStr">
        <is>
          <t>C-36</t>
        </is>
      </c>
      <c r="D43" s="32" t="inlineStr">
        <is>
          <t>373936</t>
        </is>
      </c>
      <c r="E43" s="32" t="n"/>
      <c r="F43" s="32" t="inlineStr">
        <is>
          <t>SAN LUIS OBISPO</t>
        </is>
      </c>
      <c r="G43" s="32" t="inlineStr">
        <is>
          <t>93401</t>
        </is>
      </c>
      <c r="H43" s="32" t="n"/>
      <c r="I43" s="33" t="inlineStr">
        <is>
          <t>Not started</t>
        </is>
      </c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4">
        <f>IF(I43="Done",1,0)</f>
        <v/>
      </c>
      <c r="W43" s="34">
        <f>IF(V43=1,IF(OR(P43="Y",L43="Y"),1,0),"")</f>
        <v/>
      </c>
      <c r="X43" s="34">
        <f>IF(V43=1,IF(OR(P43="Y",L43="Y",M43="Y"),1,0),"")</f>
        <v/>
      </c>
      <c r="Y43" s="34">
        <f>IF(V43=1,IF(OR(P43="Y",S43="Y"),1,0),"")</f>
        <v/>
      </c>
      <c r="Z43" s="32" t="inlineStr">
        <is>
          <t>Corporation</t>
        </is>
      </c>
    </row>
    <row r="44" ht="15" customHeight="1" s="24">
      <c r="A44" s="32" t="inlineStr">
        <is>
          <t>P039</t>
        </is>
      </c>
      <c r="B44" s="32" t="inlineStr">
        <is>
          <t>Primary</t>
        </is>
      </c>
      <c r="C44" s="32" t="inlineStr">
        <is>
          <t>C-36</t>
        </is>
      </c>
      <c r="D44" s="32" t="inlineStr">
        <is>
          <t>925192</t>
        </is>
      </c>
      <c r="E44" s="32" t="n"/>
      <c r="F44" s="32" t="inlineStr">
        <is>
          <t>FONTANA</t>
        </is>
      </c>
      <c r="G44" s="32" t="inlineStr">
        <is>
          <t>92336</t>
        </is>
      </c>
      <c r="H44" s="32" t="n"/>
      <c r="I44" s="33" t="inlineStr">
        <is>
          <t>Not started</t>
        </is>
      </c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4">
        <f>IF(I44="Done",1,0)</f>
        <v/>
      </c>
      <c r="W44" s="34">
        <f>IF(V44=1,IF(OR(P44="Y",L44="Y"),1,0),"")</f>
        <v/>
      </c>
      <c r="X44" s="34">
        <f>IF(V44=1,IF(OR(P44="Y",L44="Y",M44="Y"),1,0),"")</f>
        <v/>
      </c>
      <c r="Y44" s="34">
        <f>IF(V44=1,IF(OR(P44="Y",S44="Y"),1,0),"")</f>
        <v/>
      </c>
      <c r="Z44" s="32" t="inlineStr">
        <is>
          <t>Sole Owner</t>
        </is>
      </c>
    </row>
    <row r="45" ht="15" customHeight="1" s="24">
      <c r="A45" s="32" t="inlineStr">
        <is>
          <t>P040</t>
        </is>
      </c>
      <c r="B45" s="32" t="inlineStr">
        <is>
          <t>Primary</t>
        </is>
      </c>
      <c r="C45" s="32" t="inlineStr">
        <is>
          <t>C-20</t>
        </is>
      </c>
      <c r="D45" s="32" t="inlineStr">
        <is>
          <t>1015785</t>
        </is>
      </c>
      <c r="E45" s="32" t="n"/>
      <c r="F45" s="32" t="inlineStr">
        <is>
          <t>PORTERVILLE</t>
        </is>
      </c>
      <c r="G45" s="32" t="inlineStr">
        <is>
          <t>93257</t>
        </is>
      </c>
      <c r="H45" s="32" t="n"/>
      <c r="I45" s="33" t="inlineStr">
        <is>
          <t>Not started</t>
        </is>
      </c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4">
        <f>IF(I45="Done",1,0)</f>
        <v/>
      </c>
      <c r="W45" s="34">
        <f>IF(V45=1,IF(OR(P45="Y",L45="Y"),1,0),"")</f>
        <v/>
      </c>
      <c r="X45" s="34">
        <f>IF(V45=1,IF(OR(P45="Y",L45="Y",M45="Y"),1,0),"")</f>
        <v/>
      </c>
      <c r="Y45" s="34">
        <f>IF(V45=1,IF(OR(P45="Y",S45="Y"),1,0),"")</f>
        <v/>
      </c>
      <c r="Z45" s="32" t="inlineStr">
        <is>
          <t>Sole Owner</t>
        </is>
      </c>
    </row>
    <row r="46" ht="15" customHeight="1" s="24">
      <c r="A46" s="32" t="inlineStr">
        <is>
          <t>P041</t>
        </is>
      </c>
      <c r="B46" s="32" t="inlineStr">
        <is>
          <t>Primary</t>
        </is>
      </c>
      <c r="C46" s="32" t="inlineStr">
        <is>
          <t>C-20</t>
        </is>
      </c>
      <c r="D46" s="32" t="inlineStr">
        <is>
          <t>788471</t>
        </is>
      </c>
      <c r="E46" s="32" t="n"/>
      <c r="F46" s="32" t="inlineStr">
        <is>
          <t>ENCINO</t>
        </is>
      </c>
      <c r="G46" s="32" t="inlineStr">
        <is>
          <t>91316</t>
        </is>
      </c>
      <c r="H46" s="32" t="n"/>
      <c r="I46" s="33" t="inlineStr">
        <is>
          <t>Not started</t>
        </is>
      </c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4">
        <f>IF(I46="Done",1,0)</f>
        <v/>
      </c>
      <c r="W46" s="34">
        <f>IF(V46=1,IF(OR(P46="Y",L46="Y"),1,0),"")</f>
        <v/>
      </c>
      <c r="X46" s="34">
        <f>IF(V46=1,IF(OR(P46="Y",L46="Y",M46="Y"),1,0),"")</f>
        <v/>
      </c>
      <c r="Y46" s="34">
        <f>IF(V46=1,IF(OR(P46="Y",S46="Y"),1,0),"")</f>
        <v/>
      </c>
      <c r="Z46" s="32" t="inlineStr">
        <is>
          <t>Corporation</t>
        </is>
      </c>
    </row>
    <row r="47" ht="15" customHeight="1" s="24">
      <c r="A47" s="32" t="inlineStr">
        <is>
          <t>P042</t>
        </is>
      </c>
      <c r="B47" s="32" t="inlineStr">
        <is>
          <t>Primary</t>
        </is>
      </c>
      <c r="C47" s="32" t="inlineStr">
        <is>
          <t>C-36</t>
        </is>
      </c>
      <c r="D47" s="32" t="inlineStr">
        <is>
          <t>883271</t>
        </is>
      </c>
      <c r="E47" s="32" t="n"/>
      <c r="F47" s="32" t="inlineStr">
        <is>
          <t>SAN MATEO</t>
        </is>
      </c>
      <c r="G47" s="32" t="inlineStr">
        <is>
          <t>94402</t>
        </is>
      </c>
      <c r="H47" s="32" t="n"/>
      <c r="I47" s="33" t="inlineStr">
        <is>
          <t>Not started</t>
        </is>
      </c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4">
        <f>IF(I47="Done",1,0)</f>
        <v/>
      </c>
      <c r="W47" s="34">
        <f>IF(V47=1,IF(OR(P47="Y",L47="Y"),1,0),"")</f>
        <v/>
      </c>
      <c r="X47" s="34">
        <f>IF(V47=1,IF(OR(P47="Y",L47="Y",M47="Y"),1,0),"")</f>
        <v/>
      </c>
      <c r="Y47" s="34">
        <f>IF(V47=1,IF(OR(P47="Y",S47="Y"),1,0),"")</f>
        <v/>
      </c>
      <c r="Z47" s="32" t="inlineStr">
        <is>
          <t>Sole Owner</t>
        </is>
      </c>
    </row>
    <row r="48" ht="15" customHeight="1" s="24">
      <c r="A48" s="32" t="inlineStr">
        <is>
          <t>P043</t>
        </is>
      </c>
      <c r="B48" s="32" t="inlineStr">
        <is>
          <t>Primary</t>
        </is>
      </c>
      <c r="C48" s="32" t="inlineStr">
        <is>
          <t>C-20</t>
        </is>
      </c>
      <c r="D48" s="32" t="inlineStr">
        <is>
          <t>800456</t>
        </is>
      </c>
      <c r="E48" s="32" t="n"/>
      <c r="F48" s="32" t="inlineStr">
        <is>
          <t>MARINA</t>
        </is>
      </c>
      <c r="G48" s="32" t="inlineStr">
        <is>
          <t>93933</t>
        </is>
      </c>
      <c r="H48" s="32" t="n"/>
      <c r="I48" s="33" t="inlineStr">
        <is>
          <t>Not started</t>
        </is>
      </c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4">
        <f>IF(I48="Done",1,0)</f>
        <v/>
      </c>
      <c r="W48" s="34">
        <f>IF(V48=1,IF(OR(P48="Y",L48="Y"),1,0),"")</f>
        <v/>
      </c>
      <c r="X48" s="34">
        <f>IF(V48=1,IF(OR(P48="Y",L48="Y",M48="Y"),1,0),"")</f>
        <v/>
      </c>
      <c r="Y48" s="34">
        <f>IF(V48=1,IF(OR(P48="Y",S48="Y"),1,0),"")</f>
        <v/>
      </c>
      <c r="Z48" s="32" t="inlineStr">
        <is>
          <t>Corporation</t>
        </is>
      </c>
    </row>
    <row r="49" ht="15" customHeight="1" s="24">
      <c r="A49" s="32" t="inlineStr">
        <is>
          <t>P044</t>
        </is>
      </c>
      <c r="B49" s="32" t="inlineStr">
        <is>
          <t>Primary</t>
        </is>
      </c>
      <c r="C49" s="32" t="inlineStr">
        <is>
          <t>C-10</t>
        </is>
      </c>
      <c r="D49" s="32" t="inlineStr">
        <is>
          <t>1060680</t>
        </is>
      </c>
      <c r="E49" s="32" t="n"/>
      <c r="F49" s="32" t="inlineStr">
        <is>
          <t>NEWPORT BEACH</t>
        </is>
      </c>
      <c r="G49" s="32" t="inlineStr">
        <is>
          <t>92660</t>
        </is>
      </c>
      <c r="H49" s="32" t="n"/>
      <c r="I49" s="33" t="inlineStr">
        <is>
          <t>Not started</t>
        </is>
      </c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4">
        <f>IF(I49="Done",1,0)</f>
        <v/>
      </c>
      <c r="W49" s="34">
        <f>IF(V49=1,IF(OR(P49="Y",L49="Y"),1,0),"")</f>
        <v/>
      </c>
      <c r="X49" s="34">
        <f>IF(V49=1,IF(OR(P49="Y",L49="Y",M49="Y"),1,0),"")</f>
        <v/>
      </c>
      <c r="Y49" s="34">
        <f>IF(V49=1,IF(OR(P49="Y",S49="Y"),1,0),"")</f>
        <v/>
      </c>
      <c r="Z49" s="32" t="inlineStr">
        <is>
          <t>Corporation</t>
        </is>
      </c>
    </row>
    <row r="50" ht="15" customHeight="1" s="24">
      <c r="A50" s="32" t="inlineStr">
        <is>
          <t>P045</t>
        </is>
      </c>
      <c r="B50" s="32" t="inlineStr">
        <is>
          <t>Primary</t>
        </is>
      </c>
      <c r="C50" s="32" t="inlineStr">
        <is>
          <t>C-36</t>
        </is>
      </c>
      <c r="D50" s="32" t="inlineStr">
        <is>
          <t>1099035</t>
        </is>
      </c>
      <c r="E50" s="32" t="n"/>
      <c r="F50" s="32" t="inlineStr">
        <is>
          <t>CONCORD</t>
        </is>
      </c>
      <c r="G50" s="32" t="inlineStr">
        <is>
          <t>94518</t>
        </is>
      </c>
      <c r="H50" s="32" t="n"/>
      <c r="I50" s="33" t="inlineStr">
        <is>
          <t>Not started</t>
        </is>
      </c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4">
        <f>IF(I50="Done",1,0)</f>
        <v/>
      </c>
      <c r="W50" s="34">
        <f>IF(V50=1,IF(OR(P50="Y",L50="Y"),1,0),"")</f>
        <v/>
      </c>
      <c r="X50" s="34">
        <f>IF(V50=1,IF(OR(P50="Y",L50="Y",M50="Y"),1,0),"")</f>
        <v/>
      </c>
      <c r="Y50" s="34">
        <f>IF(V50=1,IF(OR(P50="Y",S50="Y"),1,0),"")</f>
        <v/>
      </c>
      <c r="Z50" s="32" t="inlineStr">
        <is>
          <t>Corporation</t>
        </is>
      </c>
    </row>
    <row r="51" ht="15" customHeight="1" s="24">
      <c r="A51" s="32" t="inlineStr">
        <is>
          <t>P046</t>
        </is>
      </c>
      <c r="B51" s="32" t="inlineStr">
        <is>
          <t>Primary</t>
        </is>
      </c>
      <c r="C51" s="32" t="inlineStr">
        <is>
          <t>C-36</t>
        </is>
      </c>
      <c r="D51" s="32" t="inlineStr">
        <is>
          <t>938467</t>
        </is>
      </c>
      <c r="E51" s="32" t="n"/>
      <c r="F51" s="32" t="inlineStr">
        <is>
          <t>VALLEY VILLAGE</t>
        </is>
      </c>
      <c r="G51" s="32" t="inlineStr">
        <is>
          <t>91607</t>
        </is>
      </c>
      <c r="H51" s="32" t="n"/>
      <c r="I51" s="33" t="inlineStr">
        <is>
          <t>Not started</t>
        </is>
      </c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4">
        <f>IF(I51="Done",1,0)</f>
        <v/>
      </c>
      <c r="W51" s="34">
        <f>IF(V51=1,IF(OR(P51="Y",L51="Y"),1,0),"")</f>
        <v/>
      </c>
      <c r="X51" s="34">
        <f>IF(V51=1,IF(OR(P51="Y",L51="Y",M51="Y"),1,0),"")</f>
        <v/>
      </c>
      <c r="Y51" s="34">
        <f>IF(V51=1,IF(OR(P51="Y",S51="Y"),1,0),"")</f>
        <v/>
      </c>
      <c r="Z51" s="32" t="inlineStr">
        <is>
          <t>Corporation</t>
        </is>
      </c>
    </row>
    <row r="52" ht="15" customHeight="1" s="24">
      <c r="A52" s="32" t="inlineStr">
        <is>
          <t>P047</t>
        </is>
      </c>
      <c r="B52" s="32" t="inlineStr">
        <is>
          <t>Primary</t>
        </is>
      </c>
      <c r="C52" s="32" t="inlineStr">
        <is>
          <t>C-10</t>
        </is>
      </c>
      <c r="D52" s="32" t="inlineStr">
        <is>
          <t>995446</t>
        </is>
      </c>
      <c r="E52" s="32" t="n"/>
      <c r="F52" s="32" t="inlineStr">
        <is>
          <t>ORANGEVALE</t>
        </is>
      </c>
      <c r="G52" s="32" t="inlineStr">
        <is>
          <t>95662</t>
        </is>
      </c>
      <c r="H52" s="32" t="n"/>
      <c r="I52" s="33" t="inlineStr">
        <is>
          <t>Not started</t>
        </is>
      </c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4">
        <f>IF(I52="Done",1,0)</f>
        <v/>
      </c>
      <c r="W52" s="34">
        <f>IF(V52=1,IF(OR(P52="Y",L52="Y"),1,0),"")</f>
        <v/>
      </c>
      <c r="X52" s="34">
        <f>IF(V52=1,IF(OR(P52="Y",L52="Y",M52="Y"),1,0),"")</f>
        <v/>
      </c>
      <c r="Y52" s="34">
        <f>IF(V52=1,IF(OR(P52="Y",S52="Y"),1,0),"")</f>
        <v/>
      </c>
      <c r="Z52" s="32" t="inlineStr">
        <is>
          <t>Sole Owner</t>
        </is>
      </c>
    </row>
    <row r="53" ht="15" customHeight="1" s="24">
      <c r="A53" s="32" t="inlineStr">
        <is>
          <t>P048</t>
        </is>
      </c>
      <c r="B53" s="32" t="inlineStr">
        <is>
          <t>Primary</t>
        </is>
      </c>
      <c r="C53" s="32" t="inlineStr">
        <is>
          <t>C-36</t>
        </is>
      </c>
      <c r="D53" s="32" t="inlineStr">
        <is>
          <t>758457</t>
        </is>
      </c>
      <c r="E53" s="32" t="n"/>
      <c r="F53" s="32" t="inlineStr">
        <is>
          <t>MONTEBELLO</t>
        </is>
      </c>
      <c r="G53" s="32" t="inlineStr">
        <is>
          <t>90640</t>
        </is>
      </c>
      <c r="H53" s="32" t="n"/>
      <c r="I53" s="33" t="inlineStr">
        <is>
          <t>Not started</t>
        </is>
      </c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4">
        <f>IF(I53="Done",1,0)</f>
        <v/>
      </c>
      <c r="W53" s="34">
        <f>IF(V53=1,IF(OR(P53="Y",L53="Y"),1,0),"")</f>
        <v/>
      </c>
      <c r="X53" s="34">
        <f>IF(V53=1,IF(OR(P53="Y",L53="Y",M53="Y"),1,0),"")</f>
        <v/>
      </c>
      <c r="Y53" s="34">
        <f>IF(V53=1,IF(OR(P53="Y",S53="Y"),1,0),"")</f>
        <v/>
      </c>
      <c r="Z53" s="32" t="inlineStr">
        <is>
          <t>Limited Liability</t>
        </is>
      </c>
    </row>
    <row r="54" ht="15" customHeight="1" s="24">
      <c r="A54" s="32" t="inlineStr">
        <is>
          <t>P049</t>
        </is>
      </c>
      <c r="B54" s="32" t="inlineStr">
        <is>
          <t>Primary</t>
        </is>
      </c>
      <c r="C54" s="32" t="inlineStr">
        <is>
          <t>C-20</t>
        </is>
      </c>
      <c r="D54" s="32" t="inlineStr">
        <is>
          <t>1046825</t>
        </is>
      </c>
      <c r="E54" s="32" t="n"/>
      <c r="F54" s="32" t="inlineStr">
        <is>
          <t>BRENTWOOD</t>
        </is>
      </c>
      <c r="G54" s="32" t="inlineStr">
        <is>
          <t>94513</t>
        </is>
      </c>
      <c r="H54" s="32" t="n"/>
      <c r="I54" s="33" t="inlineStr">
        <is>
          <t>Not started</t>
        </is>
      </c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4">
        <f>IF(I54="Done",1,0)</f>
        <v/>
      </c>
      <c r="W54" s="34">
        <f>IF(V54=1,IF(OR(P54="Y",L54="Y"),1,0),"")</f>
        <v/>
      </c>
      <c r="X54" s="34">
        <f>IF(V54=1,IF(OR(P54="Y",L54="Y",M54="Y"),1,0),"")</f>
        <v/>
      </c>
      <c r="Y54" s="34">
        <f>IF(V54=1,IF(OR(P54="Y",S54="Y"),1,0),"")</f>
        <v/>
      </c>
      <c r="Z54" s="32" t="inlineStr">
        <is>
          <t>Corporation</t>
        </is>
      </c>
    </row>
    <row r="55" ht="15" customHeight="1" s="24">
      <c r="A55" s="32" t="inlineStr">
        <is>
          <t>P050</t>
        </is>
      </c>
      <c r="B55" s="32" t="inlineStr">
        <is>
          <t>Primary</t>
        </is>
      </c>
      <c r="C55" s="32" t="inlineStr">
        <is>
          <t>C-36</t>
        </is>
      </c>
      <c r="D55" s="32" t="inlineStr">
        <is>
          <t>433488</t>
        </is>
      </c>
      <c r="E55" s="32" t="n"/>
      <c r="F55" s="32" t="inlineStr">
        <is>
          <t>SAN RAFAEL</t>
        </is>
      </c>
      <c r="G55" s="32" t="inlineStr">
        <is>
          <t>94901</t>
        </is>
      </c>
      <c r="H55" s="32" t="n"/>
      <c r="I55" s="33" t="inlineStr">
        <is>
          <t>Not started</t>
        </is>
      </c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4">
        <f>IF(I55="Done",1,0)</f>
        <v/>
      </c>
      <c r="W55" s="34">
        <f>IF(V55=1,IF(OR(P55="Y",L55="Y"),1,0),"")</f>
        <v/>
      </c>
      <c r="X55" s="34">
        <f>IF(V55=1,IF(OR(P55="Y",L55="Y",M55="Y"),1,0),"")</f>
        <v/>
      </c>
      <c r="Y55" s="34">
        <f>IF(V55=1,IF(OR(P55="Y",S55="Y"),1,0),"")</f>
        <v/>
      </c>
      <c r="Z55" s="32" t="inlineStr">
        <is>
          <t>Sole Owner</t>
        </is>
      </c>
    </row>
    <row r="56" ht="15" customHeight="1" s="24">
      <c r="A56" s="32" t="inlineStr">
        <is>
          <t>P051</t>
        </is>
      </c>
      <c r="B56" s="32" t="inlineStr">
        <is>
          <t>Primary</t>
        </is>
      </c>
      <c r="C56" s="32" t="inlineStr">
        <is>
          <t>C-36</t>
        </is>
      </c>
      <c r="D56" s="32" t="inlineStr">
        <is>
          <t>961915</t>
        </is>
      </c>
      <c r="E56" s="32" t="n"/>
      <c r="F56" s="32" t="inlineStr">
        <is>
          <t>SAN LEANDRO</t>
        </is>
      </c>
      <c r="G56" s="32" t="inlineStr">
        <is>
          <t>94578</t>
        </is>
      </c>
      <c r="H56" s="32" t="n"/>
      <c r="I56" s="33" t="inlineStr">
        <is>
          <t>Not started</t>
        </is>
      </c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4">
        <f>IF(I56="Done",1,0)</f>
        <v/>
      </c>
      <c r="W56" s="34">
        <f>IF(V56=1,IF(OR(P56="Y",L56="Y"),1,0),"")</f>
        <v/>
      </c>
      <c r="X56" s="34">
        <f>IF(V56=1,IF(OR(P56="Y",L56="Y",M56="Y"),1,0),"")</f>
        <v/>
      </c>
      <c r="Y56" s="34">
        <f>IF(V56=1,IF(OR(P56="Y",S56="Y"),1,0),"")</f>
        <v/>
      </c>
      <c r="Z56" s="32" t="inlineStr">
        <is>
          <t>Sole Owner</t>
        </is>
      </c>
    </row>
    <row r="57" ht="15" customHeight="1" s="24">
      <c r="A57" s="32" t="inlineStr">
        <is>
          <t>P052</t>
        </is>
      </c>
      <c r="B57" s="32" t="inlineStr">
        <is>
          <t>Primary</t>
        </is>
      </c>
      <c r="C57" s="32" t="inlineStr">
        <is>
          <t>C-10</t>
        </is>
      </c>
      <c r="D57" s="32" t="inlineStr">
        <is>
          <t>566993</t>
        </is>
      </c>
      <c r="E57" s="32" t="n"/>
      <c r="F57" s="32" t="inlineStr">
        <is>
          <t>HAYWARD</t>
        </is>
      </c>
      <c r="G57" s="32" t="inlineStr">
        <is>
          <t>94544</t>
        </is>
      </c>
      <c r="H57" s="32" t="n"/>
      <c r="I57" s="33" t="inlineStr">
        <is>
          <t>Not started</t>
        </is>
      </c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4">
        <f>IF(I57="Done",1,0)</f>
        <v/>
      </c>
      <c r="W57" s="34">
        <f>IF(V57=1,IF(OR(P57="Y",L57="Y"),1,0),"")</f>
        <v/>
      </c>
      <c r="X57" s="34">
        <f>IF(V57=1,IF(OR(P57="Y",L57="Y",M57="Y"),1,0),"")</f>
        <v/>
      </c>
      <c r="Y57" s="34">
        <f>IF(V57=1,IF(OR(P57="Y",S57="Y"),1,0),"")</f>
        <v/>
      </c>
      <c r="Z57" s="32" t="inlineStr">
        <is>
          <t>Corporation</t>
        </is>
      </c>
    </row>
    <row r="58" ht="15" customHeight="1" s="24">
      <c r="A58" s="32" t="inlineStr">
        <is>
          <t>P053</t>
        </is>
      </c>
      <c r="B58" s="32" t="inlineStr">
        <is>
          <t>Primary</t>
        </is>
      </c>
      <c r="C58" s="32" t="inlineStr">
        <is>
          <t>C-10</t>
        </is>
      </c>
      <c r="D58" s="32" t="inlineStr">
        <is>
          <t>935835</t>
        </is>
      </c>
      <c r="E58" s="32" t="n"/>
      <c r="F58" s="32" t="inlineStr">
        <is>
          <t>CONCORD</t>
        </is>
      </c>
      <c r="G58" s="32" t="inlineStr">
        <is>
          <t>94518</t>
        </is>
      </c>
      <c r="H58" s="32" t="n"/>
      <c r="I58" s="33" t="inlineStr">
        <is>
          <t>Not started</t>
        </is>
      </c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4">
        <f>IF(I58="Done",1,0)</f>
        <v/>
      </c>
      <c r="W58" s="34">
        <f>IF(V58=1,IF(OR(P58="Y",L58="Y"),1,0),"")</f>
        <v/>
      </c>
      <c r="X58" s="34">
        <f>IF(V58=1,IF(OR(P58="Y",L58="Y",M58="Y"),1,0),"")</f>
        <v/>
      </c>
      <c r="Y58" s="34">
        <f>IF(V58=1,IF(OR(P58="Y",S58="Y"),1,0),"")</f>
        <v/>
      </c>
      <c r="Z58" s="32" t="inlineStr">
        <is>
          <t>Corporation</t>
        </is>
      </c>
    </row>
    <row r="59" ht="15" customHeight="1" s="24">
      <c r="A59" s="32" t="inlineStr">
        <is>
          <t>P054</t>
        </is>
      </c>
      <c r="B59" s="32" t="inlineStr">
        <is>
          <t>Primary</t>
        </is>
      </c>
      <c r="C59" s="32" t="inlineStr">
        <is>
          <t>C-36</t>
        </is>
      </c>
      <c r="D59" s="32" t="inlineStr">
        <is>
          <t>1153111</t>
        </is>
      </c>
      <c r="E59" s="32" t="n"/>
      <c r="F59" s="32" t="inlineStr">
        <is>
          <t>WINNETKA</t>
        </is>
      </c>
      <c r="G59" s="32" t="inlineStr">
        <is>
          <t>91306</t>
        </is>
      </c>
      <c r="H59" s="32" t="n"/>
      <c r="I59" s="33" t="inlineStr">
        <is>
          <t>Not started</t>
        </is>
      </c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4">
        <f>IF(I59="Done",1,0)</f>
        <v/>
      </c>
      <c r="W59" s="34">
        <f>IF(V59=1,IF(OR(P59="Y",L59="Y"),1,0),"")</f>
        <v/>
      </c>
      <c r="X59" s="34">
        <f>IF(V59=1,IF(OR(P59="Y",L59="Y",M59="Y"),1,0),"")</f>
        <v/>
      </c>
      <c r="Y59" s="34">
        <f>IF(V59=1,IF(OR(P59="Y",S59="Y"),1,0),"")</f>
        <v/>
      </c>
      <c r="Z59" s="32" t="inlineStr">
        <is>
          <t>Corporation</t>
        </is>
      </c>
    </row>
    <row r="60" ht="15" customHeight="1" s="24">
      <c r="A60" s="32" t="inlineStr">
        <is>
          <t>P055</t>
        </is>
      </c>
      <c r="B60" s="32" t="inlineStr">
        <is>
          <t>Primary</t>
        </is>
      </c>
      <c r="C60" s="32" t="inlineStr">
        <is>
          <t>C-36</t>
        </is>
      </c>
      <c r="D60" s="32" t="inlineStr">
        <is>
          <t>1141717</t>
        </is>
      </c>
      <c r="E60" s="32" t="n"/>
      <c r="F60" s="32" t="inlineStr">
        <is>
          <t>SAN DIEGO</t>
        </is>
      </c>
      <c r="G60" s="32" t="inlineStr">
        <is>
          <t>92169</t>
        </is>
      </c>
      <c r="H60" s="32" t="n"/>
      <c r="I60" s="33" t="inlineStr">
        <is>
          <t>Not started</t>
        </is>
      </c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4">
        <f>IF(I60="Done",1,0)</f>
        <v/>
      </c>
      <c r="W60" s="34">
        <f>IF(V60=1,IF(OR(P60="Y",L60="Y"),1,0),"")</f>
        <v/>
      </c>
      <c r="X60" s="34">
        <f>IF(V60=1,IF(OR(P60="Y",L60="Y",M60="Y"),1,0),"")</f>
        <v/>
      </c>
      <c r="Y60" s="34">
        <f>IF(V60=1,IF(OR(P60="Y",S60="Y"),1,0),"")</f>
        <v/>
      </c>
      <c r="Z60" s="32" t="inlineStr">
        <is>
          <t>Corporation</t>
        </is>
      </c>
    </row>
    <row r="61" ht="15" customHeight="1" s="24">
      <c r="A61" s="32" t="inlineStr">
        <is>
          <t>P056</t>
        </is>
      </c>
      <c r="B61" s="32" t="inlineStr">
        <is>
          <t>Primary</t>
        </is>
      </c>
      <c r="C61" s="32" t="inlineStr">
        <is>
          <t>C-20</t>
        </is>
      </c>
      <c r="D61" s="32" t="inlineStr">
        <is>
          <t>1079386</t>
        </is>
      </c>
      <c r="E61" s="32" t="n"/>
      <c r="F61" s="32" t="inlineStr">
        <is>
          <t>SUNNYVALE</t>
        </is>
      </c>
      <c r="G61" s="32" t="inlineStr">
        <is>
          <t>94086</t>
        </is>
      </c>
      <c r="H61" s="32" t="n"/>
      <c r="I61" s="33" t="inlineStr">
        <is>
          <t>Not started</t>
        </is>
      </c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4">
        <f>IF(I61="Done",1,0)</f>
        <v/>
      </c>
      <c r="W61" s="34">
        <f>IF(V61=1,IF(OR(P61="Y",L61="Y"),1,0),"")</f>
        <v/>
      </c>
      <c r="X61" s="34">
        <f>IF(V61=1,IF(OR(P61="Y",L61="Y",M61="Y"),1,0),"")</f>
        <v/>
      </c>
      <c r="Y61" s="34">
        <f>IF(V61=1,IF(OR(P61="Y",S61="Y"),1,0),"")</f>
        <v/>
      </c>
      <c r="Z61" s="32" t="inlineStr">
        <is>
          <t>Corporation</t>
        </is>
      </c>
    </row>
    <row r="62" ht="15" customHeight="1" s="24">
      <c r="A62" s="32" t="inlineStr">
        <is>
          <t>P057</t>
        </is>
      </c>
      <c r="B62" s="32" t="inlineStr">
        <is>
          <t>Primary</t>
        </is>
      </c>
      <c r="C62" s="32" t="inlineStr">
        <is>
          <t>C-20</t>
        </is>
      </c>
      <c r="D62" s="32" t="inlineStr">
        <is>
          <t>1141815</t>
        </is>
      </c>
      <c r="E62" s="32" t="n"/>
      <c r="F62" s="32" t="inlineStr">
        <is>
          <t>APPLE VALLEY</t>
        </is>
      </c>
      <c r="G62" s="32" t="inlineStr">
        <is>
          <t>92307</t>
        </is>
      </c>
      <c r="H62" s="32" t="n"/>
      <c r="I62" s="33" t="inlineStr">
        <is>
          <t>Not started</t>
        </is>
      </c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4">
        <f>IF(I62="Done",1,0)</f>
        <v/>
      </c>
      <c r="W62" s="34">
        <f>IF(V62=1,IF(OR(P62="Y",L62="Y"),1,0),"")</f>
        <v/>
      </c>
      <c r="X62" s="34">
        <f>IF(V62=1,IF(OR(P62="Y",L62="Y",M62="Y"),1,0),"")</f>
        <v/>
      </c>
      <c r="Y62" s="34">
        <f>IF(V62=1,IF(OR(P62="Y",S62="Y"),1,0),"")</f>
        <v/>
      </c>
      <c r="Z62" s="32" t="inlineStr">
        <is>
          <t>Corporation</t>
        </is>
      </c>
    </row>
    <row r="63" ht="15" customHeight="1" s="24">
      <c r="A63" s="32" t="inlineStr">
        <is>
          <t>P058</t>
        </is>
      </c>
      <c r="B63" s="32" t="inlineStr">
        <is>
          <t>Primary</t>
        </is>
      </c>
      <c r="C63" s="32" t="inlineStr">
        <is>
          <t>C-36</t>
        </is>
      </c>
      <c r="D63" s="32" t="inlineStr">
        <is>
          <t>996627</t>
        </is>
      </c>
      <c r="E63" s="32" t="n"/>
      <c r="F63" s="32" t="inlineStr">
        <is>
          <t>SAN FRANCISCO</t>
        </is>
      </c>
      <c r="G63" s="32" t="inlineStr">
        <is>
          <t>94110</t>
        </is>
      </c>
      <c r="H63" s="32" t="n"/>
      <c r="I63" s="33" t="inlineStr">
        <is>
          <t>Not started</t>
        </is>
      </c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4">
        <f>IF(I63="Done",1,0)</f>
        <v/>
      </c>
      <c r="W63" s="34">
        <f>IF(V63=1,IF(OR(P63="Y",L63="Y"),1,0),"")</f>
        <v/>
      </c>
      <c r="X63" s="34">
        <f>IF(V63=1,IF(OR(P63="Y",L63="Y",M63="Y"),1,0),"")</f>
        <v/>
      </c>
      <c r="Y63" s="34">
        <f>IF(V63=1,IF(OR(P63="Y",S63="Y"),1,0),"")</f>
        <v/>
      </c>
      <c r="Z63" s="32" t="inlineStr">
        <is>
          <t>Corporation</t>
        </is>
      </c>
    </row>
    <row r="64" ht="15" customHeight="1" s="24">
      <c r="A64" s="32" t="inlineStr">
        <is>
          <t>P059</t>
        </is>
      </c>
      <c r="B64" s="32" t="inlineStr">
        <is>
          <t>Primary</t>
        </is>
      </c>
      <c r="C64" s="32" t="inlineStr">
        <is>
          <t>C-20</t>
        </is>
      </c>
      <c r="D64" s="32" t="inlineStr">
        <is>
          <t>1054398</t>
        </is>
      </c>
      <c r="E64" s="32" t="n"/>
      <c r="F64" s="32" t="inlineStr">
        <is>
          <t>POWAY</t>
        </is>
      </c>
      <c r="G64" s="32" t="inlineStr">
        <is>
          <t>92064</t>
        </is>
      </c>
      <c r="H64" s="32" t="n"/>
      <c r="I64" s="33" t="inlineStr">
        <is>
          <t>Not started</t>
        </is>
      </c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4">
        <f>IF(I64="Done",1,0)</f>
        <v/>
      </c>
      <c r="W64" s="34">
        <f>IF(V64=1,IF(OR(P64="Y",L64="Y"),1,0),"")</f>
        <v/>
      </c>
      <c r="X64" s="34">
        <f>IF(V64=1,IF(OR(P64="Y",L64="Y",M64="Y"),1,0),"")</f>
        <v/>
      </c>
      <c r="Y64" s="34">
        <f>IF(V64=1,IF(OR(P64="Y",S64="Y"),1,0),"")</f>
        <v/>
      </c>
      <c r="Z64" s="32" t="inlineStr">
        <is>
          <t>Corporation</t>
        </is>
      </c>
    </row>
    <row r="65" ht="15" customHeight="1" s="24">
      <c r="A65" s="32" t="inlineStr">
        <is>
          <t>P060</t>
        </is>
      </c>
      <c r="B65" s="32" t="inlineStr">
        <is>
          <t>Primary</t>
        </is>
      </c>
      <c r="C65" s="32" t="inlineStr">
        <is>
          <t>C-20</t>
        </is>
      </c>
      <c r="D65" s="32" t="inlineStr">
        <is>
          <t>1149269</t>
        </is>
      </c>
      <c r="E65" s="32" t="n"/>
      <c r="F65" s="32" t="inlineStr">
        <is>
          <t>HUNTINGTON PARK</t>
        </is>
      </c>
      <c r="G65" s="32" t="inlineStr">
        <is>
          <t>90255</t>
        </is>
      </c>
      <c r="H65" s="32" t="n"/>
      <c r="I65" s="33" t="inlineStr">
        <is>
          <t>Not started</t>
        </is>
      </c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4">
        <f>IF(I65="Done",1,0)</f>
        <v/>
      </c>
      <c r="W65" s="34">
        <f>IF(V65=1,IF(OR(P65="Y",L65="Y"),1,0),"")</f>
        <v/>
      </c>
      <c r="X65" s="34">
        <f>IF(V65=1,IF(OR(P65="Y",L65="Y",M65="Y"),1,0),"")</f>
        <v/>
      </c>
      <c r="Y65" s="34">
        <f>IF(V65=1,IF(OR(P65="Y",S65="Y"),1,0),"")</f>
        <v/>
      </c>
      <c r="Z65" s="32" t="inlineStr">
        <is>
          <t>Sole Owner</t>
        </is>
      </c>
    </row>
    <row r="66" ht="15" customHeight="1" s="24">
      <c r="A66" s="32" t="inlineStr">
        <is>
          <t>P061</t>
        </is>
      </c>
      <c r="B66" s="32" t="inlineStr">
        <is>
          <t>Primary</t>
        </is>
      </c>
      <c r="C66" s="32" t="inlineStr">
        <is>
          <t>C-20</t>
        </is>
      </c>
      <c r="D66" s="32" t="inlineStr">
        <is>
          <t>813172</t>
        </is>
      </c>
      <c r="E66" s="32" t="n"/>
      <c r="F66" s="32" t="inlineStr">
        <is>
          <t>LIVERMORE</t>
        </is>
      </c>
      <c r="G66" s="32" t="inlineStr">
        <is>
          <t>94550</t>
        </is>
      </c>
      <c r="H66" s="32" t="n"/>
      <c r="I66" s="33" t="inlineStr">
        <is>
          <t>Not started</t>
        </is>
      </c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4">
        <f>IF(I66="Done",1,0)</f>
        <v/>
      </c>
      <c r="W66" s="34">
        <f>IF(V66=1,IF(OR(P66="Y",L66="Y"),1,0),"")</f>
        <v/>
      </c>
      <c r="X66" s="34">
        <f>IF(V66=1,IF(OR(P66="Y",L66="Y",M66="Y"),1,0),"")</f>
        <v/>
      </c>
      <c r="Y66" s="34">
        <f>IF(V66=1,IF(OR(P66="Y",S66="Y"),1,0),"")</f>
        <v/>
      </c>
      <c r="Z66" s="32" t="inlineStr">
        <is>
          <t>Corporation</t>
        </is>
      </c>
    </row>
    <row r="67" ht="15" customHeight="1" s="24">
      <c r="A67" s="32" t="inlineStr">
        <is>
          <t>P062</t>
        </is>
      </c>
      <c r="B67" s="32" t="inlineStr">
        <is>
          <t>Primary</t>
        </is>
      </c>
      <c r="C67" s="32" t="inlineStr">
        <is>
          <t>C-20</t>
        </is>
      </c>
      <c r="D67" s="32" t="inlineStr">
        <is>
          <t>955976</t>
        </is>
      </c>
      <c r="E67" s="32" t="n"/>
      <c r="F67" s="32" t="inlineStr">
        <is>
          <t>FREMONT</t>
        </is>
      </c>
      <c r="G67" s="32" t="inlineStr">
        <is>
          <t>94538</t>
        </is>
      </c>
      <c r="H67" s="32" t="n"/>
      <c r="I67" s="33" t="inlineStr">
        <is>
          <t>Not started</t>
        </is>
      </c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4">
        <f>IF(I67="Done",1,0)</f>
        <v/>
      </c>
      <c r="W67" s="34">
        <f>IF(V67=1,IF(OR(P67="Y",L67="Y"),1,0),"")</f>
        <v/>
      </c>
      <c r="X67" s="34">
        <f>IF(V67=1,IF(OR(P67="Y",L67="Y",M67="Y"),1,0),"")</f>
        <v/>
      </c>
      <c r="Y67" s="34">
        <f>IF(V67=1,IF(OR(P67="Y",S67="Y"),1,0),"")</f>
        <v/>
      </c>
      <c r="Z67" s="32" t="inlineStr">
        <is>
          <t>Corporation</t>
        </is>
      </c>
    </row>
    <row r="68" ht="15" customHeight="1" s="24">
      <c r="A68" s="32" t="inlineStr">
        <is>
          <t>P063</t>
        </is>
      </c>
      <c r="B68" s="32" t="inlineStr">
        <is>
          <t>Primary</t>
        </is>
      </c>
      <c r="C68" s="32" t="inlineStr">
        <is>
          <t>C-20</t>
        </is>
      </c>
      <c r="D68" s="32" t="inlineStr">
        <is>
          <t>847047</t>
        </is>
      </c>
      <c r="E68" s="32" t="n"/>
      <c r="F68" s="32" t="inlineStr">
        <is>
          <t>OROVILLE</t>
        </is>
      </c>
      <c r="G68" s="32" t="inlineStr">
        <is>
          <t>95965</t>
        </is>
      </c>
      <c r="H68" s="32" t="n"/>
      <c r="I68" s="33" t="inlineStr">
        <is>
          <t>Not started</t>
        </is>
      </c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4">
        <f>IF(I68="Done",1,0)</f>
        <v/>
      </c>
      <c r="W68" s="34">
        <f>IF(V68=1,IF(OR(P68="Y",L68="Y"),1,0),"")</f>
        <v/>
      </c>
      <c r="X68" s="34">
        <f>IF(V68=1,IF(OR(P68="Y",L68="Y",M68="Y"),1,0),"")</f>
        <v/>
      </c>
      <c r="Y68" s="34">
        <f>IF(V68=1,IF(OR(P68="Y",S68="Y"),1,0),"")</f>
        <v/>
      </c>
      <c r="Z68" s="32" t="inlineStr">
        <is>
          <t>Sole Owner</t>
        </is>
      </c>
    </row>
    <row r="69" ht="15" customHeight="1" s="24">
      <c r="A69" s="32" t="inlineStr">
        <is>
          <t>P064</t>
        </is>
      </c>
      <c r="B69" s="32" t="inlineStr">
        <is>
          <t>Primary</t>
        </is>
      </c>
      <c r="C69" s="32" t="inlineStr">
        <is>
          <t>C-36</t>
        </is>
      </c>
      <c r="D69" s="32" t="inlineStr">
        <is>
          <t>957611</t>
        </is>
      </c>
      <c r="E69" s="32" t="n"/>
      <c r="F69" s="32" t="inlineStr">
        <is>
          <t>PLACENTIA</t>
        </is>
      </c>
      <c r="G69" s="32" t="inlineStr">
        <is>
          <t>92870</t>
        </is>
      </c>
      <c r="H69" s="32" t="n"/>
      <c r="I69" s="33" t="inlineStr">
        <is>
          <t>Not started</t>
        </is>
      </c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4">
        <f>IF(I69="Done",1,0)</f>
        <v/>
      </c>
      <c r="W69" s="34">
        <f>IF(V69=1,IF(OR(P69="Y",L69="Y"),1,0),"")</f>
        <v/>
      </c>
      <c r="X69" s="34">
        <f>IF(V69=1,IF(OR(P69="Y",L69="Y",M69="Y"),1,0),"")</f>
        <v/>
      </c>
      <c r="Y69" s="34">
        <f>IF(V69=1,IF(OR(P69="Y",S69="Y"),1,0),"")</f>
        <v/>
      </c>
      <c r="Z69" s="32" t="inlineStr">
        <is>
          <t>Sole Owner</t>
        </is>
      </c>
    </row>
    <row r="70" ht="15" customHeight="1" s="24">
      <c r="A70" s="32" t="inlineStr">
        <is>
          <t>P065</t>
        </is>
      </c>
      <c r="B70" s="32" t="inlineStr">
        <is>
          <t>Primary</t>
        </is>
      </c>
      <c r="C70" s="32" t="inlineStr">
        <is>
          <t>C-36</t>
        </is>
      </c>
      <c r="D70" s="32" t="inlineStr">
        <is>
          <t>954064</t>
        </is>
      </c>
      <c r="E70" s="32" t="n"/>
      <c r="F70" s="32" t="inlineStr">
        <is>
          <t>GLENDALE</t>
        </is>
      </c>
      <c r="G70" s="32" t="inlineStr">
        <is>
          <t>91205</t>
        </is>
      </c>
      <c r="H70" s="32" t="n"/>
      <c r="I70" s="33" t="inlineStr">
        <is>
          <t>Not started</t>
        </is>
      </c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4">
        <f>IF(I70="Done",1,0)</f>
        <v/>
      </c>
      <c r="W70" s="34">
        <f>IF(V70=1,IF(OR(P70="Y",L70="Y"),1,0),"")</f>
        <v/>
      </c>
      <c r="X70" s="34">
        <f>IF(V70=1,IF(OR(P70="Y",L70="Y",M70="Y"),1,0),"")</f>
        <v/>
      </c>
      <c r="Y70" s="34">
        <f>IF(V70=1,IF(OR(P70="Y",S70="Y"),1,0),"")</f>
        <v/>
      </c>
      <c r="Z70" s="32" t="inlineStr">
        <is>
          <t>Corporation</t>
        </is>
      </c>
    </row>
    <row r="71" ht="15" customHeight="1" s="24">
      <c r="A71" s="32" t="inlineStr">
        <is>
          <t>P066</t>
        </is>
      </c>
      <c r="B71" s="32" t="inlineStr">
        <is>
          <t>Primary</t>
        </is>
      </c>
      <c r="C71" s="32" t="inlineStr">
        <is>
          <t>C-10</t>
        </is>
      </c>
      <c r="D71" s="32" t="inlineStr">
        <is>
          <t>966884</t>
        </is>
      </c>
      <c r="E71" s="32" t="n"/>
      <c r="F71" s="32" t="inlineStr">
        <is>
          <t>UPLAND</t>
        </is>
      </c>
      <c r="G71" s="32" t="inlineStr">
        <is>
          <t>91784</t>
        </is>
      </c>
      <c r="H71" s="32" t="n"/>
      <c r="I71" s="33" t="inlineStr">
        <is>
          <t>Not started</t>
        </is>
      </c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4">
        <f>IF(I71="Done",1,0)</f>
        <v/>
      </c>
      <c r="W71" s="34">
        <f>IF(V71=1,IF(OR(P71="Y",L71="Y"),1,0),"")</f>
        <v/>
      </c>
      <c r="X71" s="34">
        <f>IF(V71=1,IF(OR(P71="Y",L71="Y",M71="Y"),1,0),"")</f>
        <v/>
      </c>
      <c r="Y71" s="34">
        <f>IF(V71=1,IF(OR(P71="Y",S71="Y"),1,0),"")</f>
        <v/>
      </c>
      <c r="Z71" s="32" t="inlineStr">
        <is>
          <t>Sole Owner</t>
        </is>
      </c>
    </row>
    <row r="72" ht="15" customHeight="1" s="24">
      <c r="A72" s="32" t="inlineStr">
        <is>
          <t>P067</t>
        </is>
      </c>
      <c r="B72" s="32" t="inlineStr">
        <is>
          <t>Primary</t>
        </is>
      </c>
      <c r="C72" s="32" t="inlineStr">
        <is>
          <t>C-20</t>
        </is>
      </c>
      <c r="D72" s="32" t="inlineStr">
        <is>
          <t>711045</t>
        </is>
      </c>
      <c r="E72" s="32" t="n"/>
      <c r="F72" s="32" t="inlineStr">
        <is>
          <t>SAN JOSE</t>
        </is>
      </c>
      <c r="G72" s="32" t="inlineStr">
        <is>
          <t>95161</t>
        </is>
      </c>
      <c r="H72" s="32" t="n"/>
      <c r="I72" s="33" t="inlineStr">
        <is>
          <t>Not started</t>
        </is>
      </c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4">
        <f>IF(I72="Done",1,0)</f>
        <v/>
      </c>
      <c r="W72" s="34">
        <f>IF(V72=1,IF(OR(P72="Y",L72="Y"),1,0),"")</f>
        <v/>
      </c>
      <c r="X72" s="34">
        <f>IF(V72=1,IF(OR(P72="Y",L72="Y",M72="Y"),1,0),"")</f>
        <v/>
      </c>
      <c r="Y72" s="34">
        <f>IF(V72=1,IF(OR(P72="Y",S72="Y"),1,0),"")</f>
        <v/>
      </c>
      <c r="Z72" s="32" t="inlineStr">
        <is>
          <t>Sole Owner</t>
        </is>
      </c>
    </row>
    <row r="73" ht="15" customHeight="1" s="24">
      <c r="A73" s="32" t="inlineStr">
        <is>
          <t>P068</t>
        </is>
      </c>
      <c r="B73" s="32" t="inlineStr">
        <is>
          <t>Primary</t>
        </is>
      </c>
      <c r="C73" s="32" t="inlineStr">
        <is>
          <t>C-36</t>
        </is>
      </c>
      <c r="D73" s="32" t="inlineStr">
        <is>
          <t>841206</t>
        </is>
      </c>
      <c r="E73" s="32" t="n"/>
      <c r="F73" s="32" t="inlineStr">
        <is>
          <t>SAN CARLOS</t>
        </is>
      </c>
      <c r="G73" s="32" t="inlineStr">
        <is>
          <t>94070</t>
        </is>
      </c>
      <c r="H73" s="32" t="n"/>
      <c r="I73" s="33" t="inlineStr">
        <is>
          <t>Not started</t>
        </is>
      </c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4">
        <f>IF(I73="Done",1,0)</f>
        <v/>
      </c>
      <c r="W73" s="34">
        <f>IF(V73=1,IF(OR(P73="Y",L73="Y"),1,0),"")</f>
        <v/>
      </c>
      <c r="X73" s="34">
        <f>IF(V73=1,IF(OR(P73="Y",L73="Y",M73="Y"),1,0),"")</f>
        <v/>
      </c>
      <c r="Y73" s="34">
        <f>IF(V73=1,IF(OR(P73="Y",S73="Y"),1,0),"")</f>
        <v/>
      </c>
      <c r="Z73" s="32" t="inlineStr">
        <is>
          <t>Corporation</t>
        </is>
      </c>
    </row>
    <row r="74" ht="15" customHeight="1" s="24">
      <c r="A74" s="32" t="inlineStr">
        <is>
          <t>P069</t>
        </is>
      </c>
      <c r="B74" s="32" t="inlineStr">
        <is>
          <t>Primary</t>
        </is>
      </c>
      <c r="C74" s="32" t="inlineStr">
        <is>
          <t>C-10</t>
        </is>
      </c>
      <c r="D74" s="32" t="inlineStr">
        <is>
          <t>1056194</t>
        </is>
      </c>
      <c r="E74" s="32" t="n"/>
      <c r="F74" s="32" t="inlineStr">
        <is>
          <t>SAN JOSE</t>
        </is>
      </c>
      <c r="G74" s="32" t="inlineStr">
        <is>
          <t>95125</t>
        </is>
      </c>
      <c r="H74" s="32" t="n"/>
      <c r="I74" s="33" t="inlineStr">
        <is>
          <t>Not started</t>
        </is>
      </c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4">
        <f>IF(I74="Done",1,0)</f>
        <v/>
      </c>
      <c r="W74" s="34">
        <f>IF(V74=1,IF(OR(P74="Y",L74="Y"),1,0),"")</f>
        <v/>
      </c>
      <c r="X74" s="34">
        <f>IF(V74=1,IF(OR(P74="Y",L74="Y",M74="Y"),1,0),"")</f>
        <v/>
      </c>
      <c r="Y74" s="34">
        <f>IF(V74=1,IF(OR(P74="Y",S74="Y"),1,0),"")</f>
        <v/>
      </c>
      <c r="Z74" s="32" t="inlineStr">
        <is>
          <t>Sole Owner</t>
        </is>
      </c>
    </row>
    <row r="75" ht="15" customHeight="1" s="24">
      <c r="A75" s="32" t="inlineStr">
        <is>
          <t>P070</t>
        </is>
      </c>
      <c r="B75" s="32" t="inlineStr">
        <is>
          <t>Primary</t>
        </is>
      </c>
      <c r="C75" s="32" t="inlineStr">
        <is>
          <t>C-10</t>
        </is>
      </c>
      <c r="D75" s="32" t="inlineStr">
        <is>
          <t>969568</t>
        </is>
      </c>
      <c r="E75" s="32" t="n"/>
      <c r="F75" s="32" t="inlineStr">
        <is>
          <t>SAN LORENZO</t>
        </is>
      </c>
      <c r="G75" s="32" t="inlineStr">
        <is>
          <t>94580</t>
        </is>
      </c>
      <c r="H75" s="32" t="n"/>
      <c r="I75" s="33" t="inlineStr">
        <is>
          <t>Not started</t>
        </is>
      </c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4">
        <f>IF(I75="Done",1,0)</f>
        <v/>
      </c>
      <c r="W75" s="34">
        <f>IF(V75=1,IF(OR(P75="Y",L75="Y"),1,0),"")</f>
        <v/>
      </c>
      <c r="X75" s="34">
        <f>IF(V75=1,IF(OR(P75="Y",L75="Y",M75="Y"),1,0),"")</f>
        <v/>
      </c>
      <c r="Y75" s="34">
        <f>IF(V75=1,IF(OR(P75="Y",S75="Y"),1,0),"")</f>
        <v/>
      </c>
      <c r="Z75" s="32" t="inlineStr">
        <is>
          <t>Sole Owner</t>
        </is>
      </c>
    </row>
    <row r="76" ht="15" customHeight="1" s="24">
      <c r="A76" s="32" t="inlineStr">
        <is>
          <t>P071</t>
        </is>
      </c>
      <c r="B76" s="32" t="inlineStr">
        <is>
          <t>Primary</t>
        </is>
      </c>
      <c r="C76" s="32" t="inlineStr">
        <is>
          <t>C-10</t>
        </is>
      </c>
      <c r="D76" s="32" t="inlineStr">
        <is>
          <t>1007721</t>
        </is>
      </c>
      <c r="E76" s="32" t="n"/>
      <c r="F76" s="32" t="inlineStr">
        <is>
          <t>SAN RAFAEL</t>
        </is>
      </c>
      <c r="G76" s="32" t="inlineStr">
        <is>
          <t>94901</t>
        </is>
      </c>
      <c r="H76" s="32" t="n"/>
      <c r="I76" s="33" t="inlineStr">
        <is>
          <t>Not started</t>
        </is>
      </c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4">
        <f>IF(I76="Done",1,0)</f>
        <v/>
      </c>
      <c r="W76" s="34">
        <f>IF(V76=1,IF(OR(P76="Y",L76="Y"),1,0),"")</f>
        <v/>
      </c>
      <c r="X76" s="34">
        <f>IF(V76=1,IF(OR(P76="Y",L76="Y",M76="Y"),1,0),"")</f>
        <v/>
      </c>
      <c r="Y76" s="34">
        <f>IF(V76=1,IF(OR(P76="Y",S76="Y"),1,0),"")</f>
        <v/>
      </c>
      <c r="Z76" s="32" t="inlineStr">
        <is>
          <t>Limited Liability</t>
        </is>
      </c>
    </row>
    <row r="77" ht="15" customHeight="1" s="24">
      <c r="A77" s="32" t="inlineStr">
        <is>
          <t>P072</t>
        </is>
      </c>
      <c r="B77" s="32" t="inlineStr">
        <is>
          <t>Primary</t>
        </is>
      </c>
      <c r="C77" s="32" t="inlineStr">
        <is>
          <t>C-10</t>
        </is>
      </c>
      <c r="D77" s="32" t="inlineStr">
        <is>
          <t>1045012</t>
        </is>
      </c>
      <c r="E77" s="32" t="n"/>
      <c r="F77" s="32" t="inlineStr">
        <is>
          <t>SANGER</t>
        </is>
      </c>
      <c r="G77" s="32" t="inlineStr">
        <is>
          <t>93657</t>
        </is>
      </c>
      <c r="H77" s="32" t="n"/>
      <c r="I77" s="33" t="inlineStr">
        <is>
          <t>Not started</t>
        </is>
      </c>
      <c r="J77" s="33" t="n"/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4">
        <f>IF(I77="Done",1,0)</f>
        <v/>
      </c>
      <c r="W77" s="34">
        <f>IF(V77=1,IF(OR(P77="Y",L77="Y"),1,0),"")</f>
        <v/>
      </c>
      <c r="X77" s="34">
        <f>IF(V77=1,IF(OR(P77="Y",L77="Y",M77="Y"),1,0),"")</f>
        <v/>
      </c>
      <c r="Y77" s="34">
        <f>IF(V77=1,IF(OR(P77="Y",S77="Y"),1,0),"")</f>
        <v/>
      </c>
      <c r="Z77" s="32" t="inlineStr">
        <is>
          <t>Corporation</t>
        </is>
      </c>
    </row>
    <row r="78" ht="15" customHeight="1" s="24">
      <c r="A78" s="32" t="inlineStr">
        <is>
          <t>P073</t>
        </is>
      </c>
      <c r="B78" s="32" t="inlineStr">
        <is>
          <t>Primary</t>
        </is>
      </c>
      <c r="C78" s="32" t="inlineStr">
        <is>
          <t>C-10</t>
        </is>
      </c>
      <c r="D78" s="32" t="inlineStr">
        <is>
          <t>492559</t>
        </is>
      </c>
      <c r="E78" s="32" t="n"/>
      <c r="F78" s="32" t="inlineStr">
        <is>
          <t>LAGUNA HILLS</t>
        </is>
      </c>
      <c r="G78" s="32" t="inlineStr">
        <is>
          <t>92653</t>
        </is>
      </c>
      <c r="H78" s="32" t="n"/>
      <c r="I78" s="33" t="inlineStr">
        <is>
          <t>Not started</t>
        </is>
      </c>
      <c r="J78" s="33" t="n"/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4">
        <f>IF(I78="Done",1,0)</f>
        <v/>
      </c>
      <c r="W78" s="34">
        <f>IF(V78=1,IF(OR(P78="Y",L78="Y"),1,0),"")</f>
        <v/>
      </c>
      <c r="X78" s="34">
        <f>IF(V78=1,IF(OR(P78="Y",L78="Y",M78="Y"),1,0),"")</f>
        <v/>
      </c>
      <c r="Y78" s="34">
        <f>IF(V78=1,IF(OR(P78="Y",S78="Y"),1,0),"")</f>
        <v/>
      </c>
      <c r="Z78" s="32" t="inlineStr">
        <is>
          <t>Corporation</t>
        </is>
      </c>
    </row>
    <row r="79" ht="15" customHeight="1" s="24">
      <c r="A79" s="32" t="inlineStr">
        <is>
          <t>P074</t>
        </is>
      </c>
      <c r="B79" s="32" t="inlineStr">
        <is>
          <t>Primary</t>
        </is>
      </c>
      <c r="C79" s="32" t="inlineStr">
        <is>
          <t>C-36</t>
        </is>
      </c>
      <c r="D79" s="32" t="inlineStr">
        <is>
          <t>1041412</t>
        </is>
      </c>
      <c r="E79" s="32" t="n"/>
      <c r="F79" s="32" t="inlineStr">
        <is>
          <t>PALM DESERT</t>
        </is>
      </c>
      <c r="G79" s="32" t="inlineStr">
        <is>
          <t>92260</t>
        </is>
      </c>
      <c r="H79" s="32" t="n"/>
      <c r="I79" s="33" t="inlineStr">
        <is>
          <t>Not started</t>
        </is>
      </c>
      <c r="J79" s="33" t="n"/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n"/>
      <c r="U79" s="33" t="n"/>
      <c r="V79" s="34">
        <f>IF(I79="Done",1,0)</f>
        <v/>
      </c>
      <c r="W79" s="34">
        <f>IF(V79=1,IF(OR(P79="Y",L79="Y"),1,0),"")</f>
        <v/>
      </c>
      <c r="X79" s="34">
        <f>IF(V79=1,IF(OR(P79="Y",L79="Y",M79="Y"),1,0),"")</f>
        <v/>
      </c>
      <c r="Y79" s="34">
        <f>IF(V79=1,IF(OR(P79="Y",S79="Y"),1,0),"")</f>
        <v/>
      </c>
      <c r="Z79" s="32" t="inlineStr">
        <is>
          <t>Corporation</t>
        </is>
      </c>
    </row>
    <row r="80" ht="15" customHeight="1" s="24">
      <c r="A80" s="32" t="inlineStr">
        <is>
          <t>P075</t>
        </is>
      </c>
      <c r="B80" s="32" t="inlineStr">
        <is>
          <t>Primary</t>
        </is>
      </c>
      <c r="C80" s="32" t="inlineStr">
        <is>
          <t>C-36</t>
        </is>
      </c>
      <c r="D80" s="32" t="inlineStr">
        <is>
          <t>923049</t>
        </is>
      </c>
      <c r="E80" s="32" t="n"/>
      <c r="F80" s="32" t="inlineStr">
        <is>
          <t>SAN RAFAEL</t>
        </is>
      </c>
      <c r="G80" s="32" t="inlineStr">
        <is>
          <t>94901</t>
        </is>
      </c>
      <c r="H80" s="32" t="n"/>
      <c r="I80" s="33" t="inlineStr">
        <is>
          <t>Not started</t>
        </is>
      </c>
      <c r="J80" s="33" t="n"/>
      <c r="K80" s="33" t="n"/>
      <c r="L80" s="33" t="n"/>
      <c r="M80" s="33" t="n"/>
      <c r="N80" s="33" t="n"/>
      <c r="O80" s="33" t="n"/>
      <c r="P80" s="33" t="n"/>
      <c r="Q80" s="33" t="n"/>
      <c r="R80" s="33" t="n"/>
      <c r="S80" s="33" t="n"/>
      <c r="T80" s="33" t="n"/>
      <c r="U80" s="33" t="n"/>
      <c r="V80" s="34">
        <f>IF(I80="Done",1,0)</f>
        <v/>
      </c>
      <c r="W80" s="34">
        <f>IF(V80=1,IF(OR(P80="Y",L80="Y"),1,0),"")</f>
        <v/>
      </c>
      <c r="X80" s="34">
        <f>IF(V80=1,IF(OR(P80="Y",L80="Y",M80="Y"),1,0),"")</f>
        <v/>
      </c>
      <c r="Y80" s="34">
        <f>IF(V80=1,IF(OR(P80="Y",S80="Y"),1,0),"")</f>
        <v/>
      </c>
      <c r="Z80" s="32" t="inlineStr">
        <is>
          <t>Sole Owner</t>
        </is>
      </c>
    </row>
    <row r="81" ht="15" customHeight="1" s="24">
      <c r="A81" s="32" t="inlineStr">
        <is>
          <t>P076</t>
        </is>
      </c>
      <c r="B81" s="32" t="inlineStr">
        <is>
          <t>Primary</t>
        </is>
      </c>
      <c r="C81" s="32" t="inlineStr">
        <is>
          <t>C-10</t>
        </is>
      </c>
      <c r="D81" s="32" t="inlineStr">
        <is>
          <t>1065232</t>
        </is>
      </c>
      <c r="E81" s="32" t="n"/>
      <c r="F81" s="32" t="inlineStr">
        <is>
          <t>SAN FRANCISCO</t>
        </is>
      </c>
      <c r="G81" s="32" t="inlineStr">
        <is>
          <t>94104</t>
        </is>
      </c>
      <c r="H81" s="32" t="n"/>
      <c r="I81" s="33" t="inlineStr">
        <is>
          <t>Not started</t>
        </is>
      </c>
      <c r="J81" s="33" t="n"/>
      <c r="K81" s="33" t="n"/>
      <c r="L81" s="33" t="n"/>
      <c r="M81" s="33" t="n"/>
      <c r="N81" s="33" t="n"/>
      <c r="O81" s="33" t="n"/>
      <c r="P81" s="33" t="n"/>
      <c r="Q81" s="33" t="n"/>
      <c r="R81" s="33" t="n"/>
      <c r="S81" s="33" t="n"/>
      <c r="T81" s="33" t="n"/>
      <c r="U81" s="33" t="n"/>
      <c r="V81" s="34">
        <f>IF(I81="Done",1,0)</f>
        <v/>
      </c>
      <c r="W81" s="34">
        <f>IF(V81=1,IF(OR(P81="Y",L81="Y"),1,0),"")</f>
        <v/>
      </c>
      <c r="X81" s="34">
        <f>IF(V81=1,IF(OR(P81="Y",L81="Y",M81="Y"),1,0),"")</f>
        <v/>
      </c>
      <c r="Y81" s="34">
        <f>IF(V81=1,IF(OR(P81="Y",S81="Y"),1,0),"")</f>
        <v/>
      </c>
      <c r="Z81" s="32" t="inlineStr">
        <is>
          <t>Corporation</t>
        </is>
      </c>
    </row>
    <row r="82" ht="15" customHeight="1" s="24">
      <c r="A82" s="32" t="inlineStr">
        <is>
          <t>P077</t>
        </is>
      </c>
      <c r="B82" s="32" t="inlineStr">
        <is>
          <t>Primary</t>
        </is>
      </c>
      <c r="C82" s="32" t="inlineStr">
        <is>
          <t>C-10</t>
        </is>
      </c>
      <c r="D82" s="32" t="inlineStr">
        <is>
          <t>974460</t>
        </is>
      </c>
      <c r="E82" s="32" t="n"/>
      <c r="F82" s="32" t="inlineStr">
        <is>
          <t>MENIFEE</t>
        </is>
      </c>
      <c r="G82" s="32" t="inlineStr">
        <is>
          <t>92584</t>
        </is>
      </c>
      <c r="H82" s="32" t="n"/>
      <c r="I82" s="33" t="inlineStr">
        <is>
          <t>Not started</t>
        </is>
      </c>
      <c r="J82" s="33" t="n"/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4">
        <f>IF(I82="Done",1,0)</f>
        <v/>
      </c>
      <c r="W82" s="34">
        <f>IF(V82=1,IF(OR(P82="Y",L82="Y"),1,0),"")</f>
        <v/>
      </c>
      <c r="X82" s="34">
        <f>IF(V82=1,IF(OR(P82="Y",L82="Y",M82="Y"),1,0),"")</f>
        <v/>
      </c>
      <c r="Y82" s="34">
        <f>IF(V82=1,IF(OR(P82="Y",S82="Y"),1,0),"")</f>
        <v/>
      </c>
      <c r="Z82" s="32" t="inlineStr">
        <is>
          <t>Corporation</t>
        </is>
      </c>
    </row>
    <row r="83" ht="15" customHeight="1" s="24">
      <c r="A83" s="32" t="inlineStr">
        <is>
          <t>P078</t>
        </is>
      </c>
      <c r="B83" s="32" t="inlineStr">
        <is>
          <t>Primary</t>
        </is>
      </c>
      <c r="C83" s="32" t="inlineStr">
        <is>
          <t>C-10</t>
        </is>
      </c>
      <c r="D83" s="32" t="inlineStr">
        <is>
          <t>1147139</t>
        </is>
      </c>
      <c r="E83" s="32" t="n"/>
      <c r="F83" s="32" t="inlineStr">
        <is>
          <t>RIVERSIDE</t>
        </is>
      </c>
      <c r="G83" s="32" t="inlineStr">
        <is>
          <t>92504</t>
        </is>
      </c>
      <c r="H83" s="32" t="n"/>
      <c r="I83" s="33" t="inlineStr">
        <is>
          <t>Not started</t>
        </is>
      </c>
      <c r="J83" s="33" t="n"/>
      <c r="K83" s="33" t="n"/>
      <c r="L83" s="33" t="n"/>
      <c r="M83" s="33" t="n"/>
      <c r="N83" s="33" t="n"/>
      <c r="O83" s="33" t="n"/>
      <c r="P83" s="33" t="n"/>
      <c r="Q83" s="33" t="n"/>
      <c r="R83" s="33" t="n"/>
      <c r="S83" s="33" t="n"/>
      <c r="T83" s="33" t="n"/>
      <c r="U83" s="33" t="n"/>
      <c r="V83" s="34">
        <f>IF(I83="Done",1,0)</f>
        <v/>
      </c>
      <c r="W83" s="34">
        <f>IF(V83=1,IF(OR(P83="Y",L83="Y"),1,0),"")</f>
        <v/>
      </c>
      <c r="X83" s="34">
        <f>IF(V83=1,IF(OR(P83="Y",L83="Y",M83="Y"),1,0),"")</f>
        <v/>
      </c>
      <c r="Y83" s="34">
        <f>IF(V83=1,IF(OR(P83="Y",S83="Y"),1,0),"")</f>
        <v/>
      </c>
      <c r="Z83" s="32" t="inlineStr">
        <is>
          <t>Corporation</t>
        </is>
      </c>
    </row>
    <row r="84" ht="15" customHeight="1" s="24">
      <c r="A84" s="32" t="inlineStr">
        <is>
          <t>P079</t>
        </is>
      </c>
      <c r="B84" s="32" t="inlineStr">
        <is>
          <t>Primary</t>
        </is>
      </c>
      <c r="C84" s="32" t="inlineStr">
        <is>
          <t>C-36</t>
        </is>
      </c>
      <c r="D84" s="32" t="inlineStr">
        <is>
          <t>996246</t>
        </is>
      </c>
      <c r="E84" s="32" t="n"/>
      <c r="F84" s="32" t="inlineStr">
        <is>
          <t>WINNETKA</t>
        </is>
      </c>
      <c r="G84" s="32" t="inlineStr">
        <is>
          <t>91306</t>
        </is>
      </c>
      <c r="H84" s="32" t="n"/>
      <c r="I84" s="33" t="inlineStr">
        <is>
          <t>Not started</t>
        </is>
      </c>
      <c r="J84" s="33" t="n"/>
      <c r="K84" s="33" t="n"/>
      <c r="L84" s="33" t="n"/>
      <c r="M84" s="33" t="n"/>
      <c r="N84" s="33" t="n"/>
      <c r="O84" s="33" t="n"/>
      <c r="P84" s="33" t="n"/>
      <c r="Q84" s="33" t="n"/>
      <c r="R84" s="33" t="n"/>
      <c r="S84" s="33" t="n"/>
      <c r="T84" s="33" t="n"/>
      <c r="U84" s="33" t="n"/>
      <c r="V84" s="34">
        <f>IF(I84="Done",1,0)</f>
        <v/>
      </c>
      <c r="W84" s="34">
        <f>IF(V84=1,IF(OR(P84="Y",L84="Y"),1,0),"")</f>
        <v/>
      </c>
      <c r="X84" s="34">
        <f>IF(V84=1,IF(OR(P84="Y",L84="Y",M84="Y"),1,0),"")</f>
        <v/>
      </c>
      <c r="Y84" s="34">
        <f>IF(V84=1,IF(OR(P84="Y",S84="Y"),1,0),"")</f>
        <v/>
      </c>
      <c r="Z84" s="32" t="inlineStr">
        <is>
          <t>Sole Owner</t>
        </is>
      </c>
    </row>
    <row r="85" ht="15" customHeight="1" s="24">
      <c r="A85" s="32" t="inlineStr">
        <is>
          <t>P080</t>
        </is>
      </c>
      <c r="B85" s="32" t="inlineStr">
        <is>
          <t>Primary</t>
        </is>
      </c>
      <c r="C85" s="32" t="inlineStr">
        <is>
          <t>C-10</t>
        </is>
      </c>
      <c r="D85" s="32" t="inlineStr">
        <is>
          <t>950674</t>
        </is>
      </c>
      <c r="E85" s="32" t="n"/>
      <c r="F85" s="32" t="inlineStr">
        <is>
          <t>SAN YSIDRO</t>
        </is>
      </c>
      <c r="G85" s="32" t="inlineStr">
        <is>
          <t>92173</t>
        </is>
      </c>
      <c r="H85" s="32" t="n"/>
      <c r="I85" s="33" t="inlineStr">
        <is>
          <t>Not started</t>
        </is>
      </c>
      <c r="J85" s="33" t="n"/>
      <c r="K85" s="33" t="n"/>
      <c r="L85" s="33" t="n"/>
      <c r="M85" s="33" t="n"/>
      <c r="N85" s="33" t="n"/>
      <c r="O85" s="33" t="n"/>
      <c r="P85" s="33" t="n"/>
      <c r="Q85" s="33" t="n"/>
      <c r="R85" s="33" t="n"/>
      <c r="S85" s="33" t="n"/>
      <c r="T85" s="33" t="n"/>
      <c r="U85" s="33" t="n"/>
      <c r="V85" s="34">
        <f>IF(I85="Done",1,0)</f>
        <v/>
      </c>
      <c r="W85" s="34">
        <f>IF(V85=1,IF(OR(P85="Y",L85="Y"),1,0),"")</f>
        <v/>
      </c>
      <c r="X85" s="34">
        <f>IF(V85=1,IF(OR(P85="Y",L85="Y",M85="Y"),1,0),"")</f>
        <v/>
      </c>
      <c r="Y85" s="34">
        <f>IF(V85=1,IF(OR(P85="Y",S85="Y"),1,0),"")</f>
        <v/>
      </c>
      <c r="Z85" s="32" t="inlineStr">
        <is>
          <t>Sole Owner</t>
        </is>
      </c>
    </row>
    <row r="86" ht="15" customHeight="1" s="24">
      <c r="A86" s="32" t="inlineStr">
        <is>
          <t>P081</t>
        </is>
      </c>
      <c r="B86" s="32" t="inlineStr">
        <is>
          <t>Primary</t>
        </is>
      </c>
      <c r="C86" s="32" t="inlineStr">
        <is>
          <t>C-20</t>
        </is>
      </c>
      <c r="D86" s="32" t="inlineStr">
        <is>
          <t>327383</t>
        </is>
      </c>
      <c r="E86" s="32" t="n"/>
      <c r="F86" s="32" t="inlineStr">
        <is>
          <t>CARMICHAEL</t>
        </is>
      </c>
      <c r="G86" s="32" t="inlineStr">
        <is>
          <t>95608</t>
        </is>
      </c>
      <c r="H86" s="32" t="n"/>
      <c r="I86" s="33" t="inlineStr">
        <is>
          <t>Not started</t>
        </is>
      </c>
      <c r="J86" s="33" t="n"/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4">
        <f>IF(I86="Done",1,0)</f>
        <v/>
      </c>
      <c r="W86" s="34">
        <f>IF(V86=1,IF(OR(P86="Y",L86="Y"),1,0),"")</f>
        <v/>
      </c>
      <c r="X86" s="34">
        <f>IF(V86=1,IF(OR(P86="Y",L86="Y",M86="Y"),1,0),"")</f>
        <v/>
      </c>
      <c r="Y86" s="34">
        <f>IF(V86=1,IF(OR(P86="Y",S86="Y"),1,0),"")</f>
        <v/>
      </c>
      <c r="Z86" s="32" t="inlineStr">
        <is>
          <t>Corporation</t>
        </is>
      </c>
    </row>
    <row r="87" ht="15" customHeight="1" s="24">
      <c r="A87" s="32" t="inlineStr">
        <is>
          <t>P082</t>
        </is>
      </c>
      <c r="B87" s="32" t="inlineStr">
        <is>
          <t>Primary</t>
        </is>
      </c>
      <c r="C87" s="32" t="inlineStr">
        <is>
          <t>C-10</t>
        </is>
      </c>
      <c r="D87" s="32" t="inlineStr">
        <is>
          <t>836984</t>
        </is>
      </c>
      <c r="E87" s="32" t="n"/>
      <c r="F87" s="32" t="inlineStr">
        <is>
          <t>GOLETA</t>
        </is>
      </c>
      <c r="G87" s="32" t="inlineStr">
        <is>
          <t>93117</t>
        </is>
      </c>
      <c r="H87" s="32" t="n"/>
      <c r="I87" s="33" t="inlineStr">
        <is>
          <t>Not started</t>
        </is>
      </c>
      <c r="J87" s="33" t="n"/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4">
        <f>IF(I87="Done",1,0)</f>
        <v/>
      </c>
      <c r="W87" s="34">
        <f>IF(V87=1,IF(OR(P87="Y",L87="Y"),1,0),"")</f>
        <v/>
      </c>
      <c r="X87" s="34">
        <f>IF(V87=1,IF(OR(P87="Y",L87="Y",M87="Y"),1,0),"")</f>
        <v/>
      </c>
      <c r="Y87" s="34">
        <f>IF(V87=1,IF(OR(P87="Y",S87="Y"),1,0),"")</f>
        <v/>
      </c>
      <c r="Z87" s="32" t="inlineStr">
        <is>
          <t>Sole Owner</t>
        </is>
      </c>
    </row>
    <row r="88" ht="15" customHeight="1" s="24">
      <c r="A88" s="32" t="inlineStr">
        <is>
          <t>P083</t>
        </is>
      </c>
      <c r="B88" s="32" t="inlineStr">
        <is>
          <t>Primary</t>
        </is>
      </c>
      <c r="C88" s="32" t="inlineStr">
        <is>
          <t>C-36</t>
        </is>
      </c>
      <c r="D88" s="32" t="inlineStr">
        <is>
          <t>1140064</t>
        </is>
      </c>
      <c r="E88" s="32" t="n"/>
      <c r="F88" s="32" t="inlineStr">
        <is>
          <t>LIVERMORE</t>
        </is>
      </c>
      <c r="G88" s="32" t="inlineStr">
        <is>
          <t>94550</t>
        </is>
      </c>
      <c r="H88" s="32" t="n"/>
      <c r="I88" s="33" t="inlineStr">
        <is>
          <t>Not started</t>
        </is>
      </c>
      <c r="J88" s="33" t="n"/>
      <c r="K88" s="33" t="n"/>
      <c r="L88" s="33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4">
        <f>IF(I88="Done",1,0)</f>
        <v/>
      </c>
      <c r="W88" s="34">
        <f>IF(V88=1,IF(OR(P88="Y",L88="Y"),1,0),"")</f>
        <v/>
      </c>
      <c r="X88" s="34">
        <f>IF(V88=1,IF(OR(P88="Y",L88="Y",M88="Y"),1,0),"")</f>
        <v/>
      </c>
      <c r="Y88" s="34">
        <f>IF(V88=1,IF(OR(P88="Y",S88="Y"),1,0),"")</f>
        <v/>
      </c>
      <c r="Z88" s="32" t="inlineStr">
        <is>
          <t>Corporation</t>
        </is>
      </c>
    </row>
    <row r="89" ht="15" customHeight="1" s="24">
      <c r="A89" s="32" t="inlineStr">
        <is>
          <t>P084</t>
        </is>
      </c>
      <c r="B89" s="32" t="inlineStr">
        <is>
          <t>Primary</t>
        </is>
      </c>
      <c r="C89" s="32" t="inlineStr">
        <is>
          <t>C-20</t>
        </is>
      </c>
      <c r="D89" s="32" t="inlineStr">
        <is>
          <t>960976</t>
        </is>
      </c>
      <c r="E89" s="32" t="n"/>
      <c r="F89" s="32" t="inlineStr">
        <is>
          <t>RIVERSIDE</t>
        </is>
      </c>
      <c r="G89" s="32" t="inlineStr">
        <is>
          <t>92504</t>
        </is>
      </c>
      <c r="H89" s="32" t="n"/>
      <c r="I89" s="33" t="inlineStr">
        <is>
          <t>Not started</t>
        </is>
      </c>
      <c r="J89" s="33" t="n"/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4">
        <f>IF(I89="Done",1,0)</f>
        <v/>
      </c>
      <c r="W89" s="34">
        <f>IF(V89=1,IF(OR(P89="Y",L89="Y"),1,0),"")</f>
        <v/>
      </c>
      <c r="X89" s="34">
        <f>IF(V89=1,IF(OR(P89="Y",L89="Y",M89="Y"),1,0),"")</f>
        <v/>
      </c>
      <c r="Y89" s="34">
        <f>IF(V89=1,IF(OR(P89="Y",S89="Y"),1,0),"")</f>
        <v/>
      </c>
      <c r="Z89" s="32" t="inlineStr">
        <is>
          <t>Sole Owner</t>
        </is>
      </c>
    </row>
    <row r="90" ht="15" customHeight="1" s="24">
      <c r="A90" s="32" t="inlineStr">
        <is>
          <t>P085</t>
        </is>
      </c>
      <c r="B90" s="32" t="inlineStr">
        <is>
          <t>Primary</t>
        </is>
      </c>
      <c r="C90" s="32" t="inlineStr">
        <is>
          <t>C-20</t>
        </is>
      </c>
      <c r="D90" s="32" t="inlineStr">
        <is>
          <t>922887</t>
        </is>
      </c>
      <c r="E90" s="32" t="n"/>
      <c r="F90" s="32" t="inlineStr">
        <is>
          <t>ANAHEIM</t>
        </is>
      </c>
      <c r="G90" s="32" t="inlineStr">
        <is>
          <t>92801</t>
        </is>
      </c>
      <c r="H90" s="32" t="n"/>
      <c r="I90" s="33" t="inlineStr">
        <is>
          <t>Not started</t>
        </is>
      </c>
      <c r="J90" s="33" t="n"/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4">
        <f>IF(I90="Done",1,0)</f>
        <v/>
      </c>
      <c r="W90" s="34">
        <f>IF(V90=1,IF(OR(P90="Y",L90="Y"),1,0),"")</f>
        <v/>
      </c>
      <c r="X90" s="34">
        <f>IF(V90=1,IF(OR(P90="Y",L90="Y",M90="Y"),1,0),"")</f>
        <v/>
      </c>
      <c r="Y90" s="34">
        <f>IF(V90=1,IF(OR(P90="Y",S90="Y"),1,0),"")</f>
        <v/>
      </c>
      <c r="Z90" s="32" t="inlineStr">
        <is>
          <t>Sole Owner</t>
        </is>
      </c>
    </row>
    <row r="91" ht="15" customHeight="1" s="24">
      <c r="A91" s="32" t="inlineStr">
        <is>
          <t>P086</t>
        </is>
      </c>
      <c r="B91" s="32" t="inlineStr">
        <is>
          <t>Primary</t>
        </is>
      </c>
      <c r="C91" s="32" t="inlineStr">
        <is>
          <t>C-20</t>
        </is>
      </c>
      <c r="D91" s="32" t="inlineStr">
        <is>
          <t>267392</t>
        </is>
      </c>
      <c r="E91" s="32" t="n"/>
      <c r="F91" s="32" t="inlineStr">
        <is>
          <t>EL CAJON</t>
        </is>
      </c>
      <c r="G91" s="32" t="inlineStr">
        <is>
          <t>92020</t>
        </is>
      </c>
      <c r="H91" s="32" t="n"/>
      <c r="I91" s="33" t="inlineStr">
        <is>
          <t>Not started</t>
        </is>
      </c>
      <c r="J91" s="33" t="n"/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4">
        <f>IF(I91="Done",1,0)</f>
        <v/>
      </c>
      <c r="W91" s="34">
        <f>IF(V91=1,IF(OR(P91="Y",L91="Y"),1,0),"")</f>
        <v/>
      </c>
      <c r="X91" s="34">
        <f>IF(V91=1,IF(OR(P91="Y",L91="Y",M91="Y"),1,0),"")</f>
        <v/>
      </c>
      <c r="Y91" s="34">
        <f>IF(V91=1,IF(OR(P91="Y",S91="Y"),1,0),"")</f>
        <v/>
      </c>
      <c r="Z91" s="32" t="inlineStr">
        <is>
          <t>Corporation</t>
        </is>
      </c>
    </row>
    <row r="92" ht="15" customHeight="1" s="24">
      <c r="A92" s="32" t="inlineStr">
        <is>
          <t>P087</t>
        </is>
      </c>
      <c r="B92" s="32" t="inlineStr">
        <is>
          <t>Primary</t>
        </is>
      </c>
      <c r="C92" s="32" t="inlineStr">
        <is>
          <t>C-36</t>
        </is>
      </c>
      <c r="D92" s="32" t="inlineStr">
        <is>
          <t>974849</t>
        </is>
      </c>
      <c r="E92" s="32" t="n"/>
      <c r="F92" s="32" t="inlineStr">
        <is>
          <t>FALLBROOK</t>
        </is>
      </c>
      <c r="G92" s="32" t="inlineStr">
        <is>
          <t>92028</t>
        </is>
      </c>
      <c r="H92" s="32" t="n"/>
      <c r="I92" s="33" t="inlineStr">
        <is>
          <t>Not started</t>
        </is>
      </c>
      <c r="J92" s="33" t="n"/>
      <c r="K92" s="33" t="n"/>
      <c r="L92" s="33" t="n"/>
      <c r="M92" s="33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4">
        <f>IF(I92="Done",1,0)</f>
        <v/>
      </c>
      <c r="W92" s="34">
        <f>IF(V92=1,IF(OR(P92="Y",L92="Y"),1,0),"")</f>
        <v/>
      </c>
      <c r="X92" s="34">
        <f>IF(V92=1,IF(OR(P92="Y",L92="Y",M92="Y"),1,0),"")</f>
        <v/>
      </c>
      <c r="Y92" s="34">
        <f>IF(V92=1,IF(OR(P92="Y",S92="Y"),1,0),"")</f>
        <v/>
      </c>
      <c r="Z92" s="32" t="inlineStr">
        <is>
          <t>Sole Owner</t>
        </is>
      </c>
    </row>
    <row r="93" ht="15" customHeight="1" s="24">
      <c r="A93" s="32" t="inlineStr">
        <is>
          <t>P088</t>
        </is>
      </c>
      <c r="B93" s="32" t="inlineStr">
        <is>
          <t>Primary</t>
        </is>
      </c>
      <c r="C93" s="32" t="inlineStr">
        <is>
          <t>C-10</t>
        </is>
      </c>
      <c r="D93" s="32" t="inlineStr">
        <is>
          <t>843747</t>
        </is>
      </c>
      <c r="E93" s="32" t="n"/>
      <c r="F93" s="32" t="inlineStr">
        <is>
          <t>WHITTIER</t>
        </is>
      </c>
      <c r="G93" s="32" t="inlineStr">
        <is>
          <t>90603</t>
        </is>
      </c>
      <c r="H93" s="32" t="n"/>
      <c r="I93" s="33" t="inlineStr">
        <is>
          <t>Not started</t>
        </is>
      </c>
      <c r="J93" s="33" t="n"/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4">
        <f>IF(I93="Done",1,0)</f>
        <v/>
      </c>
      <c r="W93" s="34">
        <f>IF(V93=1,IF(OR(P93="Y",L93="Y"),1,0),"")</f>
        <v/>
      </c>
      <c r="X93" s="34">
        <f>IF(V93=1,IF(OR(P93="Y",L93="Y",M93="Y"),1,0),"")</f>
        <v/>
      </c>
      <c r="Y93" s="34">
        <f>IF(V93=1,IF(OR(P93="Y",S93="Y"),1,0),"")</f>
        <v/>
      </c>
      <c r="Z93" s="32" t="inlineStr">
        <is>
          <t>Sole Owner</t>
        </is>
      </c>
    </row>
    <row r="94" ht="15" customHeight="1" s="24">
      <c r="A94" s="32" t="inlineStr">
        <is>
          <t>P089</t>
        </is>
      </c>
      <c r="B94" s="32" t="inlineStr">
        <is>
          <t>Primary</t>
        </is>
      </c>
      <c r="C94" s="32" t="inlineStr">
        <is>
          <t>C-20</t>
        </is>
      </c>
      <c r="D94" s="32" t="inlineStr">
        <is>
          <t>626057</t>
        </is>
      </c>
      <c r="E94" s="32" t="n"/>
      <c r="F94" s="32" t="inlineStr">
        <is>
          <t>SACRAMENTO</t>
        </is>
      </c>
      <c r="G94" s="32" t="inlineStr">
        <is>
          <t>95828</t>
        </is>
      </c>
      <c r="H94" s="32" t="n"/>
      <c r="I94" s="33" t="inlineStr">
        <is>
          <t>Not started</t>
        </is>
      </c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4">
        <f>IF(I94="Done",1,0)</f>
        <v/>
      </c>
      <c r="W94" s="34">
        <f>IF(V94=1,IF(OR(P94="Y",L94="Y"),1,0),"")</f>
        <v/>
      </c>
      <c r="X94" s="34">
        <f>IF(V94=1,IF(OR(P94="Y",L94="Y",M94="Y"),1,0),"")</f>
        <v/>
      </c>
      <c r="Y94" s="34">
        <f>IF(V94=1,IF(OR(P94="Y",S94="Y"),1,0),"")</f>
        <v/>
      </c>
      <c r="Z94" s="32" t="inlineStr">
        <is>
          <t>Sole Owner</t>
        </is>
      </c>
    </row>
    <row r="95" ht="15" customHeight="1" s="24">
      <c r="A95" s="32" t="inlineStr">
        <is>
          <t>P090</t>
        </is>
      </c>
      <c r="B95" s="32" t="inlineStr">
        <is>
          <t>Primary</t>
        </is>
      </c>
      <c r="C95" s="32" t="inlineStr">
        <is>
          <t>C-20</t>
        </is>
      </c>
      <c r="D95" s="32" t="inlineStr">
        <is>
          <t>614626</t>
        </is>
      </c>
      <c r="E95" s="32" t="n"/>
      <c r="F95" s="32" t="inlineStr">
        <is>
          <t>RANCHO CORDOVA</t>
        </is>
      </c>
      <c r="G95" s="32" t="inlineStr">
        <is>
          <t>95670</t>
        </is>
      </c>
      <c r="H95" s="32" t="n"/>
      <c r="I95" s="33" t="inlineStr">
        <is>
          <t>Not started</t>
        </is>
      </c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4">
        <f>IF(I95="Done",1,0)</f>
        <v/>
      </c>
      <c r="W95" s="34">
        <f>IF(V95=1,IF(OR(P95="Y",L95="Y"),1,0),"")</f>
        <v/>
      </c>
      <c r="X95" s="34">
        <f>IF(V95=1,IF(OR(P95="Y",L95="Y",M95="Y"),1,0),"")</f>
        <v/>
      </c>
      <c r="Y95" s="34">
        <f>IF(V95=1,IF(OR(P95="Y",S95="Y"),1,0),"")</f>
        <v/>
      </c>
      <c r="Z95" s="32" t="inlineStr">
        <is>
          <t>Sole Owner</t>
        </is>
      </c>
    </row>
    <row r="96" ht="15" customHeight="1" s="24">
      <c r="A96" s="32" t="inlineStr">
        <is>
          <t>P091</t>
        </is>
      </c>
      <c r="B96" s="32" t="inlineStr">
        <is>
          <t>Primary</t>
        </is>
      </c>
      <c r="C96" s="32" t="inlineStr">
        <is>
          <t>C-10</t>
        </is>
      </c>
      <c r="D96" s="32" t="inlineStr">
        <is>
          <t>1001984</t>
        </is>
      </c>
      <c r="E96" s="32" t="n"/>
      <c r="F96" s="32" t="inlineStr">
        <is>
          <t>HUNTINGTON BEACH</t>
        </is>
      </c>
      <c r="G96" s="32" t="inlineStr">
        <is>
          <t>92647</t>
        </is>
      </c>
      <c r="H96" s="32" t="n"/>
      <c r="I96" s="33" t="inlineStr">
        <is>
          <t>Not started</t>
        </is>
      </c>
      <c r="J96" s="33" t="n"/>
      <c r="K96" s="33" t="n"/>
      <c r="L96" s="33" t="n"/>
      <c r="M96" s="33" t="n"/>
      <c r="N96" s="33" t="n"/>
      <c r="O96" s="33" t="n"/>
      <c r="P96" s="33" t="n"/>
      <c r="Q96" s="33" t="n"/>
      <c r="R96" s="33" t="n"/>
      <c r="S96" s="33" t="n"/>
      <c r="T96" s="33" t="n"/>
      <c r="U96" s="33" t="n"/>
      <c r="V96" s="34">
        <f>IF(I96="Done",1,0)</f>
        <v/>
      </c>
      <c r="W96" s="34">
        <f>IF(V96=1,IF(OR(P96="Y",L96="Y"),1,0),"")</f>
        <v/>
      </c>
      <c r="X96" s="34">
        <f>IF(V96=1,IF(OR(P96="Y",L96="Y",M96="Y"),1,0),"")</f>
        <v/>
      </c>
      <c r="Y96" s="34">
        <f>IF(V96=1,IF(OR(P96="Y",S96="Y"),1,0),"")</f>
        <v/>
      </c>
      <c r="Z96" s="32" t="inlineStr">
        <is>
          <t>Sole Owner</t>
        </is>
      </c>
    </row>
    <row r="97" ht="15" customHeight="1" s="24">
      <c r="A97" s="32" t="inlineStr">
        <is>
          <t>P092</t>
        </is>
      </c>
      <c r="B97" s="32" t="inlineStr">
        <is>
          <t>Primary</t>
        </is>
      </c>
      <c r="C97" s="32" t="inlineStr">
        <is>
          <t>C-20</t>
        </is>
      </c>
      <c r="D97" s="32" t="inlineStr">
        <is>
          <t>908423</t>
        </is>
      </c>
      <c r="E97" s="32" t="n"/>
      <c r="F97" s="32" t="inlineStr">
        <is>
          <t>NEEDLES</t>
        </is>
      </c>
      <c r="G97" s="32" t="inlineStr">
        <is>
          <t>92363</t>
        </is>
      </c>
      <c r="H97" s="32" t="n"/>
      <c r="I97" s="33" t="inlineStr">
        <is>
          <t>Not started</t>
        </is>
      </c>
      <c r="J97" s="33" t="n"/>
      <c r="K97" s="33" t="n"/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n"/>
      <c r="U97" s="33" t="n"/>
      <c r="V97" s="34">
        <f>IF(I97="Done",1,0)</f>
        <v/>
      </c>
      <c r="W97" s="34">
        <f>IF(V97=1,IF(OR(P97="Y",L97="Y"),1,0),"")</f>
        <v/>
      </c>
      <c r="X97" s="34">
        <f>IF(V97=1,IF(OR(P97="Y",L97="Y",M97="Y"),1,0),"")</f>
        <v/>
      </c>
      <c r="Y97" s="34">
        <f>IF(V97=1,IF(OR(P97="Y",S97="Y"),1,0),"")</f>
        <v/>
      </c>
      <c r="Z97" s="32" t="inlineStr">
        <is>
          <t>Corporation</t>
        </is>
      </c>
    </row>
    <row r="98" ht="15" customHeight="1" s="24">
      <c r="A98" s="32" t="inlineStr">
        <is>
          <t>P093</t>
        </is>
      </c>
      <c r="B98" s="32" t="inlineStr">
        <is>
          <t>Primary</t>
        </is>
      </c>
      <c r="C98" s="32" t="inlineStr">
        <is>
          <t>C-10</t>
        </is>
      </c>
      <c r="D98" s="32" t="inlineStr">
        <is>
          <t>900136</t>
        </is>
      </c>
      <c r="E98" s="32" t="n"/>
      <c r="F98" s="32" t="inlineStr">
        <is>
          <t>LOS ANGELES</t>
        </is>
      </c>
      <c r="G98" s="32" t="inlineStr">
        <is>
          <t>90034</t>
        </is>
      </c>
      <c r="H98" s="32" t="n"/>
      <c r="I98" s="33" t="inlineStr">
        <is>
          <t>Not started</t>
        </is>
      </c>
      <c r="J98" s="33" t="n"/>
      <c r="K98" s="33" t="n"/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4">
        <f>IF(I98="Done",1,0)</f>
        <v/>
      </c>
      <c r="W98" s="34">
        <f>IF(V98=1,IF(OR(P98="Y",L98="Y"),1,0),"")</f>
        <v/>
      </c>
      <c r="X98" s="34">
        <f>IF(V98=1,IF(OR(P98="Y",L98="Y",M98="Y"),1,0),"")</f>
        <v/>
      </c>
      <c r="Y98" s="34">
        <f>IF(V98=1,IF(OR(P98="Y",S98="Y"),1,0),"")</f>
        <v/>
      </c>
      <c r="Z98" s="32" t="inlineStr">
        <is>
          <t>Sole Owner</t>
        </is>
      </c>
    </row>
    <row r="99" ht="15" customHeight="1" s="24">
      <c r="A99" s="32" t="inlineStr">
        <is>
          <t>P094</t>
        </is>
      </c>
      <c r="B99" s="32" t="inlineStr">
        <is>
          <t>Primary</t>
        </is>
      </c>
      <c r="C99" s="32" t="inlineStr">
        <is>
          <t>C-20</t>
        </is>
      </c>
      <c r="D99" s="32" t="inlineStr">
        <is>
          <t>523208</t>
        </is>
      </c>
      <c r="E99" s="32" t="n"/>
      <c r="F99" s="32" t="inlineStr">
        <is>
          <t>GLENDORA</t>
        </is>
      </c>
      <c r="G99" s="32" t="inlineStr">
        <is>
          <t>91740</t>
        </is>
      </c>
      <c r="H99" s="32" t="n"/>
      <c r="I99" s="33" t="inlineStr">
        <is>
          <t>Not started</t>
        </is>
      </c>
      <c r="J99" s="33" t="n"/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4">
        <f>IF(I99="Done",1,0)</f>
        <v/>
      </c>
      <c r="W99" s="34">
        <f>IF(V99=1,IF(OR(P99="Y",L99="Y"),1,0),"")</f>
        <v/>
      </c>
      <c r="X99" s="34">
        <f>IF(V99=1,IF(OR(P99="Y",L99="Y",M99="Y"),1,0),"")</f>
        <v/>
      </c>
      <c r="Y99" s="34">
        <f>IF(V99=1,IF(OR(P99="Y",S99="Y"),1,0),"")</f>
        <v/>
      </c>
      <c r="Z99" s="32" t="inlineStr">
        <is>
          <t>Sole Owner</t>
        </is>
      </c>
    </row>
    <row r="100" ht="15" customHeight="1" s="24">
      <c r="A100" s="32" t="inlineStr">
        <is>
          <t>P095</t>
        </is>
      </c>
      <c r="B100" s="32" t="inlineStr">
        <is>
          <t>Primary</t>
        </is>
      </c>
      <c r="C100" s="32" t="inlineStr">
        <is>
          <t>C-36</t>
        </is>
      </c>
      <c r="D100" s="32" t="inlineStr">
        <is>
          <t>1028957</t>
        </is>
      </c>
      <c r="E100" s="32" t="n"/>
      <c r="F100" s="32" t="inlineStr">
        <is>
          <t>LA MESA</t>
        </is>
      </c>
      <c r="G100" s="32" t="inlineStr">
        <is>
          <t>91942</t>
        </is>
      </c>
      <c r="H100" s="32" t="n"/>
      <c r="I100" s="33" t="inlineStr">
        <is>
          <t>Not started</t>
        </is>
      </c>
      <c r="J100" s="33" t="n"/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3" t="n"/>
      <c r="T100" s="33" t="n"/>
      <c r="U100" s="33" t="n"/>
      <c r="V100" s="34">
        <f>IF(I100="Done",1,0)</f>
        <v/>
      </c>
      <c r="W100" s="34">
        <f>IF(V100=1,IF(OR(P100="Y",L100="Y"),1,0),"")</f>
        <v/>
      </c>
      <c r="X100" s="34">
        <f>IF(V100=1,IF(OR(P100="Y",L100="Y",M100="Y"),1,0),"")</f>
        <v/>
      </c>
      <c r="Y100" s="34">
        <f>IF(V100=1,IF(OR(P100="Y",S100="Y"),1,0),"")</f>
        <v/>
      </c>
      <c r="Z100" s="32" t="inlineStr">
        <is>
          <t>Corporation</t>
        </is>
      </c>
    </row>
    <row r="101" ht="15" customHeight="1" s="24">
      <c r="A101" s="32" t="inlineStr">
        <is>
          <t>P096</t>
        </is>
      </c>
      <c r="B101" s="32" t="inlineStr">
        <is>
          <t>Primary</t>
        </is>
      </c>
      <c r="C101" s="32" t="inlineStr">
        <is>
          <t>C-36</t>
        </is>
      </c>
      <c r="D101" s="32" t="inlineStr">
        <is>
          <t>559030</t>
        </is>
      </c>
      <c r="E101" s="32" t="n"/>
      <c r="F101" s="32" t="inlineStr">
        <is>
          <t>GILROY</t>
        </is>
      </c>
      <c r="G101" s="32" t="inlineStr">
        <is>
          <t>95020</t>
        </is>
      </c>
      <c r="H101" s="32" t="n"/>
      <c r="I101" s="33" t="inlineStr">
        <is>
          <t>Not started</t>
        </is>
      </c>
      <c r="J101" s="33" t="n"/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4">
        <f>IF(I101="Done",1,0)</f>
        <v/>
      </c>
      <c r="W101" s="34">
        <f>IF(V101=1,IF(OR(P101="Y",L101="Y"),1,0),"")</f>
        <v/>
      </c>
      <c r="X101" s="34">
        <f>IF(V101=1,IF(OR(P101="Y",L101="Y",M101="Y"),1,0),"")</f>
        <v/>
      </c>
      <c r="Y101" s="34">
        <f>IF(V101=1,IF(OR(P101="Y",S101="Y"),1,0),"")</f>
        <v/>
      </c>
      <c r="Z101" s="32" t="inlineStr">
        <is>
          <t>Sole Owner</t>
        </is>
      </c>
    </row>
    <row r="102" ht="15" customHeight="1" s="24">
      <c r="A102" s="32" t="inlineStr">
        <is>
          <t>P097</t>
        </is>
      </c>
      <c r="B102" s="32" t="inlineStr">
        <is>
          <t>Primary</t>
        </is>
      </c>
      <c r="C102" s="32" t="inlineStr">
        <is>
          <t>C-20</t>
        </is>
      </c>
      <c r="D102" s="32" t="inlineStr">
        <is>
          <t>525314</t>
        </is>
      </c>
      <c r="E102" s="32" t="n"/>
      <c r="F102" s="32" t="inlineStr">
        <is>
          <t>LAKE FOREST</t>
        </is>
      </c>
      <c r="G102" s="32" t="inlineStr">
        <is>
          <t>92630</t>
        </is>
      </c>
      <c r="H102" s="32" t="n"/>
      <c r="I102" s="33" t="inlineStr">
        <is>
          <t>Not started</t>
        </is>
      </c>
      <c r="J102" s="33" t="n"/>
      <c r="K102" s="33" t="n"/>
      <c r="L102" s="33" t="n"/>
      <c r="M102" s="33" t="n"/>
      <c r="N102" s="33" t="n"/>
      <c r="O102" s="33" t="n"/>
      <c r="P102" s="33" t="n"/>
      <c r="Q102" s="33" t="n"/>
      <c r="R102" s="33" t="n"/>
      <c r="S102" s="33" t="n"/>
      <c r="T102" s="33" t="n"/>
      <c r="U102" s="33" t="n"/>
      <c r="V102" s="34">
        <f>IF(I102="Done",1,0)</f>
        <v/>
      </c>
      <c r="W102" s="34">
        <f>IF(V102=1,IF(OR(P102="Y",L102="Y"),1,0),"")</f>
        <v/>
      </c>
      <c r="X102" s="34">
        <f>IF(V102=1,IF(OR(P102="Y",L102="Y",M102="Y"),1,0),"")</f>
        <v/>
      </c>
      <c r="Y102" s="34">
        <f>IF(V102=1,IF(OR(P102="Y",S102="Y"),1,0),"")</f>
        <v/>
      </c>
      <c r="Z102" s="32" t="inlineStr">
        <is>
          <t>Corporation</t>
        </is>
      </c>
    </row>
    <row r="103" ht="15" customHeight="1" s="24">
      <c r="A103" s="32" t="inlineStr">
        <is>
          <t>P098</t>
        </is>
      </c>
      <c r="B103" s="32" t="inlineStr">
        <is>
          <t>Primary</t>
        </is>
      </c>
      <c r="C103" s="32" t="inlineStr">
        <is>
          <t>C-10</t>
        </is>
      </c>
      <c r="D103" s="32" t="inlineStr">
        <is>
          <t>787587</t>
        </is>
      </c>
      <c r="E103" s="32" t="n"/>
      <c r="F103" s="32" t="inlineStr">
        <is>
          <t>SANTA CRUZ</t>
        </is>
      </c>
      <c r="G103" s="32" t="inlineStr">
        <is>
          <t>95003</t>
        </is>
      </c>
      <c r="H103" s="32" t="n"/>
      <c r="I103" s="33" t="inlineStr">
        <is>
          <t>Not started</t>
        </is>
      </c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4">
        <f>IF(I103="Done",1,0)</f>
        <v/>
      </c>
      <c r="W103" s="34">
        <f>IF(V103=1,IF(OR(P103="Y",L103="Y"),1,0),"")</f>
        <v/>
      </c>
      <c r="X103" s="34">
        <f>IF(V103=1,IF(OR(P103="Y",L103="Y",M103="Y"),1,0),"")</f>
        <v/>
      </c>
      <c r="Y103" s="34">
        <f>IF(V103=1,IF(OR(P103="Y",S103="Y"),1,0),"")</f>
        <v/>
      </c>
      <c r="Z103" s="32" t="inlineStr">
        <is>
          <t>Sole Owner</t>
        </is>
      </c>
    </row>
    <row r="104" ht="15" customHeight="1" s="24">
      <c r="A104" s="32" t="inlineStr">
        <is>
          <t>P099</t>
        </is>
      </c>
      <c r="B104" s="32" t="inlineStr">
        <is>
          <t>Primary</t>
        </is>
      </c>
      <c r="C104" s="32" t="inlineStr">
        <is>
          <t>C-20</t>
        </is>
      </c>
      <c r="D104" s="32" t="inlineStr">
        <is>
          <t>867860</t>
        </is>
      </c>
      <c r="E104" s="32" t="n"/>
      <c r="F104" s="32" t="inlineStr">
        <is>
          <t>ELK GROVE</t>
        </is>
      </c>
      <c r="G104" s="32" t="inlineStr">
        <is>
          <t>95624</t>
        </is>
      </c>
      <c r="H104" s="32" t="n"/>
      <c r="I104" s="33" t="inlineStr">
        <is>
          <t>Not started</t>
        </is>
      </c>
      <c r="J104" s="33" t="n"/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33" t="n"/>
      <c r="T104" s="33" t="n"/>
      <c r="U104" s="33" t="n"/>
      <c r="V104" s="34">
        <f>IF(I104="Done",1,0)</f>
        <v/>
      </c>
      <c r="W104" s="34">
        <f>IF(V104=1,IF(OR(P104="Y",L104="Y"),1,0),"")</f>
        <v/>
      </c>
      <c r="X104" s="34">
        <f>IF(V104=1,IF(OR(P104="Y",L104="Y",M104="Y"),1,0),"")</f>
        <v/>
      </c>
      <c r="Y104" s="34">
        <f>IF(V104=1,IF(OR(P104="Y",S104="Y"),1,0),"")</f>
        <v/>
      </c>
      <c r="Z104" s="32" t="inlineStr">
        <is>
          <t>Corporation</t>
        </is>
      </c>
    </row>
    <row r="105" ht="15" customHeight="1" s="24">
      <c r="A105" s="32" t="inlineStr">
        <is>
          <t>P100</t>
        </is>
      </c>
      <c r="B105" s="32" t="inlineStr">
        <is>
          <t>Primary</t>
        </is>
      </c>
      <c r="C105" s="32" t="inlineStr">
        <is>
          <t>C-20</t>
        </is>
      </c>
      <c r="D105" s="32" t="inlineStr">
        <is>
          <t>1054064</t>
        </is>
      </c>
      <c r="E105" s="32" t="n"/>
      <c r="F105" s="32" t="inlineStr">
        <is>
          <t>PITTSBURG</t>
        </is>
      </c>
      <c r="G105" s="32" t="inlineStr">
        <is>
          <t>94565</t>
        </is>
      </c>
      <c r="H105" s="32" t="n"/>
      <c r="I105" s="33" t="inlineStr">
        <is>
          <t>Not started</t>
        </is>
      </c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4">
        <f>IF(I105="Done",1,0)</f>
        <v/>
      </c>
      <c r="W105" s="34">
        <f>IF(V105=1,IF(OR(P105="Y",L105="Y"),1,0),"")</f>
        <v/>
      </c>
      <c r="X105" s="34">
        <f>IF(V105=1,IF(OR(P105="Y",L105="Y",M105="Y"),1,0),"")</f>
        <v/>
      </c>
      <c r="Y105" s="34">
        <f>IF(V105=1,IF(OR(P105="Y",S105="Y"),1,0),"")</f>
        <v/>
      </c>
      <c r="Z105" s="32" t="inlineStr">
        <is>
          <t>Corporation</t>
        </is>
      </c>
    </row>
    <row r="106" ht="15" customHeight="1" s="24">
      <c r="A106" s="32" t="inlineStr">
        <is>
          <t>R101</t>
        </is>
      </c>
      <c r="B106" s="32" t="inlineStr">
        <is>
          <t>Reserve</t>
        </is>
      </c>
      <c r="C106" s="32" t="inlineStr">
        <is>
          <t>C-10</t>
        </is>
      </c>
      <c r="D106" s="32" t="inlineStr">
        <is>
          <t>658542</t>
        </is>
      </c>
      <c r="E106" s="32" t="n"/>
      <c r="F106" s="32" t="inlineStr">
        <is>
          <t>SAN DIEGO</t>
        </is>
      </c>
      <c r="G106" s="32" t="inlineStr">
        <is>
          <t>92195</t>
        </is>
      </c>
      <c r="H106" s="32" t="n"/>
      <c r="I106" s="33" t="inlineStr">
        <is>
          <t>Not started</t>
        </is>
      </c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  <c r="V106" s="34">
        <f>IF(I106="Done",1,0)</f>
        <v/>
      </c>
      <c r="W106" s="34">
        <f>IF(V106=1,IF(OR(P106="Y",L106="Y"),1,0),"")</f>
        <v/>
      </c>
      <c r="X106" s="34">
        <f>IF(V106=1,IF(OR(P106="Y",L106="Y",M106="Y"),1,0),"")</f>
        <v/>
      </c>
      <c r="Y106" s="34">
        <f>IF(V106=1,IF(OR(P106="Y",S106="Y"),1,0),"")</f>
        <v/>
      </c>
      <c r="Z106" s="32" t="inlineStr">
        <is>
          <t>Sole Owner</t>
        </is>
      </c>
    </row>
    <row r="107" ht="15" customHeight="1" s="24">
      <c r="A107" s="32" t="inlineStr">
        <is>
          <t>R102</t>
        </is>
      </c>
      <c r="B107" s="32" t="inlineStr">
        <is>
          <t>Reserve</t>
        </is>
      </c>
      <c r="C107" s="32" t="inlineStr">
        <is>
          <t>C-10</t>
        </is>
      </c>
      <c r="D107" s="32" t="inlineStr">
        <is>
          <t>895441</t>
        </is>
      </c>
      <c r="E107" s="32" t="n"/>
      <c r="F107" s="32" t="inlineStr">
        <is>
          <t>GRANADA HILLS</t>
        </is>
      </c>
      <c r="G107" s="32" t="inlineStr">
        <is>
          <t>91344</t>
        </is>
      </c>
      <c r="H107" s="32" t="n"/>
      <c r="I107" s="33" t="inlineStr">
        <is>
          <t>Not started</t>
        </is>
      </c>
      <c r="J107" s="33" t="n"/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3" t="n"/>
      <c r="V107" s="34">
        <f>IF(I107="Done",1,0)</f>
        <v/>
      </c>
      <c r="W107" s="34">
        <f>IF(V107=1,IF(OR(P107="Y",L107="Y"),1,0),"")</f>
        <v/>
      </c>
      <c r="X107" s="34">
        <f>IF(V107=1,IF(OR(P107="Y",L107="Y",M107="Y"),1,0),"")</f>
        <v/>
      </c>
      <c r="Y107" s="34">
        <f>IF(V107=1,IF(OR(P107="Y",S107="Y"),1,0),"")</f>
        <v/>
      </c>
      <c r="Z107" s="32" t="inlineStr">
        <is>
          <t>Sole Owner</t>
        </is>
      </c>
    </row>
    <row r="108" ht="15" customHeight="1" s="24">
      <c r="A108" s="32" t="inlineStr">
        <is>
          <t>R103</t>
        </is>
      </c>
      <c r="B108" s="32" t="inlineStr">
        <is>
          <t>Reserve</t>
        </is>
      </c>
      <c r="C108" s="32" t="inlineStr">
        <is>
          <t>C-10</t>
        </is>
      </c>
      <c r="D108" s="32" t="inlineStr">
        <is>
          <t>1145353</t>
        </is>
      </c>
      <c r="E108" s="32" t="n"/>
      <c r="F108" s="32" t="inlineStr">
        <is>
          <t>SANTA ANA</t>
        </is>
      </c>
      <c r="G108" s="32" t="inlineStr">
        <is>
          <t>92703</t>
        </is>
      </c>
      <c r="H108" s="32" t="n"/>
      <c r="I108" s="33" t="inlineStr">
        <is>
          <t>Not started</t>
        </is>
      </c>
      <c r="J108" s="33" t="n"/>
      <c r="K108" s="33" t="n"/>
      <c r="L108" s="33" t="n"/>
      <c r="M108" s="33" t="n"/>
      <c r="N108" s="33" t="n"/>
      <c r="O108" s="33" t="n"/>
      <c r="P108" s="33" t="n"/>
      <c r="Q108" s="33" t="n"/>
      <c r="R108" s="33" t="n"/>
      <c r="S108" s="33" t="n"/>
      <c r="T108" s="33" t="n"/>
      <c r="U108" s="33" t="n"/>
      <c r="V108" s="34">
        <f>IF(I108="Done",1,0)</f>
        <v/>
      </c>
      <c r="W108" s="34">
        <f>IF(V108=1,IF(OR(P108="Y",L108="Y"),1,0),"")</f>
        <v/>
      </c>
      <c r="X108" s="34">
        <f>IF(V108=1,IF(OR(P108="Y",L108="Y",M108="Y"),1,0),"")</f>
        <v/>
      </c>
      <c r="Y108" s="34">
        <f>IF(V108=1,IF(OR(P108="Y",S108="Y"),1,0),"")</f>
        <v/>
      </c>
      <c r="Z108" s="32" t="inlineStr">
        <is>
          <t>Sole Owner</t>
        </is>
      </c>
    </row>
    <row r="109" ht="15" customHeight="1" s="24">
      <c r="A109" s="32" t="inlineStr">
        <is>
          <t>R104</t>
        </is>
      </c>
      <c r="B109" s="32" t="inlineStr">
        <is>
          <t>Reserve</t>
        </is>
      </c>
      <c r="C109" s="32" t="inlineStr">
        <is>
          <t>C-10</t>
        </is>
      </c>
      <c r="D109" s="32" t="inlineStr">
        <is>
          <t>1105585</t>
        </is>
      </c>
      <c r="E109" s="32" t="n"/>
      <c r="F109" s="32" t="inlineStr">
        <is>
          <t>LA JOLLA</t>
        </is>
      </c>
      <c r="G109" s="32" t="inlineStr">
        <is>
          <t>92037</t>
        </is>
      </c>
      <c r="H109" s="32" t="n"/>
      <c r="I109" s="33" t="inlineStr">
        <is>
          <t>Not started</t>
        </is>
      </c>
      <c r="J109" s="33" t="n"/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n"/>
      <c r="U109" s="33" t="n"/>
      <c r="V109" s="34">
        <f>IF(I109="Done",1,0)</f>
        <v/>
      </c>
      <c r="W109" s="34">
        <f>IF(V109=1,IF(OR(P109="Y",L109="Y"),1,0),"")</f>
        <v/>
      </c>
      <c r="X109" s="34">
        <f>IF(V109=1,IF(OR(P109="Y",L109="Y",M109="Y"),1,0),"")</f>
        <v/>
      </c>
      <c r="Y109" s="34">
        <f>IF(V109=1,IF(OR(P109="Y",S109="Y"),1,0),"")</f>
        <v/>
      </c>
      <c r="Z109" s="32" t="inlineStr">
        <is>
          <t>Sole Owner</t>
        </is>
      </c>
    </row>
    <row r="110" ht="15" customHeight="1" s="24">
      <c r="A110" s="32" t="inlineStr">
        <is>
          <t>R105</t>
        </is>
      </c>
      <c r="B110" s="32" t="inlineStr">
        <is>
          <t>Reserve</t>
        </is>
      </c>
      <c r="C110" s="32" t="inlineStr">
        <is>
          <t>C-10</t>
        </is>
      </c>
      <c r="D110" s="32" t="inlineStr">
        <is>
          <t>420589</t>
        </is>
      </c>
      <c r="E110" s="32" t="n"/>
      <c r="F110" s="32" t="inlineStr">
        <is>
          <t>TEMECULA</t>
        </is>
      </c>
      <c r="G110" s="32" t="inlineStr">
        <is>
          <t>92591</t>
        </is>
      </c>
      <c r="H110" s="32" t="n"/>
      <c r="I110" s="33" t="inlineStr">
        <is>
          <t>Not started</t>
        </is>
      </c>
      <c r="J110" s="33" t="n"/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33" t="n"/>
      <c r="T110" s="33" t="n"/>
      <c r="U110" s="33" t="n"/>
      <c r="V110" s="34">
        <f>IF(I110="Done",1,0)</f>
        <v/>
      </c>
      <c r="W110" s="34">
        <f>IF(V110=1,IF(OR(P110="Y",L110="Y"),1,0),"")</f>
        <v/>
      </c>
      <c r="X110" s="34">
        <f>IF(V110=1,IF(OR(P110="Y",L110="Y",M110="Y"),1,0),"")</f>
        <v/>
      </c>
      <c r="Y110" s="34">
        <f>IF(V110=1,IF(OR(P110="Y",S110="Y"),1,0),"")</f>
        <v/>
      </c>
      <c r="Z110" s="32" t="inlineStr">
        <is>
          <t>Sole Owner</t>
        </is>
      </c>
    </row>
    <row r="111" ht="15" customHeight="1" s="24">
      <c r="A111" s="32" t="inlineStr">
        <is>
          <t>R106</t>
        </is>
      </c>
      <c r="B111" s="32" t="inlineStr">
        <is>
          <t>Reserve</t>
        </is>
      </c>
      <c r="C111" s="32" t="inlineStr">
        <is>
          <t>C-10</t>
        </is>
      </c>
      <c r="D111" s="32" t="inlineStr">
        <is>
          <t>1121392</t>
        </is>
      </c>
      <c r="E111" s="32" t="n"/>
      <c r="F111" s="32" t="inlineStr">
        <is>
          <t>SAN FERNANDO</t>
        </is>
      </c>
      <c r="G111" s="32" t="inlineStr">
        <is>
          <t>91340</t>
        </is>
      </c>
      <c r="H111" s="32" t="n"/>
      <c r="I111" s="33" t="inlineStr">
        <is>
          <t>Not started</t>
        </is>
      </c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4">
        <f>IF(I111="Done",1,0)</f>
        <v/>
      </c>
      <c r="W111" s="34">
        <f>IF(V111=1,IF(OR(P111="Y",L111="Y"),1,0),"")</f>
        <v/>
      </c>
      <c r="X111" s="34">
        <f>IF(V111=1,IF(OR(P111="Y",L111="Y",M111="Y"),1,0),"")</f>
        <v/>
      </c>
      <c r="Y111" s="34">
        <f>IF(V111=1,IF(OR(P111="Y",S111="Y"),1,0),"")</f>
        <v/>
      </c>
      <c r="Z111" s="32" t="inlineStr">
        <is>
          <t>Corporation</t>
        </is>
      </c>
    </row>
    <row r="112" ht="15" customHeight="1" s="24">
      <c r="A112" s="32" t="inlineStr">
        <is>
          <t>R107</t>
        </is>
      </c>
      <c r="B112" s="32" t="inlineStr">
        <is>
          <t>Reserve</t>
        </is>
      </c>
      <c r="C112" s="32" t="inlineStr">
        <is>
          <t>C-10</t>
        </is>
      </c>
      <c r="D112" s="32" t="inlineStr">
        <is>
          <t>1157184</t>
        </is>
      </c>
      <c r="E112" s="32" t="n"/>
      <c r="F112" s="32" t="inlineStr">
        <is>
          <t>DIAMOND BAR</t>
        </is>
      </c>
      <c r="G112" s="32" t="inlineStr">
        <is>
          <t>91765</t>
        </is>
      </c>
      <c r="H112" s="32" t="n"/>
      <c r="I112" s="33" t="inlineStr">
        <is>
          <t>Not started</t>
        </is>
      </c>
      <c r="J112" s="33" t="n"/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3" t="n"/>
      <c r="T112" s="33" t="n"/>
      <c r="U112" s="33" t="n"/>
      <c r="V112" s="34">
        <f>IF(I112="Done",1,0)</f>
        <v/>
      </c>
      <c r="W112" s="34">
        <f>IF(V112=1,IF(OR(P112="Y",L112="Y"),1,0),"")</f>
        <v/>
      </c>
      <c r="X112" s="34">
        <f>IF(V112=1,IF(OR(P112="Y",L112="Y",M112="Y"),1,0),"")</f>
        <v/>
      </c>
      <c r="Y112" s="34">
        <f>IF(V112=1,IF(OR(P112="Y",S112="Y"),1,0),"")</f>
        <v/>
      </c>
      <c r="Z112" s="32" t="inlineStr">
        <is>
          <t>Corporation</t>
        </is>
      </c>
    </row>
    <row r="113" ht="15" customHeight="1" s="24">
      <c r="A113" s="32" t="inlineStr">
        <is>
          <t>R108</t>
        </is>
      </c>
      <c r="B113" s="32" t="inlineStr">
        <is>
          <t>Reserve</t>
        </is>
      </c>
      <c r="C113" s="32" t="inlineStr">
        <is>
          <t>C-20</t>
        </is>
      </c>
      <c r="D113" s="32" t="inlineStr">
        <is>
          <t>1130155</t>
        </is>
      </c>
      <c r="E113" s="32" t="n"/>
      <c r="F113" s="32" t="inlineStr">
        <is>
          <t>LEMON GROVE</t>
        </is>
      </c>
      <c r="G113" s="32" t="inlineStr">
        <is>
          <t>91945</t>
        </is>
      </c>
      <c r="H113" s="32" t="n"/>
      <c r="I113" s="33" t="inlineStr">
        <is>
          <t>Not started</t>
        </is>
      </c>
      <c r="J113" s="33" t="n"/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4">
        <f>IF(I113="Done",1,0)</f>
        <v/>
      </c>
      <c r="W113" s="34">
        <f>IF(V113=1,IF(OR(P113="Y",L113="Y"),1,0),"")</f>
        <v/>
      </c>
      <c r="X113" s="34">
        <f>IF(V113=1,IF(OR(P113="Y",L113="Y",M113="Y"),1,0),"")</f>
        <v/>
      </c>
      <c r="Y113" s="34">
        <f>IF(V113=1,IF(OR(P113="Y",S113="Y"),1,0),"")</f>
        <v/>
      </c>
      <c r="Z113" s="32" t="inlineStr">
        <is>
          <t>Sole Owner</t>
        </is>
      </c>
    </row>
    <row r="114" ht="15" customHeight="1" s="24">
      <c r="A114" s="32" t="inlineStr">
        <is>
          <t>R109</t>
        </is>
      </c>
      <c r="B114" s="32" t="inlineStr">
        <is>
          <t>Reserve</t>
        </is>
      </c>
      <c r="C114" s="32" t="inlineStr">
        <is>
          <t>C-20</t>
        </is>
      </c>
      <c r="D114" s="32" t="inlineStr">
        <is>
          <t>610649</t>
        </is>
      </c>
      <c r="E114" s="32" t="n"/>
      <c r="F114" s="32" t="inlineStr">
        <is>
          <t>SANTA ROSA</t>
        </is>
      </c>
      <c r="G114" s="32" t="inlineStr">
        <is>
          <t>95403</t>
        </is>
      </c>
      <c r="H114" s="32" t="n"/>
      <c r="I114" s="33" t="inlineStr">
        <is>
          <t>Not started</t>
        </is>
      </c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34">
        <f>IF(I114="Done",1,0)</f>
        <v/>
      </c>
      <c r="W114" s="34">
        <f>IF(V114=1,IF(OR(P114="Y",L114="Y"),1,0),"")</f>
        <v/>
      </c>
      <c r="X114" s="34">
        <f>IF(V114=1,IF(OR(P114="Y",L114="Y",M114="Y"),1,0),"")</f>
        <v/>
      </c>
      <c r="Y114" s="34">
        <f>IF(V114=1,IF(OR(P114="Y",S114="Y"),1,0),"")</f>
        <v/>
      </c>
      <c r="Z114" s="32" t="inlineStr">
        <is>
          <t>Corporation</t>
        </is>
      </c>
    </row>
    <row r="115" ht="15" customHeight="1" s="24">
      <c r="A115" s="32" t="inlineStr">
        <is>
          <t>R110</t>
        </is>
      </c>
      <c r="B115" s="32" t="inlineStr">
        <is>
          <t>Reserve</t>
        </is>
      </c>
      <c r="C115" s="32" t="inlineStr">
        <is>
          <t>C-20</t>
        </is>
      </c>
      <c r="D115" s="32" t="inlineStr">
        <is>
          <t>881480</t>
        </is>
      </c>
      <c r="E115" s="32" t="n"/>
      <c r="F115" s="32" t="inlineStr">
        <is>
          <t>YUBA CITY</t>
        </is>
      </c>
      <c r="G115" s="32" t="inlineStr">
        <is>
          <t>95992</t>
        </is>
      </c>
      <c r="H115" s="32" t="n"/>
      <c r="I115" s="33" t="inlineStr">
        <is>
          <t>Not started</t>
        </is>
      </c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4">
        <f>IF(I115="Done",1,0)</f>
        <v/>
      </c>
      <c r="W115" s="34">
        <f>IF(V115=1,IF(OR(P115="Y",L115="Y"),1,0),"")</f>
        <v/>
      </c>
      <c r="X115" s="34">
        <f>IF(V115=1,IF(OR(P115="Y",L115="Y",M115="Y"),1,0),"")</f>
        <v/>
      </c>
      <c r="Y115" s="34">
        <f>IF(V115=1,IF(OR(P115="Y",S115="Y"),1,0),"")</f>
        <v/>
      </c>
      <c r="Z115" s="32" t="inlineStr">
        <is>
          <t>Sole Owner</t>
        </is>
      </c>
    </row>
    <row r="116" ht="15" customHeight="1" s="24">
      <c r="A116" s="32" t="inlineStr">
        <is>
          <t>R111</t>
        </is>
      </c>
      <c r="B116" s="32" t="inlineStr">
        <is>
          <t>Reserve</t>
        </is>
      </c>
      <c r="C116" s="32" t="inlineStr">
        <is>
          <t>C-20</t>
        </is>
      </c>
      <c r="D116" s="32" t="inlineStr">
        <is>
          <t>757170</t>
        </is>
      </c>
      <c r="E116" s="32" t="n"/>
      <c r="F116" s="32" t="inlineStr">
        <is>
          <t>SALINAS</t>
        </is>
      </c>
      <c r="G116" s="32" t="inlineStr">
        <is>
          <t>93905</t>
        </is>
      </c>
      <c r="H116" s="32" t="n"/>
      <c r="I116" s="33" t="inlineStr">
        <is>
          <t>Not started</t>
        </is>
      </c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3" t="n"/>
      <c r="V116" s="34">
        <f>IF(I116="Done",1,0)</f>
        <v/>
      </c>
      <c r="W116" s="34">
        <f>IF(V116=1,IF(OR(P116="Y",L116="Y"),1,0),"")</f>
        <v/>
      </c>
      <c r="X116" s="34">
        <f>IF(V116=1,IF(OR(P116="Y",L116="Y",M116="Y"),1,0),"")</f>
        <v/>
      </c>
      <c r="Y116" s="34">
        <f>IF(V116=1,IF(OR(P116="Y",S116="Y"),1,0),"")</f>
        <v/>
      </c>
      <c r="Z116" s="32" t="inlineStr">
        <is>
          <t>Corporation</t>
        </is>
      </c>
    </row>
    <row r="117" ht="15" customHeight="1" s="24">
      <c r="A117" s="32" t="inlineStr">
        <is>
          <t>R112</t>
        </is>
      </c>
      <c r="B117" s="32" t="inlineStr">
        <is>
          <t>Reserve</t>
        </is>
      </c>
      <c r="C117" s="32" t="inlineStr">
        <is>
          <t>C-20</t>
        </is>
      </c>
      <c r="D117" s="32" t="inlineStr">
        <is>
          <t>811885</t>
        </is>
      </c>
      <c r="E117" s="32" t="n"/>
      <c r="F117" s="32" t="inlineStr">
        <is>
          <t>PALM DESERT</t>
        </is>
      </c>
      <c r="G117" s="32" t="inlineStr">
        <is>
          <t>92255</t>
        </is>
      </c>
      <c r="H117" s="32" t="n"/>
      <c r="I117" s="33" t="inlineStr">
        <is>
          <t>Not started</t>
        </is>
      </c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4">
        <f>IF(I117="Done",1,0)</f>
        <v/>
      </c>
      <c r="W117" s="34">
        <f>IF(V117=1,IF(OR(P117="Y",L117="Y"),1,0),"")</f>
        <v/>
      </c>
      <c r="X117" s="34">
        <f>IF(V117=1,IF(OR(P117="Y",L117="Y",M117="Y"),1,0),"")</f>
        <v/>
      </c>
      <c r="Y117" s="34">
        <f>IF(V117=1,IF(OR(P117="Y",S117="Y"),1,0),"")</f>
        <v/>
      </c>
      <c r="Z117" s="32" t="inlineStr">
        <is>
          <t>Limited Liability</t>
        </is>
      </c>
    </row>
    <row r="118" ht="15" customHeight="1" s="24">
      <c r="A118" s="32" t="inlineStr">
        <is>
          <t>R113</t>
        </is>
      </c>
      <c r="B118" s="32" t="inlineStr">
        <is>
          <t>Reserve</t>
        </is>
      </c>
      <c r="C118" s="32" t="inlineStr">
        <is>
          <t>C-20</t>
        </is>
      </c>
      <c r="D118" s="32" t="inlineStr">
        <is>
          <t>820798</t>
        </is>
      </c>
      <c r="E118" s="32" t="n"/>
      <c r="F118" s="32" t="inlineStr">
        <is>
          <t>SAN JOSE</t>
        </is>
      </c>
      <c r="G118" s="32" t="inlineStr">
        <is>
          <t>95136</t>
        </is>
      </c>
      <c r="H118" s="32" t="n"/>
      <c r="I118" s="33" t="inlineStr">
        <is>
          <t>Not started</t>
        </is>
      </c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3" t="n"/>
      <c r="V118" s="34">
        <f>IF(I118="Done",1,0)</f>
        <v/>
      </c>
      <c r="W118" s="34">
        <f>IF(V118=1,IF(OR(P118="Y",L118="Y"),1,0),"")</f>
        <v/>
      </c>
      <c r="X118" s="34">
        <f>IF(V118=1,IF(OR(P118="Y",L118="Y",M118="Y"),1,0),"")</f>
        <v/>
      </c>
      <c r="Y118" s="34">
        <f>IF(V118=1,IF(OR(P118="Y",S118="Y"),1,0),"")</f>
        <v/>
      </c>
      <c r="Z118" s="32" t="inlineStr">
        <is>
          <t>Sole Owner</t>
        </is>
      </c>
    </row>
    <row r="119" ht="15" customHeight="1" s="24">
      <c r="A119" s="32" t="inlineStr">
        <is>
          <t>R114</t>
        </is>
      </c>
      <c r="B119" s="32" t="inlineStr">
        <is>
          <t>Reserve</t>
        </is>
      </c>
      <c r="C119" s="32" t="inlineStr">
        <is>
          <t>C-20</t>
        </is>
      </c>
      <c r="D119" s="32" t="inlineStr">
        <is>
          <t>1016201</t>
        </is>
      </c>
      <c r="E119" s="32" t="n"/>
      <c r="F119" s="32" t="inlineStr">
        <is>
          <t>WINNETKA</t>
        </is>
      </c>
      <c r="G119" s="32" t="inlineStr">
        <is>
          <t>91306</t>
        </is>
      </c>
      <c r="H119" s="32" t="n"/>
      <c r="I119" s="33" t="inlineStr">
        <is>
          <t>Not started</t>
        </is>
      </c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4">
        <f>IF(I119="Done",1,0)</f>
        <v/>
      </c>
      <c r="W119" s="34">
        <f>IF(V119=1,IF(OR(P119="Y",L119="Y"),1,0),"")</f>
        <v/>
      </c>
      <c r="X119" s="34">
        <f>IF(V119=1,IF(OR(P119="Y",L119="Y",M119="Y"),1,0),"")</f>
        <v/>
      </c>
      <c r="Y119" s="34">
        <f>IF(V119=1,IF(OR(P119="Y",S119="Y"),1,0),"")</f>
        <v/>
      </c>
      <c r="Z119" s="32" t="inlineStr">
        <is>
          <t>Sole Owner</t>
        </is>
      </c>
    </row>
    <row r="120" ht="15" customHeight="1" s="24">
      <c r="A120" s="32" t="inlineStr">
        <is>
          <t>R115</t>
        </is>
      </c>
      <c r="B120" s="32" t="inlineStr">
        <is>
          <t>Reserve</t>
        </is>
      </c>
      <c r="C120" s="32" t="inlineStr">
        <is>
          <t>C-36</t>
        </is>
      </c>
      <c r="D120" s="32" t="inlineStr">
        <is>
          <t>934963</t>
        </is>
      </c>
      <c r="E120" s="32" t="n"/>
      <c r="F120" s="32" t="inlineStr">
        <is>
          <t>FRESNO</t>
        </is>
      </c>
      <c r="G120" s="32" t="inlineStr">
        <is>
          <t>93711</t>
        </is>
      </c>
      <c r="H120" s="32" t="n"/>
      <c r="I120" s="33" t="inlineStr">
        <is>
          <t>Not started</t>
        </is>
      </c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4">
        <f>IF(I120="Done",1,0)</f>
        <v/>
      </c>
      <c r="W120" s="34">
        <f>IF(V120=1,IF(OR(P120="Y",L120="Y"),1,0),"")</f>
        <v/>
      </c>
      <c r="X120" s="34">
        <f>IF(V120=1,IF(OR(P120="Y",L120="Y",M120="Y"),1,0),"")</f>
        <v/>
      </c>
      <c r="Y120" s="34">
        <f>IF(V120=1,IF(OR(P120="Y",S120="Y"),1,0),"")</f>
        <v/>
      </c>
      <c r="Z120" s="32" t="inlineStr">
        <is>
          <t>Partnership</t>
        </is>
      </c>
    </row>
    <row r="121" ht="15" customHeight="1" s="24">
      <c r="A121" s="32" t="inlineStr">
        <is>
          <t>R116</t>
        </is>
      </c>
      <c r="B121" s="32" t="inlineStr">
        <is>
          <t>Reserve</t>
        </is>
      </c>
      <c r="C121" s="32" t="inlineStr">
        <is>
          <t>C-36</t>
        </is>
      </c>
      <c r="D121" s="32" t="inlineStr">
        <is>
          <t>984156</t>
        </is>
      </c>
      <c r="E121" s="32" t="n"/>
      <c r="F121" s="32" t="inlineStr">
        <is>
          <t>GRANADA HILLS</t>
        </is>
      </c>
      <c r="G121" s="32" t="inlineStr">
        <is>
          <t>91394</t>
        </is>
      </c>
      <c r="H121" s="32" t="n"/>
      <c r="I121" s="33" t="inlineStr">
        <is>
          <t>Not started</t>
        </is>
      </c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4">
        <f>IF(I121="Done",1,0)</f>
        <v/>
      </c>
      <c r="W121" s="34">
        <f>IF(V121=1,IF(OR(P121="Y",L121="Y"),1,0),"")</f>
        <v/>
      </c>
      <c r="X121" s="34">
        <f>IF(V121=1,IF(OR(P121="Y",L121="Y",M121="Y"),1,0),"")</f>
        <v/>
      </c>
      <c r="Y121" s="34">
        <f>IF(V121=1,IF(OR(P121="Y",S121="Y"),1,0),"")</f>
        <v/>
      </c>
      <c r="Z121" s="32" t="inlineStr">
        <is>
          <t>Corporation</t>
        </is>
      </c>
    </row>
    <row r="122" ht="15" customHeight="1" s="24">
      <c r="A122" s="32" t="inlineStr">
        <is>
          <t>R117</t>
        </is>
      </c>
      <c r="B122" s="32" t="inlineStr">
        <is>
          <t>Reserve</t>
        </is>
      </c>
      <c r="C122" s="32" t="inlineStr">
        <is>
          <t>C-36</t>
        </is>
      </c>
      <c r="D122" s="32" t="inlineStr">
        <is>
          <t>970181</t>
        </is>
      </c>
      <c r="E122" s="32" t="n"/>
      <c r="F122" s="32" t="inlineStr">
        <is>
          <t>LAGUNA HILLS</t>
        </is>
      </c>
      <c r="G122" s="32" t="inlineStr">
        <is>
          <t>92653</t>
        </is>
      </c>
      <c r="H122" s="32" t="n"/>
      <c r="I122" s="33" t="inlineStr">
        <is>
          <t>Not started</t>
        </is>
      </c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3" t="n"/>
      <c r="V122" s="34">
        <f>IF(I122="Done",1,0)</f>
        <v/>
      </c>
      <c r="W122" s="34">
        <f>IF(V122=1,IF(OR(P122="Y",L122="Y"),1,0),"")</f>
        <v/>
      </c>
      <c r="X122" s="34">
        <f>IF(V122=1,IF(OR(P122="Y",L122="Y",M122="Y"),1,0),"")</f>
        <v/>
      </c>
      <c r="Y122" s="34">
        <f>IF(V122=1,IF(OR(P122="Y",S122="Y"),1,0),"")</f>
        <v/>
      </c>
      <c r="Z122" s="32" t="inlineStr">
        <is>
          <t>Corporation</t>
        </is>
      </c>
    </row>
    <row r="123" ht="15" customHeight="1" s="24">
      <c r="A123" s="32" t="inlineStr">
        <is>
          <t>R118</t>
        </is>
      </c>
      <c r="B123" s="32" t="inlineStr">
        <is>
          <t>Reserve</t>
        </is>
      </c>
      <c r="C123" s="32" t="inlineStr">
        <is>
          <t>C-36</t>
        </is>
      </c>
      <c r="D123" s="32" t="inlineStr">
        <is>
          <t>890590</t>
        </is>
      </c>
      <c r="E123" s="32" t="n"/>
      <c r="F123" s="32" t="inlineStr">
        <is>
          <t>WEAVERVILLE</t>
        </is>
      </c>
      <c r="G123" s="32" t="inlineStr">
        <is>
          <t>96093</t>
        </is>
      </c>
      <c r="H123" s="32" t="n"/>
      <c r="I123" s="33" t="inlineStr">
        <is>
          <t>Not started</t>
        </is>
      </c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3" t="n"/>
      <c r="V123" s="34">
        <f>IF(I123="Done",1,0)</f>
        <v/>
      </c>
      <c r="W123" s="34">
        <f>IF(V123=1,IF(OR(P123="Y",L123="Y"),1,0),"")</f>
        <v/>
      </c>
      <c r="X123" s="34">
        <f>IF(V123=1,IF(OR(P123="Y",L123="Y",M123="Y"),1,0),"")</f>
        <v/>
      </c>
      <c r="Y123" s="34">
        <f>IF(V123=1,IF(OR(P123="Y",S123="Y"),1,0),"")</f>
        <v/>
      </c>
      <c r="Z123" s="32" t="inlineStr">
        <is>
          <t>Sole Owner</t>
        </is>
      </c>
    </row>
    <row r="124" ht="15" customHeight="1" s="24">
      <c r="A124" s="32" t="inlineStr">
        <is>
          <t>R119</t>
        </is>
      </c>
      <c r="B124" s="32" t="inlineStr">
        <is>
          <t>Reserve</t>
        </is>
      </c>
      <c r="C124" s="32" t="inlineStr">
        <is>
          <t>C-36</t>
        </is>
      </c>
      <c r="D124" s="32" t="inlineStr">
        <is>
          <t>1029250</t>
        </is>
      </c>
      <c r="E124" s="32" t="n"/>
      <c r="F124" s="32" t="inlineStr">
        <is>
          <t>VAN NUYS</t>
        </is>
      </c>
      <c r="G124" s="32" t="inlineStr">
        <is>
          <t>91401</t>
        </is>
      </c>
      <c r="H124" s="32" t="n"/>
      <c r="I124" s="33" t="inlineStr">
        <is>
          <t>Not started</t>
        </is>
      </c>
      <c r="J124" s="33" t="n"/>
      <c r="K124" s="33" t="n"/>
      <c r="L124" s="33" t="n"/>
      <c r="M124" s="33" t="n"/>
      <c r="N124" s="33" t="n"/>
      <c r="O124" s="33" t="n"/>
      <c r="P124" s="33" t="n"/>
      <c r="Q124" s="33" t="n"/>
      <c r="R124" s="33" t="n"/>
      <c r="S124" s="33" t="n"/>
      <c r="T124" s="33" t="n"/>
      <c r="U124" s="33" t="n"/>
      <c r="V124" s="34">
        <f>IF(I124="Done",1,0)</f>
        <v/>
      </c>
      <c r="W124" s="34">
        <f>IF(V124=1,IF(OR(P124="Y",L124="Y"),1,0),"")</f>
        <v/>
      </c>
      <c r="X124" s="34">
        <f>IF(V124=1,IF(OR(P124="Y",L124="Y",M124="Y"),1,0),"")</f>
        <v/>
      </c>
      <c r="Y124" s="34">
        <f>IF(V124=1,IF(OR(P124="Y",S124="Y"),1,0),"")</f>
        <v/>
      </c>
      <c r="Z124" s="32" t="inlineStr">
        <is>
          <t>Sole Owner</t>
        </is>
      </c>
    </row>
    <row r="125" ht="15" customHeight="1" s="24">
      <c r="A125" s="32" t="inlineStr">
        <is>
          <t>R120</t>
        </is>
      </c>
      <c r="B125" s="32" t="inlineStr">
        <is>
          <t>Reserve</t>
        </is>
      </c>
      <c r="C125" s="32" t="inlineStr">
        <is>
          <t>C-36</t>
        </is>
      </c>
      <c r="D125" s="32" t="inlineStr">
        <is>
          <t>539285</t>
        </is>
      </c>
      <c r="E125" s="32" t="n"/>
      <c r="F125" s="32" t="inlineStr">
        <is>
          <t>ANAHEIM</t>
        </is>
      </c>
      <c r="G125" s="32" t="inlineStr">
        <is>
          <t>92804</t>
        </is>
      </c>
      <c r="H125" s="32" t="n"/>
      <c r="I125" s="33" t="inlineStr">
        <is>
          <t>Not started</t>
        </is>
      </c>
      <c r="J125" s="33" t="n"/>
      <c r="K125" s="33" t="n"/>
      <c r="L125" s="33" t="n"/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34">
        <f>IF(I125="Done",1,0)</f>
        <v/>
      </c>
      <c r="W125" s="34">
        <f>IF(V125=1,IF(OR(P125="Y",L125="Y"),1,0),"")</f>
        <v/>
      </c>
      <c r="X125" s="34">
        <f>IF(V125=1,IF(OR(P125="Y",L125="Y",M125="Y"),1,0),"")</f>
        <v/>
      </c>
      <c r="Y125" s="34">
        <f>IF(V125=1,IF(OR(P125="Y",S125="Y"),1,0),"")</f>
        <v/>
      </c>
      <c r="Z125" s="32" t="inlineStr">
        <is>
          <t>Sole Owner</t>
        </is>
      </c>
    </row>
  </sheetData>
  <dataValidations count="12">
    <dataValidation sqref="I6:I125" showDropDown="0" showInputMessage="0" showErrorMessage="0" allowBlank="1" error="Choose from the list" type="list" errorStyle="stop" operator="between">
      <formula1>"Done,Skipped - out of business,Skipped - cannot identify firm,Not started"</formula1>
      <formula2>0</formula2>
    </dataValidation>
    <dataValidation sqref="J6:J125" showDropDown="0" showInputMessage="0" showErrorMessage="0" allowBlank="1" error="Choose from the list" type="list" errorStyle="stop" operator="between">
      <formula1>"Y,N"</formula1>
      <formula2>0</formula2>
    </dataValidation>
    <dataValidation sqref="K6:K125" showDropDown="0" showInputMessage="0" showErrorMessage="0" allowBlank="1" error="Choose from the list" type="list" errorStyle="stop" operator="between">
      <formula1>"Y,N"</formula1>
      <formula2>0</formula2>
    </dataValidation>
    <dataValidation sqref="L6:L125" showDropDown="0" showInputMessage="0" showErrorMessage="0" allowBlank="1" error="Choose from the list" type="list" errorStyle="stop" operator="between">
      <formula1>"Y,N"</formula1>
      <formula2>0</formula2>
    </dataValidation>
    <dataValidation sqref="M6:M125" showDropDown="0" showInputMessage="0" showErrorMessage="0" allowBlank="1" error="Choose from the list" type="list" errorStyle="stop" operator="between">
      <formula1>"Y,N"</formula1>
      <formula2>0</formula2>
    </dataValidation>
    <dataValidation sqref="N6:N125" showDropDown="0" showInputMessage="0" showErrorMessage="0" allowBlank="1" error="Choose from the list" type="list" errorStyle="stop" operator="between">
      <formula1>"Y,N"</formula1>
      <formula2>0</formula2>
    </dataValidation>
    <dataValidation sqref="O6:O125" showDropDown="0" showInputMessage="0" showErrorMessage="0" allowBlank="1" error="Choose from the list" type="list" errorStyle="stop" operator="between">
      <formula1>"0,1-2,3+"</formula1>
      <formula2>0</formula2>
    </dataValidation>
    <dataValidation sqref="P6:P125" showDropDown="0" showInputMessage="0" showErrorMessage="0" allowBlank="1" error="Choose from the list" type="list" errorStyle="stop" operator="between">
      <formula1>"Y,N"</formula1>
      <formula2>0</formula2>
    </dataValidation>
    <dataValidation sqref="Q6:Q125" showDropDown="0" showInputMessage="0" showErrorMessage="0" allowBlank="1" error="Choose from the list" type="list" errorStyle="stop" operator="between">
      <formula1>"Y,N,Can't tell"</formula1>
      <formula2>0</formula2>
    </dataValidation>
    <dataValidation sqref="R6:R125" showDropDown="0" showInputMessage="0" showErrorMessage="0" allowBlank="1" error="Choose from the list" type="list" errorStyle="stop" operator="between">
      <formula1>"Y,N"</formula1>
      <formula2>0</formula2>
    </dataValidation>
    <dataValidation sqref="S6:S125" showDropDown="0" showInputMessage="0" showErrorMessage="0" allowBlank="1" error="Choose from the list" type="list" errorStyle="stop" operator="between">
      <formula1>"Y,N"</formula1>
      <formula2>0</formula2>
    </dataValidation>
    <dataValidation sqref="T6:T125" showDropDown="0" showInputMessage="0" showErrorMessage="0" allowBlank="1" type="decimal" errorStyle="stop" operator="between">
      <formula1>0</formula1>
      <formula2>60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N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0" customWidth="1" style="23" min="1" max="1"/>
    <col width="44" customWidth="1" style="23" min="2" max="2"/>
    <col width="9" customWidth="1" style="23" min="3" max="14"/>
  </cols>
  <sheetData>
    <row r="1" ht="17.35" customHeight="1" s="24">
      <c r="A1" s="25" t="inlineStr">
        <is>
          <t>Results — live from Log (share of Done rows; Wilson 95% intervals)</t>
        </is>
      </c>
    </row>
    <row r="2" ht="15" customHeight="1" s="24">
      <c r="A2" s="26" t="inlineStr">
        <is>
          <t>Empty until rows are marked Done. Rates are for currently licensed California C-10/C-20/C-36 contractors; they are not national estimates.</t>
        </is>
      </c>
    </row>
    <row r="3" ht="15" customHeight="1" s="24">
      <c r="A3" s="35" t="inlineStr">
        <is>
          <t>z (95%)</t>
        </is>
      </c>
      <c r="B3" s="36" t="n">
        <v>1.96</v>
      </c>
      <c r="C3" s="35" t="inlineStr">
        <is>
          <t>LinkedIn proxy used in 05/06 (contractor personas)</t>
        </is>
      </c>
      <c r="F3" s="37" t="n">
        <v>0.2</v>
      </c>
      <c r="G3" s="35" t="inlineStr">
        <is>
          <t>Minimum n for a verdict</t>
        </is>
      </c>
      <c r="I3" s="38" t="n">
        <v>60</v>
      </c>
    </row>
    <row r="5" ht="15" customHeight="1" s="24">
      <c r="A5" s="31" t="inlineStr">
        <is>
          <t>Metric</t>
        </is>
      </c>
      <c r="B5" s="31" t="inlineStr">
        <is>
          <t>Definition</t>
        </is>
      </c>
      <c r="C5" s="31" t="inlineStr">
        <is>
          <t>All rate</t>
        </is>
      </c>
      <c r="D5" s="31" t="inlineStr">
        <is>
          <t>All low</t>
        </is>
      </c>
      <c r="E5" s="31" t="inlineStr">
        <is>
          <t>All high</t>
        </is>
      </c>
      <c r="F5" s="31" t="inlineStr">
        <is>
          <t>C-10 rate</t>
        </is>
      </c>
      <c r="G5" s="31" t="inlineStr">
        <is>
          <t>C-10 low</t>
        </is>
      </c>
      <c r="H5" s="31" t="inlineStr">
        <is>
          <t>C-10 high</t>
        </is>
      </c>
      <c r="I5" s="31" t="inlineStr">
        <is>
          <t>C-20 rate</t>
        </is>
      </c>
      <c r="J5" s="31" t="inlineStr">
        <is>
          <t>C-20 low</t>
        </is>
      </c>
      <c r="K5" s="31" t="inlineStr">
        <is>
          <t>C-20 high</t>
        </is>
      </c>
      <c r="L5" s="31" t="inlineStr">
        <is>
          <t>C-36 rate</t>
        </is>
      </c>
      <c r="M5" s="31" t="inlineStr">
        <is>
          <t>C-36 low</t>
        </is>
      </c>
      <c r="N5" s="31" t="inlineStr">
        <is>
          <t>C-36 high</t>
        </is>
      </c>
    </row>
    <row r="6" ht="15" customHeight="1" s="24">
      <c r="A6" s="35" t="inlineStr">
        <is>
          <t>Firms completed (n)</t>
        </is>
      </c>
      <c r="B6" s="32" t="inlineStr">
        <is>
          <t>Status = Done</t>
        </is>
      </c>
      <c r="C6" s="39">
        <f>COUNTIFS(Log!$I$6:$I$125,"Done")</f>
        <v/>
      </c>
      <c r="F6" s="39">
        <f>COUNTIFS(Log!$I$6:$I$125,"Done",Log!$C$6:$C$125,"C-10")</f>
        <v/>
      </c>
      <c r="I6" s="39">
        <f>COUNTIFS(Log!$I$6:$I$125,"Done",Log!$C$6:$C$125,"C-20")</f>
        <v/>
      </c>
      <c r="L6" s="39">
        <f>COUNTIFS(Log!$I$6:$I$125,"Done",Log!$C$6:$C$125,"C-36")</f>
        <v/>
      </c>
    </row>
    <row r="7" ht="15" customHeight="1" s="24">
      <c r="A7" s="35" t="inlineStr">
        <is>
          <t>Skipped share</t>
        </is>
      </c>
      <c r="B7" s="32" t="inlineStr">
        <is>
          <t>Skipped ÷ (Done + Skipped) — closed or unidentifiable firms</t>
        </is>
      </c>
      <c r="C7" s="40">
        <f>IFERROR(COUNTIFS(Log!$I$6:$I$125,"Skipped*")/(COUNTIFS(Log!$I$6:$I$125,"Skipped*")+C6),"")</f>
        <v/>
      </c>
      <c r="F7" s="40">
        <f>IFERROR(COUNTIFS(Log!$I$6:$I$125,"Skipped*",Log!$C$6:$C$125,"C-10")/(COUNTIFS(Log!$I$6:$I$125,"Skipped*",Log!$C$6:$C$125,"C-10")+F6),"")</f>
        <v/>
      </c>
      <c r="I7" s="40">
        <f>IFERROR(COUNTIFS(Log!$I$6:$I$125,"Skipped*",Log!$C$6:$C$125,"C-20")/(COUNTIFS(Log!$I$6:$I$125,"Skipped*",Log!$C$6:$C$125,"C-20")+I6),"")</f>
        <v/>
      </c>
      <c r="L7" s="40">
        <f>IFERROR(COUNTIFS(Log!$I$6:$I$125,"Skipped*",Log!$C$6:$C$125,"C-36")/(COUNTIFS(Log!$I$6:$I$125,"Skipped*",Log!$C$6:$C$125,"C-36")+L6),"")</f>
        <v/>
      </c>
    </row>
    <row r="9" ht="15" customHeight="1" s="24">
      <c r="A9" s="32" t="inlineStr">
        <is>
          <t>Apollo company record</t>
        </is>
      </c>
      <c r="B9" s="28" t="inlineStr">
        <is>
          <t>Apollo has an organization record matching the firm</t>
        </is>
      </c>
      <c r="C9" s="40">
        <f>IFERROR(COUNTIFS(Log!$I$6:$I$125,"Done",Log!$N$6:$N$125,"Y")/C$6,"")</f>
        <v/>
      </c>
      <c r="D9" s="40">
        <f>IFERROR(MAX(0,(C9+$B$3^2/(2*C$6))/(1+$B$3^2/C$6)-($B$3*SQRT(C9*(1-C9)/C$6+$B$3^2/(4*C$6^2)))/(1+$B$3^2/C$6)),"")</f>
        <v/>
      </c>
      <c r="E9" s="40">
        <f>IFERROR(MIN(1,(C9+$B$3^2/(2*C$6))/(1+$B$3^2/C$6)+($B$3*SQRT(C9*(1-C9)/C$6+$B$3^2/(4*C$6^2)))/(1+$B$3^2/C$6)),"")</f>
        <v/>
      </c>
      <c r="F9" s="40">
        <f>IFERROR(COUNTIFS(Log!$I$6:$I$125,"Done",Log!$N$6:$N$125,"Y",Log!$C$6:$C$125,"C-10")/F$6,"")</f>
        <v/>
      </c>
      <c r="G9" s="40">
        <f>IFERROR(MAX(0,(F9+$B$3^2/(2*F$6))/(1+$B$3^2/F$6)-($B$3*SQRT(F9*(1-F9)/F$6+$B$3^2/(4*F$6^2)))/(1+$B$3^2/F$6)),"")</f>
        <v/>
      </c>
      <c r="H9" s="40">
        <f>IFERROR(MIN(1,(F9+$B$3^2/(2*F$6))/(1+$B$3^2/F$6)+($B$3*SQRT(F9*(1-F9)/F$6+$B$3^2/(4*F$6^2)))/(1+$B$3^2/F$6)),"")</f>
        <v/>
      </c>
      <c r="I9" s="40">
        <f>IFERROR(COUNTIFS(Log!$I$6:$I$125,"Done",Log!$N$6:$N$125,"Y",Log!$C$6:$C$125,"C-20")/I$6,"")</f>
        <v/>
      </c>
      <c r="J9" s="40">
        <f>IFERROR(MAX(0,(I9+$B$3^2/(2*I$6))/(1+$B$3^2/I$6)-($B$3*SQRT(I9*(1-I9)/I$6+$B$3^2/(4*I$6^2)))/(1+$B$3^2/I$6)),"")</f>
        <v/>
      </c>
      <c r="K9" s="40">
        <f>IFERROR(MIN(1,(I9+$B$3^2/(2*I$6))/(1+$B$3^2/I$6)+($B$3*SQRT(I9*(1-I9)/I$6+$B$3^2/(4*I$6^2)))/(1+$B$3^2/I$6)),"")</f>
        <v/>
      </c>
      <c r="L9" s="40">
        <f>IFERROR(COUNTIFS(Log!$I$6:$I$125,"Done",Log!$N$6:$N$125,"Y",Log!$C$6:$C$125,"C-36")/L$6,"")</f>
        <v/>
      </c>
      <c r="M9" s="40">
        <f>IFERROR(MAX(0,(L9+$B$3^2/(2*L$6))/(1+$B$3^2/L$6)-($B$3*SQRT(L9*(1-L9)/L$6+$B$3^2/(4*L$6^2)))/(1+$B$3^2/L$6)),"")</f>
        <v/>
      </c>
      <c r="N9" s="40">
        <f>IFERROR(MIN(1,(L9+$B$3^2/(2*L$6))/(1+$B$3^2/L$6)+($B$3*SQRT(L9*(1-L9)/L$6+$B$3^2/(4*L$6^2)))/(1+$B$3^2/L$6)),"")</f>
        <v/>
      </c>
    </row>
    <row r="10" ht="23.85" customHeight="1" s="24">
      <c r="A10" s="35" t="inlineStr">
        <is>
          <t>Apollo decision-maker listed  [primary]</t>
        </is>
      </c>
      <c r="B10" s="28" t="inlineStr">
        <is>
          <t>Apollo lists ≥ 1 named contact with a DM title at the firm</t>
        </is>
      </c>
      <c r="C10" s="40">
        <f>IFERROR(COUNTIFS(Log!$I$6:$I$125,"Done",Log!$P$6:$P$125,"Y")/C$6,"")</f>
        <v/>
      </c>
      <c r="D10" s="40">
        <f>IFERROR(MAX(0,(C10+$B$3^2/(2*C$6))/(1+$B$3^2/C$6)-($B$3*SQRT(C10*(1-C10)/C$6+$B$3^2/(4*C$6^2)))/(1+$B$3^2/C$6)),"")</f>
        <v/>
      </c>
      <c r="E10" s="40">
        <f>IFERROR(MIN(1,(C10+$B$3^2/(2*C$6))/(1+$B$3^2/C$6)+($B$3*SQRT(C10*(1-C10)/C$6+$B$3^2/(4*C$6^2)))/(1+$B$3^2/C$6)),"")</f>
        <v/>
      </c>
      <c r="F10" s="40">
        <f>IFERROR(COUNTIFS(Log!$I$6:$I$125,"Done",Log!$P$6:$P$125,"Y",Log!$C$6:$C$125,"C-10")/F$6,"")</f>
        <v/>
      </c>
      <c r="G10" s="40">
        <f>IFERROR(MAX(0,(F10+$B$3^2/(2*F$6))/(1+$B$3^2/F$6)-($B$3*SQRT(F10*(1-F10)/F$6+$B$3^2/(4*F$6^2)))/(1+$B$3^2/F$6)),"")</f>
        <v/>
      </c>
      <c r="H10" s="40">
        <f>IFERROR(MIN(1,(F10+$B$3^2/(2*F$6))/(1+$B$3^2/F$6)+($B$3*SQRT(F10*(1-F10)/F$6+$B$3^2/(4*F$6^2)))/(1+$B$3^2/F$6)),"")</f>
        <v/>
      </c>
      <c r="I10" s="40">
        <f>IFERROR(COUNTIFS(Log!$I$6:$I$125,"Done",Log!$P$6:$P$125,"Y",Log!$C$6:$C$125,"C-20")/I$6,"")</f>
        <v/>
      </c>
      <c r="J10" s="40">
        <f>IFERROR(MAX(0,(I10+$B$3^2/(2*I$6))/(1+$B$3^2/I$6)-($B$3*SQRT(I10*(1-I10)/I$6+$B$3^2/(4*I$6^2)))/(1+$B$3^2/I$6)),"")</f>
        <v/>
      </c>
      <c r="K10" s="40">
        <f>IFERROR(MIN(1,(I10+$B$3^2/(2*I$6))/(1+$B$3^2/I$6)+($B$3*SQRT(I10*(1-I10)/I$6+$B$3^2/(4*I$6^2)))/(1+$B$3^2/I$6)),"")</f>
        <v/>
      </c>
      <c r="L10" s="40">
        <f>IFERROR(COUNTIFS(Log!$I$6:$I$125,"Done",Log!$P$6:$P$125,"Y",Log!$C$6:$C$125,"C-36")/L$6,"")</f>
        <v/>
      </c>
      <c r="M10" s="40">
        <f>IFERROR(MAX(0,(L10+$B$3^2/(2*L$6))/(1+$B$3^2/L$6)-($B$3*SQRT(L10*(1-L10)/L$6+$B$3^2/(4*L$6^2)))/(1+$B$3^2/L$6)),"")</f>
        <v/>
      </c>
      <c r="N10" s="40">
        <f>IFERROR(MIN(1,(L10+$B$3^2/(2*L$6))/(1+$B$3^2/L$6)+($B$3*SQRT(L10*(1-L10)/L$6+$B$3^2/(4*L$6^2)))/(1+$B$3^2/L$6)),"")</f>
        <v/>
      </c>
    </row>
    <row r="11" ht="23.85" customHeight="1" s="24">
      <c r="A11" s="32" t="inlineStr">
        <is>
          <t>Apollo DM email shown available</t>
        </is>
      </c>
      <c r="B11" s="28" t="inlineStr">
        <is>
          <t>Apollo indicates an email is available for that DM (not revealed)</t>
        </is>
      </c>
      <c r="C11" s="40">
        <f>IFERROR(COUNTIFS(Log!$I$6:$I$125,"Done",Log!$Q$6:$Q$125,"Y")/C$6,"")</f>
        <v/>
      </c>
      <c r="D11" s="40">
        <f>IFERROR(MAX(0,(C11+$B$3^2/(2*C$6))/(1+$B$3^2/C$6)-($B$3*SQRT(C11*(1-C11)/C$6+$B$3^2/(4*C$6^2)))/(1+$B$3^2/C$6)),"")</f>
        <v/>
      </c>
      <c r="E11" s="40">
        <f>IFERROR(MIN(1,(C11+$B$3^2/(2*C$6))/(1+$B$3^2/C$6)+($B$3*SQRT(C11*(1-C11)/C$6+$B$3^2/(4*C$6^2)))/(1+$B$3^2/C$6)),"")</f>
        <v/>
      </c>
      <c r="F11" s="40">
        <f>IFERROR(COUNTIFS(Log!$I$6:$I$125,"Done",Log!$Q$6:$Q$125,"Y",Log!$C$6:$C$125,"C-10")/F$6,"")</f>
        <v/>
      </c>
      <c r="G11" s="40">
        <f>IFERROR(MAX(0,(F11+$B$3^2/(2*F$6))/(1+$B$3^2/F$6)-($B$3*SQRT(F11*(1-F11)/F$6+$B$3^2/(4*F$6^2)))/(1+$B$3^2/F$6)),"")</f>
        <v/>
      </c>
      <c r="H11" s="40">
        <f>IFERROR(MIN(1,(F11+$B$3^2/(2*F$6))/(1+$B$3^2/F$6)+($B$3*SQRT(F11*(1-F11)/F$6+$B$3^2/(4*F$6^2)))/(1+$B$3^2/F$6)),"")</f>
        <v/>
      </c>
      <c r="I11" s="40">
        <f>IFERROR(COUNTIFS(Log!$I$6:$I$125,"Done",Log!$Q$6:$Q$125,"Y",Log!$C$6:$C$125,"C-20")/I$6,"")</f>
        <v/>
      </c>
      <c r="J11" s="40">
        <f>IFERROR(MAX(0,(I11+$B$3^2/(2*I$6))/(1+$B$3^2/I$6)-($B$3*SQRT(I11*(1-I11)/I$6+$B$3^2/(4*I$6^2)))/(1+$B$3^2/I$6)),"")</f>
        <v/>
      </c>
      <c r="K11" s="40">
        <f>IFERROR(MIN(1,(I11+$B$3^2/(2*I$6))/(1+$B$3^2/I$6)+($B$3*SQRT(I11*(1-I11)/I$6+$B$3^2/(4*I$6^2)))/(1+$B$3^2/I$6)),"")</f>
        <v/>
      </c>
      <c r="L11" s="40">
        <f>IFERROR(COUNTIFS(Log!$I$6:$I$125,"Done",Log!$Q$6:$Q$125,"Y",Log!$C$6:$C$125,"C-36")/L$6,"")</f>
        <v/>
      </c>
      <c r="M11" s="40">
        <f>IFERROR(MAX(0,(L11+$B$3^2/(2*L$6))/(1+$B$3^2/L$6)-($B$3*SQRT(L11*(1-L11)/L$6+$B$3^2/(4*L$6^2)))/(1+$B$3^2/L$6)),"")</f>
        <v/>
      </c>
      <c r="N11" s="40">
        <f>IFERROR(MIN(1,(L11+$B$3^2/(2*L$6))/(1+$B$3^2/L$6)+($B$3*SQRT(L11*(1-L11)/L$6+$B$3^2/(4*L$6^2)))/(1+$B$3^2/L$6)),"")</f>
        <v/>
      </c>
    </row>
    <row r="12" ht="15" customHeight="1" s="24">
      <c r="A12" s="32" t="inlineStr">
        <is>
          <t>LinkedIn company page</t>
        </is>
      </c>
      <c r="B12" s="28" t="inlineStr">
        <is>
          <t>Firm has a LinkedIn company page</t>
        </is>
      </c>
      <c r="C12" s="40">
        <f>IFERROR(COUNTIFS(Log!$I$6:$I$125,"Done",Log!$R$6:$R$125,"Y")/C$6,"")</f>
        <v/>
      </c>
      <c r="D12" s="40">
        <f>IFERROR(MAX(0,(C12+$B$3^2/(2*C$6))/(1+$B$3^2/C$6)-($B$3*SQRT(C12*(1-C12)/C$6+$B$3^2/(4*C$6^2)))/(1+$B$3^2/C$6)),"")</f>
        <v/>
      </c>
      <c r="E12" s="40">
        <f>IFERROR(MIN(1,(C12+$B$3^2/(2*C$6))/(1+$B$3^2/C$6)+($B$3*SQRT(C12*(1-C12)/C$6+$B$3^2/(4*C$6^2)))/(1+$B$3^2/C$6)),"")</f>
        <v/>
      </c>
      <c r="F12" s="40">
        <f>IFERROR(COUNTIFS(Log!$I$6:$I$125,"Done",Log!$R$6:$R$125,"Y",Log!$C$6:$C$125,"C-10")/F$6,"")</f>
        <v/>
      </c>
      <c r="G12" s="40">
        <f>IFERROR(MAX(0,(F12+$B$3^2/(2*F$6))/(1+$B$3^2/F$6)-($B$3*SQRT(F12*(1-F12)/F$6+$B$3^2/(4*F$6^2)))/(1+$B$3^2/F$6)),"")</f>
        <v/>
      </c>
      <c r="H12" s="40">
        <f>IFERROR(MIN(1,(F12+$B$3^2/(2*F$6))/(1+$B$3^2/F$6)+($B$3*SQRT(F12*(1-F12)/F$6+$B$3^2/(4*F$6^2)))/(1+$B$3^2/F$6)),"")</f>
        <v/>
      </c>
      <c r="I12" s="40">
        <f>IFERROR(COUNTIFS(Log!$I$6:$I$125,"Done",Log!$R$6:$R$125,"Y",Log!$C$6:$C$125,"C-20")/I$6,"")</f>
        <v/>
      </c>
      <c r="J12" s="40">
        <f>IFERROR(MAX(0,(I12+$B$3^2/(2*I$6))/(1+$B$3^2/I$6)-($B$3*SQRT(I12*(1-I12)/I$6+$B$3^2/(4*I$6^2)))/(1+$B$3^2/I$6)),"")</f>
        <v/>
      </c>
      <c r="K12" s="40">
        <f>IFERROR(MIN(1,(I12+$B$3^2/(2*I$6))/(1+$B$3^2/I$6)+($B$3*SQRT(I12*(1-I12)/I$6+$B$3^2/(4*I$6^2)))/(1+$B$3^2/I$6)),"")</f>
        <v/>
      </c>
      <c r="L12" s="40">
        <f>IFERROR(COUNTIFS(Log!$I$6:$I$125,"Done",Log!$R$6:$R$125,"Y",Log!$C$6:$C$125,"C-36")/L$6,"")</f>
        <v/>
      </c>
      <c r="M12" s="40">
        <f>IFERROR(MAX(0,(L12+$B$3^2/(2*L$6))/(1+$B$3^2/L$6)-($B$3*SQRT(L12*(1-L12)/L$6+$B$3^2/(4*L$6^2)))/(1+$B$3^2/L$6)),"")</f>
        <v/>
      </c>
      <c r="N12" s="40">
        <f>IFERROR(MIN(1,(L12+$B$3^2/(2*L$6))/(1+$B$3^2/L$6)+($B$3*SQRT(L12*(1-L12)/L$6+$B$3^2/(4*L$6^2)))/(1+$B$3^2/L$6)),"")</f>
        <v/>
      </c>
    </row>
    <row r="13" ht="23.85" customHeight="1" s="24">
      <c r="A13" s="32" t="inlineStr">
        <is>
          <t>LinkedIn decision-maker profile</t>
        </is>
      </c>
      <c r="B13" s="28" t="inlineStr">
        <is>
          <t>≥ 1 LinkedIn profile names the firm as current employer with a DM title</t>
        </is>
      </c>
      <c r="C13" s="40">
        <f>IFERROR(COUNTIFS(Log!$I$6:$I$125,"Done",Log!$S$6:$S$125,"Y")/C$6,"")</f>
        <v/>
      </c>
      <c r="D13" s="40">
        <f>IFERROR(MAX(0,(C13+$B$3^2/(2*C$6))/(1+$B$3^2/C$6)-($B$3*SQRT(C13*(1-C13)/C$6+$B$3^2/(4*C$6^2)))/(1+$B$3^2/C$6)),"")</f>
        <v/>
      </c>
      <c r="E13" s="40">
        <f>IFERROR(MIN(1,(C13+$B$3^2/(2*C$6))/(1+$B$3^2/C$6)+($B$3*SQRT(C13*(1-C13)/C$6+$B$3^2/(4*C$6^2)))/(1+$B$3^2/C$6)),"")</f>
        <v/>
      </c>
      <c r="F13" s="40">
        <f>IFERROR(COUNTIFS(Log!$I$6:$I$125,"Done",Log!$S$6:$S$125,"Y",Log!$C$6:$C$125,"C-10")/F$6,"")</f>
        <v/>
      </c>
      <c r="G13" s="40">
        <f>IFERROR(MAX(0,(F13+$B$3^2/(2*F$6))/(1+$B$3^2/F$6)-($B$3*SQRT(F13*(1-F13)/F$6+$B$3^2/(4*F$6^2)))/(1+$B$3^2/F$6)),"")</f>
        <v/>
      </c>
      <c r="H13" s="40">
        <f>IFERROR(MIN(1,(F13+$B$3^2/(2*F$6))/(1+$B$3^2/F$6)+($B$3*SQRT(F13*(1-F13)/F$6+$B$3^2/(4*F$6^2)))/(1+$B$3^2/F$6)),"")</f>
        <v/>
      </c>
      <c r="I13" s="40">
        <f>IFERROR(COUNTIFS(Log!$I$6:$I$125,"Done",Log!$S$6:$S$125,"Y",Log!$C$6:$C$125,"C-20")/I$6,"")</f>
        <v/>
      </c>
      <c r="J13" s="40">
        <f>IFERROR(MAX(0,(I13+$B$3^2/(2*I$6))/(1+$B$3^2/I$6)-($B$3*SQRT(I13*(1-I13)/I$6+$B$3^2/(4*I$6^2)))/(1+$B$3^2/I$6)),"")</f>
        <v/>
      </c>
      <c r="K13" s="40">
        <f>IFERROR(MIN(1,(I13+$B$3^2/(2*I$6))/(1+$B$3^2/I$6)+($B$3*SQRT(I13*(1-I13)/I$6+$B$3^2/(4*I$6^2)))/(1+$B$3^2/I$6)),"")</f>
        <v/>
      </c>
      <c r="L13" s="40">
        <f>IFERROR(COUNTIFS(Log!$I$6:$I$125,"Done",Log!$S$6:$S$125,"Y",Log!$C$6:$C$125,"C-36")/L$6,"")</f>
        <v/>
      </c>
      <c r="M13" s="40">
        <f>IFERROR(MAX(0,(L13+$B$3^2/(2*L$6))/(1+$B$3^2/L$6)-($B$3*SQRT(L13*(1-L13)/L$6+$B$3^2/(4*L$6^2)))/(1+$B$3^2/L$6)),"")</f>
        <v/>
      </c>
      <c r="N13" s="40">
        <f>IFERROR(MIN(1,(L13+$B$3^2/(2*L$6))/(1+$B$3^2/L$6)+($B$3*SQRT(L13*(1-L13)/L$6+$B$3^2/(4*L$6^2)))/(1+$B$3^2/L$6)),"")</f>
        <v/>
      </c>
    </row>
    <row r="14" ht="15" customHeight="1" s="24">
      <c r="A14" s="32" t="inlineStr">
        <is>
          <t>Website found</t>
        </is>
      </c>
      <c r="B14" s="28" t="inlineStr">
        <is>
          <t>Firm's own website located</t>
        </is>
      </c>
      <c r="C14" s="40">
        <f>IFERROR(COUNTIFS(Log!$I$6:$I$125,"Done",Log!$J$6:$J$125,"Y")/C$6,"")</f>
        <v/>
      </c>
      <c r="D14" s="40">
        <f>IFERROR(MAX(0,(C14+$B$3^2/(2*C$6))/(1+$B$3^2/C$6)-($B$3*SQRT(C14*(1-C14)/C$6+$B$3^2/(4*C$6^2)))/(1+$B$3^2/C$6)),"")</f>
        <v/>
      </c>
      <c r="E14" s="40">
        <f>IFERROR(MIN(1,(C14+$B$3^2/(2*C$6))/(1+$B$3^2/C$6)+($B$3*SQRT(C14*(1-C14)/C$6+$B$3^2/(4*C$6^2)))/(1+$B$3^2/C$6)),"")</f>
        <v/>
      </c>
      <c r="F14" s="40">
        <f>IFERROR(COUNTIFS(Log!$I$6:$I$125,"Done",Log!$J$6:$J$125,"Y",Log!$C$6:$C$125,"C-10")/F$6,"")</f>
        <v/>
      </c>
      <c r="G14" s="40">
        <f>IFERROR(MAX(0,(F14+$B$3^2/(2*F$6))/(1+$B$3^2/F$6)-($B$3*SQRT(F14*(1-F14)/F$6+$B$3^2/(4*F$6^2)))/(1+$B$3^2/F$6)),"")</f>
        <v/>
      </c>
      <c r="H14" s="40">
        <f>IFERROR(MIN(1,(F14+$B$3^2/(2*F$6))/(1+$B$3^2/F$6)+($B$3*SQRT(F14*(1-F14)/F$6+$B$3^2/(4*F$6^2)))/(1+$B$3^2/F$6)),"")</f>
        <v/>
      </c>
      <c r="I14" s="40">
        <f>IFERROR(COUNTIFS(Log!$I$6:$I$125,"Done",Log!$J$6:$J$125,"Y",Log!$C$6:$C$125,"C-20")/I$6,"")</f>
        <v/>
      </c>
      <c r="J14" s="40">
        <f>IFERROR(MAX(0,(I14+$B$3^2/(2*I$6))/(1+$B$3^2/I$6)-($B$3*SQRT(I14*(1-I14)/I$6+$B$3^2/(4*I$6^2)))/(1+$B$3^2/I$6)),"")</f>
        <v/>
      </c>
      <c r="K14" s="40">
        <f>IFERROR(MIN(1,(I14+$B$3^2/(2*I$6))/(1+$B$3^2/I$6)+($B$3*SQRT(I14*(1-I14)/I$6+$B$3^2/(4*I$6^2)))/(1+$B$3^2/I$6)),"")</f>
        <v/>
      </c>
      <c r="L14" s="40">
        <f>IFERROR(COUNTIFS(Log!$I$6:$I$125,"Done",Log!$J$6:$J$125,"Y",Log!$C$6:$C$125,"C-36")/L$6,"")</f>
        <v/>
      </c>
      <c r="M14" s="40">
        <f>IFERROR(MAX(0,(L14+$B$3^2/(2*L$6))/(1+$B$3^2/L$6)-($B$3*SQRT(L14*(1-L14)/L$6+$B$3^2/(4*L$6^2)))/(1+$B$3^2/L$6)),"")</f>
        <v/>
      </c>
      <c r="N14" s="40">
        <f>IFERROR(MIN(1,(L14+$B$3^2/(2*L$6))/(1+$B$3^2/L$6)+($B$3*SQRT(L14*(1-L14)/L$6+$B$3^2/(4*L$6^2)))/(1+$B$3^2/L$6)),"")</f>
        <v/>
      </c>
    </row>
    <row r="15" ht="15" customHeight="1" s="24">
      <c r="A15" s="32" t="inlineStr">
        <is>
          <t>Google Business Profile</t>
        </is>
      </c>
      <c r="B15" s="28" t="inlineStr">
        <is>
          <t>Firm has a Google Maps / Business Profile</t>
        </is>
      </c>
      <c r="C15" s="40">
        <f>IFERROR(COUNTIFS(Log!$I$6:$I$125,"Done",Log!$K$6:$K$125,"Y")/C$6,"")</f>
        <v/>
      </c>
      <c r="D15" s="40">
        <f>IFERROR(MAX(0,(C15+$B$3^2/(2*C$6))/(1+$B$3^2/C$6)-($B$3*SQRT(C15*(1-C15)/C$6+$B$3^2/(4*C$6^2)))/(1+$B$3^2/C$6)),"")</f>
        <v/>
      </c>
      <c r="E15" s="40">
        <f>IFERROR(MIN(1,(C15+$B$3^2/(2*C$6))/(1+$B$3^2/C$6)+($B$3*SQRT(C15*(1-C15)/C$6+$B$3^2/(4*C$6^2)))/(1+$B$3^2/C$6)),"")</f>
        <v/>
      </c>
      <c r="F15" s="40">
        <f>IFERROR(COUNTIFS(Log!$I$6:$I$125,"Done",Log!$K$6:$K$125,"Y",Log!$C$6:$C$125,"C-10")/F$6,"")</f>
        <v/>
      </c>
      <c r="G15" s="40">
        <f>IFERROR(MAX(0,(F15+$B$3^2/(2*F$6))/(1+$B$3^2/F$6)-($B$3*SQRT(F15*(1-F15)/F$6+$B$3^2/(4*F$6^2)))/(1+$B$3^2/F$6)),"")</f>
        <v/>
      </c>
      <c r="H15" s="40">
        <f>IFERROR(MIN(1,(F15+$B$3^2/(2*F$6))/(1+$B$3^2/F$6)+($B$3*SQRT(F15*(1-F15)/F$6+$B$3^2/(4*F$6^2)))/(1+$B$3^2/F$6)),"")</f>
        <v/>
      </c>
      <c r="I15" s="40">
        <f>IFERROR(COUNTIFS(Log!$I$6:$I$125,"Done",Log!$K$6:$K$125,"Y",Log!$C$6:$C$125,"C-20")/I$6,"")</f>
        <v/>
      </c>
      <c r="J15" s="40">
        <f>IFERROR(MAX(0,(I15+$B$3^2/(2*I$6))/(1+$B$3^2/I$6)-($B$3*SQRT(I15*(1-I15)/I$6+$B$3^2/(4*I$6^2)))/(1+$B$3^2/I$6)),"")</f>
        <v/>
      </c>
      <c r="K15" s="40">
        <f>IFERROR(MIN(1,(I15+$B$3^2/(2*I$6))/(1+$B$3^2/I$6)+($B$3*SQRT(I15*(1-I15)/I$6+$B$3^2/(4*I$6^2)))/(1+$B$3^2/I$6)),"")</f>
        <v/>
      </c>
      <c r="L15" s="40">
        <f>IFERROR(COUNTIFS(Log!$I$6:$I$125,"Done",Log!$K$6:$K$125,"Y",Log!$C$6:$C$125,"C-36")/L$6,"")</f>
        <v/>
      </c>
      <c r="M15" s="40">
        <f>IFERROR(MAX(0,(L15+$B$3^2/(2*L$6))/(1+$B$3^2/L$6)-($B$3*SQRT(L15*(1-L15)/L$6+$B$3^2/(4*L$6^2)))/(1+$B$3^2/L$6)),"")</f>
        <v/>
      </c>
      <c r="N15" s="40">
        <f>IFERROR(MIN(1,(L15+$B$3^2/(2*L$6))/(1+$B$3^2/L$6)+($B$3*SQRT(L15*(1-L15)/L$6+$B$3^2/(4*L$6^2)))/(1+$B$3^2/L$6)),"")</f>
        <v/>
      </c>
    </row>
    <row r="16" ht="23.85" customHeight="1" s="24">
      <c r="A16" s="32" t="inlineStr">
        <is>
          <t>Web DM identifiable</t>
        </is>
      </c>
      <c r="B16" s="28" t="inlineStr">
        <is>
          <t>DM name + role identifiable on website or Google profile</t>
        </is>
      </c>
      <c r="C16" s="40">
        <f>IFERROR(COUNTIFS(Log!$I$6:$I$125,"Done",Log!$L$6:$L$125,"Y")/C$6,"")</f>
        <v/>
      </c>
      <c r="D16" s="40">
        <f>IFERROR(MAX(0,(C16+$B$3^2/(2*C$6))/(1+$B$3^2/C$6)-($B$3*SQRT(C16*(1-C16)/C$6+$B$3^2/(4*C$6^2)))/(1+$B$3^2/C$6)),"")</f>
        <v/>
      </c>
      <c r="E16" s="40">
        <f>IFERROR(MIN(1,(C16+$B$3^2/(2*C$6))/(1+$B$3^2/C$6)+($B$3*SQRT(C16*(1-C16)/C$6+$B$3^2/(4*C$6^2)))/(1+$B$3^2/C$6)),"")</f>
        <v/>
      </c>
      <c r="F16" s="40">
        <f>IFERROR(COUNTIFS(Log!$I$6:$I$125,"Done",Log!$L$6:$L$125,"Y",Log!$C$6:$C$125,"C-10")/F$6,"")</f>
        <v/>
      </c>
      <c r="G16" s="40">
        <f>IFERROR(MAX(0,(F16+$B$3^2/(2*F$6))/(1+$B$3^2/F$6)-($B$3*SQRT(F16*(1-F16)/F$6+$B$3^2/(4*F$6^2)))/(1+$B$3^2/F$6)),"")</f>
        <v/>
      </c>
      <c r="H16" s="40">
        <f>IFERROR(MIN(1,(F16+$B$3^2/(2*F$6))/(1+$B$3^2/F$6)+($B$3*SQRT(F16*(1-F16)/F$6+$B$3^2/(4*F$6^2)))/(1+$B$3^2/F$6)),"")</f>
        <v/>
      </c>
      <c r="I16" s="40">
        <f>IFERROR(COUNTIFS(Log!$I$6:$I$125,"Done",Log!$L$6:$L$125,"Y",Log!$C$6:$C$125,"C-20")/I$6,"")</f>
        <v/>
      </c>
      <c r="J16" s="40">
        <f>IFERROR(MAX(0,(I16+$B$3^2/(2*I$6))/(1+$B$3^2/I$6)-($B$3*SQRT(I16*(1-I16)/I$6+$B$3^2/(4*I$6^2)))/(1+$B$3^2/I$6)),"")</f>
        <v/>
      </c>
      <c r="K16" s="40">
        <f>IFERROR(MIN(1,(I16+$B$3^2/(2*I$6))/(1+$B$3^2/I$6)+($B$3*SQRT(I16*(1-I16)/I$6+$B$3^2/(4*I$6^2)))/(1+$B$3^2/I$6)),"")</f>
        <v/>
      </c>
      <c r="L16" s="40">
        <f>IFERROR(COUNTIFS(Log!$I$6:$I$125,"Done",Log!$L$6:$L$125,"Y",Log!$C$6:$C$125,"C-36")/L$6,"")</f>
        <v/>
      </c>
      <c r="M16" s="40">
        <f>IFERROR(MAX(0,(L16+$B$3^2/(2*L$6))/(1+$B$3^2/L$6)-($B$3*SQRT(L16*(1-L16)/L$6+$B$3^2/(4*L$6^2)))/(1+$B$3^2/L$6)),"")</f>
        <v/>
      </c>
      <c r="N16" s="40">
        <f>IFERROR(MIN(1,(L16+$B$3^2/(2*L$6))/(1+$B$3^2/L$6)+($B$3*SQRT(L16*(1-L16)/L$6+$B$3^2/(4*L$6^2)))/(1+$B$3^2/L$6)),"")</f>
        <v/>
      </c>
    </row>
    <row r="17" ht="15" customHeight="1" s="24">
      <c r="A17" s="32" t="inlineStr">
        <is>
          <t>Registry person of record</t>
        </is>
      </c>
      <c r="B17" s="28" t="inlineStr">
        <is>
          <t>CSLB license detail lists a qualifier / officer / owner</t>
        </is>
      </c>
      <c r="C17" s="40">
        <f>IFERROR(COUNTIFS(Log!$I$6:$I$125,"Done",Log!$M$6:$M$125,"Y")/C$6,"")</f>
        <v/>
      </c>
      <c r="D17" s="40">
        <f>IFERROR(MAX(0,(C17+$B$3^2/(2*C$6))/(1+$B$3^2/C$6)-($B$3*SQRT(C17*(1-C17)/C$6+$B$3^2/(4*C$6^2)))/(1+$B$3^2/C$6)),"")</f>
        <v/>
      </c>
      <c r="E17" s="40">
        <f>IFERROR(MIN(1,(C17+$B$3^2/(2*C$6))/(1+$B$3^2/C$6)+($B$3*SQRT(C17*(1-C17)/C$6+$B$3^2/(4*C$6^2)))/(1+$B$3^2/C$6)),"")</f>
        <v/>
      </c>
      <c r="F17" s="40">
        <f>IFERROR(COUNTIFS(Log!$I$6:$I$125,"Done",Log!$M$6:$M$125,"Y",Log!$C$6:$C$125,"C-10")/F$6,"")</f>
        <v/>
      </c>
      <c r="G17" s="40">
        <f>IFERROR(MAX(0,(F17+$B$3^2/(2*F$6))/(1+$B$3^2/F$6)-($B$3*SQRT(F17*(1-F17)/F$6+$B$3^2/(4*F$6^2)))/(1+$B$3^2/F$6)),"")</f>
        <v/>
      </c>
      <c r="H17" s="40">
        <f>IFERROR(MIN(1,(F17+$B$3^2/(2*F$6))/(1+$B$3^2/F$6)+($B$3*SQRT(F17*(1-F17)/F$6+$B$3^2/(4*F$6^2)))/(1+$B$3^2/F$6)),"")</f>
        <v/>
      </c>
      <c r="I17" s="40">
        <f>IFERROR(COUNTIFS(Log!$I$6:$I$125,"Done",Log!$M$6:$M$125,"Y",Log!$C$6:$C$125,"C-20")/I$6,"")</f>
        <v/>
      </c>
      <c r="J17" s="40">
        <f>IFERROR(MAX(0,(I17+$B$3^2/(2*I$6))/(1+$B$3^2/I$6)-($B$3*SQRT(I17*(1-I17)/I$6+$B$3^2/(4*I$6^2)))/(1+$B$3^2/I$6)),"")</f>
        <v/>
      </c>
      <c r="K17" s="40">
        <f>IFERROR(MIN(1,(I17+$B$3^2/(2*I$6))/(1+$B$3^2/I$6)+($B$3*SQRT(I17*(1-I17)/I$6+$B$3^2/(4*I$6^2)))/(1+$B$3^2/I$6)),"")</f>
        <v/>
      </c>
      <c r="L17" s="40">
        <f>IFERROR(COUNTIFS(Log!$I$6:$I$125,"Done",Log!$M$6:$M$125,"Y",Log!$C$6:$C$125,"C-36")/L$6,"")</f>
        <v/>
      </c>
      <c r="M17" s="40">
        <f>IFERROR(MAX(0,(L17+$B$3^2/(2*L$6))/(1+$B$3^2/L$6)-($B$3*SQRT(L17*(1-L17)/L$6+$B$3^2/(4*L$6^2)))/(1+$B$3^2/L$6)),"")</f>
        <v/>
      </c>
      <c r="N17" s="40">
        <f>IFERROR(MIN(1,(L17+$B$3^2/(2*L$6))/(1+$B$3^2/L$6)+($B$3*SQRT(L17*(1-L17)/L$6+$B$3^2/(4*L$6^2)))/(1+$B$3^2/L$6)),"")</f>
        <v/>
      </c>
    </row>
    <row r="18" ht="15" customHeight="1" s="24">
      <c r="A18" s="35" t="inlineStr">
        <is>
          <t>Apollo ∪ web DM  [Clay-style waterfall]</t>
        </is>
      </c>
      <c r="B18" s="28" t="inlineStr">
        <is>
          <t>DM found in Apollo or on website / Google profile</t>
        </is>
      </c>
      <c r="C18" s="40">
        <f>IFERROR(SUMIFS(Log!$W$6:$W$125,Log!$V$6:$V$125,1)/C$6,"")</f>
        <v/>
      </c>
      <c r="D18" s="40">
        <f>IFERROR(MAX(0,(C18+$B$3^2/(2*C$6))/(1+$B$3^2/C$6)-($B$3*SQRT(C18*(1-C18)/C$6+$B$3^2/(4*C$6^2)))/(1+$B$3^2/C$6)),"")</f>
        <v/>
      </c>
      <c r="E18" s="40">
        <f>IFERROR(MIN(1,(C18+$B$3^2/(2*C$6))/(1+$B$3^2/C$6)+($B$3*SQRT(C18*(1-C18)/C$6+$B$3^2/(4*C$6^2)))/(1+$B$3^2/C$6)),"")</f>
        <v/>
      </c>
      <c r="F18" s="40">
        <f>IFERROR(SUMIFS(Log!$W$6:$W$125,Log!$V$6:$V$125,1,Log!$C$6:$C$125,"C-10")/F$6,"")</f>
        <v/>
      </c>
      <c r="G18" s="40">
        <f>IFERROR(MAX(0,(F18+$B$3^2/(2*F$6))/(1+$B$3^2/F$6)-($B$3*SQRT(F18*(1-F18)/F$6+$B$3^2/(4*F$6^2)))/(1+$B$3^2/F$6)),"")</f>
        <v/>
      </c>
      <c r="H18" s="40">
        <f>IFERROR(MIN(1,(F18+$B$3^2/(2*F$6))/(1+$B$3^2/F$6)+($B$3*SQRT(F18*(1-F18)/F$6+$B$3^2/(4*F$6^2)))/(1+$B$3^2/F$6)),"")</f>
        <v/>
      </c>
      <c r="I18" s="40">
        <f>IFERROR(SUMIFS(Log!$W$6:$W$125,Log!$V$6:$V$125,1,Log!$C$6:$C$125,"C-20")/I$6,"")</f>
        <v/>
      </c>
      <c r="J18" s="40">
        <f>IFERROR(MAX(0,(I18+$B$3^2/(2*I$6))/(1+$B$3^2/I$6)-($B$3*SQRT(I18*(1-I18)/I$6+$B$3^2/(4*I$6^2)))/(1+$B$3^2/I$6)),"")</f>
        <v/>
      </c>
      <c r="K18" s="40">
        <f>IFERROR(MIN(1,(I18+$B$3^2/(2*I$6))/(1+$B$3^2/I$6)+($B$3*SQRT(I18*(1-I18)/I$6+$B$3^2/(4*I$6^2)))/(1+$B$3^2/I$6)),"")</f>
        <v/>
      </c>
      <c r="L18" s="40">
        <f>IFERROR(SUMIFS(Log!$W$6:$W$125,Log!$V$6:$V$125,1,Log!$C$6:$C$125,"C-36")/L$6,"")</f>
        <v/>
      </c>
      <c r="M18" s="40">
        <f>IFERROR(MAX(0,(L18+$B$3^2/(2*L$6))/(1+$B$3^2/L$6)-($B$3*SQRT(L18*(1-L18)/L$6+$B$3^2/(4*L$6^2)))/(1+$B$3^2/L$6)),"")</f>
        <v/>
      </c>
      <c r="N18" s="40">
        <f>IFERROR(MIN(1,(L18+$B$3^2/(2*L$6))/(1+$B$3^2/L$6)+($B$3*SQRT(L18*(1-L18)/L$6+$B$3^2/(4*L$6^2)))/(1+$B$3^2/L$6)),"")</f>
        <v/>
      </c>
    </row>
    <row r="19" ht="15" customHeight="1" s="24">
      <c r="A19" s="32" t="inlineStr">
        <is>
          <t>Apollo ∪ web ∪ registry DM  [upper bound]</t>
        </is>
      </c>
      <c r="B19" s="28" t="inlineStr">
        <is>
          <t>Adds CSLB person of record</t>
        </is>
      </c>
      <c r="C19" s="40">
        <f>IFERROR(SUMIFS(Log!$X$6:$X$125,Log!$V$6:$V$125,1)/C$6,"")</f>
        <v/>
      </c>
      <c r="D19" s="40">
        <f>IFERROR(MAX(0,(C19+$B$3^2/(2*C$6))/(1+$B$3^2/C$6)-($B$3*SQRT(C19*(1-C19)/C$6+$B$3^2/(4*C$6^2)))/(1+$B$3^2/C$6)),"")</f>
        <v/>
      </c>
      <c r="E19" s="40">
        <f>IFERROR(MIN(1,(C19+$B$3^2/(2*C$6))/(1+$B$3^2/C$6)+($B$3*SQRT(C19*(1-C19)/C$6+$B$3^2/(4*C$6^2)))/(1+$B$3^2/C$6)),"")</f>
        <v/>
      </c>
      <c r="F19" s="40">
        <f>IFERROR(SUMIFS(Log!$X$6:$X$125,Log!$V$6:$V$125,1,Log!$C$6:$C$125,"C-10")/F$6,"")</f>
        <v/>
      </c>
      <c r="G19" s="40">
        <f>IFERROR(MAX(0,(F19+$B$3^2/(2*F$6))/(1+$B$3^2/F$6)-($B$3*SQRT(F19*(1-F19)/F$6+$B$3^2/(4*F$6^2)))/(1+$B$3^2/F$6)),"")</f>
        <v/>
      </c>
      <c r="H19" s="40">
        <f>IFERROR(MIN(1,(F19+$B$3^2/(2*F$6))/(1+$B$3^2/F$6)+($B$3*SQRT(F19*(1-F19)/F$6+$B$3^2/(4*F$6^2)))/(1+$B$3^2/F$6)),"")</f>
        <v/>
      </c>
      <c r="I19" s="40">
        <f>IFERROR(SUMIFS(Log!$X$6:$X$125,Log!$V$6:$V$125,1,Log!$C$6:$C$125,"C-20")/I$6,"")</f>
        <v/>
      </c>
      <c r="J19" s="40">
        <f>IFERROR(MAX(0,(I19+$B$3^2/(2*I$6))/(1+$B$3^2/I$6)-($B$3*SQRT(I19*(1-I19)/I$6+$B$3^2/(4*I$6^2)))/(1+$B$3^2/I$6)),"")</f>
        <v/>
      </c>
      <c r="K19" s="40">
        <f>IFERROR(MIN(1,(I19+$B$3^2/(2*I$6))/(1+$B$3^2/I$6)+($B$3*SQRT(I19*(1-I19)/I$6+$B$3^2/(4*I$6^2)))/(1+$B$3^2/I$6)),"")</f>
        <v/>
      </c>
      <c r="L19" s="40">
        <f>IFERROR(SUMIFS(Log!$X$6:$X$125,Log!$V$6:$V$125,1,Log!$C$6:$C$125,"C-36")/L$6,"")</f>
        <v/>
      </c>
      <c r="M19" s="40">
        <f>IFERROR(MAX(0,(L19+$B$3^2/(2*L$6))/(1+$B$3^2/L$6)-($B$3*SQRT(L19*(1-L19)/L$6+$B$3^2/(4*L$6^2)))/(1+$B$3^2/L$6)),"")</f>
        <v/>
      </c>
      <c r="N19" s="40">
        <f>IFERROR(MIN(1,(L19+$B$3^2/(2*L$6))/(1+$B$3^2/L$6)+($B$3*SQRT(L19*(1-L19)/L$6+$B$3^2/(4*L$6^2)))/(1+$B$3^2/L$6)),"")</f>
        <v/>
      </c>
    </row>
    <row r="20" ht="15" customHeight="1" s="24">
      <c r="A20" s="32" t="inlineStr">
        <is>
          <t>Apollo ∪ LinkedIn DM</t>
        </is>
      </c>
      <c r="B20" s="28" t="inlineStr">
        <is>
          <t>Best of the two LinkedIn-derived sources</t>
        </is>
      </c>
      <c r="C20" s="40">
        <f>IFERROR(SUMIFS(Log!$Y$6:$Y$125,Log!$V$6:$V$125,1)/C$6,"")</f>
        <v/>
      </c>
      <c r="D20" s="40">
        <f>IFERROR(MAX(0,(C20+$B$3^2/(2*C$6))/(1+$B$3^2/C$6)-($B$3*SQRT(C20*(1-C20)/C$6+$B$3^2/(4*C$6^2)))/(1+$B$3^2/C$6)),"")</f>
        <v/>
      </c>
      <c r="E20" s="40">
        <f>IFERROR(MIN(1,(C20+$B$3^2/(2*C$6))/(1+$B$3^2/C$6)+($B$3*SQRT(C20*(1-C20)/C$6+$B$3^2/(4*C$6^2)))/(1+$B$3^2/C$6)),"")</f>
        <v/>
      </c>
      <c r="F20" s="40">
        <f>IFERROR(SUMIFS(Log!$Y$6:$Y$125,Log!$V$6:$V$125,1,Log!$C$6:$C$125,"C-10")/F$6,"")</f>
        <v/>
      </c>
      <c r="G20" s="40">
        <f>IFERROR(MAX(0,(F20+$B$3^2/(2*F$6))/(1+$B$3^2/F$6)-($B$3*SQRT(F20*(1-F20)/F$6+$B$3^2/(4*F$6^2)))/(1+$B$3^2/F$6)),"")</f>
        <v/>
      </c>
      <c r="H20" s="40">
        <f>IFERROR(MIN(1,(F20+$B$3^2/(2*F$6))/(1+$B$3^2/F$6)+($B$3*SQRT(F20*(1-F20)/F$6+$B$3^2/(4*F$6^2)))/(1+$B$3^2/F$6)),"")</f>
        <v/>
      </c>
      <c r="I20" s="40">
        <f>IFERROR(SUMIFS(Log!$Y$6:$Y$125,Log!$V$6:$V$125,1,Log!$C$6:$C$125,"C-20")/I$6,"")</f>
        <v/>
      </c>
      <c r="J20" s="40">
        <f>IFERROR(MAX(0,(I20+$B$3^2/(2*I$6))/(1+$B$3^2/I$6)-($B$3*SQRT(I20*(1-I20)/I$6+$B$3^2/(4*I$6^2)))/(1+$B$3^2/I$6)),"")</f>
        <v/>
      </c>
      <c r="K20" s="40">
        <f>IFERROR(MIN(1,(I20+$B$3^2/(2*I$6))/(1+$B$3^2/I$6)+($B$3*SQRT(I20*(1-I20)/I$6+$B$3^2/(4*I$6^2)))/(1+$B$3^2/I$6)),"")</f>
        <v/>
      </c>
      <c r="L20" s="40">
        <f>IFERROR(SUMIFS(Log!$Y$6:$Y$125,Log!$V$6:$V$125,1,Log!$C$6:$C$125,"C-36")/L$6,"")</f>
        <v/>
      </c>
      <c r="M20" s="40">
        <f>IFERROR(MAX(0,(L20+$B$3^2/(2*L$6))/(1+$B$3^2/L$6)-($B$3*SQRT(L20*(1-L20)/L$6+$B$3^2/(4*L$6^2)))/(1+$B$3^2/L$6)),"")</f>
        <v/>
      </c>
      <c r="N20" s="40">
        <f>IFERROR(MIN(1,(L20+$B$3^2/(2*L$6))/(1+$B$3^2/L$6)+($B$3*SQRT(L20*(1-L20)/L$6+$B$3^2/(4*L$6^2)))/(1+$B$3^2/L$6)),"")</f>
        <v/>
      </c>
    </row>
    <row r="22" ht="15" customHeight="1" s="24">
      <c r="A22" s="27" t="inlineStr">
        <is>
          <t>Decision metrics (All strata)</t>
        </is>
      </c>
      <c r="B22" s="41" t="n"/>
    </row>
    <row r="23" ht="15" customHeight="1" s="24">
      <c r="A23" s="35" t="inlineStr">
        <is>
          <t>Uplift: (Apollo ∪ web) ÷ Apollo  [T1 analogue]</t>
        </is>
      </c>
      <c r="B23" s="28" t="inlineStr">
        <is>
          <t>Point estimate. Sprint threshold T1 ≥ 1.5×.</t>
        </is>
      </c>
      <c r="C23" s="42">
        <f>IFERROR(C18/C10,"")</f>
        <v/>
      </c>
    </row>
    <row r="24" ht="23.85" customHeight="1" s="24">
      <c r="A24" s="32" t="inlineStr">
        <is>
          <t>Conservative uplift</t>
        </is>
      </c>
      <c r="B24" s="28" t="inlineStr">
        <is>
          <t>Lower bound of union ÷ upper bound of Apollo (both Wilson 95%).</t>
        </is>
      </c>
      <c r="C24" s="42">
        <f>IFERROR(D18/E10,"")</f>
        <v/>
      </c>
    </row>
    <row r="25" ht="23.85" customHeight="1" s="24">
      <c r="A25" s="32" t="inlineStr">
        <is>
          <t>Upper-bound uplift (with registry)</t>
        </is>
      </c>
      <c r="B25" s="28" t="inlineStr">
        <is>
          <t>Includes the CSLB person of record; reported, not used for the verdict.</t>
        </is>
      </c>
      <c r="C25" s="42">
        <f>IFERROR(C19/C10,"")</f>
        <v/>
      </c>
    </row>
    <row r="26" ht="23.85" customHeight="1" s="24">
      <c r="A26" s="32" t="inlineStr">
        <is>
          <t>Measured LinkedIn DM coverage − proxy</t>
        </is>
      </c>
      <c r="B26" s="28" t="inlineStr">
        <is>
          <t>Positive = the 05 proxy understated LinkedIn coverage.</t>
        </is>
      </c>
      <c r="C26" s="43">
        <f>IFERROR(C13-$F$3,"")</f>
        <v/>
      </c>
    </row>
    <row r="27" ht="15" customHeight="1" s="24">
      <c r="A27" s="32" t="inlineStr">
        <is>
          <t>Supported threshold (uplift)</t>
        </is>
      </c>
      <c r="B27" s="28" t="inlineStr">
        <is>
          <t>Pre-registered; change only before data collection.</t>
        </is>
      </c>
      <c r="C27" s="44" t="n">
        <v>1.5</v>
      </c>
    </row>
    <row r="28" ht="15" customHeight="1" s="24">
      <c r="A28" s="32" t="inlineStr">
        <is>
          <t>Partial threshold (uplift)</t>
        </is>
      </c>
      <c r="B28" s="28" t="inlineStr">
        <is>
          <t>Pre-registered.</t>
        </is>
      </c>
      <c r="C28" s="44" t="n">
        <v>1.2</v>
      </c>
    </row>
    <row r="29" ht="23.85" customHeight="1" s="24">
      <c r="A29" s="32" t="inlineStr">
        <is>
          <t>Apollo DM coverage, firms with a website</t>
        </is>
      </c>
      <c r="B29" s="28" t="inlineStr">
        <is>
          <t>Rough size proxy: CSLB has no employee counts; firms with a website skew larger.</t>
        </is>
      </c>
      <c r="C29" s="45">
        <f>IFERROR(COUNTIFS(Log!$I$6:$I$125,"Done",Log!$J$6:$J$125,"Y",Log!$P$6:$P$125,"Y")/COUNTIFS(Log!$I$6:$I$125,"Done",Log!$J$6:$J$125,"Y"),"")</f>
        <v/>
      </c>
    </row>
    <row r="30" ht="23.85" customHeight="1" s="24">
      <c r="A30" s="32" t="inlineStr">
        <is>
          <t>Apollo DM coverage, sole owners</t>
        </is>
      </c>
      <c r="B30" s="28" t="inlineStr">
        <is>
          <t>CSLB business type; sole proprietors are mostly very small firms.</t>
        </is>
      </c>
      <c r="C30" s="45">
        <f>IFERROR(COUNTIFS(Log!$I$6:$I$125,"Done",Log!$Z$6:$Z$125,"Sole Owner",Log!$P$6:$P$125,"Y")/COUNTIFS(Log!$I$6:$I$125,"Done",Log!$Z$6:$Z$125,"Sole Owner"),"")</f>
        <v/>
      </c>
    </row>
    <row r="31" ht="23.85" customHeight="1" s="24">
      <c r="A31" s="32" t="inlineStr">
        <is>
          <t>Apollo DM coverage, corporations / LLCs / partnerships</t>
        </is>
      </c>
      <c r="B31" s="28" t="inlineStr">
        <is>
          <t>Closer to distributors' mid-market contractor customers; the better size proxy.</t>
        </is>
      </c>
      <c r="C31" s="45">
        <f>IFERROR((COUNTIFS(Log!$I$6:$I$125,"Done",Log!$P$6:$P$125,"Y")-COUNTIFS(Log!$I$6:$I$125,"Done",Log!$Z$6:$Z$125,"Sole Owner",Log!$P$6:$P$125,"Y"))/(COUNTIFS(Log!$I$6:$I$125,"Done")-COUNTIFS(Log!$I$6:$I$125,"Done",Log!$Z$6:$Z$125,"Sole Owner")),"")</f>
        <v/>
      </c>
    </row>
    <row r="32" ht="15" customHeight="1" s="24">
      <c r="A32" s="32" t="inlineStr">
        <is>
          <t>Apollo DM coverage, firms without a website</t>
        </is>
      </c>
      <c r="B32" s="28" t="inlineStr">
        <is>
          <t>Mostly sole proprietors and very small firms.</t>
        </is>
      </c>
      <c r="C32" s="45">
        <f>IFERROR(COUNTIFS(Log!$I$6:$I$125,"Done",Log!$J$6:$J$125,"N",Log!$P$6:$P$125,"Y")/COUNTIFS(Log!$I$6:$I$125,"Done",Log!$J$6:$J$125,"N"),"")</f>
        <v/>
      </c>
    </row>
    <row r="34" ht="33.75" customHeight="1" s="24">
      <c r="A34" s="27" t="inlineStr">
        <is>
          <t>Pre-registered verdict on H3 / coverage claim</t>
        </is>
      </c>
      <c r="B34" s="46">
        <f>IF(C6&lt;$I$3,"Insufficient sample: n = "&amp;C6&amp;" (need ≥ "&amp;$I$3&amp;")",IF(AND(C23&gt;=C27,C24&gt;=C27),"SUPPORTED (robust): measured uplift clears 1.5× even at the conservative bound — keep coverage-led positioning, cite the measured rate",IF(C23&gt;=C27,"SUPPORTED (point estimate only): uplift ≥ 1.5× but the conservative bound is below — claim a measured gap, flag the interval",IF(C23&gt;=C28,"PARTIAL: uplift 1.2–1.5× — soften to 'adds coverage on a material share of contractors'; T1 must still be run at scale","NOT SUPPORTED: uplift &lt; 1.2× — withdraw coverage-led positioning (roadmap R4); H3 becomes 'not supported'"))))</f>
        <v/>
      </c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8" t="n"/>
    </row>
    <row r="36" ht="43.5" customHeight="1" s="24">
      <c r="A36" s="35" t="inlineStr">
        <is>
          <t>Reading</t>
        </is>
      </c>
      <c r="B36" s="28" t="inlineStr">
        <is>
          <t>With n = 100 the 95% interval on a share near 50% is about ±10 points; by stratum (n ≈ 33) about ±16 points. Treat stratum differences as directional. The sample is California only and contractors only (customers of 4236/4237); plant buyers of 4238 MRO distributors are not covered.</t>
        </is>
      </c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8" t="n"/>
    </row>
  </sheetData>
  <mergeCells count="2">
    <mergeCell ref="B36:N36"/>
    <mergeCell ref="B34:N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4" customWidth="1" style="23" min="2" max="4"/>
    <col width="10" customWidth="1" style="23" min="5" max="7"/>
  </cols>
  <sheetData>
    <row r="1" ht="17.35" customHeight="1" s="24">
      <c r="A1" s="25" t="inlineStr">
        <is>
          <t>Re-check — 15 random Done rows, re-recorded on a different day without looking at the first entry</t>
        </is>
      </c>
    </row>
    <row r="2" ht="15" customHeight="1" s="24">
      <c r="A2" s="26" t="inlineStr">
        <is>
          <t>Agreement below 85% on any field means the definition is ambiguous: tighten it in Definitions and re-run that field on all rows.</t>
        </is>
      </c>
    </row>
    <row r="4" ht="39.75" customHeight="1" s="24">
      <c r="A4" s="31" t="inlineStr">
        <is>
          <t>ID</t>
        </is>
      </c>
      <c r="B4" s="31" t="inlineStr">
        <is>
          <t>Apollo DM listed (re-check)</t>
        </is>
      </c>
      <c r="C4" s="31" t="inlineStr">
        <is>
          <t>Web DM identifiable (re-check)</t>
        </is>
      </c>
      <c r="D4" s="31" t="inlineStr">
        <is>
          <t>LinkedIn DM profile (re-check)</t>
        </is>
      </c>
      <c r="E4" s="31" t="inlineStr">
        <is>
          <t>Apollo match</t>
        </is>
      </c>
      <c r="F4" s="31" t="inlineStr">
        <is>
          <t>Web match</t>
        </is>
      </c>
      <c r="G4" s="31" t="inlineStr">
        <is>
          <t>LinkedIn match</t>
        </is>
      </c>
    </row>
    <row r="5" ht="15" customHeight="1" s="24">
      <c r="A5" s="33" t="n"/>
      <c r="B5" s="33" t="n"/>
      <c r="C5" s="33" t="n"/>
      <c r="D5" s="33" t="n"/>
      <c r="E5" s="34">
        <f>IF(OR(A5="",B5=""),"",IF(INDEX(Log!$P$6:$P$125,MATCH(A5,Log!$A$6:$A$125,0))=B5,1,0))</f>
        <v/>
      </c>
      <c r="F5" s="34">
        <f>IF(OR(A5="",C5=""),"",IF(INDEX(Log!$L$6:$L$125,MATCH(A5,Log!$A$6:$A$125,0))=C5,1,0))</f>
        <v/>
      </c>
      <c r="G5" s="34">
        <f>IF(OR(A5="",D5=""),"",IF(INDEX(Log!$S$6:$S$125,MATCH(A5,Log!$A$6:$A$125,0))=D5,1,0))</f>
        <v/>
      </c>
    </row>
    <row r="6" ht="15" customHeight="1" s="24">
      <c r="A6" s="33" t="n"/>
      <c r="B6" s="33" t="n"/>
      <c r="C6" s="33" t="n"/>
      <c r="D6" s="33" t="n"/>
      <c r="E6" s="34">
        <f>IF(OR(A6="",B6=""),"",IF(INDEX(Log!$P$6:$P$125,MATCH(A6,Log!$A$6:$A$125,0))=B6,1,0))</f>
        <v/>
      </c>
      <c r="F6" s="34">
        <f>IF(OR(A6="",C6=""),"",IF(INDEX(Log!$L$6:$L$125,MATCH(A6,Log!$A$6:$A$125,0))=C6,1,0))</f>
        <v/>
      </c>
      <c r="G6" s="34">
        <f>IF(OR(A6="",D6=""),"",IF(INDEX(Log!$S$6:$S$125,MATCH(A6,Log!$A$6:$A$125,0))=D6,1,0))</f>
        <v/>
      </c>
    </row>
    <row r="7" ht="15" customHeight="1" s="24">
      <c r="A7" s="33" t="n"/>
      <c r="B7" s="33" t="n"/>
      <c r="C7" s="33" t="n"/>
      <c r="D7" s="33" t="n"/>
      <c r="E7" s="34">
        <f>IF(OR(A7="",B7=""),"",IF(INDEX(Log!$P$6:$P$125,MATCH(A7,Log!$A$6:$A$125,0))=B7,1,0))</f>
        <v/>
      </c>
      <c r="F7" s="34">
        <f>IF(OR(A7="",C7=""),"",IF(INDEX(Log!$L$6:$L$125,MATCH(A7,Log!$A$6:$A$125,0))=C7,1,0))</f>
        <v/>
      </c>
      <c r="G7" s="34">
        <f>IF(OR(A7="",D7=""),"",IF(INDEX(Log!$S$6:$S$125,MATCH(A7,Log!$A$6:$A$125,0))=D7,1,0))</f>
        <v/>
      </c>
    </row>
    <row r="8" ht="15" customHeight="1" s="24">
      <c r="A8" s="33" t="n"/>
      <c r="B8" s="33" t="n"/>
      <c r="C8" s="33" t="n"/>
      <c r="D8" s="33" t="n"/>
      <c r="E8" s="34">
        <f>IF(OR(A8="",B8=""),"",IF(INDEX(Log!$P$6:$P$125,MATCH(A8,Log!$A$6:$A$125,0))=B8,1,0))</f>
        <v/>
      </c>
      <c r="F8" s="34">
        <f>IF(OR(A8="",C8=""),"",IF(INDEX(Log!$L$6:$L$125,MATCH(A8,Log!$A$6:$A$125,0))=C8,1,0))</f>
        <v/>
      </c>
      <c r="G8" s="34">
        <f>IF(OR(A8="",D8=""),"",IF(INDEX(Log!$S$6:$S$125,MATCH(A8,Log!$A$6:$A$125,0))=D8,1,0))</f>
        <v/>
      </c>
    </row>
    <row r="9" ht="15" customHeight="1" s="24">
      <c r="A9" s="33" t="n"/>
      <c r="B9" s="33" t="n"/>
      <c r="C9" s="33" t="n"/>
      <c r="D9" s="33" t="n"/>
      <c r="E9" s="34">
        <f>IF(OR(A9="",B9=""),"",IF(INDEX(Log!$P$6:$P$125,MATCH(A9,Log!$A$6:$A$125,0))=B9,1,0))</f>
        <v/>
      </c>
      <c r="F9" s="34">
        <f>IF(OR(A9="",C9=""),"",IF(INDEX(Log!$L$6:$L$125,MATCH(A9,Log!$A$6:$A$125,0))=C9,1,0))</f>
        <v/>
      </c>
      <c r="G9" s="34">
        <f>IF(OR(A9="",D9=""),"",IF(INDEX(Log!$S$6:$S$125,MATCH(A9,Log!$A$6:$A$125,0))=D9,1,0))</f>
        <v/>
      </c>
    </row>
    <row r="10" ht="15" customHeight="1" s="24">
      <c r="A10" s="33" t="n"/>
      <c r="B10" s="33" t="n"/>
      <c r="C10" s="33" t="n"/>
      <c r="D10" s="33" t="n"/>
      <c r="E10" s="34">
        <f>IF(OR(A10="",B10=""),"",IF(INDEX(Log!$P$6:$P$125,MATCH(A10,Log!$A$6:$A$125,0))=B10,1,0))</f>
        <v/>
      </c>
      <c r="F10" s="34">
        <f>IF(OR(A10="",C10=""),"",IF(INDEX(Log!$L$6:$L$125,MATCH(A10,Log!$A$6:$A$125,0))=C10,1,0))</f>
        <v/>
      </c>
      <c r="G10" s="34">
        <f>IF(OR(A10="",D10=""),"",IF(INDEX(Log!$S$6:$S$125,MATCH(A10,Log!$A$6:$A$125,0))=D10,1,0))</f>
        <v/>
      </c>
    </row>
    <row r="11" ht="15" customHeight="1" s="24">
      <c r="A11" s="33" t="n"/>
      <c r="B11" s="33" t="n"/>
      <c r="C11" s="33" t="n"/>
      <c r="D11" s="33" t="n"/>
      <c r="E11" s="34">
        <f>IF(OR(A11="",B11=""),"",IF(INDEX(Log!$P$6:$P$125,MATCH(A11,Log!$A$6:$A$125,0))=B11,1,0))</f>
        <v/>
      </c>
      <c r="F11" s="34">
        <f>IF(OR(A11="",C11=""),"",IF(INDEX(Log!$L$6:$L$125,MATCH(A11,Log!$A$6:$A$125,0))=C11,1,0))</f>
        <v/>
      </c>
      <c r="G11" s="34">
        <f>IF(OR(A11="",D11=""),"",IF(INDEX(Log!$S$6:$S$125,MATCH(A11,Log!$A$6:$A$125,0))=D11,1,0))</f>
        <v/>
      </c>
    </row>
    <row r="12" ht="15" customHeight="1" s="24">
      <c r="A12" s="33" t="n"/>
      <c r="B12" s="33" t="n"/>
      <c r="C12" s="33" t="n"/>
      <c r="D12" s="33" t="n"/>
      <c r="E12" s="34">
        <f>IF(OR(A12="",B12=""),"",IF(INDEX(Log!$P$6:$P$125,MATCH(A12,Log!$A$6:$A$125,0))=B12,1,0))</f>
        <v/>
      </c>
      <c r="F12" s="34">
        <f>IF(OR(A12="",C12=""),"",IF(INDEX(Log!$L$6:$L$125,MATCH(A12,Log!$A$6:$A$125,0))=C12,1,0))</f>
        <v/>
      </c>
      <c r="G12" s="34">
        <f>IF(OR(A12="",D12=""),"",IF(INDEX(Log!$S$6:$S$125,MATCH(A12,Log!$A$6:$A$125,0))=D12,1,0))</f>
        <v/>
      </c>
    </row>
    <row r="13" ht="15" customHeight="1" s="24">
      <c r="A13" s="33" t="n"/>
      <c r="B13" s="33" t="n"/>
      <c r="C13" s="33" t="n"/>
      <c r="D13" s="33" t="n"/>
      <c r="E13" s="34">
        <f>IF(OR(A13="",B13=""),"",IF(INDEX(Log!$P$6:$P$125,MATCH(A13,Log!$A$6:$A$125,0))=B13,1,0))</f>
        <v/>
      </c>
      <c r="F13" s="34">
        <f>IF(OR(A13="",C13=""),"",IF(INDEX(Log!$L$6:$L$125,MATCH(A13,Log!$A$6:$A$125,0))=C13,1,0))</f>
        <v/>
      </c>
      <c r="G13" s="34">
        <f>IF(OR(A13="",D13=""),"",IF(INDEX(Log!$S$6:$S$125,MATCH(A13,Log!$A$6:$A$125,0))=D13,1,0))</f>
        <v/>
      </c>
    </row>
    <row r="14" ht="15" customHeight="1" s="24">
      <c r="A14" s="33" t="n"/>
      <c r="B14" s="33" t="n"/>
      <c r="C14" s="33" t="n"/>
      <c r="D14" s="33" t="n"/>
      <c r="E14" s="34">
        <f>IF(OR(A14="",B14=""),"",IF(INDEX(Log!$P$6:$P$125,MATCH(A14,Log!$A$6:$A$125,0))=B14,1,0))</f>
        <v/>
      </c>
      <c r="F14" s="34">
        <f>IF(OR(A14="",C14=""),"",IF(INDEX(Log!$L$6:$L$125,MATCH(A14,Log!$A$6:$A$125,0))=C14,1,0))</f>
        <v/>
      </c>
      <c r="G14" s="34">
        <f>IF(OR(A14="",D14=""),"",IF(INDEX(Log!$S$6:$S$125,MATCH(A14,Log!$A$6:$A$125,0))=D14,1,0))</f>
        <v/>
      </c>
    </row>
    <row r="15" ht="15" customHeight="1" s="24">
      <c r="A15" s="33" t="n"/>
      <c r="B15" s="33" t="n"/>
      <c r="C15" s="33" t="n"/>
      <c r="D15" s="33" t="n"/>
      <c r="E15" s="34">
        <f>IF(OR(A15="",B15=""),"",IF(INDEX(Log!$P$6:$P$125,MATCH(A15,Log!$A$6:$A$125,0))=B15,1,0))</f>
        <v/>
      </c>
      <c r="F15" s="34">
        <f>IF(OR(A15="",C15=""),"",IF(INDEX(Log!$L$6:$L$125,MATCH(A15,Log!$A$6:$A$125,0))=C15,1,0))</f>
        <v/>
      </c>
      <c r="G15" s="34">
        <f>IF(OR(A15="",D15=""),"",IF(INDEX(Log!$S$6:$S$125,MATCH(A15,Log!$A$6:$A$125,0))=D15,1,0))</f>
        <v/>
      </c>
    </row>
    <row r="16" ht="15" customHeight="1" s="24">
      <c r="A16" s="33" t="n"/>
      <c r="B16" s="33" t="n"/>
      <c r="C16" s="33" t="n"/>
      <c r="D16" s="33" t="n"/>
      <c r="E16" s="34">
        <f>IF(OR(A16="",B16=""),"",IF(INDEX(Log!$P$6:$P$125,MATCH(A16,Log!$A$6:$A$125,0))=B16,1,0))</f>
        <v/>
      </c>
      <c r="F16" s="34">
        <f>IF(OR(A16="",C16=""),"",IF(INDEX(Log!$L$6:$L$125,MATCH(A16,Log!$A$6:$A$125,0))=C16,1,0))</f>
        <v/>
      </c>
      <c r="G16" s="34">
        <f>IF(OR(A16="",D16=""),"",IF(INDEX(Log!$S$6:$S$125,MATCH(A16,Log!$A$6:$A$125,0))=D16,1,0))</f>
        <v/>
      </c>
    </row>
    <row r="17" ht="15" customHeight="1" s="24">
      <c r="A17" s="33" t="n"/>
      <c r="B17" s="33" t="n"/>
      <c r="C17" s="33" t="n"/>
      <c r="D17" s="33" t="n"/>
      <c r="E17" s="34">
        <f>IF(OR(A17="",B17=""),"",IF(INDEX(Log!$P$6:$P$125,MATCH(A17,Log!$A$6:$A$125,0))=B17,1,0))</f>
        <v/>
      </c>
      <c r="F17" s="34">
        <f>IF(OR(A17="",C17=""),"",IF(INDEX(Log!$L$6:$L$125,MATCH(A17,Log!$A$6:$A$125,0))=C17,1,0))</f>
        <v/>
      </c>
      <c r="G17" s="34">
        <f>IF(OR(A17="",D17=""),"",IF(INDEX(Log!$S$6:$S$125,MATCH(A17,Log!$A$6:$A$125,0))=D17,1,0))</f>
        <v/>
      </c>
    </row>
    <row r="18" ht="15" customHeight="1" s="24">
      <c r="A18" s="33" t="n"/>
      <c r="B18" s="33" t="n"/>
      <c r="C18" s="33" t="n"/>
      <c r="D18" s="33" t="n"/>
      <c r="E18" s="34">
        <f>IF(OR(A18="",B18=""),"",IF(INDEX(Log!$P$6:$P$125,MATCH(A18,Log!$A$6:$A$125,0))=B18,1,0))</f>
        <v/>
      </c>
      <c r="F18" s="34">
        <f>IF(OR(A18="",C18=""),"",IF(INDEX(Log!$L$6:$L$125,MATCH(A18,Log!$A$6:$A$125,0))=C18,1,0))</f>
        <v/>
      </c>
      <c r="G18" s="34">
        <f>IF(OR(A18="",D18=""),"",IF(INDEX(Log!$S$6:$S$125,MATCH(A18,Log!$A$6:$A$125,0))=D18,1,0))</f>
        <v/>
      </c>
    </row>
    <row r="19" ht="15" customHeight="1" s="24">
      <c r="A19" s="33" t="n"/>
      <c r="B19" s="33" t="n"/>
      <c r="C19" s="33" t="n"/>
      <c r="D19" s="33" t="n"/>
      <c r="E19" s="34">
        <f>IF(OR(A19="",B19=""),"",IF(INDEX(Log!$P$6:$P$125,MATCH(A19,Log!$A$6:$A$125,0))=B19,1,0))</f>
        <v/>
      </c>
      <c r="F19" s="34">
        <f>IF(OR(A19="",C19=""),"",IF(INDEX(Log!$L$6:$L$125,MATCH(A19,Log!$A$6:$A$125,0))=C19,1,0))</f>
        <v/>
      </c>
      <c r="G19" s="34">
        <f>IF(OR(A19="",D19=""),"",IF(INDEX(Log!$S$6:$S$125,MATCH(A19,Log!$A$6:$A$125,0))=D19,1,0))</f>
        <v/>
      </c>
    </row>
    <row r="21" ht="15" customHeight="1" s="24">
      <c r="A21" s="35" t="inlineStr">
        <is>
          <t>Agreement</t>
        </is>
      </c>
      <c r="E21" s="45">
        <f>IFERROR(AVERAGE(E5:E19),"")</f>
        <v/>
      </c>
      <c r="F21" s="45">
        <f>IFERROR(AVERAGE(F5:F19),"")</f>
        <v/>
      </c>
      <c r="G21" s="45">
        <f>IFERROR(AVERAGE(G5:G19),"")</f>
        <v/>
      </c>
    </row>
  </sheetData>
  <dataValidations count="3">
    <dataValidation sqref="B5:B19" showDropDown="0" showInputMessage="0" showErrorMessage="0" allowBlank="1" type="list" errorStyle="stop" operator="between">
      <formula1>"Y,N"</formula1>
      <formula2>0</formula2>
    </dataValidation>
    <dataValidation sqref="C5:C19" showDropDown="0" showInputMessage="0" showErrorMessage="0" allowBlank="1" type="list" errorStyle="stop" operator="between">
      <formula1>"Y,N"</formula1>
      <formula2>0</formula2>
    </dataValidation>
    <dataValidation sqref="D5:D19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A6A6A6"/>
    <outlinePr summaryBelow="1" summaryRight="1"/>
    <pageSetUpPr fitToPage="0"/>
  </sheetPr>
  <dimension ref="A1:C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90" customWidth="1" style="23" min="2" max="2"/>
    <col width="34" customWidth="1" style="23" min="3" max="3"/>
  </cols>
  <sheetData>
    <row r="1" ht="17.35" customHeight="1" s="24">
      <c r="A1" s="25" t="inlineStr">
        <is>
          <t>Definitions — frozen after the 10-firm pilot (record any change below with date and reason)</t>
        </is>
      </c>
    </row>
    <row r="2" ht="15" customHeight="1" s="24">
      <c r="A2" s="26" t="inlineStr">
        <is>
          <t>Full procedure: appendix/Coverage_Test_Protocol.md</t>
        </is>
      </c>
    </row>
    <row r="4" ht="15" customHeight="1" s="24">
      <c r="A4" s="31" t="inlineStr">
        <is>
          <t>Field</t>
        </is>
      </c>
      <c r="B4" s="31" t="inlineStr">
        <is>
          <t>Definition</t>
        </is>
      </c>
      <c r="C4" s="31" t="inlineStr">
        <is>
          <t>Where to look</t>
        </is>
      </c>
    </row>
    <row r="5" ht="43.5" customHeight="1" s="24">
      <c r="A5" s="35" t="inlineStr">
        <is>
          <t>Decision-maker (DM) title</t>
        </is>
      </c>
      <c r="B5" s="28" t="inlineStr">
        <is>
          <t>Owner, founder, president, CEO, principal, partner, vice president, general manager, operations manager, purchasing / procurement manager, estimator / chief estimator, project manager. Not: technicians, apprentices, office staff without a buying role.</t>
        </is>
      </c>
      <c r="C5" s="28" t="inlineStr">
        <is>
          <t>—</t>
        </is>
      </c>
    </row>
    <row r="6" ht="43.5" customHeight="1" s="24">
      <c r="A6" s="35" t="inlineStr">
        <is>
          <t>Website found</t>
        </is>
      </c>
      <c r="B6" s="28" t="inlineStr">
        <is>
          <t>The firm's own site (not a directory listing), matched on name and city or license number.</t>
        </is>
      </c>
      <c r="C6" s="28" t="inlineStr">
        <is>
          <t>Google: "&lt;business name&gt;" &lt;city&gt;</t>
        </is>
      </c>
    </row>
    <row r="7" ht="43.5" customHeight="1" s="24">
      <c r="A7" s="35" t="inlineStr">
        <is>
          <t>Google Business Profile</t>
        </is>
      </c>
      <c r="B7" s="28" t="inlineStr">
        <is>
          <t>A Maps / Business Profile for the firm at the registry city.</t>
        </is>
      </c>
      <c r="C7" s="28" t="inlineStr">
        <is>
          <t>Google Maps</t>
        </is>
      </c>
    </row>
    <row r="8" ht="43.5" customHeight="1" s="24">
      <c r="A8" s="35" t="inlineStr">
        <is>
          <t>Web DM identifiable</t>
        </is>
      </c>
      <c r="B8" s="28" t="inlineStr">
        <is>
          <t>A DM's name and role appear on the firm's website or Google profile (about / team / owner reply).</t>
        </is>
      </c>
      <c r="C8" s="28" t="inlineStr">
        <is>
          <t>Website, Google profile</t>
        </is>
      </c>
    </row>
    <row r="9" ht="43.5" customHeight="1" s="24">
      <c r="A9" s="35" t="inlineStr">
        <is>
          <t>Registry person of record</t>
        </is>
      </c>
      <c r="B9" s="28" t="inlineStr">
        <is>
          <t>CSLB license detail lists a qualifier (RMO/RME), officer or owner.</t>
        </is>
      </c>
      <c r="C9" s="28" t="inlineStr">
        <is>
          <t>CSLB Instant License Check</t>
        </is>
      </c>
    </row>
    <row r="10" ht="43.5" customHeight="1" s="24">
      <c r="A10" s="35" t="inlineStr">
        <is>
          <t>Apollo company record</t>
        </is>
      </c>
      <c r="B10" s="28" t="inlineStr">
        <is>
          <t>An Apollo organization matches the firm on name and city / domain.</t>
        </is>
      </c>
      <c r="C10" s="28" t="inlineStr">
        <is>
          <t>Apollo free account, Companies search</t>
        </is>
      </c>
    </row>
    <row r="11" ht="43.5" customHeight="1" s="24">
      <c r="A11" s="35" t="inlineStr">
        <is>
          <t>Apollo contacts listed</t>
        </is>
      </c>
      <c r="B11" s="28" t="inlineStr">
        <is>
          <t>Count of people Apollo shows at that organization (any title).</t>
        </is>
      </c>
      <c r="C11" s="28" t="inlineStr">
        <is>
          <t>Apollo company page → People</t>
        </is>
      </c>
    </row>
    <row r="12" ht="43.5" customHeight="1" s="24">
      <c r="A12" s="35" t="inlineStr">
        <is>
          <t>Apollo DM listed</t>
        </is>
      </c>
      <c r="B12" s="28" t="inlineStr">
        <is>
          <t>At least one listed person has a DM title (above). Do not reveal emails or phones.</t>
        </is>
      </c>
      <c r="C12" s="28" t="inlineStr">
        <is>
          <t>Apollo company page → People</t>
        </is>
      </c>
    </row>
    <row r="13" ht="43.5" customHeight="1" s="24">
      <c r="A13" s="35" t="inlineStr">
        <is>
          <t>Apollo DM email shown available</t>
        </is>
      </c>
      <c r="B13" s="28" t="inlineStr">
        <is>
          <t>Apollo's interface indicates an email exists for a listed DM without revealing it; 'Can't tell' if the interface does not show it.</t>
        </is>
      </c>
      <c r="C13" s="28" t="inlineStr">
        <is>
          <t>Apollo</t>
        </is>
      </c>
    </row>
    <row r="14" ht="43.5" customHeight="1" s="24">
      <c r="A14" s="35" t="inlineStr">
        <is>
          <t>LinkedIn company page</t>
        </is>
      </c>
      <c r="B14" s="28" t="inlineStr">
        <is>
          <t>A company page matching name and location.</t>
        </is>
      </c>
      <c r="C14" s="28" t="inlineStr">
        <is>
          <t>LinkedIn search or Google site:linkedin.com/company</t>
        </is>
      </c>
    </row>
    <row r="15" ht="43.5" customHeight="1" s="24">
      <c r="A15" s="35" t="inlineStr">
        <is>
          <t>LinkedIn DM profile</t>
        </is>
      </c>
      <c r="B15" s="28" t="inlineStr">
        <is>
          <t>At least one profile lists the firm as current employer with a DM title.</t>
        </is>
      </c>
      <c r="C15" s="28" t="inlineStr">
        <is>
          <t>LinkedIn people search or Google site:linkedin.com/in</t>
        </is>
      </c>
    </row>
    <row r="16" ht="43.5" customHeight="1" s="24">
      <c r="A16" s="35" t="inlineStr">
        <is>
          <t>Done / Skipped</t>
        </is>
      </c>
      <c r="B16" s="28" t="inlineStr">
        <is>
          <t>Done = all fields checked. Skipped - out of business = phone disconnected and no web presence, or marked closed. Skipped - cannot identify = name too generic to match after 5 minutes.</t>
        </is>
      </c>
      <c r="C16" s="28" t="inlineStr">
        <is>
          <t>—</t>
        </is>
      </c>
    </row>
    <row r="18" ht="15" customHeight="1" s="24">
      <c r="A18" s="27" t="inlineStr">
        <is>
          <t>Definition changes (pilot only)</t>
        </is>
      </c>
    </row>
    <row r="19" ht="15" customHeight="1" s="24">
      <c r="A19" s="31" t="inlineStr">
        <is>
          <t>Date</t>
        </is>
      </c>
      <c r="B19" s="31" t="inlineStr">
        <is>
          <t>Change</t>
        </is>
      </c>
      <c r="C19" s="31" t="inlineStr">
        <is>
          <t>Reason</t>
        </is>
      </c>
    </row>
    <row r="20" ht="15" customHeight="1" s="24">
      <c r="A20" s="33" t="n"/>
      <c r="B20" s="33" t="n"/>
      <c r="C20" s="33" t="n"/>
    </row>
    <row r="21" ht="15" customHeight="1" s="24">
      <c r="A21" s="33" t="n"/>
      <c r="B21" s="33" t="n"/>
      <c r="C21" s="33" t="n"/>
    </row>
    <row r="22" ht="15" customHeight="1" s="24">
      <c r="A22" s="33" t="n"/>
      <c r="B22" s="33" t="n"/>
      <c r="C22" s="33" t="n"/>
    </row>
    <row r="23" ht="15" customHeight="1" s="24">
      <c r="A23" s="33" t="n"/>
      <c r="B23" s="33" t="n"/>
      <c r="C23" s="33" t="n"/>
    </row>
    <row r="24" ht="15" customHeight="1" s="24">
      <c r="A24" s="33" t="n"/>
      <c r="B24" s="33" t="n"/>
      <c r="C24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2026-10-20T05:02:07Z</dcterms:created>
  <dcterms:modified xmlns:dcterms="http://purl.org/dc/terms/" xmlns:xsi="http://www.w3.org/2001/XMLSchema-instance" xsi:type="dcterms:W3CDTF">2026-10-20T05:42:25Z</dcterms:modified>
  <cp:revision>0</cp:revision>
</cp:coreProperties>
</file>