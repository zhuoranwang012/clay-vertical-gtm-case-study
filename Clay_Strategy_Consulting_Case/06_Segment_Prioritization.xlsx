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Executive_Summary" sheetId="2" state="visible" r:id="rId4"/>
    <sheet name="Weights" sheetId="3" state="visible" r:id="rId5"/>
    <sheet name="Inputs" sheetId="4" state="visible" r:id="rId6"/>
    <sheet name="Scorecard" sheetId="5" state="visible" r:id="rId7"/>
    <sheet name="Bridge_v1_v2" sheetId="6" state="visible" r:id="rId8"/>
    <sheet name="Weight_Sensitivity" sheetId="7" state="visible" r:id="rId9"/>
    <sheet name="Random_Weights" sheetId="8" state="visible" r:id="rId10"/>
    <sheet name="Stress_Tests" sheetId="9" state="visible" r:id="rId11"/>
    <sheet name="Economic_Crosscheck" sheetId="10" state="visible" r:id="rId12"/>
    <sheet name="Subsegment_Drilldown" sheetId="11" state="visible" r:id="rId13"/>
    <sheet name="Change_Log" sheetId="12" state="visible" r:id="rId14"/>
    <sheet name="Sources" sheetId="13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<sst xmlns="http://schemas.openxmlformats.org/spreadsheetml/2006/main" count="1191" uniqueCount="439">
  <si>
    <t xml:space="preserve">06 — Segment Prioritization v2: which segment, if any, should Clay test first?</t>
  </si>
  <si>
    <t xml:space="preserve">Independent portfolio case study by Zhuoran (Zora) Wang · Not commissioned by or affiliated with Clay Labs Inc. · v2 rebuilt 2026-10-19 after partner review (issue C5)</t>
  </si>
  <si>
    <t xml:space="preserve">Question</t>
  </si>
  <si>
    <t xml:space="preserve">Ranking of industrial distribution, industrial manufacturing and B2B professional services on six criteria with the brief's weights.</t>
  </si>
  <si>
    <t xml:space="preserve">v2 rule</t>
  </si>
  <si>
    <t xml:space="preserve">One indicator per criterion. No input feeds two criteria. Phase 4's usage-based ACV replaces the assumed seller-density uplift.</t>
  </si>
  <si>
    <t xml:space="preserve">Structure</t>
  </si>
  <si>
    <t xml:space="preserve">Executive_Summary → Weights → Inputs → Scorecard → Bridge_v1_v2 → Weight_Sensitivity → Random_Weights → Stress_Tests → Economic_Crosscheck → Subsegment_Drilldown → Change_Log → Sources</t>
  </si>
  <si>
    <t xml:space="preserve">Evidence classes</t>
  </si>
  <si>
    <t xml:space="preserve">A verified fact · B benchmark · C analyst estimate · D scenario assumption · E recommendation. Judgment inputs are yellow.</t>
  </si>
  <si>
    <t xml:space="preserve">Not a forecast</t>
  </si>
  <si>
    <t xml:space="preserve">Scores are analyst estimates from public data. Economic values are illustrative scenario outputs, not Clay forecasts.</t>
  </si>
  <si>
    <t xml:space="preserve">Executive Summary — segment prioritization v2 (after partner review)</t>
  </si>
  <si>
    <t xml:space="preserve">Independent case study · not commissioned by or affiliated with Clay Labs Inc. · scores are analyst estimates [C] built from public data</t>
  </si>
  <si>
    <t xml:space="preserve">Result</t>
  </si>
  <si>
    <t xml:space="preserve">Distribution</t>
  </si>
  <si>
    <t xml:space="preserve">Manufacturing</t>
  </si>
  <si>
    <t xml:space="preserve">Prof. services</t>
  </si>
  <si>
    <t xml:space="preserve">Note</t>
  </si>
  <si>
    <t xml:space="preserve">Weighted total — v2 base (brief weights)</t>
  </si>
  <si>
    <t xml:space="preserve">One indicator per criterion; Phase 4 ACV fed back</t>
  </si>
  <si>
    <t xml:space="preserve">Weighted total — display precision (1 decimal)</t>
  </si>
  <si>
    <t xml:space="preserve">Judgment-based inputs do not support two-decimal precision (review m7)</t>
  </si>
  <si>
    <t xml:space="preserve">Score range — P10, centered random weights</t>
  </si>
  <si>
    <t xml:space="preserve">Dirichlet(30 × brief weights), 1,000 draws</t>
  </si>
  <si>
    <t xml:space="preserve">Score range — P90, centered random weights</t>
  </si>
  <si>
    <t xml:space="preserve">Distribution and professional services ranges overlap: a tie</t>
  </si>
  <si>
    <t xml:space="preserve">Weighted total — v1 (as published)</t>
  </si>
  <si>
    <t xml:space="preserve">Archived v1</t>
  </si>
  <si>
    <t xml:space="preserve">Named weight sets won (of 6)</t>
  </si>
  <si>
    <t xml:space="preserve">Weight_Sensitivity Block A</t>
  </si>
  <si>
    <t xml:space="preserve">Random weights won — flat Dirichlet</t>
  </si>
  <si>
    <t xml:space="preserve">1,000 draws</t>
  </si>
  <si>
    <t xml:space="preserve">Random weights won — centered Dirichlet</t>
  </si>
  <si>
    <t xml:space="preserve">Stress tests won (of 14)</t>
  </si>
  <si>
    <t xml:space="preserve">Stress_Tests summary</t>
  </si>
  <si>
    <t xml:space="preserve">What changed and what it means</t>
  </si>
  <si>
    <t xml:space="preserve">1. Distribution's lead disappears. v1: 3.97 vs 3.41 (+0.56). v2: 3.79 vs 3.85 (−0.06); manufacturing 2.91 stays last. With one indicator per criterion and Phase 4's list-price ACV, the two leading segments are a statistical tie: moving a single criterion's weight by about 2–6 points flips the order (Weight_Sensitivity Block B).</t>
  </si>
  <si>
    <t xml:space="preserve">2. Bridge from v1 (distribution − professional services gap): reachable accounts instead of SAM dollars −0.64; dropping the duplicated coverage half of Need +0.14; evidence-based product-fit index −0.20; usage-based ACV +0.09. v1's lead came mostly from scoring market size in dollars at a uniform ACV with a filter built on the same sales share that also drove Need and Revenue.</t>
  </si>
  <si>
    <t xml:space="preserve">3. Robustness is now two-sided: professional services wins 5 of 6 named weight sets and 57% of flat random weightings; distribution wins under concave size scoring (T11: 3.99 vs 3.85), min-max scaling, Upside usage, the v1 market definition and a working partner channel (T1). Neither segment wins robustly.</t>
  </si>
  <si>
    <t xml:space="preserve">4. The scorecard can no longer decide the segment on its own. Tie-breakers: (a) Clay's differentiation is real only in distribution (competitive position 4.0 vs 2.3); (b) on the 07 v2 economics distribution is better on all six comparisons (Economic_Crosscheck), mainly because more professional-services wins would arrive through Clay's horizontal motion anyway and its list-price ACV sits at the Growth floor.</t>
  </si>
  <si>
    <t xml:space="preserve">5. Implication: if Clay tests a vertical at all (07 v2 supports only a low-cost validation or solution play), distribution remains the better test bed, and professional services stays in the horizontal motion. The beachhead is reopened: 4238 machinery/MRO outscores 4236 electrical on v2 indicators (4.70 vs 4.07); 4236's edges are higher ACV per account and the only public reference (Regency) (Subsegment_Drilldown).</t>
  </si>
  <si>
    <t xml:space="preserve">Weights — the brief's suggested weights plus five alternative sets (unchanged from v1 for comparability)</t>
  </si>
  <si>
    <t xml:space="preserve">Blue = input. Each column must sum to 100%.</t>
  </si>
  <si>
    <t xml:space="preserve">Criterion</t>
  </si>
  <si>
    <t xml:space="preserve">Base (brief)</t>
  </si>
  <si>
    <t xml:space="preserve">Equal</t>
  </si>
  <si>
    <t xml:space="preserve">Market-size first</t>
  </si>
  <si>
    <t xml:space="preserve">Execution first</t>
  </si>
  <si>
    <t xml:space="preserve">Differentiation first</t>
  </si>
  <si>
    <t xml:space="preserve">Near-term revenue</t>
  </si>
  <si>
    <t xml:space="preserve">Single indicator used in v2</t>
  </si>
  <si>
    <t xml:space="preserve">Market Attractiveness</t>
  </si>
  <si>
    <t xml:space="preserve">Reachable accounts: unique firms (20+) × CRM in use × (1 − already Clay customers)</t>
  </si>
  <si>
    <t xml:space="preserve">Customer Need</t>
  </si>
  <si>
    <t xml:space="preserve">Sales intensity: sales occupations share of employment ÷ all-industry share</t>
  </si>
  <si>
    <t xml:space="preserve">Product-Market Fit</t>
  </si>
  <si>
    <t xml:space="preserve">Capability-fit index: mean fit of Clay's current product across the segment's core jobs (05 §3), builder-capacity gap excluded</t>
  </si>
  <si>
    <t xml:space="preserve">Revenue Potential</t>
  </si>
  <si>
    <t xml:space="preserve">Revenue per account: usage-based first-year ACV per won account at list prices, account-mix weighted (Phase 4 method)</t>
  </si>
  <si>
    <t xml:space="preserve">Competitive Position</t>
  </si>
  <si>
    <t xml:space="preserve">Competitive position: 04 factors F1 data differentiation, F2 incumbent saturation, F3 specialist threat (the coverage proxy enters only here, via F1)</t>
  </si>
  <si>
    <t xml:space="preserve">Ease of Execution</t>
  </si>
  <si>
    <t xml:space="preserve">Adoption / execution fit: 04 factors F4 builder capacity, F5 references and partner channel</t>
  </si>
  <si>
    <t xml:space="preserve">Check: sum</t>
  </si>
  <si>
    <t xml:space="preserve">Inputs — one indicator per criterion (v2)</t>
  </si>
  <si>
    <t xml:space="preserve">Blue = input copied from the named source; black = formula. Yellow = analyst judgment.</t>
  </si>
  <si>
    <t xml:space="preserve">ID</t>
  </si>
  <si>
    <t xml:space="preserve">Indicator</t>
  </si>
  <si>
    <t xml:space="preserve">A. Industrial Distribution</t>
  </si>
  <si>
    <t xml:space="preserve">B. Industrial Manufacturing</t>
  </si>
  <si>
    <t xml:space="preserve">C. B2B Prof. Services</t>
  </si>
  <si>
    <t xml:space="preserve">Unit</t>
  </si>
  <si>
    <t xml:space="preserve">Class</t>
  </si>
  <si>
    <t xml:space="preserve">Source</t>
  </si>
  <si>
    <t xml:space="preserve">I1</t>
  </si>
  <si>
    <t xml:space="preserve">Unique U.S. firms with 20+ employees (de-duplicated)</t>
  </si>
  <si>
    <t xml:space="preserve">firms</t>
  </si>
  <si>
    <t xml:space="preserve">C from A</t>
  </si>
  <si>
    <t xml:space="preserve">02_Market_Sizing › Firm_Counts (Census 2022, S14)</t>
  </si>
  <si>
    <t xml:space="preserve">I2</t>
  </si>
  <si>
    <t xml:space="preserve">Share with a CRM in use (integrable today)</t>
  </si>
  <si>
    <t xml:space="preserve">%</t>
  </si>
  <si>
    <t xml:space="preserve">B / D</t>
  </si>
  <si>
    <t xml:space="preserve">Dist: Phocas/DSG 2026, 56% use CRM (S25). Mfg, PS: Phase 1 assumptions (02 A8, A9)</t>
  </si>
  <si>
    <t xml:space="preserve">I3</t>
  </si>
  <si>
    <t xml:space="preserve">Share already Clay customers (excluded)</t>
  </si>
  <si>
    <t xml:space="preserve">D</t>
  </si>
  <si>
    <t xml:space="preserve">07 v2 Assumptions; PS higher: Clay markets to PS (S06), IT services top detected industry (S32)</t>
  </si>
  <si>
    <t xml:space="preserve">I4</t>
  </si>
  <si>
    <t xml:space="preserve">Reachable accounts = I1 × I2 × (1 − I3)</t>
  </si>
  <si>
    <t xml:space="preserve">accounts</t>
  </si>
  <si>
    <t xml:space="preserve">C</t>
  </si>
  <si>
    <t xml:space="preserve">Formula</t>
  </si>
  <si>
    <t xml:space="preserve">I5</t>
  </si>
  <si>
    <t xml:space="preserve">Sales occupations share of employment</t>
  </si>
  <si>
    <t xml:space="preserve">A → C</t>
  </si>
  <si>
    <t xml:space="preserve">BLS OEWS May 2025 (S15) via 02 Segment_Profile</t>
  </si>
  <si>
    <t xml:space="preserve">I6</t>
  </si>
  <si>
    <t xml:space="preserve">Sales intensity index = I5 ÷ all-industry share</t>
  </si>
  <si>
    <t xml:space="preserve">index</t>
  </si>
  <si>
    <t xml:space="preserve">Formula; all industries 8.633% (S15)</t>
  </si>
  <si>
    <t xml:space="preserve">I7</t>
  </si>
  <si>
    <t xml:space="preserve">Capability-fit index (mean of pain-point fit, 1–3)</t>
  </si>
  <si>
    <t xml:space="preserve">1–3</t>
  </si>
  <si>
    <t xml:space="preserve">Pain-to-capability map below (05 §3)</t>
  </si>
  <si>
    <t xml:space="preserve">I8</t>
  </si>
  <si>
    <t xml:space="preserve">Product-market fit score = 1 + 4 × (I7 − 1) ÷ 2</t>
  </si>
  <si>
    <t xml:space="preserve">1–5</t>
  </si>
  <si>
    <t xml:space="preserve">I9</t>
  </si>
  <si>
    <t xml:space="preserve">Usage-based first-year ACV per won account (Base usage)</t>
  </si>
  <si>
    <t xml:space="preserve">$</t>
  </si>
  <si>
    <t xml:space="preserve">C / D</t>
  </si>
  <si>
    <t xml:space="preserve">ACV block below (07 v2 method, published Growth prices S01)</t>
  </si>
  <si>
    <t xml:space="preserve">I10</t>
  </si>
  <si>
    <t xml:space="preserve">Same, at Upside usage (1.5×) — stress test T10 only</t>
  </si>
  <si>
    <t xml:space="preserve">ACV block below</t>
  </si>
  <si>
    <t xml:space="preserve">I11</t>
  </si>
  <si>
    <t xml:space="preserve">Competitive position (mean of F1–F3)</t>
  </si>
  <si>
    <t xml:space="preserve">04_Competitive_Analysis › Segment_Scoring</t>
  </si>
  <si>
    <t xml:space="preserve">I12</t>
  </si>
  <si>
    <t xml:space="preserve">Adoption / execution fit (mean of F4–F5)</t>
  </si>
  <si>
    <t xml:space="preserve">All-industry sales occupations share</t>
  </si>
  <si>
    <t xml:space="preserve">BLS OEWS May 2025: 13,424,300 ÷ 155,495,730 (S15)</t>
  </si>
  <si>
    <t xml:space="preserve">Pain-to-capability map (05 §3). Fit: 3 = strong, 2 = partial, 1 = weak/gap; blank = not a core job for the segment. The builder-capacity gap is excluded here and scored under Ease of Execution.</t>
  </si>
  <si>
    <t xml:space="preserve">#</t>
  </si>
  <si>
    <t xml:space="preserve">Pain point / core job</t>
  </si>
  <si>
    <t xml:space="preserve">Clay capability</t>
  </si>
  <si>
    <t xml:space="preserve">Gap</t>
  </si>
  <si>
    <t xml:space="preserve">Finding contractors and local accounts missing from B2B databases</t>
  </si>
  <si>
    <t xml:space="preserve">Google Maps, Shovels permits, waterfall, Claygent</t>
  </si>
  <si>
    <t xml:space="preserve">Construction-project and licence data</t>
  </si>
  <si>
    <t xml:space="preserve">Prioritizing accounts by territory and branch</t>
  </si>
  <si>
    <t xml:space="preserve">Scoring, audiences, signals</t>
  </si>
  <si>
    <t xml:space="preserve">Branch-level templates</t>
  </si>
  <si>
    <t xml:space="preserve">Keeping CRM complete when reps don't log</t>
  </si>
  <si>
    <t xml:space="preserve">CRM auto-sync, enrichment, job-change tracking</t>
  </si>
  <si>
    <t xml:space="preserve">Needs a CRM</t>
  </si>
  <si>
    <t xml:space="preserve">Vetting e-commerce and inbound registrations</t>
  </si>
  <si>
    <t xml:space="preserve">Webhook → AI verification → routing</t>
  </si>
  <si>
    <t xml:space="preserve">Packaged template</t>
  </si>
  <si>
    <t xml:space="preserve">Cross-selling to existing accounts from order history</t>
  </si>
  <si>
    <t xml:space="preserve">Warehouse sync / HTTP API only</t>
  </si>
  <si>
    <t xml:space="preserve">No ERP connector (Proton.ai, ERP CRMs own this)</t>
  </si>
  <si>
    <t xml:space="preserve">Construction project and bid timing</t>
  </si>
  <si>
    <t xml:space="preserve">Public bid signals, permits</t>
  </si>
  <si>
    <t xml:space="preserve">Private projects (Dodge) not in marketplace</t>
  </si>
  <si>
    <t xml:space="preserve">Capturing sourcing-platform demand (Thomasnet)</t>
  </si>
  <si>
    <t xml:space="preserve">—</t>
  </si>
  <si>
    <t xml:space="preserve">No API</t>
  </si>
  <si>
    <t xml:space="preserve">Researching prospects before pursuits / RFPs</t>
  </si>
  <si>
    <t xml:space="preserve">Claygent, account agents, pre-call prep</t>
  </si>
  <si>
    <t xml:space="preserve">Targeted outbound for new clients</t>
  </si>
  <si>
    <t xml:space="preserve">Audiences, signals, sequencer</t>
  </si>
  <si>
    <t xml:space="preserve">Strong substitutes (Apollo, internal builds)</t>
  </si>
  <si>
    <t xml:space="preserve">Mean fit (I7) and number of core jobs mapped</t>
  </si>
  <si>
    <t xml:space="preserve">Core jobs mapped (small samples: read I8 with care)</t>
  </si>
  <si>
    <t xml:space="preserve">Competitive position and adoption factors (04 › Segment_Scoring; analyst judgments [C] tied to evidence there)</t>
  </si>
  <si>
    <t xml:space="preserve">F1</t>
  </si>
  <si>
    <t xml:space="preserve">Relevance of Clay's data differentiation (off-LinkedIn, multi-source)</t>
  </si>
  <si>
    <t xml:space="preserve">→ I11</t>
  </si>
  <si>
    <t xml:space="preserve">F2</t>
  </si>
  <si>
    <t xml:space="preserve">Incumbent saturation (5 = little entrenched sales-intelligence use)</t>
  </si>
  <si>
    <t xml:space="preserve">F3</t>
  </si>
  <si>
    <t xml:space="preserve">Threat from vertical specialists / systems of record (5 = low)</t>
  </si>
  <si>
    <t xml:space="preserve">F4</t>
  </si>
  <si>
    <t xml:space="preserve">Builder capacity to self-serve Clay</t>
  </si>
  <si>
    <t xml:space="preserve">→ I12</t>
  </si>
  <si>
    <t xml:space="preserve">F5</t>
  </si>
  <si>
    <t xml:space="preserve">Existing references and partner channel</t>
  </si>
  <si>
    <t xml:space="preserve">Usage-based ACV per won account (07 v2 method). Pricing and usage parameters from 07 › Assumptions (Base).</t>
  </si>
  <si>
    <t xml:space="preserve">Data-credit pack price ($/mo)</t>
  </si>
  <si>
    <t xml:space="preserve">Data-credit pack size (credits/yr)</t>
  </si>
  <si>
    <t xml:space="preserve">Actions pack price ($/mo)</t>
  </si>
  <si>
    <t xml:space="preserve">Actions pack size (actions/yr)</t>
  </si>
  <si>
    <t xml:space="preserve">Accounts tracked per seller</t>
  </si>
  <si>
    <t xml:space="preserve">Contacts per account</t>
  </si>
  <si>
    <t xml:space="preserve">Refreshes per year</t>
  </si>
  <si>
    <t xml:space="preserve">Credits per contact refresh</t>
  </si>
  <si>
    <t xml:space="preserve">AI credits per account</t>
  </si>
  <si>
    <t xml:space="preserve">New accounts sourced per year (% of tracked)</t>
  </si>
  <si>
    <t xml:space="preserve">Credits per new account</t>
  </si>
  <si>
    <t xml:space="preserve">Actions per row operation</t>
  </si>
  <si>
    <t xml:space="preserve">Enterprise minimum credits / yr</t>
  </si>
  <si>
    <t xml:space="preserve">Enterprise minimum actions / yr</t>
  </si>
  <si>
    <t xml:space="preserve">Enterprise discount</t>
  </si>
  <si>
    <t xml:space="preserve">ICP tilt — Mid-Market</t>
  </si>
  <si>
    <t xml:space="preserve">ICP tilt — Enterprise</t>
  </si>
  <si>
    <t xml:space="preserve">Enterprise propensity</t>
  </si>
  <si>
    <t xml:space="preserve">Usage intensity — Base / Upside</t>
  </si>
  <si>
    <t xml:space="preserve">NAICS</t>
  </si>
  <si>
    <t xml:space="preserve">Industry (Census 2022, S14)</t>
  </si>
  <si>
    <t xml:space="preserve">Segment</t>
  </si>
  <si>
    <t xml:space="preserve">Firms 20–49</t>
  </si>
  <si>
    <t xml:space="preserve">50–99</t>
  </si>
  <si>
    <t xml:space="preserve">100–249</t>
  </si>
  <si>
    <t xml:space="preserve">250–499</t>
  </si>
  <si>
    <t xml:space="preserve">500+</t>
  </si>
  <si>
    <t xml:space="preserve">Employees 20–49 · 50–99 · 100–249 · 250–499 · 500+ (cols J–N)</t>
  </si>
  <si>
    <t xml:space="preserve">Emp 20–49</t>
  </si>
  <si>
    <t xml:space="preserve">4236</t>
  </si>
  <si>
    <t xml:space="preserve">4237</t>
  </si>
  <si>
    <t xml:space="preserve">4238</t>
  </si>
  <si>
    <t xml:space="preserve">326</t>
  </si>
  <si>
    <t xml:space="preserve">332</t>
  </si>
  <si>
    <t xml:space="preserve">333</t>
  </si>
  <si>
    <t xml:space="preserve">335</t>
  </si>
  <si>
    <t xml:space="preserve">5413</t>
  </si>
  <si>
    <t xml:space="preserve">5415</t>
  </si>
  <si>
    <t xml:space="preserve">5416</t>
  </si>
  <si>
    <t xml:space="preserve">5418</t>
  </si>
  <si>
    <t xml:space="preserve">De-duplication factor by band — Distribution</t>
  </si>
  <si>
    <t xml:space="preserve">De-duplication factor by band — Manufacturing</t>
  </si>
  <si>
    <t xml:space="preserve">De-duplication factor by band — Prof. services</t>
  </si>
  <si>
    <t xml:space="preserve">Manufacturing factors: sector 31-33 ÷ Σ subsectors (overlap_raw.csv); 250+ bands omit suppressed subsectors</t>
  </si>
  <si>
    <t xml:space="preserve">Band</t>
  </si>
  <si>
    <t xml:space="preserve">Line</t>
  </si>
  <si>
    <t xml:space="preserve">SMB 20–99</t>
  </si>
  <si>
    <t xml:space="preserve">Firms (de-duplicated)</t>
  </si>
  <si>
    <t xml:space="preserve">Employees</t>
  </si>
  <si>
    <t xml:space="preserve">Firms (raw, for averages)</t>
  </si>
  <si>
    <t xml:space="preserve">Sellers per firm = employees ÷ firms × sales share</t>
  </si>
  <si>
    <t xml:space="preserve">First-year ACV at Base usage</t>
  </si>
  <si>
    <t xml:space="preserve">First-year ACV at Upside usage</t>
  </si>
  <si>
    <t xml:space="preserve">Opportunity weight = firms × tilt × propensity</t>
  </si>
  <si>
    <t xml:space="preserve">Mid-Market 100–499</t>
  </si>
  <si>
    <t xml:space="preserve">Enterprise 500+</t>
  </si>
  <si>
    <t xml:space="preserve">Blended ACV per won account (Base usage) = Σ weight × ACV ÷ Σ weight</t>
  </si>
  <si>
    <t xml:space="preserve">Blended ACV per won account (Upside usage) = Σ weight × ACV ÷ Σ weight</t>
  </si>
  <si>
    <t xml:space="preserve">Distribution ACV uses 4236–4238 (4235 has suppressed Census cells); the account count I1 uses Phase 1's full four-industry segment. Manufacturing and professional-services SMB and Mid-Market ACVs sit at the Growth floor because they have few sellers per firm.</t>
  </si>
  <si>
    <t xml:space="preserve">Scorecard v2 — one indicator per criterion, Phase 4 economics fed back</t>
  </si>
  <si>
    <t xml:space="preserve">Base weights from the brief. Quantitative indicators scale 1 + 4 × v ÷ max; judgment indicators are already 1–5.</t>
  </si>
  <si>
    <t xml:space="preserve">Base case (brief weights, ratio-to-max scaling)</t>
  </si>
  <si>
    <t xml:space="preserve">Scoring</t>
  </si>
  <si>
    <t xml:space="preserve">metric</t>
  </si>
  <si>
    <t xml:space="preserve">score 1–5</t>
  </si>
  <si>
    <t xml:space="preserve">1 + 4 × v ÷ max</t>
  </si>
  <si>
    <t xml:space="preserve">already 1–5</t>
  </si>
  <si>
    <t xml:space="preserve">Weighted total</t>
  </si>
  <si>
    <t xml:space="preserve">Σ weight × score</t>
  </si>
  <si>
    <t xml:space="preserve">Winner / margin of distribution over professional services</t>
  </si>
  <si>
    <t xml:space="preserve">Contribution to total (weight × score)</t>
  </si>
  <si>
    <t xml:space="preserve">Evidence behind each criterion</t>
  </si>
  <si>
    <t xml:space="preserve">Reachable accounts after the CRM screen and excluding existing Clay customers: ~6,200 distributors vs ~13,800 manufacturers and ~20,800 professional-services firms. Scaled linearly (T11 tests concave scaling).</t>
  </si>
  <si>
    <t xml:space="preserve">Sales occupations are 22.0% of distribution employment, 2.5× the economy (S15). The coverage proxy no longer enters here (moved to Competitive Position only).</t>
  </si>
  <si>
    <t xml:space="preserve">Mean fit across each segment's mapped core jobs (05 §3). Professional services' research and outbound jobs are Clay's horizontal sweet spot (fit 3.0); distribution 2.5 (ERP cross-sell gap); manufacturing 2.0.</t>
  </si>
  <si>
    <t xml:space="preserve">Usage-based ACV per won account at list prices (Phase 4): distribution ~$9.0K; manufacturing and professional services ~$7.1K because their SMB and Mid-Market ACVs sit at the Growth floor.</t>
  </si>
  <si>
    <t xml:space="preserve">Unchanged from 04: off-LinkedIn data relevance, incumbent saturation, specialist threat. The only criterion that uses the LinkedIn-coverage proxy.</t>
  </si>
  <si>
    <t xml:space="preserve">Unchanged from 04: builder capacity and references/partners. Professional services 4.5 vs distribution 2.0.</t>
  </si>
  <si>
    <t xml:space="preserve">Bridge v1 → v2 — how each definitional change moves the totals</t>
  </si>
  <si>
    <t xml:space="preserve">v1 criterion scores are typed from the archived v1 workbook; v2 scores link to the Scorecard. Each step swaps one criterion from its v1 to its v2 definition.</t>
  </si>
  <si>
    <t xml:space="preserve">Step</t>
  </si>
  <si>
    <t xml:space="preserve">What changed</t>
  </si>
  <si>
    <t xml:space="preserve">Distribution − Prof. services</t>
  </si>
  <si>
    <t xml:space="preserve">v1 total (as published)</t>
  </si>
  <si>
    <t xml:space="preserve">Market = SAM $ + headroom flag; Need = sales intensity + coverage gap; PMF = judgment 4/2/4; Revenue = SOM + seller density</t>
  </si>
  <si>
    <t xml:space="preserve">1. Market attractiveness</t>
  </si>
  <si>
    <t xml:space="preserve">SAM $ (uniform Phase 1 ACV) and a separate headroom flag → reachable accounts net of existing Clay customers</t>
  </si>
  <si>
    <t xml:space="preserve">2. Customer need</t>
  </si>
  <si>
    <t xml:space="preserve">Drop the coverage-gap half (it already drives Competitive Position F1) → sales intensity only</t>
  </si>
  <si>
    <t xml:space="preserve">3. Product-market fit</t>
  </si>
  <si>
    <t xml:space="preserve">Free judgment 4/2/4 → capability-fit index from the 05 pain map</t>
  </si>
  <si>
    <t xml:space="preserve">4. Revenue potential</t>
  </si>
  <si>
    <t xml:space="preserve">SOM + seller density (assumed ACV lift) → usage-based ACV per won account (Phase 4)</t>
  </si>
  <si>
    <t xml:space="preserve">v2 total</t>
  </si>
  <si>
    <t xml:space="preserve">Competitive position and ease unchanged</t>
  </si>
  <si>
    <t xml:space="preserve">Check: v2 total equals Scorecard (should be 0)</t>
  </si>
  <si>
    <t xml:space="preserve">Reading: the largest swing is market attractiveness — counting reachable accounts instead of SAM dollars (which carried a uniform ACV and an outbound filter rationalized with the same sales share) moves ~0.3 points from distribution to professional services. Revenue potential moves the other way once Phase 4's usage-based ACV replaces the assumed seller-density lift.</t>
  </si>
  <si>
    <t xml:space="preserve">v1 criterion scores (typed)</t>
  </si>
  <si>
    <t xml:space="preserve">Weight sensitivity — named weight sets and break-even weights</t>
  </si>
  <si>
    <t xml:space="preserve">Block A: totals under six named weight sets. Block B: the weight on each criterion at which distribution and professional services tie (others rescaled proportionally).</t>
  </si>
  <si>
    <t xml:space="preserve">Weight set</t>
  </si>
  <si>
    <t xml:space="preserve">Winner</t>
  </si>
  <si>
    <t xml:space="preserve">Dist − PS</t>
  </si>
  <si>
    <t xml:space="preserve">Named sets won by distribution</t>
  </si>
  <si>
    <t xml:space="preserve">Named sets won by professional services</t>
  </si>
  <si>
    <t xml:space="preserve">Block B — break-even weight: distribution = professional services</t>
  </si>
  <si>
    <t xml:space="preserve">Base weight</t>
  </si>
  <si>
    <t xml:space="preserve">Score gap (Dist − PS)</t>
  </si>
  <si>
    <t xml:space="preserve">Rest-of-card gap</t>
  </si>
  <si>
    <t xml:space="preserve">Break-even weight</t>
  </si>
  <si>
    <t xml:space="preserve">Reading</t>
  </si>
  <si>
    <t xml:space="preserve">Block C — random-weight simulation</t>
  </si>
  <si>
    <t xml:space="preserve">Simulation</t>
  </si>
  <si>
    <t xml:space="preserve">Flat Dirichlet — share of 1,000 draws won</t>
  </si>
  <si>
    <t xml:space="preserve">Centered Dirichlet — share of 1,000 draws won</t>
  </si>
  <si>
    <t xml:space="preserve">Random weights — 1,000 flat and 1,000 centered Dirichlet draws (numpy, seed 42; stored values), totals are live formulas</t>
  </si>
  <si>
    <t xml:space="preserve">Flat: any weighting equally likely. Centered: Dirichlet(30 × base weights), reasonable disagreement around the brief.</t>
  </si>
  <si>
    <t xml:space="preserve">Flat Dirichlet(1, …, 1)</t>
  </si>
  <si>
    <t xml:space="preserve">Centered Dirichlet(30 × base weights)</t>
  </si>
  <si>
    <t xml:space="preserve">Market Attra</t>
  </si>
  <si>
    <t xml:space="preserve">Customer Nee</t>
  </si>
  <si>
    <t xml:space="preserve">Product-Mark</t>
  </si>
  <si>
    <t xml:space="preserve">Revenue Pote</t>
  </si>
  <si>
    <t xml:space="preserve">Competitive </t>
  </si>
  <si>
    <t xml:space="preserve">Ease of Exec</t>
  </si>
  <si>
    <t xml:space="preserve">Stress tests — what has to be true for each segment to win</t>
  </si>
  <si>
    <t xml:space="preserve">Each block changes only the yellow inputs. Summary first; detail blocks below.</t>
  </si>
  <si>
    <t xml:space="preserve">Test</t>
  </si>
  <si>
    <t xml:space="preserve">What changes</t>
  </si>
  <si>
    <t xml:space="preserve">T0 Base case</t>
  </si>
  <si>
    <t xml:space="preserve">Nothing (reproduces Scorecard)</t>
  </si>
  <si>
    <t xml:space="preserve">T1 Partner channel works</t>
  </si>
  <si>
    <t xml:space="preserve">Distribution ease 2.0 → 3.5 (templates and partners close the builder gap)</t>
  </si>
  <si>
    <t xml:space="preserve">T2 More PS headroom</t>
  </si>
  <si>
    <t xml:space="preserve">Prof. services already-Clay share 10% → 5%</t>
  </si>
  <si>
    <t xml:space="preserve">T3 Less PS headroom</t>
  </si>
  <si>
    <t xml:space="preserve">Prof. services already-Clay share 10% → 25%</t>
  </si>
  <si>
    <t xml:space="preserve">T4 Coverage proxy wrong</t>
  </si>
  <si>
    <t xml:space="preserve">Distribution F1 data differentiation 5 → 3 (competitive 4.0 → 3.33)</t>
  </si>
  <si>
    <t xml:space="preserve">T5 ERP gap binds</t>
  </si>
  <si>
    <t xml:space="preserve">Distribution product-market fit 4.0 → 3.0</t>
  </si>
  <si>
    <t xml:space="preserve">T6 Apollo/HubSpot close the local-data gap</t>
  </si>
  <si>
    <t xml:space="preserve">Distribution competitive position 4.0 → 3.0</t>
  </si>
  <si>
    <t xml:space="preserve">T7 Distribution combined downside</t>
  </si>
  <si>
    <t xml:space="preserve">T5 + T6</t>
  </si>
  <si>
    <t xml:space="preserve">T8 Prof. services best case</t>
  </si>
  <si>
    <t xml:space="preserve">PS competitive 2.33 → 3.0; ease 4.5 → 5.0</t>
  </si>
  <si>
    <t xml:space="preserve">T9 Worst case for A + best case for C</t>
  </si>
  <si>
    <t xml:space="preserve">T7 + T8</t>
  </si>
  <si>
    <t xml:space="preserve">T10 Upside usage</t>
  </si>
  <si>
    <t xml:space="preserve">ACV at 1.5× usage for every segment</t>
  </si>
  <si>
    <t xml:space="preserve">T11 Concave size scoring</t>
  </si>
  <si>
    <t xml:space="preserve">Market attractiveness scored 1 + 4 × √(v ÷ max): a pilot can serve only a few hundred accounts</t>
  </si>
  <si>
    <t xml:space="preserve">T12 Min-max scaling</t>
  </si>
  <si>
    <t xml:space="preserve">All quantitative indicators scaled min-max instead of ratio-to-max</t>
  </si>
  <si>
    <t xml:space="preserve">T13 v1 market definition</t>
  </si>
  <si>
    <t xml:space="preserve">Reachable accounts × v1 outbound-motion filter (80% / 45% / 55%)</t>
  </si>
  <si>
    <t xml:space="preserve">Tests won by distribution / professional services</t>
  </si>
  <si>
    <t xml:space="preserve">1 + 4 × √(v ÷ max)</t>
  </si>
  <si>
    <t xml:space="preserve">1 + 4 × (v − min) ÷ (max − min)</t>
  </si>
  <si>
    <t xml:space="preserve">Economic cross-check — the same two segments on the 07 v2 engine</t>
  </si>
  <si>
    <t xml:space="preserve">Values copied from 07_Financial_Model.xlsx (v2, Scenarios and Monte Carlo sheets) at build time; they are not part of the weighted score, to avoid double counting revenue potential.</t>
  </si>
  <si>
    <t xml:space="preserve">Metric (07 v2)</t>
  </si>
  <si>
    <t xml:space="preserve">Better</t>
  </si>
  <si>
    <t xml:space="preserve">Lean pilot — Base NPV at 12%</t>
  </si>
  <si>
    <t xml:space="preserve">07 › Scenarios</t>
  </si>
  <si>
    <t xml:space="preserve">Lean pilot — Upside NPV at 12%</t>
  </si>
  <si>
    <t xml:space="preserve">Solution play — Base NPV</t>
  </si>
  <si>
    <t xml:space="preserve">Solution play — Upside NPV advantage over Option 0</t>
  </si>
  <si>
    <t xml:space="preserve">Lean pilot, staged — simulated mean NPV</t>
  </si>
  <si>
    <t xml:space="preserve">07 › Monte Carlo</t>
  </si>
  <si>
    <t xml:space="preserve">Lean pilot — Base average first-year ACV</t>
  </si>
  <si>
    <t xml:space="preserve">Metrics on which distribution is better</t>
  </si>
  <si>
    <t xml:space="preserve">Reading: on the full economics distribution is modestly better than professional services in every comparison — mainly because more of a professional-services program's wins would have come through Clay's horizontal motion anyway, and its list-price ACV sits at the Growth floor. Both are NPV-negative in Base.</t>
  </si>
  <si>
    <t xml:space="preserve">Sub-segment drilldown — which distribution industry first? (v2 indicators)</t>
  </si>
  <si>
    <t xml:space="preserve">Only the criteria that differ by sub-industry are scored (market, need, revenue; base weights renormalized). Product fit, competitive position and ease are assumed equal across the three. Reference customers are a tie-breaker, not a score.</t>
  </si>
  <si>
    <t xml:space="preserve">4236 Electrical</t>
  </si>
  <si>
    <t xml:space="preserve">4237 Plumbing / HVAC</t>
  </si>
  <si>
    <t xml:space="preserve">4238 Machinery / MRO</t>
  </si>
  <si>
    <t xml:space="preserve">Weight</t>
  </si>
  <si>
    <t xml:space="preserve">Firms 20+ (de-duplicated, 20–49 × 0.973)</t>
  </si>
  <si>
    <t xml:space="preserve">Census 2022 (S14)</t>
  </si>
  <si>
    <t xml:space="preserve">Reachable accounts = firms × CRM in use × (1 − already Clay)</t>
  </si>
  <si>
    <t xml:space="preserve">OEWS May 2025 (S15): 4236/4237 share the 4230A1 group (durable goods ex-machinery, 21.4%); 4238 23.0%. Cannot separate 4236 from 4237.</t>
  </si>
  <si>
    <t xml:space="preserve">Usage-based ACV per won account (Base)</t>
  </si>
  <si>
    <t xml:space="preserve">Same method as Inputs; each sub-industry's own employees per firm</t>
  </si>
  <si>
    <t xml:space="preserve">Scores (ratio-to-max)</t>
  </si>
  <si>
    <t xml:space="preserve">Market (reachable accounts)</t>
  </si>
  <si>
    <t xml:space="preserve">Need (sales share)</t>
  </si>
  <si>
    <t xml:space="preserve">Revenue (ACV per account)</t>
  </si>
  <si>
    <t xml:space="preserve">Weighted score (market, need, revenue)</t>
  </si>
  <si>
    <t xml:space="preserve">Same, with concave market scoring (√)</t>
  </si>
  <si>
    <t xml:space="preserve">Not scored — tie-breakers</t>
  </si>
  <si>
    <t xml:space="preserve">Public Clay reference customer</t>
  </si>
  <si>
    <t xml:space="preserve">Regency Supply (S07)</t>
  </si>
  <si>
    <t xml:space="preserve">None found</t>
  </si>
  <si>
    <t xml:space="preserve">Contractor-facing (permits / Maps sourcing relevance)</t>
  </si>
  <si>
    <t xml:space="preserve">High (electrical contractors)</t>
  </si>
  <si>
    <t xml:space="preserve">Highest (plumbing, HVAC contractors)</t>
  </si>
  <si>
    <t xml:space="preserve">Mixed (plants, MRO buyers)</t>
  </si>
  <si>
    <t xml:space="preserve">Establishments per firm, full-year firms (territory complexity)</t>
  </si>
  <si>
    <t xml:space="preserve">1.64</t>
  </si>
  <si>
    <t xml:space="preserve">2.21</t>
  </si>
  <si>
    <t xml:space="preserve">1.57</t>
  </si>
  <si>
    <t xml:space="preserve">Industry association channel</t>
  </si>
  <si>
    <t xml:space="preserve">NAED (S53)</t>
  </si>
  <si>
    <t xml:space="preserve">ASA, 4,000+ branch locations (S54)</t>
  </si>
  <si>
    <t xml:space="preserve">ISA, PTDA [K]</t>
  </si>
  <si>
    <t xml:space="preserve">Reading: on v2 indicators, 4238 machinery/MRO scores highest — the largest account base and the highest sales share, with ACV close to 4236's. 4236 electrical remains a defensible first wave only because it has the one public Clay reference (Regency) and a single association channel. A validation sprint should test both 4236 and 4238 rather than assume the beachhead.</t>
  </si>
  <si>
    <t xml:space="preserve">Change Log — v1 → v2 (review issue C5)</t>
  </si>
  <si>
    <t xml:space="preserve">Partner review: review/Partner_Review_2026-10-19.md. v1 archived in appendix/archive/.</t>
  </si>
  <si>
    <t xml:space="preserve">Criterion / item</t>
  </si>
  <si>
    <t xml:space="preserve">v1</t>
  </si>
  <si>
    <t xml:space="preserve">v2</t>
  </si>
  <si>
    <t xml:space="preserve">Why</t>
  </si>
  <si>
    <t xml:space="preserve">50% SAM $ (uniform ACV, outbound filter) + 50% headroom flag (5/5/2)</t>
  </si>
  <si>
    <t xml:space="preserve">SAM $ embedded an ACV assumption and a sales-share-based filter; headroom double-penalized PS with F2</t>
  </si>
  <si>
    <t xml:space="preserve">50% sales intensity + 50% LinkedIn coverage gap</t>
  </si>
  <si>
    <t xml:space="preserve">Sales intensity only</t>
  </si>
  <si>
    <t xml:space="preserve">Coverage proxy already drives Competitive Position F1</t>
  </si>
  <si>
    <t xml:space="preserve">Free judgment 4 / 2 / 4</t>
  </si>
  <si>
    <t xml:space="preserve">Capability-fit index from the 05 pain-to-capability map → 4.0 / 3.0 / 5.0</t>
  </si>
  <si>
    <t xml:space="preserve">Traceable to evidence; builder gap kept out (it is Ease)</t>
  </si>
  <si>
    <t xml:space="preserve">50% SOM ARR + 50% sales staff per firm (assumed ACV lift)</t>
  </si>
  <si>
    <t xml:space="preserve">Usage-based first-year ACV per won account at list prices</t>
  </si>
  <si>
    <t xml:space="preserve">Phase 4 showed seller density lifts ACV only from Mid-Market up</t>
  </si>
  <si>
    <t xml:space="preserve">CRM readiness (distribution)</t>
  </si>
  <si>
    <t xml:space="preserve">65% (DSG 2022)</t>
  </si>
  <si>
    <t xml:space="preserve">56% (Phocas/DSG 2026, S25)</t>
  </si>
  <si>
    <t xml:space="preserve">Newest evidence (review M2)</t>
  </si>
  <si>
    <t xml:space="preserve">Robustness</t>
  </si>
  <si>
    <t xml:space="preserve">11 stress tests, 6 weight sets, random weights</t>
  </si>
  <si>
    <t xml:space="preserve">14 stress tests incl. concave size scoring and the v1 market definition; same weight sets; random weights; economic cross-check from 07 v2</t>
  </si>
  <si>
    <t xml:space="preserve">Precision (review m7)</t>
  </si>
  <si>
    <t xml:space="preserve">Totals shown to two decimals and read as a ranking</t>
  </si>
  <si>
    <t xml:space="preserve">Totals displayed to one decimal with P10–P90 ranges under centered random weights (Executive_Summary); deck shows the same</t>
  </si>
  <si>
    <t xml:space="preserve">Judgment scores cannot separate 3.79 from 3.85</t>
  </si>
  <si>
    <t xml:space="preserve">Drilldown</t>
  </si>
  <si>
    <t xml:space="preserve">Receipts/judgment indicators; 4236 first</t>
  </si>
  <si>
    <t xml:space="preserve">v2 indicators; 4238 scores first; Regency kept as a tie-breaker</t>
  </si>
  <si>
    <t xml:space="preserve">Beachhead reopened</t>
  </si>
  <si>
    <t xml:space="preserve">Sources</t>
  </si>
  <si>
    <t xml:space="preserve">Full register: Research_Sources.csv</t>
  </si>
  <si>
    <t xml:space="preserve">Used for</t>
  </si>
  <si>
    <t xml:space="preserve">S14</t>
  </si>
  <si>
    <t xml:space="preserve">U.S. Census Bureau, 2022 Economic Census — Employment Size of Firms</t>
  </si>
  <si>
    <t xml:space="preserve">Firm and employee counts, de-duplication</t>
  </si>
  <si>
    <t xml:space="preserve">S15</t>
  </si>
  <si>
    <t xml:space="preserve">U.S. BLS, OEWS May 2025 industry-specific estimates</t>
  </si>
  <si>
    <t xml:space="preserve">Sales occupations share</t>
  </si>
  <si>
    <t xml:space="preserve">S01</t>
  </si>
  <si>
    <t xml:space="preserve">Clay pricing page</t>
  </si>
  <si>
    <t xml:space="preserve">Usage-based ACV</t>
  </si>
  <si>
    <t xml:space="preserve">S25</t>
  </si>
  <si>
    <t xml:space="preserve">Phocas / DSG, State of Sales in Distribution 2026</t>
  </si>
  <si>
    <t xml:space="preserve">CRM in use 56%</t>
  </si>
  <si>
    <t xml:space="preserve">S06 / S32</t>
  </si>
  <si>
    <t xml:space="preserve">Clay case-study filters; Bloomberry Clay user analysis</t>
  </si>
  <si>
    <t xml:space="preserve">Already-Clay share assumptions</t>
  </si>
  <si>
    <t xml:space="preserve">S07</t>
  </si>
  <si>
    <t xml:space="preserve">Clay case study: Regency Supply</t>
  </si>
  <si>
    <t xml:space="preserve">Drilldown tie-breaker</t>
  </si>
  <si>
    <t xml:space="preserve">S53 / S54</t>
  </si>
  <si>
    <t xml:space="preserve">NAED; American Supply Association</t>
  </si>
  <si>
    <t xml:space="preserve">Drilldown channels</t>
  </si>
  <si>
    <t xml:space="preserve">04, 05, 07</t>
  </si>
  <si>
    <t xml:space="preserve">Project workbooks and memos</t>
  </si>
  <si>
    <t xml:space="preserve">Competitive factors, pain map, economic cross-check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</si>
</sst>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0"/>
    <numFmt numFmtId="166" formatCode="0.0"/>
    <numFmt numFmtId="167" formatCode="0"/>
    <numFmt numFmtId="168" formatCode="0.0%"/>
    <numFmt numFmtId="169" formatCode="#,##0"/>
    <numFmt numFmtId="170" formatCode="0.00\x"/>
    <numFmt numFmtId="171" formatCode="\$#,##0;&quot;($&quot;#,##0\);\-"/>
    <numFmt numFmtId="172" formatCode="0.000%"/>
    <numFmt numFmtId="173" formatCode="0.000"/>
    <numFmt numFmtId="174" formatCode="\+0.00;\-0.00"/>
    <numFmt numFmtId="17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E8ECF3"/>
        <bgColor rgb="FFFFF2CC"/>
      </patternFill>
    </fill>
    <fill>
      <patternFill patternType="solid">
        <fgColor rgb="FF1F2A44"/>
        <bgColor rgb="FF003366"/>
      </patternFill>
    </fill>
    <fill>
      <patternFill patternType="solid">
        <fgColor rgb="FFC6E0B4"/>
        <bgColor rgb="FFD9D9D9"/>
      </patternFill>
    </fill>
    <fill>
      <patternFill patternType="solid">
        <fgColor rgb="FFFFF2CC"/>
        <bgColor rgb="FFE8EC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C6E0B4"/>
        </patternFill>
      </fill>
    </dxf>
    <dxf>
      <fill>
        <patternFill>
          <bgColor rgb="FFF8CBA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2CC"/>
      <rgbColor rgb="FFE8EC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8CBAD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Weighted contribution by criterion (v2)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"Market Attractiveness"</c:f>
              <c:strCache>
                <c:ptCount val="1"/>
                <c:pt idx="0">
                  <c:v>Market Attractiveness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Scorecard!$C$5:$E$5</c:f>
              <c:multiLvlStrCache>
                <c:ptCount val="1"/>
                <c:lvl>
                  <c:pt idx="0">
                    <c:v>Prof. services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Distribution</c:v>
                  </c:pt>
                </c:lvl>
              </c:multiLvlStrCache>
            </c:multiLvlStrRef>
          </c:cat>
          <c:val>
            <c:numRef>
              <c:f>Scorecard!$C$22:$E$22</c:f>
              <c:numCache>
                <c:formatCode>0.00</c:formatCode>
                <c:ptCount val="3"/>
                <c:pt idx="0">
                  <c:v>0.439997147806199</c:v>
                </c:pt>
                <c:pt idx="1">
                  <c:v>0.732109811383309</c:v>
                </c:pt>
                <c:pt idx="2">
                  <c:v>1</c:v>
                </c:pt>
              </c:numCache>
            </c:numRef>
          </c:val>
        </c:ser>
        <c:ser>
          <c:idx val="1"/>
          <c:order val="1"/>
          <c:tx>
            <c:strRef>
              <c:f>"Customer Need"</c:f>
              <c:strCache>
                <c:ptCount val="1"/>
                <c:pt idx="0">
                  <c:v>Customer Need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Scorecard!$C$5:$E$5</c:f>
              <c:multiLvlStrCache>
                <c:ptCount val="1"/>
                <c:lvl>
                  <c:pt idx="0">
                    <c:v>Prof. services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Distribution</c:v>
                  </c:pt>
                </c:lvl>
              </c:multiLvlStrCache>
            </c:multiLvlStrRef>
          </c:cat>
          <c:val>
            <c:numRef>
              <c:f>Scorecard!$C$23:$E$23</c:f>
              <c:numCache>
                <c:formatCode>0.00</c:formatCode>
                <c:ptCount val="3"/>
                <c:pt idx="0">
                  <c:v>1</c:v>
                </c:pt>
                <c:pt idx="1">
                  <c:v>0.299799599198397</c:v>
                </c:pt>
                <c:pt idx="2">
                  <c:v>0.424882492257242</c:v>
                </c:pt>
              </c:numCache>
            </c:numRef>
          </c:val>
        </c:ser>
        <c:ser>
          <c:idx val="2"/>
          <c:order val="2"/>
          <c:tx>
            <c:strRef>
              <c:f>"Product-Market Fit"</c:f>
              <c:strCache>
                <c:ptCount val="1"/>
                <c:pt idx="0">
                  <c:v>Product-Market Fit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Scorecard!$C$5:$E$5</c:f>
              <c:multiLvlStrCache>
                <c:ptCount val="1"/>
                <c:lvl>
                  <c:pt idx="0">
                    <c:v>Prof. services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Distribution</c:v>
                  </c:pt>
                </c:lvl>
              </c:multiLvlStrCache>
            </c:multiLvlStrRef>
          </c:cat>
          <c:val>
            <c:numRef>
              <c:f>Scorecard!$C$24:$E$24</c:f>
              <c:numCache>
                <c:formatCode>0.00</c:formatCode>
                <c:ptCount val="3"/>
                <c:pt idx="0">
                  <c:v>0.8</c:v>
                </c:pt>
                <c:pt idx="1">
                  <c:v>0.6</c:v>
                </c:pt>
                <c:pt idx="2">
                  <c:v>1</c:v>
                </c:pt>
              </c:numCache>
            </c:numRef>
          </c:val>
        </c:ser>
        <c:ser>
          <c:idx val="3"/>
          <c:order val="3"/>
          <c:tx>
            <c:strRef>
              <c:f>"Revenue Potential"</c:f>
              <c:strCache>
                <c:ptCount val="1"/>
                <c:pt idx="0">
                  <c:v>Revenue Potential</c:v>
                </c:pt>
              </c:strCache>
            </c:strRef>
          </c:tx>
          <c:spPr>
            <a:solidFill>
              <a:srgbClr val="8064a2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Scorecard!$C$5:$E$5</c:f>
              <c:multiLvlStrCache>
                <c:ptCount val="1"/>
                <c:lvl>
                  <c:pt idx="0">
                    <c:v>Prof. services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Distribution</c:v>
                  </c:pt>
                </c:lvl>
              </c:multiLvlStrCache>
            </c:multiLvlStrRef>
          </c:cat>
          <c:val>
            <c:numRef>
              <c:f>Scorecard!$C$25:$E$25</c:f>
              <c:numCache>
                <c:formatCode>0.00</c:formatCode>
                <c:ptCount val="3"/>
                <c:pt idx="0">
                  <c:v>0.75</c:v>
                </c:pt>
                <c:pt idx="1">
                  <c:v>0.62364617703408</c:v>
                </c:pt>
                <c:pt idx="2">
                  <c:v>0.624616538344816</c:v>
                </c:pt>
              </c:numCache>
            </c:numRef>
          </c:val>
        </c:ser>
        <c:ser>
          <c:idx val="4"/>
          <c:order val="4"/>
          <c:tx>
            <c:strRef>
              <c:f>"Competitive Position"</c:f>
              <c:strCache>
                <c:ptCount val="1"/>
                <c:pt idx="0">
                  <c:v>Competitive Position</c:v>
                </c:pt>
              </c:strCache>
            </c:strRef>
          </c:tx>
          <c:spPr>
            <a:solidFill>
              <a:srgbClr val="4bacc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Scorecard!$C$5:$E$5</c:f>
              <c:multiLvlStrCache>
                <c:ptCount val="1"/>
                <c:lvl>
                  <c:pt idx="0">
                    <c:v>Prof. services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Distribution</c:v>
                  </c:pt>
                </c:lvl>
              </c:multiLvlStrCache>
            </c:multiLvlStrRef>
          </c:cat>
          <c:val>
            <c:numRef>
              <c:f>Scorecard!$C$26:$E$26</c:f>
              <c:numCache>
                <c:formatCode>0.00</c:formatCode>
                <c:ptCount val="3"/>
                <c:pt idx="0">
                  <c:v>0.6</c:v>
                </c:pt>
                <c:pt idx="1">
                  <c:v>0.5</c:v>
                </c:pt>
                <c:pt idx="2">
                  <c:v>0.35</c:v>
                </c:pt>
              </c:numCache>
            </c:numRef>
          </c:val>
        </c:ser>
        <c:ser>
          <c:idx val="5"/>
          <c:order val="5"/>
          <c:tx>
            <c:strRef>
              <c:f>"Ease of Execution"</c:f>
              <c:strCache>
                <c:ptCount val="1"/>
                <c:pt idx="0">
                  <c:v>Ease of Execution</c:v>
                </c:pt>
              </c:strCache>
            </c:strRef>
          </c:tx>
          <c:spPr>
            <a:solidFill>
              <a:srgbClr val="f7964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Scorecard!$C$5:$E$5</c:f>
              <c:multiLvlStrCache>
                <c:ptCount val="1"/>
                <c:lvl>
                  <c:pt idx="0">
                    <c:v>Prof. services</c:v>
                  </c:pt>
                </c:lvl>
                <c:lvl>
                  <c:pt idx="0">
                    <c:v>Manufacturing</c:v>
                  </c:pt>
                </c:lvl>
                <c:lvl>
                  <c:pt idx="0">
                    <c:v>Distribution</c:v>
                  </c:pt>
                </c:lvl>
              </c:multiLvlStrCache>
            </c:multiLvlStrRef>
          </c:cat>
          <c:val>
            <c:numRef>
              <c:f>Scorecard!$C$27:$E$27</c:f>
              <c:numCache>
                <c:formatCode>0.00</c:formatCode>
                <c:ptCount val="3"/>
                <c:pt idx="0">
                  <c:v>0.2</c:v>
                </c:pt>
                <c:pt idx="1">
                  <c:v>0.15</c:v>
                </c:pt>
                <c:pt idx="2">
                  <c:v>0.45</c:v>
                </c:pt>
              </c:numCache>
            </c:numRef>
          </c:val>
        </c:ser>
        <c:gapWidth val="150"/>
        <c:overlap val="100"/>
        <c:axId val="94328731"/>
        <c:axId val="1183306"/>
      </c:barChart>
      <c:catAx>
        <c:axId val="943287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3306"/>
        <c:crosses val="autoZero"/>
        <c:auto val="1"/>
        <c:lblAlgn val="ctr"/>
        <c:lblOffset val="100"/>
        <c:noMultiLvlLbl val="0"/>
      </c:catAx>
      <c:valAx>
        <c:axId val="11833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43287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160920</xdr:rowOff>
    </xdr:from>
    <xdr:to>
      <xdr:col>17</xdr:col>
      <xdr:colOff>364680</xdr:colOff>
      <xdr:row>18</xdr:row>
      <xdr:rowOff>70560</xdr:rowOff>
    </xdr:to>
    <xdr:graphicFrame>
      <xdr:nvGraphicFramePr>
        <xdr:cNvPr id="0" name="Chart 1"/>
        <xdr:cNvGraphicFramePr/>
      </xdr:nvGraphicFramePr>
      <xdr:xfrm>
        <a:off x="8576280" y="57168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9.75" hidden="false" customHeight="true" outlineLevel="0" collapsed="false">
      <c r="A4" s="3" t="s">
        <v>2</v>
      </c>
      <c r="B4" s="4" t="s">
        <v>3</v>
      </c>
    </row>
    <row r="5" customFormat="false" ht="39.75" hidden="false" customHeight="true" outlineLevel="0" collapsed="false">
      <c r="A5" s="3" t="s">
        <v>4</v>
      </c>
      <c r="B5" s="4" t="s">
        <v>5</v>
      </c>
    </row>
    <row r="6" customFormat="false" ht="39.75" hidden="false" customHeight="true" outlineLevel="0" collapsed="false">
      <c r="A6" s="3" t="s">
        <v>6</v>
      </c>
      <c r="B6" s="4" t="s">
        <v>7</v>
      </c>
    </row>
    <row r="7" customFormat="false" ht="39.75" hidden="false" customHeight="true" outlineLevel="0" collapsed="false">
      <c r="A7" s="3" t="s">
        <v>8</v>
      </c>
      <c r="B7" s="4" t="s">
        <v>9</v>
      </c>
    </row>
    <row r="8" customFormat="false" ht="39.75" hidden="false" customHeight="true" outlineLevel="0" collapsed="false">
      <c r="A8" s="3" t="s">
        <v>10</v>
      </c>
      <c r="B8" s="4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30" hidden="false" customHeight="true" outlineLevel="0" collapsed="false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</row>
    <row r="5" customFormat="false" ht="15" hidden="false" customHeight="false" outlineLevel="0" collapsed="false">
      <c r="A5" s="6" t="s">
        <v>19</v>
      </c>
      <c r="B5" s="7" t="n">
        <f aca="false">Scorecard!C18</f>
        <v>3.7899971478062</v>
      </c>
      <c r="C5" s="7" t="n">
        <f aca="false">Scorecard!D18</f>
        <v>2.90555558761579</v>
      </c>
      <c r="D5" s="7" t="n">
        <f aca="false">Scorecard!E18</f>
        <v>3.84949903060206</v>
      </c>
      <c r="E5" s="4" t="s">
        <v>20</v>
      </c>
    </row>
    <row r="6" customFormat="false" ht="15" hidden="false" customHeight="false" outlineLevel="0" collapsed="false">
      <c r="A6" s="4" t="s">
        <v>21</v>
      </c>
      <c r="B6" s="8" t="n">
        <f aca="false">ROUND(Scorecard!C18,1)</f>
        <v>3.8</v>
      </c>
      <c r="C6" s="8" t="n">
        <f aca="false">ROUND(Scorecard!D18,1)</f>
        <v>2.9</v>
      </c>
      <c r="D6" s="8" t="n">
        <f aca="false">ROUND(Scorecard!E18,1)</f>
        <v>3.8</v>
      </c>
      <c r="E6" s="4" t="s">
        <v>22</v>
      </c>
    </row>
    <row r="7" customFormat="false" ht="15" hidden="false" customHeight="false" outlineLevel="0" collapsed="false">
      <c r="A7" s="4" t="s">
        <v>23</v>
      </c>
      <c r="B7" s="8" t="n">
        <f aca="false">PERCENTILE(Random_Weights!$R$5:$R$1004,0.1)</f>
        <v>3.53325686861642</v>
      </c>
      <c r="C7" s="8" t="n">
        <f aca="false">PERCENTILE(Random_Weights!$S$5:$S$1004,0.1)</f>
        <v>2.66989731801756</v>
      </c>
      <c r="D7" s="8" t="n">
        <f aca="false">PERCENTILE(Random_Weights!$T$5:$T$1004,0.1)</f>
        <v>3.56734794731122</v>
      </c>
      <c r="E7" s="4" t="s">
        <v>24</v>
      </c>
    </row>
    <row r="8" customFormat="false" ht="15" hidden="false" customHeight="false" outlineLevel="0" collapsed="false">
      <c r="A8" s="4" t="s">
        <v>25</v>
      </c>
      <c r="B8" s="8" t="n">
        <f aca="false">PERCENTILE(Random_Weights!$R$5:$R$1004,0.9)</f>
        <v>4.05080090670454</v>
      </c>
      <c r="C8" s="8" t="n">
        <f aca="false">PERCENTILE(Random_Weights!$S$5:$S$1004,0.9)</f>
        <v>3.14433647501589</v>
      </c>
      <c r="D8" s="8" t="n">
        <f aca="false">PERCENTILE(Random_Weights!$T$5:$T$1004,0.9)</f>
        <v>4.12372074840965</v>
      </c>
      <c r="E8" s="4" t="s">
        <v>26</v>
      </c>
    </row>
    <row r="9" customFormat="false" ht="15" hidden="false" customHeight="false" outlineLevel="0" collapsed="false">
      <c r="A9" s="4" t="s">
        <v>27</v>
      </c>
      <c r="B9" s="9" t="n">
        <f aca="false">Bridge_v1_v2!C5</f>
        <v>3.96778005760975</v>
      </c>
      <c r="C9" s="9" t="n">
        <f aca="false">Bridge_v1_v2!D5</f>
        <v>2.7044652725028</v>
      </c>
      <c r="D9" s="9" t="n">
        <f aca="false">Bridge_v1_v2!E5</f>
        <v>3.41185001533273</v>
      </c>
      <c r="E9" s="4" t="s">
        <v>28</v>
      </c>
    </row>
    <row r="10" customFormat="false" ht="15" hidden="false" customHeight="false" outlineLevel="0" collapsed="false">
      <c r="A10" s="4" t="s">
        <v>29</v>
      </c>
      <c r="B10" s="10" t="n">
        <f aca="false">COUNTIF(Weight_Sensitivity!$E$5:$E$10,"Distribution")</f>
        <v>1</v>
      </c>
      <c r="C10" s="10" t="n">
        <f aca="false">COUNTIF(Weight_Sensitivity!$E$5:$E$10,"Manufacturing")</f>
        <v>0</v>
      </c>
      <c r="D10" s="10" t="n">
        <f aca="false">COUNTIF(Weight_Sensitivity!$E$5:$E$10,"Prof. services")</f>
        <v>5</v>
      </c>
      <c r="E10" s="4" t="s">
        <v>30</v>
      </c>
    </row>
    <row r="11" customFormat="false" ht="15" hidden="false" customHeight="false" outlineLevel="0" collapsed="false">
      <c r="A11" s="4" t="s">
        <v>31</v>
      </c>
      <c r="B11" s="11" t="n">
        <f aca="false">Weight_Sensitivity!B27</f>
        <v>0.429</v>
      </c>
      <c r="C11" s="11" t="n">
        <f aca="false">Weight_Sensitivity!C27</f>
        <v>0</v>
      </c>
      <c r="D11" s="11" t="n">
        <f aca="false">Weight_Sensitivity!D27</f>
        <v>0.571</v>
      </c>
      <c r="E11" s="4" t="s">
        <v>32</v>
      </c>
    </row>
    <row r="12" customFormat="false" ht="15" hidden="false" customHeight="false" outlineLevel="0" collapsed="false">
      <c r="A12" s="4" t="s">
        <v>33</v>
      </c>
      <c r="B12" s="11" t="n">
        <f aca="false">Weight_Sensitivity!B28</f>
        <v>0.446</v>
      </c>
      <c r="C12" s="11" t="n">
        <f aca="false">Weight_Sensitivity!C28</f>
        <v>0</v>
      </c>
      <c r="D12" s="11" t="n">
        <f aca="false">Weight_Sensitivity!D28</f>
        <v>0.554</v>
      </c>
      <c r="E12" s="4" t="s">
        <v>32</v>
      </c>
    </row>
    <row r="13" customFormat="false" ht="15" hidden="false" customHeight="false" outlineLevel="0" collapsed="false">
      <c r="A13" s="4" t="s">
        <v>34</v>
      </c>
      <c r="B13" s="10" t="n">
        <f aca="false">COUNTIF(Stress_Tests!$F$5:$F$18,"Distribution")</f>
        <v>5</v>
      </c>
      <c r="C13" s="10" t="n">
        <f aca="false">COUNTIF(Stress_Tests!$F$5:$F$18,"Manufacturing")</f>
        <v>0</v>
      </c>
      <c r="D13" s="10" t="n">
        <f aca="false">COUNTIF(Stress_Tests!$F$5:$F$18,"Prof. services")</f>
        <v>9</v>
      </c>
      <c r="E13" s="4" t="s">
        <v>35</v>
      </c>
    </row>
    <row r="15" customFormat="false" ht="15" hidden="false" customHeight="false" outlineLevel="0" collapsed="false">
      <c r="A15" s="3" t="s">
        <v>36</v>
      </c>
      <c r="B15" s="12"/>
      <c r="C15" s="12"/>
      <c r="D15" s="12"/>
      <c r="E15" s="12"/>
    </row>
    <row r="16" customFormat="false" ht="45.75" hidden="false" customHeight="true" outlineLevel="0" collapsed="false">
      <c r="A16" s="4" t="s">
        <v>37</v>
      </c>
      <c r="B16" s="4"/>
      <c r="C16" s="4"/>
      <c r="D16" s="4"/>
      <c r="E16" s="4"/>
    </row>
    <row r="17" customFormat="false" ht="45.75" hidden="false" customHeight="true" outlineLevel="0" collapsed="false">
      <c r="A17" s="4" t="s">
        <v>38</v>
      </c>
      <c r="B17" s="4"/>
      <c r="C17" s="4"/>
      <c r="D17" s="4"/>
      <c r="E17" s="4"/>
    </row>
    <row r="18" customFormat="false" ht="45.75" hidden="false" customHeight="true" outlineLevel="0" collapsed="false">
      <c r="A18" s="4" t="s">
        <v>39</v>
      </c>
      <c r="B18" s="4"/>
      <c r="C18" s="4"/>
      <c r="D18" s="4"/>
      <c r="E18" s="4"/>
    </row>
    <row r="19" customFormat="false" ht="45.75" hidden="false" customHeight="true" outlineLevel="0" collapsed="false">
      <c r="A19" s="4" t="s">
        <v>40</v>
      </c>
      <c r="B19" s="4"/>
      <c r="C19" s="4"/>
      <c r="D19" s="4"/>
      <c r="E19" s="4"/>
    </row>
    <row r="20" customFormat="false" ht="45.75" hidden="false" customHeight="true" outlineLevel="0" collapsed="false">
      <c r="A20" s="4" t="s">
        <v>41</v>
      </c>
      <c r="B20" s="4"/>
      <c r="C20" s="4"/>
      <c r="D20" s="4"/>
      <c r="E20" s="4"/>
    </row>
  </sheetData>
  <mergeCells count="5">
    <mergeCell ref="A16:E16"/>
    <mergeCell ref="A17:E17"/>
    <mergeCell ref="A18:E18"/>
    <mergeCell ref="A19:E19"/>
    <mergeCell ref="A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8" min="8" style="0" width="70"/>
  </cols>
  <sheetData>
    <row r="1" customFormat="false" ht="17.35" hidden="false" customHeight="false" outlineLevel="0" collapsed="false">
      <c r="A1" s="1" t="s">
        <v>42</v>
      </c>
    </row>
    <row r="2" customFormat="false" ht="15" hidden="false" customHeight="false" outlineLevel="0" collapsed="false">
      <c r="A2" s="2" t="s">
        <v>43</v>
      </c>
    </row>
    <row r="4" customFormat="false" ht="30" hidden="false" customHeight="true" outlineLevel="0" collapsed="false">
      <c r="A4" s="5" t="s">
        <v>44</v>
      </c>
      <c r="B4" s="5" t="s">
        <v>45</v>
      </c>
      <c r="C4" s="5" t="s">
        <v>46</v>
      </c>
      <c r="D4" s="5" t="s">
        <v>47</v>
      </c>
      <c r="E4" s="5" t="s">
        <v>48</v>
      </c>
      <c r="F4" s="5" t="s">
        <v>49</v>
      </c>
      <c r="G4" s="5" t="s">
        <v>50</v>
      </c>
      <c r="H4" s="5" t="s">
        <v>51</v>
      </c>
    </row>
    <row r="5" customFormat="false" ht="30" hidden="false" customHeight="true" outlineLevel="0" collapsed="false">
      <c r="A5" s="6" t="s">
        <v>52</v>
      </c>
      <c r="B5" s="13" t="n">
        <v>0.2</v>
      </c>
      <c r="C5" s="14" t="n">
        <v>0.166666666666667</v>
      </c>
      <c r="D5" s="14" t="n">
        <v>0.3</v>
      </c>
      <c r="E5" s="14" t="n">
        <v>0.15</v>
      </c>
      <c r="F5" s="14" t="n">
        <v>0.15</v>
      </c>
      <c r="G5" s="14" t="n">
        <v>0.15</v>
      </c>
      <c r="H5" s="4" t="s">
        <v>53</v>
      </c>
    </row>
    <row r="6" customFormat="false" ht="30" hidden="false" customHeight="true" outlineLevel="0" collapsed="false">
      <c r="A6" s="6" t="s">
        <v>54</v>
      </c>
      <c r="B6" s="13" t="n">
        <v>0.2</v>
      </c>
      <c r="C6" s="14" t="n">
        <v>0.166666666666667</v>
      </c>
      <c r="D6" s="14" t="n">
        <v>0.15</v>
      </c>
      <c r="E6" s="14" t="n">
        <v>0.15</v>
      </c>
      <c r="F6" s="14" t="n">
        <v>0.2</v>
      </c>
      <c r="G6" s="14" t="n">
        <v>0.1</v>
      </c>
      <c r="H6" s="4" t="s">
        <v>55</v>
      </c>
    </row>
    <row r="7" customFormat="false" ht="30" hidden="false" customHeight="true" outlineLevel="0" collapsed="false">
      <c r="A7" s="6" t="s">
        <v>56</v>
      </c>
      <c r="B7" s="13" t="n">
        <v>0.2</v>
      </c>
      <c r="C7" s="14" t="n">
        <v>0.166666666666667</v>
      </c>
      <c r="D7" s="14" t="n">
        <v>0.15</v>
      </c>
      <c r="E7" s="14" t="n">
        <v>0.2</v>
      </c>
      <c r="F7" s="14" t="n">
        <v>0.15</v>
      </c>
      <c r="G7" s="14" t="n">
        <v>0.2</v>
      </c>
      <c r="H7" s="4" t="s">
        <v>57</v>
      </c>
    </row>
    <row r="8" customFormat="false" ht="30" hidden="false" customHeight="true" outlineLevel="0" collapsed="false">
      <c r="A8" s="6" t="s">
        <v>58</v>
      </c>
      <c r="B8" s="13" t="n">
        <v>0.15</v>
      </c>
      <c r="C8" s="14" t="n">
        <v>0.166666666666667</v>
      </c>
      <c r="D8" s="14" t="n">
        <v>0.25</v>
      </c>
      <c r="E8" s="14" t="n">
        <v>0.1</v>
      </c>
      <c r="F8" s="14" t="n">
        <v>0.1</v>
      </c>
      <c r="G8" s="14" t="n">
        <v>0.3</v>
      </c>
      <c r="H8" s="4" t="s">
        <v>59</v>
      </c>
    </row>
    <row r="9" customFormat="false" ht="30" hidden="false" customHeight="true" outlineLevel="0" collapsed="false">
      <c r="A9" s="6" t="s">
        <v>60</v>
      </c>
      <c r="B9" s="13" t="n">
        <v>0.15</v>
      </c>
      <c r="C9" s="14" t="n">
        <v>0.166666666666667</v>
      </c>
      <c r="D9" s="14" t="n">
        <v>0.1</v>
      </c>
      <c r="E9" s="14" t="n">
        <v>0.1</v>
      </c>
      <c r="F9" s="14" t="n">
        <v>0.3</v>
      </c>
      <c r="G9" s="14" t="n">
        <v>0.1</v>
      </c>
      <c r="H9" s="4" t="s">
        <v>61</v>
      </c>
    </row>
    <row r="10" customFormat="false" ht="30" hidden="false" customHeight="true" outlineLevel="0" collapsed="false">
      <c r="A10" s="6" t="s">
        <v>62</v>
      </c>
      <c r="B10" s="13" t="n">
        <v>0.1</v>
      </c>
      <c r="C10" s="14" t="n">
        <v>0.166666666666667</v>
      </c>
      <c r="D10" s="14" t="n">
        <v>0.05</v>
      </c>
      <c r="E10" s="14" t="n">
        <v>0.3</v>
      </c>
      <c r="F10" s="14" t="n">
        <v>0.1</v>
      </c>
      <c r="G10" s="14" t="n">
        <v>0.15</v>
      </c>
      <c r="H10" s="4" t="s">
        <v>63</v>
      </c>
    </row>
    <row r="11" customFormat="false" ht="15" hidden="false" customHeight="false" outlineLevel="0" collapsed="false">
      <c r="A11" s="3" t="s">
        <v>64</v>
      </c>
      <c r="B11" s="15" t="n">
        <f aca="false">SUM(B5:B10)</f>
        <v>1</v>
      </c>
      <c r="C11" s="15" t="n">
        <f aca="false">SUM(C5:C10)</f>
        <v>1</v>
      </c>
      <c r="D11" s="15" t="n">
        <f aca="false">SUM(D5:D10)</f>
        <v>1</v>
      </c>
      <c r="E11" s="15" t="n">
        <f aca="false">SUM(E5:E10)</f>
        <v>1</v>
      </c>
      <c r="F11" s="15" t="n">
        <f aca="false">SUM(F5:F10)</f>
        <v>1</v>
      </c>
      <c r="G11" s="15" t="n">
        <f aca="false">SUM(G5:G10)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2"/>
    <col collapsed="false" customWidth="true" hidden="false" outlineLevel="0" max="3" min="3" style="0" width="20"/>
    <col collapsed="false" customWidth="true" hidden="false" outlineLevel="0" max="6" min="4" style="0" width="17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70"/>
    <col collapsed="false" customWidth="true" hidden="false" outlineLevel="0" max="14" min="10" style="0" width="11"/>
  </cols>
  <sheetData>
    <row r="1" customFormat="false" ht="17.35" hidden="false" customHeight="false" outlineLevel="0" collapsed="false">
      <c r="A1" s="1" t="s">
        <v>65</v>
      </c>
    </row>
    <row r="2" customFormat="false" ht="15" hidden="false" customHeight="false" outlineLevel="0" collapsed="false">
      <c r="A2" s="2" t="s">
        <v>66</v>
      </c>
    </row>
    <row r="4" customFormat="false" ht="30" hidden="false" customHeight="true" outlineLevel="0" collapsed="false">
      <c r="A4" s="5" t="s">
        <v>67</v>
      </c>
      <c r="B4" s="5" t="s">
        <v>68</v>
      </c>
      <c r="C4" s="5" t="s">
        <v>44</v>
      </c>
      <c r="D4" s="5" t="s">
        <v>69</v>
      </c>
      <c r="E4" s="5" t="s">
        <v>70</v>
      </c>
      <c r="F4" s="5" t="s">
        <v>71</v>
      </c>
      <c r="G4" s="5" t="s">
        <v>72</v>
      </c>
      <c r="H4" s="5" t="s">
        <v>73</v>
      </c>
      <c r="I4" s="5" t="s">
        <v>74</v>
      </c>
    </row>
    <row r="5" customFormat="false" ht="15" hidden="false" customHeight="false" outlineLevel="0" collapsed="false">
      <c r="A5" s="6" t="s">
        <v>75</v>
      </c>
      <c r="B5" s="4" t="s">
        <v>76</v>
      </c>
      <c r="C5" s="4"/>
      <c r="D5" s="16" t="n">
        <v>11494</v>
      </c>
      <c r="E5" s="16" t="n">
        <v>23785</v>
      </c>
      <c r="F5" s="16" t="n">
        <v>33035</v>
      </c>
      <c r="G5" s="17" t="s">
        <v>77</v>
      </c>
      <c r="H5" s="17" t="s">
        <v>78</v>
      </c>
      <c r="I5" s="4" t="s">
        <v>79</v>
      </c>
    </row>
    <row r="6" customFormat="false" ht="23.85" hidden="false" customHeight="false" outlineLevel="0" collapsed="false">
      <c r="A6" s="6" t="s">
        <v>80</v>
      </c>
      <c r="B6" s="4" t="s">
        <v>81</v>
      </c>
      <c r="C6" s="4"/>
      <c r="D6" s="13" t="n">
        <v>0.56</v>
      </c>
      <c r="E6" s="13" t="n">
        <v>0.6</v>
      </c>
      <c r="F6" s="13" t="n">
        <v>0.7</v>
      </c>
      <c r="G6" s="17" t="s">
        <v>82</v>
      </c>
      <c r="H6" s="17" t="s">
        <v>83</v>
      </c>
      <c r="I6" s="4" t="s">
        <v>84</v>
      </c>
    </row>
    <row r="7" customFormat="false" ht="23.85" hidden="false" customHeight="false" outlineLevel="0" collapsed="false">
      <c r="A7" s="6" t="s">
        <v>85</v>
      </c>
      <c r="B7" s="4" t="s">
        <v>86</v>
      </c>
      <c r="C7" s="4"/>
      <c r="D7" s="13" t="n">
        <v>0.03</v>
      </c>
      <c r="E7" s="13" t="n">
        <v>0.03</v>
      </c>
      <c r="F7" s="13" t="n">
        <v>0.1</v>
      </c>
      <c r="G7" s="17" t="s">
        <v>82</v>
      </c>
      <c r="H7" s="17" t="s">
        <v>87</v>
      </c>
      <c r="I7" s="4" t="s">
        <v>88</v>
      </c>
    </row>
    <row r="8" customFormat="false" ht="15" hidden="false" customHeight="false" outlineLevel="0" collapsed="false">
      <c r="A8" s="6" t="s">
        <v>89</v>
      </c>
      <c r="B8" s="6" t="s">
        <v>90</v>
      </c>
      <c r="C8" s="4" t="s">
        <v>52</v>
      </c>
      <c r="D8" s="18" t="n">
        <f aca="false">D5*D6*(1-D7)</f>
        <v>6243.5408</v>
      </c>
      <c r="E8" s="18" t="n">
        <f aca="false">E5*E6*(1-E7)</f>
        <v>13842.87</v>
      </c>
      <c r="F8" s="18" t="n">
        <f aca="false">F5*F6*(1-F7)</f>
        <v>20812.05</v>
      </c>
      <c r="G8" s="17" t="s">
        <v>91</v>
      </c>
      <c r="H8" s="17" t="s">
        <v>92</v>
      </c>
      <c r="I8" s="4" t="s">
        <v>93</v>
      </c>
    </row>
    <row r="9" customFormat="false" ht="15" hidden="false" customHeight="false" outlineLevel="0" collapsed="false">
      <c r="A9" s="6" t="s">
        <v>94</v>
      </c>
      <c r="B9" s="4" t="s">
        <v>95</v>
      </c>
      <c r="C9" s="4"/>
      <c r="D9" s="14" t="n">
        <v>0.21956</v>
      </c>
      <c r="E9" s="14" t="n">
        <v>0.02739</v>
      </c>
      <c r="F9" s="14" t="n">
        <v>0.061719</v>
      </c>
      <c r="G9" s="17" t="s">
        <v>82</v>
      </c>
      <c r="H9" s="17" t="s">
        <v>96</v>
      </c>
      <c r="I9" s="4" t="s">
        <v>97</v>
      </c>
    </row>
    <row r="10" customFormat="false" ht="15" hidden="false" customHeight="false" outlineLevel="0" collapsed="false">
      <c r="A10" s="6" t="s">
        <v>98</v>
      </c>
      <c r="B10" s="6" t="s">
        <v>99</v>
      </c>
      <c r="C10" s="4" t="s">
        <v>54</v>
      </c>
      <c r="D10" s="19" t="n">
        <f aca="false">D9/Inputs!$D$17</f>
        <v>2.54319722285706</v>
      </c>
      <c r="E10" s="19" t="n">
        <f aca="false">E9/Inputs!$D$17</f>
        <v>0.317262579404513</v>
      </c>
      <c r="F10" s="19" t="n">
        <f aca="false">F9/Inputs!$D$17</f>
        <v>0.714900662222239</v>
      </c>
      <c r="G10" s="17" t="s">
        <v>100</v>
      </c>
      <c r="H10" s="17" t="s">
        <v>92</v>
      </c>
      <c r="I10" s="4" t="s">
        <v>101</v>
      </c>
    </row>
    <row r="11" customFormat="false" ht="15" hidden="false" customHeight="false" outlineLevel="0" collapsed="false">
      <c r="A11" s="6" t="s">
        <v>102</v>
      </c>
      <c r="B11" s="4" t="s">
        <v>103</v>
      </c>
      <c r="C11" s="4"/>
      <c r="D11" s="20" t="n">
        <f aca="false">D30</f>
        <v>2.5</v>
      </c>
      <c r="E11" s="20" t="n">
        <f aca="false">E30</f>
        <v>2</v>
      </c>
      <c r="F11" s="20" t="n">
        <f aca="false">F30</f>
        <v>3</v>
      </c>
      <c r="G11" s="17" t="s">
        <v>104</v>
      </c>
      <c r="H11" s="17" t="s">
        <v>92</v>
      </c>
      <c r="I11" s="4" t="s">
        <v>105</v>
      </c>
    </row>
    <row r="12" customFormat="false" ht="15" hidden="false" customHeight="false" outlineLevel="0" collapsed="false">
      <c r="A12" s="6" t="s">
        <v>106</v>
      </c>
      <c r="B12" s="6" t="s">
        <v>107</v>
      </c>
      <c r="C12" s="4" t="s">
        <v>56</v>
      </c>
      <c r="D12" s="21" t="n">
        <f aca="false">1+4*(D11-1)/2</f>
        <v>4</v>
      </c>
      <c r="E12" s="21" t="n">
        <f aca="false">1+4*(E11-1)/2</f>
        <v>3</v>
      </c>
      <c r="F12" s="21" t="n">
        <f aca="false">1+4*(F11-1)/2</f>
        <v>5</v>
      </c>
      <c r="G12" s="17" t="s">
        <v>108</v>
      </c>
      <c r="H12" s="17" t="s">
        <v>92</v>
      </c>
      <c r="I12" s="4" t="s">
        <v>93</v>
      </c>
    </row>
    <row r="13" customFormat="false" ht="15" hidden="false" customHeight="false" outlineLevel="0" collapsed="false">
      <c r="A13" s="6" t="s">
        <v>109</v>
      </c>
      <c r="B13" s="6" t="s">
        <v>110</v>
      </c>
      <c r="C13" s="4" t="s">
        <v>58</v>
      </c>
      <c r="D13" s="22" t="n">
        <f aca="false">D100</f>
        <v>8939.68360171452</v>
      </c>
      <c r="E13" s="22" t="n">
        <f aca="false">E100</f>
        <v>7057.0782697439</v>
      </c>
      <c r="F13" s="22" t="n">
        <f aca="false">F100</f>
        <v>7071.53614157276</v>
      </c>
      <c r="G13" s="17" t="s">
        <v>111</v>
      </c>
      <c r="H13" s="17" t="s">
        <v>112</v>
      </c>
      <c r="I13" s="4" t="s">
        <v>113</v>
      </c>
    </row>
    <row r="14" customFormat="false" ht="15" hidden="false" customHeight="false" outlineLevel="0" collapsed="false">
      <c r="A14" s="6" t="s">
        <v>114</v>
      </c>
      <c r="B14" s="4" t="s">
        <v>115</v>
      </c>
      <c r="C14" s="4"/>
      <c r="D14" s="22" t="n">
        <f aca="false">D101</f>
        <v>11632.5060301881</v>
      </c>
      <c r="E14" s="22" t="n">
        <f aca="false">E101</f>
        <v>7057.0782697439</v>
      </c>
      <c r="F14" s="22" t="n">
        <f aca="false">F101</f>
        <v>7071.53614157276</v>
      </c>
      <c r="G14" s="17" t="s">
        <v>111</v>
      </c>
      <c r="H14" s="17" t="s">
        <v>87</v>
      </c>
      <c r="I14" s="4" t="s">
        <v>116</v>
      </c>
    </row>
    <row r="15" customFormat="false" ht="15" hidden="false" customHeight="false" outlineLevel="0" collapsed="false">
      <c r="A15" s="6" t="s">
        <v>117</v>
      </c>
      <c r="B15" s="6" t="s">
        <v>118</v>
      </c>
      <c r="C15" s="4" t="s">
        <v>60</v>
      </c>
      <c r="D15" s="21" t="n">
        <f aca="false">AVERAGE(D34:D36)</f>
        <v>4</v>
      </c>
      <c r="E15" s="21" t="n">
        <f aca="false">AVERAGE(E34:E36)</f>
        <v>3.33333333333333</v>
      </c>
      <c r="F15" s="21" t="n">
        <f aca="false">AVERAGE(F34:F36)</f>
        <v>2.33333333333333</v>
      </c>
      <c r="G15" s="17" t="s">
        <v>108</v>
      </c>
      <c r="H15" s="17" t="s">
        <v>92</v>
      </c>
      <c r="I15" s="4" t="s">
        <v>119</v>
      </c>
    </row>
    <row r="16" customFormat="false" ht="15" hidden="false" customHeight="false" outlineLevel="0" collapsed="false">
      <c r="A16" s="6" t="s">
        <v>120</v>
      </c>
      <c r="B16" s="6" t="s">
        <v>121</v>
      </c>
      <c r="C16" s="4" t="s">
        <v>62</v>
      </c>
      <c r="D16" s="21" t="n">
        <f aca="false">AVERAGE(D37:D38)</f>
        <v>2</v>
      </c>
      <c r="E16" s="21" t="n">
        <f aca="false">AVERAGE(E37:E38)</f>
        <v>1.5</v>
      </c>
      <c r="F16" s="21" t="n">
        <f aca="false">AVERAGE(F37:F38)</f>
        <v>4.5</v>
      </c>
      <c r="G16" s="17" t="s">
        <v>108</v>
      </c>
      <c r="H16" s="17" t="s">
        <v>92</v>
      </c>
      <c r="I16" s="4" t="s">
        <v>119</v>
      </c>
    </row>
    <row r="17" customFormat="false" ht="15" hidden="false" customHeight="true" outlineLevel="0" collapsed="false">
      <c r="A17" s="6" t="s">
        <v>122</v>
      </c>
      <c r="B17" s="6"/>
      <c r="C17" s="6"/>
      <c r="D17" s="23" t="n">
        <v>0.0863322742045714</v>
      </c>
      <c r="I17" s="4" t="s">
        <v>123</v>
      </c>
    </row>
    <row r="19" customFormat="false" ht="30" hidden="false" customHeight="true" outlineLevel="0" collapsed="false">
      <c r="A19" s="3" t="s">
        <v>124</v>
      </c>
      <c r="B19" s="3"/>
      <c r="C19" s="3"/>
      <c r="D19" s="3"/>
      <c r="E19" s="3"/>
      <c r="F19" s="3"/>
      <c r="G19" s="3"/>
      <c r="H19" s="3"/>
      <c r="I19" s="3"/>
    </row>
    <row r="20" customFormat="false" ht="30" hidden="false" customHeight="true" outlineLevel="0" collapsed="false">
      <c r="A20" s="5" t="s">
        <v>125</v>
      </c>
      <c r="B20" s="5" t="s">
        <v>126</v>
      </c>
      <c r="C20" s="5" t="s">
        <v>127</v>
      </c>
      <c r="D20" s="5" t="s">
        <v>69</v>
      </c>
      <c r="E20" s="5" t="s">
        <v>70</v>
      </c>
      <c r="F20" s="5" t="s">
        <v>71</v>
      </c>
      <c r="G20" s="5"/>
      <c r="H20" s="5"/>
      <c r="I20" s="5" t="s">
        <v>128</v>
      </c>
    </row>
    <row r="21" customFormat="false" ht="35.05" hidden="false" customHeight="false" outlineLevel="0" collapsed="false">
      <c r="A21" s="17" t="n">
        <v>1</v>
      </c>
      <c r="B21" s="4" t="s">
        <v>129</v>
      </c>
      <c r="C21" s="4" t="s">
        <v>130</v>
      </c>
      <c r="D21" s="24" t="n">
        <v>3</v>
      </c>
      <c r="E21" s="25"/>
      <c r="F21" s="25"/>
      <c r="I21" s="4" t="s">
        <v>131</v>
      </c>
    </row>
    <row r="22" customFormat="false" ht="23.85" hidden="false" customHeight="false" outlineLevel="0" collapsed="false">
      <c r="A22" s="17" t="n">
        <v>2</v>
      </c>
      <c r="B22" s="4" t="s">
        <v>132</v>
      </c>
      <c r="C22" s="4" t="s">
        <v>133</v>
      </c>
      <c r="D22" s="24" t="n">
        <v>3</v>
      </c>
      <c r="E22" s="25"/>
      <c r="F22" s="25"/>
      <c r="I22" s="4" t="s">
        <v>134</v>
      </c>
    </row>
    <row r="23" customFormat="false" ht="35.05" hidden="false" customHeight="false" outlineLevel="0" collapsed="false">
      <c r="A23" s="17" t="n">
        <v>3</v>
      </c>
      <c r="B23" s="4" t="s">
        <v>135</v>
      </c>
      <c r="C23" s="4" t="s">
        <v>136</v>
      </c>
      <c r="D23" s="24" t="n">
        <v>3</v>
      </c>
      <c r="E23" s="24" t="n">
        <v>3</v>
      </c>
      <c r="F23" s="25"/>
      <c r="I23" s="4" t="s">
        <v>137</v>
      </c>
    </row>
    <row r="24" customFormat="false" ht="23.85" hidden="false" customHeight="false" outlineLevel="0" collapsed="false">
      <c r="A24" s="17" t="n">
        <v>4</v>
      </c>
      <c r="B24" s="4" t="s">
        <v>138</v>
      </c>
      <c r="C24" s="4" t="s">
        <v>139</v>
      </c>
      <c r="D24" s="24" t="n">
        <v>3</v>
      </c>
      <c r="E24" s="25"/>
      <c r="F24" s="25"/>
      <c r="I24" s="4" t="s">
        <v>140</v>
      </c>
    </row>
    <row r="25" customFormat="false" ht="23.85" hidden="false" customHeight="false" outlineLevel="0" collapsed="false">
      <c r="A25" s="17" t="n">
        <v>5</v>
      </c>
      <c r="B25" s="4" t="s">
        <v>141</v>
      </c>
      <c r="C25" s="4" t="s">
        <v>142</v>
      </c>
      <c r="D25" s="24" t="n">
        <v>1</v>
      </c>
      <c r="E25" s="25"/>
      <c r="F25" s="25"/>
      <c r="I25" s="4" t="s">
        <v>143</v>
      </c>
    </row>
    <row r="26" customFormat="false" ht="23.85" hidden="false" customHeight="false" outlineLevel="0" collapsed="false">
      <c r="A26" s="17" t="n">
        <v>6</v>
      </c>
      <c r="B26" s="4" t="s">
        <v>144</v>
      </c>
      <c r="C26" s="4" t="s">
        <v>145</v>
      </c>
      <c r="D26" s="24" t="n">
        <v>2</v>
      </c>
      <c r="E26" s="24" t="n">
        <v>2</v>
      </c>
      <c r="F26" s="25"/>
      <c r="I26" s="4" t="s">
        <v>146</v>
      </c>
    </row>
    <row r="27" customFormat="false" ht="15" hidden="false" customHeight="false" outlineLevel="0" collapsed="false">
      <c r="A27" s="17" t="n">
        <v>7</v>
      </c>
      <c r="B27" s="4" t="s">
        <v>147</v>
      </c>
      <c r="C27" s="4" t="s">
        <v>148</v>
      </c>
      <c r="D27" s="25"/>
      <c r="E27" s="24" t="n">
        <v>1</v>
      </c>
      <c r="F27" s="25"/>
      <c r="I27" s="4" t="s">
        <v>149</v>
      </c>
    </row>
    <row r="28" customFormat="false" ht="23.85" hidden="false" customHeight="false" outlineLevel="0" collapsed="false">
      <c r="A28" s="17" t="n">
        <v>8</v>
      </c>
      <c r="B28" s="4" t="s">
        <v>150</v>
      </c>
      <c r="C28" s="4" t="s">
        <v>151</v>
      </c>
      <c r="D28" s="25"/>
      <c r="E28" s="25"/>
      <c r="F28" s="24" t="n">
        <v>3</v>
      </c>
      <c r="I28" s="4" t="s">
        <v>148</v>
      </c>
    </row>
    <row r="29" customFormat="false" ht="23.85" hidden="false" customHeight="false" outlineLevel="0" collapsed="false">
      <c r="A29" s="17" t="n">
        <v>9</v>
      </c>
      <c r="B29" s="4" t="s">
        <v>152</v>
      </c>
      <c r="C29" s="4" t="s">
        <v>153</v>
      </c>
      <c r="D29" s="25"/>
      <c r="E29" s="25"/>
      <c r="F29" s="24" t="n">
        <v>3</v>
      </c>
      <c r="I29" s="4" t="s">
        <v>154</v>
      </c>
    </row>
    <row r="30" customFormat="false" ht="15" hidden="false" customHeight="false" outlineLevel="0" collapsed="false">
      <c r="B30" s="6" t="s">
        <v>155</v>
      </c>
      <c r="D30" s="21" t="n">
        <f aca="false">AVERAGE(D21:D29)</f>
        <v>2.5</v>
      </c>
      <c r="E30" s="21" t="n">
        <f aca="false">AVERAGE(E21:E29)</f>
        <v>2</v>
      </c>
      <c r="F30" s="21" t="n">
        <f aca="false">AVERAGE(F21:F29)</f>
        <v>3</v>
      </c>
    </row>
    <row r="31" customFormat="false" ht="15" hidden="false" customHeight="false" outlineLevel="0" collapsed="false">
      <c r="B31" s="4" t="s">
        <v>156</v>
      </c>
      <c r="D31" s="17" t="n">
        <f aca="false">COUNT(D21:D29)</f>
        <v>6</v>
      </c>
      <c r="E31" s="17" t="n">
        <f aca="false">COUNT(E21:E29)</f>
        <v>3</v>
      </c>
      <c r="F31" s="17" t="n">
        <f aca="false">COUNT(F21:F29)</f>
        <v>2</v>
      </c>
    </row>
    <row r="33" customFormat="false" ht="15" hidden="false" customHeight="true" outlineLevel="0" collapsed="false">
      <c r="A33" s="3" t="s">
        <v>157</v>
      </c>
      <c r="B33" s="3"/>
      <c r="C33" s="3"/>
      <c r="D33" s="3"/>
      <c r="E33" s="3"/>
      <c r="F33" s="3"/>
      <c r="G33" s="3"/>
      <c r="H33" s="3"/>
      <c r="I33" s="3"/>
    </row>
    <row r="34" customFormat="false" ht="23.85" hidden="false" customHeight="false" outlineLevel="0" collapsed="false">
      <c r="A34" s="6" t="s">
        <v>158</v>
      </c>
      <c r="B34" s="4" t="s">
        <v>159</v>
      </c>
      <c r="C34" s="4" t="s">
        <v>160</v>
      </c>
      <c r="D34" s="24" t="n">
        <v>5</v>
      </c>
      <c r="E34" s="24" t="n">
        <v>3</v>
      </c>
      <c r="F34" s="24" t="n">
        <v>2</v>
      </c>
    </row>
    <row r="35" customFormat="false" ht="23.85" hidden="false" customHeight="false" outlineLevel="0" collapsed="false">
      <c r="A35" s="6" t="s">
        <v>161</v>
      </c>
      <c r="B35" s="4" t="s">
        <v>162</v>
      </c>
      <c r="C35" s="4" t="s">
        <v>160</v>
      </c>
      <c r="D35" s="24" t="n">
        <v>4</v>
      </c>
      <c r="E35" s="24" t="n">
        <v>4</v>
      </c>
      <c r="F35" s="24" t="n">
        <v>2</v>
      </c>
    </row>
    <row r="36" customFormat="false" ht="15" hidden="false" customHeight="false" outlineLevel="0" collapsed="false">
      <c r="A36" s="6" t="s">
        <v>163</v>
      </c>
      <c r="B36" s="4" t="s">
        <v>164</v>
      </c>
      <c r="C36" s="4" t="s">
        <v>160</v>
      </c>
      <c r="D36" s="24" t="n">
        <v>3</v>
      </c>
      <c r="E36" s="24" t="n">
        <v>3</v>
      </c>
      <c r="F36" s="24" t="n">
        <v>3</v>
      </c>
    </row>
    <row r="37" customFormat="false" ht="15" hidden="false" customHeight="false" outlineLevel="0" collapsed="false">
      <c r="A37" s="6" t="s">
        <v>165</v>
      </c>
      <c r="B37" s="4" t="s">
        <v>166</v>
      </c>
      <c r="C37" s="4" t="s">
        <v>167</v>
      </c>
      <c r="D37" s="24" t="n">
        <v>2</v>
      </c>
      <c r="E37" s="24" t="n">
        <v>1</v>
      </c>
      <c r="F37" s="24" t="n">
        <v>5</v>
      </c>
    </row>
    <row r="38" customFormat="false" ht="15" hidden="false" customHeight="false" outlineLevel="0" collapsed="false">
      <c r="A38" s="6" t="s">
        <v>168</v>
      </c>
      <c r="B38" s="4" t="s">
        <v>169</v>
      </c>
      <c r="C38" s="4" t="s">
        <v>167</v>
      </c>
      <c r="D38" s="24" t="n">
        <v>2</v>
      </c>
      <c r="E38" s="24" t="n">
        <v>2</v>
      </c>
      <c r="F38" s="24" t="n">
        <v>4</v>
      </c>
    </row>
    <row r="40" customFormat="false" ht="15" hidden="false" customHeight="true" outlineLevel="0" collapsed="false">
      <c r="A40" s="3" t="s">
        <v>170</v>
      </c>
      <c r="B40" s="3"/>
      <c r="C40" s="3"/>
      <c r="D40" s="3"/>
      <c r="E40" s="3"/>
      <c r="F40" s="3"/>
      <c r="G40" s="3"/>
      <c r="H40" s="3"/>
      <c r="I40" s="3"/>
    </row>
    <row r="41" customFormat="false" ht="15" hidden="false" customHeight="false" outlineLevel="0" collapsed="false">
      <c r="B41" s="4" t="s">
        <v>171</v>
      </c>
      <c r="D41" s="16" t="n">
        <v>261</v>
      </c>
    </row>
    <row r="42" customFormat="false" ht="15" hidden="false" customHeight="false" outlineLevel="0" collapsed="false">
      <c r="B42" s="4" t="s">
        <v>172</v>
      </c>
      <c r="D42" s="16" t="n">
        <v>72000</v>
      </c>
    </row>
    <row r="43" customFormat="false" ht="15" hidden="false" customHeight="false" outlineLevel="0" collapsed="false">
      <c r="B43" s="4" t="s">
        <v>173</v>
      </c>
      <c r="D43" s="16" t="n">
        <v>185</v>
      </c>
    </row>
    <row r="44" customFormat="false" ht="15" hidden="false" customHeight="false" outlineLevel="0" collapsed="false">
      <c r="B44" s="4" t="s">
        <v>174</v>
      </c>
      <c r="D44" s="16" t="n">
        <v>480000</v>
      </c>
    </row>
    <row r="45" customFormat="false" ht="15" hidden="false" customHeight="false" outlineLevel="0" collapsed="false">
      <c r="B45" s="4" t="s">
        <v>175</v>
      </c>
      <c r="D45" s="16" t="n">
        <v>150</v>
      </c>
    </row>
    <row r="46" customFormat="false" ht="15" hidden="false" customHeight="false" outlineLevel="0" collapsed="false">
      <c r="B46" s="4" t="s">
        <v>176</v>
      </c>
      <c r="D46" s="26" t="n">
        <v>2</v>
      </c>
    </row>
    <row r="47" customFormat="false" ht="15" hidden="false" customHeight="false" outlineLevel="0" collapsed="false">
      <c r="B47" s="4" t="s">
        <v>177</v>
      </c>
      <c r="D47" s="26" t="n">
        <v>2</v>
      </c>
    </row>
    <row r="48" customFormat="false" ht="15" hidden="false" customHeight="false" outlineLevel="0" collapsed="false">
      <c r="B48" s="4" t="s">
        <v>178</v>
      </c>
      <c r="D48" s="26" t="n">
        <v>6</v>
      </c>
    </row>
    <row r="49" customFormat="false" ht="15" hidden="false" customHeight="false" outlineLevel="0" collapsed="false">
      <c r="B49" s="4" t="s">
        <v>179</v>
      </c>
      <c r="D49" s="26" t="n">
        <v>4</v>
      </c>
    </row>
    <row r="50" customFormat="false" ht="15" hidden="false" customHeight="false" outlineLevel="0" collapsed="false">
      <c r="B50" s="4" t="s">
        <v>180</v>
      </c>
      <c r="D50" s="26" t="n">
        <v>0.25</v>
      </c>
    </row>
    <row r="51" customFormat="false" ht="15" hidden="false" customHeight="false" outlineLevel="0" collapsed="false">
      <c r="B51" s="4" t="s">
        <v>181</v>
      </c>
      <c r="D51" s="26" t="n">
        <v>8</v>
      </c>
    </row>
    <row r="52" customFormat="false" ht="15" hidden="false" customHeight="false" outlineLevel="0" collapsed="false">
      <c r="B52" s="4" t="s">
        <v>182</v>
      </c>
      <c r="D52" s="26" t="n">
        <v>6</v>
      </c>
    </row>
    <row r="53" customFormat="false" ht="15" hidden="false" customHeight="false" outlineLevel="0" collapsed="false">
      <c r="B53" s="4" t="s">
        <v>183</v>
      </c>
      <c r="D53" s="16" t="n">
        <v>1200000</v>
      </c>
    </row>
    <row r="54" customFormat="false" ht="15" hidden="false" customHeight="false" outlineLevel="0" collapsed="false">
      <c r="B54" s="4" t="s">
        <v>184</v>
      </c>
      <c r="D54" s="16" t="n">
        <v>2400000</v>
      </c>
    </row>
    <row r="55" customFormat="false" ht="15" hidden="false" customHeight="false" outlineLevel="0" collapsed="false">
      <c r="B55" s="4" t="s">
        <v>185</v>
      </c>
      <c r="D55" s="26" t="n">
        <v>0.3</v>
      </c>
    </row>
    <row r="56" customFormat="false" ht="15" hidden="false" customHeight="false" outlineLevel="0" collapsed="false">
      <c r="B56" s="4" t="s">
        <v>186</v>
      </c>
      <c r="D56" s="26" t="n">
        <v>2</v>
      </c>
    </row>
    <row r="57" customFormat="false" ht="15" hidden="false" customHeight="false" outlineLevel="0" collapsed="false">
      <c r="B57" s="4" t="s">
        <v>187</v>
      </c>
      <c r="D57" s="26" t="n">
        <v>2</v>
      </c>
    </row>
    <row r="58" customFormat="false" ht="15" hidden="false" customHeight="false" outlineLevel="0" collapsed="false">
      <c r="B58" s="4" t="s">
        <v>188</v>
      </c>
      <c r="D58" s="26" t="n">
        <v>0.7</v>
      </c>
    </row>
    <row r="59" customFormat="false" ht="15" hidden="false" customHeight="false" outlineLevel="0" collapsed="false">
      <c r="B59" s="4" t="s">
        <v>189</v>
      </c>
      <c r="D59" s="26" t="n">
        <v>1</v>
      </c>
      <c r="E59" s="26" t="n">
        <v>1.5</v>
      </c>
    </row>
    <row r="61" customFormat="false" ht="30" hidden="false" customHeight="true" outlineLevel="0" collapsed="false">
      <c r="A61" s="5" t="s">
        <v>190</v>
      </c>
      <c r="B61" s="5" t="s">
        <v>191</v>
      </c>
      <c r="C61" s="5" t="s">
        <v>192</v>
      </c>
      <c r="D61" s="5" t="s">
        <v>193</v>
      </c>
      <c r="E61" s="5" t="s">
        <v>194</v>
      </c>
      <c r="F61" s="5" t="s">
        <v>195</v>
      </c>
      <c r="G61" s="5" t="s">
        <v>196</v>
      </c>
      <c r="H61" s="5" t="s">
        <v>197</v>
      </c>
      <c r="I61" s="5" t="s">
        <v>198</v>
      </c>
      <c r="J61" s="27" t="s">
        <v>199</v>
      </c>
      <c r="K61" s="27" t="s">
        <v>194</v>
      </c>
      <c r="L61" s="27" t="s">
        <v>195</v>
      </c>
      <c r="M61" s="27" t="s">
        <v>196</v>
      </c>
      <c r="N61" s="27" t="s">
        <v>197</v>
      </c>
    </row>
    <row r="62" customFormat="false" ht="15" hidden="false" customHeight="false" outlineLevel="0" collapsed="false">
      <c r="A62" s="6" t="s">
        <v>200</v>
      </c>
      <c r="B62" s="4" t="s">
        <v>200</v>
      </c>
      <c r="C62" s="4" t="s">
        <v>15</v>
      </c>
      <c r="D62" s="16" t="n">
        <v>1408</v>
      </c>
      <c r="E62" s="16" t="n">
        <v>570</v>
      </c>
      <c r="F62" s="16" t="n">
        <v>350</v>
      </c>
      <c r="G62" s="16" t="n">
        <v>136</v>
      </c>
      <c r="H62" s="16" t="n">
        <v>114</v>
      </c>
      <c r="J62" s="16" t="n">
        <v>42698</v>
      </c>
      <c r="K62" s="16" t="n">
        <v>39297</v>
      </c>
      <c r="L62" s="16" t="n">
        <v>54183</v>
      </c>
      <c r="M62" s="16" t="n">
        <v>47492</v>
      </c>
      <c r="N62" s="16" t="n">
        <v>315093</v>
      </c>
    </row>
    <row r="63" customFormat="false" ht="15" hidden="false" customHeight="false" outlineLevel="0" collapsed="false">
      <c r="A63" s="6" t="s">
        <v>201</v>
      </c>
      <c r="B63" s="4" t="s">
        <v>201</v>
      </c>
      <c r="C63" s="4" t="s">
        <v>15</v>
      </c>
      <c r="D63" s="16" t="n">
        <v>1013</v>
      </c>
      <c r="E63" s="16" t="n">
        <v>424</v>
      </c>
      <c r="F63" s="16" t="n">
        <v>242</v>
      </c>
      <c r="G63" s="16" t="n">
        <v>85</v>
      </c>
      <c r="H63" s="16" t="n">
        <v>57</v>
      </c>
      <c r="J63" s="16" t="n">
        <v>31260</v>
      </c>
      <c r="K63" s="16" t="n">
        <v>29270</v>
      </c>
      <c r="L63" s="16" t="n">
        <v>36995</v>
      </c>
      <c r="M63" s="16" t="n">
        <v>29008</v>
      </c>
      <c r="N63" s="16" t="n">
        <v>116895</v>
      </c>
    </row>
    <row r="64" customFormat="false" ht="15" hidden="false" customHeight="false" outlineLevel="0" collapsed="false">
      <c r="A64" s="6" t="s">
        <v>202</v>
      </c>
      <c r="B64" s="4" t="s">
        <v>202</v>
      </c>
      <c r="C64" s="4" t="s">
        <v>15</v>
      </c>
      <c r="D64" s="16" t="n">
        <v>3622</v>
      </c>
      <c r="E64" s="16" t="n">
        <v>1218</v>
      </c>
      <c r="F64" s="16" t="n">
        <v>746</v>
      </c>
      <c r="G64" s="16" t="n">
        <v>240</v>
      </c>
      <c r="H64" s="16" t="n">
        <v>183</v>
      </c>
      <c r="J64" s="16" t="n">
        <v>110129</v>
      </c>
      <c r="K64" s="16" t="n">
        <v>83565</v>
      </c>
      <c r="L64" s="16" t="n">
        <v>115979</v>
      </c>
      <c r="M64" s="16" t="n">
        <v>83365</v>
      </c>
      <c r="N64" s="16" t="n">
        <v>220621</v>
      </c>
    </row>
    <row r="65" customFormat="false" ht="15" hidden="false" customHeight="false" outlineLevel="0" collapsed="false">
      <c r="A65" s="6" t="s">
        <v>203</v>
      </c>
      <c r="B65" s="4" t="s">
        <v>203</v>
      </c>
      <c r="C65" s="4" t="s">
        <v>16</v>
      </c>
      <c r="D65" s="16" t="n">
        <v>1505</v>
      </c>
      <c r="E65" s="16" t="n">
        <v>935</v>
      </c>
      <c r="F65" s="16" t="n">
        <v>760</v>
      </c>
      <c r="G65" s="16" t="n">
        <v>313</v>
      </c>
      <c r="H65" s="16" t="n">
        <v>277</v>
      </c>
      <c r="J65" s="16" t="n">
        <v>48064</v>
      </c>
      <c r="K65" s="16" t="n">
        <v>66254</v>
      </c>
      <c r="L65" s="16" t="n">
        <v>119875</v>
      </c>
      <c r="M65" s="16" t="n">
        <v>108128</v>
      </c>
      <c r="N65" s="16" t="n">
        <v>450163</v>
      </c>
    </row>
    <row r="66" customFormat="false" ht="15" hidden="false" customHeight="false" outlineLevel="0" collapsed="false">
      <c r="A66" s="6" t="s">
        <v>204</v>
      </c>
      <c r="B66" s="4" t="s">
        <v>204</v>
      </c>
      <c r="C66" s="4" t="s">
        <v>16</v>
      </c>
      <c r="D66" s="16" t="n">
        <v>7758</v>
      </c>
      <c r="E66" s="16" t="n">
        <v>3050</v>
      </c>
      <c r="F66" s="16" t="n">
        <v>1685</v>
      </c>
      <c r="G66" s="16" t="n">
        <v>423</v>
      </c>
      <c r="H66" s="16" t="n">
        <v>278</v>
      </c>
      <c r="J66" s="16" t="n">
        <v>238654</v>
      </c>
      <c r="K66" s="16" t="n">
        <v>210252</v>
      </c>
      <c r="L66" s="16" t="n">
        <v>253795</v>
      </c>
      <c r="M66" s="16" t="n">
        <v>147406</v>
      </c>
      <c r="N66" s="16" t="n">
        <v>354948</v>
      </c>
    </row>
    <row r="67" customFormat="false" ht="15" hidden="false" customHeight="false" outlineLevel="0" collapsed="false">
      <c r="A67" s="6" t="s">
        <v>205</v>
      </c>
      <c r="B67" s="4" t="s">
        <v>205</v>
      </c>
      <c r="C67" s="4" t="s">
        <v>16</v>
      </c>
      <c r="D67" s="16" t="n">
        <v>3291</v>
      </c>
      <c r="E67" s="16" t="n">
        <v>1484</v>
      </c>
      <c r="F67" s="16" t="n">
        <v>997</v>
      </c>
      <c r="G67" s="16" t="n">
        <v>358</v>
      </c>
      <c r="H67" s="16" t="n">
        <v>295</v>
      </c>
      <c r="J67" s="16" t="n">
        <v>102872</v>
      </c>
      <c r="K67" s="16" t="n">
        <v>103029</v>
      </c>
      <c r="L67" s="16" t="n">
        <v>151690</v>
      </c>
      <c r="M67" s="16" t="n">
        <v>123683</v>
      </c>
      <c r="N67" s="16" t="n">
        <v>513567</v>
      </c>
    </row>
    <row r="68" customFormat="false" ht="15" hidden="false" customHeight="false" outlineLevel="0" collapsed="false">
      <c r="A68" s="6" t="s">
        <v>206</v>
      </c>
      <c r="B68" s="4" t="s">
        <v>206</v>
      </c>
      <c r="C68" s="4" t="s">
        <v>16</v>
      </c>
      <c r="D68" s="16" t="n">
        <v>775</v>
      </c>
      <c r="E68" s="16" t="n">
        <v>422</v>
      </c>
      <c r="F68" s="16" t="n">
        <v>288</v>
      </c>
      <c r="G68" s="16" t="n">
        <v>108</v>
      </c>
      <c r="H68" s="16" t="n">
        <v>129</v>
      </c>
      <c r="J68" s="16" t="n">
        <v>24550</v>
      </c>
      <c r="K68" s="16" t="n">
        <v>29321</v>
      </c>
      <c r="L68" s="16" t="n">
        <v>44277</v>
      </c>
      <c r="M68" s="16" t="n">
        <v>37403</v>
      </c>
      <c r="N68" s="16" t="n">
        <v>220680</v>
      </c>
    </row>
    <row r="69" customFormat="false" ht="15" hidden="false" customHeight="false" outlineLevel="0" collapsed="false">
      <c r="A69" s="6" t="s">
        <v>207</v>
      </c>
      <c r="B69" s="4" t="s">
        <v>207</v>
      </c>
      <c r="C69" s="4" t="s">
        <v>17</v>
      </c>
      <c r="D69" s="16" t="n">
        <v>5930</v>
      </c>
      <c r="E69" s="16" t="n">
        <v>2104</v>
      </c>
      <c r="F69" s="16" t="n">
        <v>1251</v>
      </c>
      <c r="G69" s="16" t="n">
        <v>429</v>
      </c>
      <c r="H69" s="16" t="n">
        <v>387</v>
      </c>
      <c r="J69" s="16" t="n">
        <v>179028</v>
      </c>
      <c r="K69" s="16" t="n">
        <v>145073</v>
      </c>
      <c r="L69" s="16" t="n">
        <v>189979</v>
      </c>
      <c r="M69" s="16" t="n">
        <v>149368</v>
      </c>
      <c r="N69" s="16" t="n">
        <v>727292</v>
      </c>
    </row>
    <row r="70" customFormat="false" ht="15" hidden="false" customHeight="false" outlineLevel="0" collapsed="false">
      <c r="A70" s="6" t="s">
        <v>208</v>
      </c>
      <c r="B70" s="4" t="s">
        <v>208</v>
      </c>
      <c r="C70" s="4" t="s">
        <v>17</v>
      </c>
      <c r="D70" s="16" t="n">
        <v>5831</v>
      </c>
      <c r="E70" s="16" t="n">
        <v>2359</v>
      </c>
      <c r="F70" s="16" t="n">
        <v>1581</v>
      </c>
      <c r="G70" s="16" t="n">
        <v>561</v>
      </c>
      <c r="H70" s="16" t="n">
        <v>447</v>
      </c>
      <c r="J70" s="16" t="n">
        <v>179046</v>
      </c>
      <c r="K70" s="16" t="n">
        <v>164769</v>
      </c>
      <c r="L70" s="16" t="n">
        <v>240853</v>
      </c>
      <c r="M70" s="16" t="n">
        <v>195289</v>
      </c>
      <c r="N70" s="16" t="n">
        <v>1156449</v>
      </c>
    </row>
    <row r="71" customFormat="false" ht="15" hidden="false" customHeight="false" outlineLevel="0" collapsed="false">
      <c r="A71" s="6" t="s">
        <v>209</v>
      </c>
      <c r="B71" s="4" t="s">
        <v>209</v>
      </c>
      <c r="C71" s="4" t="s">
        <v>17</v>
      </c>
      <c r="D71" s="16" t="n">
        <v>5789</v>
      </c>
      <c r="E71" s="16" t="n">
        <v>2151</v>
      </c>
      <c r="F71" s="16" t="n">
        <v>1244</v>
      </c>
      <c r="G71" s="16" t="n">
        <v>430</v>
      </c>
      <c r="H71" s="16" t="n">
        <v>339</v>
      </c>
      <c r="J71" s="16" t="n">
        <v>174222</v>
      </c>
      <c r="K71" s="16" t="n">
        <v>148901</v>
      </c>
      <c r="L71" s="16" t="n">
        <v>188821</v>
      </c>
      <c r="M71" s="16" t="n">
        <v>149492</v>
      </c>
      <c r="N71" s="16" t="n">
        <v>677207</v>
      </c>
    </row>
    <row r="72" customFormat="false" ht="15" hidden="false" customHeight="false" outlineLevel="0" collapsed="false">
      <c r="A72" s="6" t="s">
        <v>210</v>
      </c>
      <c r="B72" s="4" t="s">
        <v>210</v>
      </c>
      <c r="C72" s="4" t="s">
        <v>17</v>
      </c>
      <c r="D72" s="16" t="n">
        <v>1655</v>
      </c>
      <c r="E72" s="16" t="n">
        <v>584</v>
      </c>
      <c r="F72" s="16" t="n">
        <v>371</v>
      </c>
      <c r="G72" s="16" t="n">
        <v>132</v>
      </c>
      <c r="H72" s="16" t="n">
        <v>102</v>
      </c>
      <c r="J72" s="16" t="n">
        <v>49648</v>
      </c>
      <c r="K72" s="16" t="n">
        <v>40398</v>
      </c>
      <c r="L72" s="16" t="n">
        <v>56587</v>
      </c>
      <c r="M72" s="16" t="n">
        <v>44231</v>
      </c>
      <c r="N72" s="16" t="n">
        <v>230304</v>
      </c>
    </row>
    <row r="73" customFormat="false" ht="15" hidden="false" customHeight="false" outlineLevel="0" collapsed="false">
      <c r="B73" s="4" t="s">
        <v>211</v>
      </c>
      <c r="D73" s="28" t="n">
        <v>0.973</v>
      </c>
      <c r="E73" s="28" t="n">
        <v>1</v>
      </c>
      <c r="F73" s="28" t="n">
        <v>1</v>
      </c>
      <c r="G73" s="28" t="n">
        <v>1</v>
      </c>
      <c r="H73" s="28" t="n">
        <v>1</v>
      </c>
    </row>
    <row r="74" customFormat="false" ht="15" hidden="false" customHeight="false" outlineLevel="0" collapsed="false">
      <c r="B74" s="4" t="s">
        <v>212</v>
      </c>
      <c r="D74" s="28" t="n">
        <v>0.97</v>
      </c>
      <c r="E74" s="28" t="n">
        <v>0.936</v>
      </c>
      <c r="F74" s="28" t="n">
        <v>0.9</v>
      </c>
      <c r="G74" s="28" t="n">
        <v>0.908</v>
      </c>
      <c r="H74" s="28" t="n">
        <v>0.913</v>
      </c>
    </row>
    <row r="75" customFormat="false" ht="15" hidden="false" customHeight="false" outlineLevel="0" collapsed="false">
      <c r="B75" s="4" t="s">
        <v>213</v>
      </c>
      <c r="D75" s="28" t="n">
        <v>0.988</v>
      </c>
      <c r="E75" s="28" t="n">
        <v>0.979</v>
      </c>
      <c r="F75" s="28" t="n">
        <v>0.967</v>
      </c>
      <c r="G75" s="28" t="n">
        <v>0.951</v>
      </c>
      <c r="H75" s="28" t="n">
        <v>0.972</v>
      </c>
    </row>
    <row r="76" customFormat="false" ht="23.85" hidden="false" customHeight="false" outlineLevel="0" collapsed="false">
      <c r="B76" s="29" t="s">
        <v>214</v>
      </c>
    </row>
    <row r="78" customFormat="false" ht="30" hidden="false" customHeight="true" outlineLevel="0" collapsed="false">
      <c r="A78" s="5" t="s">
        <v>215</v>
      </c>
      <c r="B78" s="5" t="s">
        <v>216</v>
      </c>
      <c r="C78" s="5"/>
      <c r="D78" s="5" t="s">
        <v>69</v>
      </c>
      <c r="E78" s="5" t="s">
        <v>70</v>
      </c>
      <c r="F78" s="5" t="s">
        <v>71</v>
      </c>
      <c r="G78" s="5"/>
      <c r="H78" s="5"/>
      <c r="I78" s="5" t="s">
        <v>93</v>
      </c>
    </row>
    <row r="79" customFormat="false" ht="23.85" hidden="false" customHeight="false" outlineLevel="0" collapsed="false">
      <c r="A79" s="4" t="s">
        <v>217</v>
      </c>
      <c r="B79" s="4" t="s">
        <v>218</v>
      </c>
      <c r="D79" s="30" t="n">
        <f aca="false">D62*D$73+E62*E$73+D63*D$73+E63*E$73+D64*D$73+E64*E$73</f>
        <v>8091.839</v>
      </c>
      <c r="E79" s="30" t="n">
        <f aca="false">D65*D$74+E65*E$74+D66*D$74+E66*E$74+D67*D$74+E67*E$74+D68*D$74+E68*E$74</f>
        <v>18443.106</v>
      </c>
      <c r="F79" s="30" t="n">
        <f aca="false">D69*D$75+E69*E$75+D70*D$75+E70*E$75+D71*D$75+E71*E$75+D72*D$75+E72*E$75</f>
        <v>26021.382</v>
      </c>
    </row>
    <row r="80" customFormat="false" ht="15" hidden="false" customHeight="false" outlineLevel="0" collapsed="false">
      <c r="A80" s="4"/>
      <c r="B80" s="4" t="s">
        <v>219</v>
      </c>
      <c r="D80" s="30" t="n">
        <f aca="false">J62+K62+J63+K63+J64+K64</f>
        <v>336219</v>
      </c>
      <c r="E80" s="30" t="n">
        <f aca="false">J65+K65+J66+K66+J67+K67+J68+K68</f>
        <v>822996</v>
      </c>
      <c r="F80" s="30" t="n">
        <f aca="false">J69+K69+J70+K70+J71+K71+J72+K72</f>
        <v>1081085</v>
      </c>
    </row>
    <row r="81" customFormat="false" ht="15" hidden="false" customHeight="false" outlineLevel="0" collapsed="false">
      <c r="A81" s="4"/>
      <c r="B81" s="4" t="s">
        <v>220</v>
      </c>
      <c r="D81" s="30" t="n">
        <f aca="false">D62+E62+D63+E63+D64+E64</f>
        <v>8255</v>
      </c>
      <c r="E81" s="30" t="n">
        <f aca="false">D65+E65+D66+E66+D67+E67+D68+E68</f>
        <v>19220</v>
      </c>
      <c r="F81" s="30" t="n">
        <f aca="false">D69+E69+D70+E70+D71+E71+D72+E72</f>
        <v>26403</v>
      </c>
    </row>
    <row r="82" customFormat="false" ht="15" hidden="false" customHeight="false" outlineLevel="0" collapsed="false">
      <c r="A82" s="4"/>
      <c r="B82" s="4" t="s">
        <v>221</v>
      </c>
      <c r="D82" s="31" t="n">
        <f aca="false">D80/D81*D$9</f>
        <v>8.94248862992126</v>
      </c>
      <c r="E82" s="31" t="n">
        <f aca="false">E80/E81*E$9</f>
        <v>1.17283352965661</v>
      </c>
      <c r="F82" s="31" t="n">
        <f aca="false">F80/F81*F$9</f>
        <v>2.52711756675378</v>
      </c>
    </row>
    <row r="83" customFormat="false" ht="15" hidden="false" customHeight="false" outlineLevel="0" collapsed="false">
      <c r="A83" s="4"/>
      <c r="B83" s="4" t="s">
        <v>222</v>
      </c>
      <c r="D83" s="32" t="n">
        <f aca="false">MAX((Inputs!$D$41+Inputs!$D$43)*12,((((D82*Inputs!$D$45*Inputs!$D$59)*Inputs!$D$46)*Inputs!$D$47*Inputs!$D$48+(D82*Inputs!$D$45*Inputs!$D$59)*Inputs!$D$49+(D82*Inputs!$D$45*Inputs!$D$59)*Inputs!$D$50*Inputs!$D$51)*(Inputs!$D$41*12/Inputs!$D$42)+(((D82*Inputs!$D$45*Inputs!$D$59)*Inputs!$D$46)*Inputs!$D$47+(D82*Inputs!$D$45*Inputs!$D$59)+(D82*Inputs!$D$45*Inputs!$D$59)*Inputs!$D$50)*Inputs!$D$52*(Inputs!$D$43*12/Inputs!$D$44)))</f>
        <v>5352</v>
      </c>
      <c r="E83" s="32" t="n">
        <f aca="false">MAX((Inputs!$D$41+Inputs!$D$43)*12,((((E82*Inputs!$D$45*Inputs!$D$59)*Inputs!$D$46)*Inputs!$D$47*Inputs!$D$48+(E82*Inputs!$D$45*Inputs!$D$59)*Inputs!$D$49+(E82*Inputs!$D$45*Inputs!$D$59)*Inputs!$D$50*Inputs!$D$51)*(Inputs!$D$41*12/Inputs!$D$42)+(((E82*Inputs!$D$45*Inputs!$D$59)*Inputs!$D$46)*Inputs!$D$47+(E82*Inputs!$D$45*Inputs!$D$59)+(E82*Inputs!$D$45*Inputs!$D$59)*Inputs!$D$50)*Inputs!$D$52*(Inputs!$D$43*12/Inputs!$D$44)))</f>
        <v>5352</v>
      </c>
      <c r="F83" s="32" t="n">
        <f aca="false">MAX((Inputs!$D$41+Inputs!$D$43)*12,((((F82*Inputs!$D$45*Inputs!$D$59)*Inputs!$D$46)*Inputs!$D$47*Inputs!$D$48+(F82*Inputs!$D$45*Inputs!$D$59)*Inputs!$D$49+(F82*Inputs!$D$45*Inputs!$D$59)*Inputs!$D$50*Inputs!$D$51)*(Inputs!$D$41*12/Inputs!$D$42)+(((F82*Inputs!$D$45*Inputs!$D$59)*Inputs!$D$46)*Inputs!$D$47+(F82*Inputs!$D$45*Inputs!$D$59)+(F82*Inputs!$D$45*Inputs!$D$59)*Inputs!$D$50)*Inputs!$D$52*(Inputs!$D$43*12/Inputs!$D$44)))</f>
        <v>5352</v>
      </c>
    </row>
    <row r="84" customFormat="false" ht="15" hidden="false" customHeight="false" outlineLevel="0" collapsed="false">
      <c r="A84" s="4"/>
      <c r="B84" s="4" t="s">
        <v>223</v>
      </c>
      <c r="D84" s="32" t="n">
        <f aca="false">MAX((Inputs!$D$41+Inputs!$D$43)*12,((((D82*Inputs!$D$45*Inputs!$E$59)*Inputs!$D$46)*Inputs!$D$47*Inputs!$D$48+(D82*Inputs!$D$45*Inputs!$E$59)*Inputs!$D$49+(D82*Inputs!$D$45*Inputs!$E$59)*Inputs!$D$50*Inputs!$D$51)*(Inputs!$D$41*12/Inputs!$D$42)+(((D82*Inputs!$D$45*Inputs!$E$59)*Inputs!$D$46)*Inputs!$D$47+(D82*Inputs!$D$45*Inputs!$E$59)+(D82*Inputs!$D$45*Inputs!$E$59)*Inputs!$D$50)*Inputs!$D$52*(Inputs!$D$43*12/Inputs!$D$44)))</f>
        <v>5352</v>
      </c>
      <c r="E84" s="32" t="n">
        <f aca="false">MAX((Inputs!$D$41+Inputs!$D$43)*12,((((E82*Inputs!$D$45*Inputs!$E$59)*Inputs!$D$46)*Inputs!$D$47*Inputs!$D$48+(E82*Inputs!$D$45*Inputs!$E$59)*Inputs!$D$49+(E82*Inputs!$D$45*Inputs!$E$59)*Inputs!$D$50*Inputs!$D$51)*(Inputs!$D$41*12/Inputs!$D$42)+(((E82*Inputs!$D$45*Inputs!$E$59)*Inputs!$D$46)*Inputs!$D$47+(E82*Inputs!$D$45*Inputs!$E$59)+(E82*Inputs!$D$45*Inputs!$E$59)*Inputs!$D$50)*Inputs!$D$52*(Inputs!$D$43*12/Inputs!$D$44)))</f>
        <v>5352</v>
      </c>
      <c r="F84" s="32" t="n">
        <f aca="false">MAX((Inputs!$D$41+Inputs!$D$43)*12,((((F82*Inputs!$D$45*Inputs!$E$59)*Inputs!$D$46)*Inputs!$D$47*Inputs!$D$48+(F82*Inputs!$D$45*Inputs!$E$59)*Inputs!$D$49+(F82*Inputs!$D$45*Inputs!$E$59)*Inputs!$D$50*Inputs!$D$51)*(Inputs!$D$41*12/Inputs!$D$42)+(((F82*Inputs!$D$45*Inputs!$E$59)*Inputs!$D$46)*Inputs!$D$47+(F82*Inputs!$D$45*Inputs!$E$59)+(F82*Inputs!$D$45*Inputs!$E$59)*Inputs!$D$50)*Inputs!$D$52*(Inputs!$D$43*12/Inputs!$D$44)))</f>
        <v>5352</v>
      </c>
    </row>
    <row r="85" customFormat="false" ht="15" hidden="false" customHeight="false" outlineLevel="0" collapsed="false">
      <c r="A85" s="4"/>
      <c r="B85" s="4" t="s">
        <v>224</v>
      </c>
      <c r="D85" s="30" t="n">
        <f aca="false">D79*1</f>
        <v>8091.839</v>
      </c>
      <c r="E85" s="30" t="n">
        <f aca="false">E79*1</f>
        <v>18443.106</v>
      </c>
      <c r="F85" s="30" t="n">
        <f aca="false">F79*1</f>
        <v>26021.382</v>
      </c>
    </row>
    <row r="86" customFormat="false" ht="46.25" hidden="false" customHeight="false" outlineLevel="0" collapsed="false">
      <c r="A86" s="4" t="s">
        <v>225</v>
      </c>
      <c r="B86" s="4" t="s">
        <v>218</v>
      </c>
      <c r="D86" s="30" t="n">
        <f aca="false">F62*F$73+G62*G$73+F63*F$73+G63*G$73+F64*F$73+G64*G$73</f>
        <v>1799</v>
      </c>
      <c r="E86" s="30" t="n">
        <f aca="false">F65*F$74+G65*G$74+F66*F$74+G66*G$74+F67*F$74+G67*G$74+F68*F$74+G68*G$74</f>
        <v>4448.416</v>
      </c>
      <c r="F86" s="30" t="n">
        <f aca="false">F69*F$75+G69*G$75+F70*F$75+G70*G$75+F71*F$75+G71*G$75+F72*F$75+G72*G$75</f>
        <v>5776.201</v>
      </c>
    </row>
    <row r="87" customFormat="false" ht="15" hidden="false" customHeight="false" outlineLevel="0" collapsed="false">
      <c r="A87" s="4"/>
      <c r="B87" s="4" t="s">
        <v>219</v>
      </c>
      <c r="D87" s="30" t="n">
        <f aca="false">L62+M62+L63+M63+L64+M64</f>
        <v>367022</v>
      </c>
      <c r="E87" s="30" t="n">
        <f aca="false">L65+M65+L66+M66+L67+M67+L68+M68</f>
        <v>986257</v>
      </c>
      <c r="F87" s="30" t="n">
        <f aca="false">L69+M69+L70+M70+L71+M71+L72+M72</f>
        <v>1214620</v>
      </c>
    </row>
    <row r="88" customFormat="false" ht="15" hidden="false" customHeight="false" outlineLevel="0" collapsed="false">
      <c r="A88" s="4"/>
      <c r="B88" s="4" t="s">
        <v>220</v>
      </c>
      <c r="D88" s="30" t="n">
        <f aca="false">F62+G62+F63+G63+F64+G64</f>
        <v>1799</v>
      </c>
      <c r="E88" s="30" t="n">
        <f aca="false">F65+G65+F66+G66+F67+G67+F68+G68</f>
        <v>4932</v>
      </c>
      <c r="F88" s="30" t="n">
        <f aca="false">F69+G69+F70+G70+F71+G71+F72+G72</f>
        <v>5999</v>
      </c>
    </row>
    <row r="89" customFormat="false" ht="15" hidden="false" customHeight="false" outlineLevel="0" collapsed="false">
      <c r="A89" s="4"/>
      <c r="B89" s="4" t="s">
        <v>221</v>
      </c>
      <c r="D89" s="31" t="n">
        <f aca="false">D87/D88*D$9</f>
        <v>44.7934131851028</v>
      </c>
      <c r="E89" s="31" t="n">
        <f aca="false">E87/E88*E$9</f>
        <v>5.47720584549878</v>
      </c>
      <c r="F89" s="31" t="n">
        <f aca="false">F87/F88*F$9</f>
        <v>12.4962713418903</v>
      </c>
    </row>
    <row r="90" customFormat="false" ht="15" hidden="false" customHeight="false" outlineLevel="0" collapsed="false">
      <c r="A90" s="4"/>
      <c r="B90" s="4" t="s">
        <v>222</v>
      </c>
      <c r="D90" s="32" t="n">
        <f aca="false">MAX((Inputs!$D$41+Inputs!$D$43)*12,((((D89*Inputs!$D$45*Inputs!$D$59)*Inputs!$D$46)*Inputs!$D$47*Inputs!$D$48+(D89*Inputs!$D$45*Inputs!$D$59)*Inputs!$D$49+(D89*Inputs!$D$45*Inputs!$D$59)*Inputs!$D$50*Inputs!$D$51)*(Inputs!$D$41*12/Inputs!$D$42)+(((D89*Inputs!$D$45*Inputs!$D$59)*Inputs!$D$46)*Inputs!$D$47+(D89*Inputs!$D$45*Inputs!$D$59)+(D89*Inputs!$D$45*Inputs!$D$59)*Inputs!$D$50)*Inputs!$D$52*(Inputs!$D$43*12/Inputs!$D$44)))</f>
        <v>9747.18668849458</v>
      </c>
      <c r="E90" s="32" t="n">
        <f aca="false">MAX((Inputs!$D$41+Inputs!$D$43)*12,((((E89*Inputs!$D$45*Inputs!$D$59)*Inputs!$D$46)*Inputs!$D$47*Inputs!$D$48+(E89*Inputs!$D$45*Inputs!$D$59)*Inputs!$D$49+(E89*Inputs!$D$45*Inputs!$D$59)*Inputs!$D$50*Inputs!$D$51)*(Inputs!$D$41*12/Inputs!$D$42)+(((E89*Inputs!$D$45*Inputs!$D$59)*Inputs!$D$46)*Inputs!$D$47+(E89*Inputs!$D$45*Inputs!$D$59)+(E89*Inputs!$D$45*Inputs!$D$59)*Inputs!$D$50)*Inputs!$D$52*(Inputs!$D$43*12/Inputs!$D$44)))</f>
        <v>5352</v>
      </c>
      <c r="F90" s="32" t="n">
        <f aca="false">MAX((Inputs!$D$41+Inputs!$D$43)*12,((((F89*Inputs!$D$45*Inputs!$D$59)*Inputs!$D$46)*Inputs!$D$47*Inputs!$D$48+(F89*Inputs!$D$45*Inputs!$D$59)*Inputs!$D$49+(F89*Inputs!$D$45*Inputs!$D$59)*Inputs!$D$50*Inputs!$D$51)*(Inputs!$D$41*12/Inputs!$D$42)+(((F89*Inputs!$D$45*Inputs!$D$59)*Inputs!$D$46)*Inputs!$D$47+(F89*Inputs!$D$45*Inputs!$D$59)+(F89*Inputs!$D$45*Inputs!$D$59)*Inputs!$D$50)*Inputs!$D$52*(Inputs!$D$43*12/Inputs!$D$44)))</f>
        <v>5352</v>
      </c>
    </row>
    <row r="91" customFormat="false" ht="15" hidden="false" customHeight="false" outlineLevel="0" collapsed="false">
      <c r="A91" s="4"/>
      <c r="B91" s="4" t="s">
        <v>223</v>
      </c>
      <c r="D91" s="32" t="n">
        <f aca="false">MAX((Inputs!$D$41+Inputs!$D$43)*12,((((D89*Inputs!$D$45*Inputs!$E$59)*Inputs!$D$46)*Inputs!$D$47*Inputs!$D$48+(D89*Inputs!$D$45*Inputs!$E$59)*Inputs!$D$49+(D89*Inputs!$D$45*Inputs!$E$59)*Inputs!$D$50*Inputs!$D$51)*(Inputs!$D$41*12/Inputs!$D$42)+(((D89*Inputs!$D$45*Inputs!$E$59)*Inputs!$D$46)*Inputs!$D$47+(D89*Inputs!$D$45*Inputs!$E$59)+(D89*Inputs!$D$45*Inputs!$E$59)*Inputs!$D$50)*Inputs!$D$52*(Inputs!$D$43*12/Inputs!$D$44)))</f>
        <v>14620.7800327419</v>
      </c>
      <c r="E91" s="32" t="n">
        <f aca="false">MAX((Inputs!$D$41+Inputs!$D$43)*12,((((E89*Inputs!$D$45*Inputs!$E$59)*Inputs!$D$46)*Inputs!$D$47*Inputs!$D$48+(E89*Inputs!$D$45*Inputs!$E$59)*Inputs!$D$49+(E89*Inputs!$D$45*Inputs!$E$59)*Inputs!$D$50*Inputs!$D$51)*(Inputs!$D$41*12/Inputs!$D$42)+(((E89*Inputs!$D$45*Inputs!$E$59)*Inputs!$D$46)*Inputs!$D$47+(E89*Inputs!$D$45*Inputs!$E$59)+(E89*Inputs!$D$45*Inputs!$E$59)*Inputs!$D$50)*Inputs!$D$52*(Inputs!$D$43*12/Inputs!$D$44)))</f>
        <v>5352</v>
      </c>
      <c r="F91" s="32" t="n">
        <f aca="false">MAX((Inputs!$D$41+Inputs!$D$43)*12,((((F89*Inputs!$D$45*Inputs!$E$59)*Inputs!$D$46)*Inputs!$D$47*Inputs!$D$48+(F89*Inputs!$D$45*Inputs!$E$59)*Inputs!$D$49+(F89*Inputs!$D$45*Inputs!$E$59)*Inputs!$D$50*Inputs!$D$51)*(Inputs!$D$41*12/Inputs!$D$42)+(((F89*Inputs!$D$45*Inputs!$E$59)*Inputs!$D$46)*Inputs!$D$47+(F89*Inputs!$D$45*Inputs!$E$59)+(F89*Inputs!$D$45*Inputs!$E$59)*Inputs!$D$50)*Inputs!$D$52*(Inputs!$D$43*12/Inputs!$D$44)))</f>
        <v>5352</v>
      </c>
    </row>
    <row r="92" customFormat="false" ht="15" hidden="false" customHeight="false" outlineLevel="0" collapsed="false">
      <c r="A92" s="4"/>
      <c r="B92" s="4" t="s">
        <v>224</v>
      </c>
      <c r="D92" s="30" t="n">
        <f aca="false">D86*Inputs!$D$56</f>
        <v>3598</v>
      </c>
      <c r="E92" s="30" t="n">
        <f aca="false">E86*Inputs!$D$56</f>
        <v>8896.832</v>
      </c>
      <c r="F92" s="30" t="n">
        <f aca="false">F86*Inputs!$D$56</f>
        <v>11552.402</v>
      </c>
    </row>
    <row r="93" customFormat="false" ht="23.85" hidden="false" customHeight="false" outlineLevel="0" collapsed="false">
      <c r="A93" s="4" t="s">
        <v>226</v>
      </c>
      <c r="B93" s="4" t="s">
        <v>218</v>
      </c>
      <c r="D93" s="30" t="n">
        <f aca="false">H62*H$73+H63*H$73+H64*H$73</f>
        <v>354</v>
      </c>
      <c r="E93" s="30" t="n">
        <f aca="false">H65*H$74+H66*H$74+H67*H$74+H68*H$74</f>
        <v>893.827</v>
      </c>
      <c r="F93" s="30" t="n">
        <f aca="false">H69*H$75+H70*H$75+H71*H$75+H72*H$75</f>
        <v>1239.3</v>
      </c>
    </row>
    <row r="94" customFormat="false" ht="15" hidden="false" customHeight="false" outlineLevel="0" collapsed="false">
      <c r="A94" s="4"/>
      <c r="B94" s="4" t="s">
        <v>219</v>
      </c>
      <c r="D94" s="30" t="n">
        <f aca="false">N62+N63+N64</f>
        <v>652609</v>
      </c>
      <c r="E94" s="30" t="n">
        <f aca="false">N65+N66+N67+N68</f>
        <v>1539358</v>
      </c>
      <c r="F94" s="30" t="n">
        <f aca="false">N69+N70+N71+N72</f>
        <v>2791252</v>
      </c>
    </row>
    <row r="95" customFormat="false" ht="15" hidden="false" customHeight="false" outlineLevel="0" collapsed="false">
      <c r="A95" s="4"/>
      <c r="B95" s="4" t="s">
        <v>220</v>
      </c>
      <c r="D95" s="30" t="n">
        <f aca="false">H62+H63+H64</f>
        <v>354</v>
      </c>
      <c r="E95" s="30" t="n">
        <f aca="false">H65+H66+H67+H68</f>
        <v>979</v>
      </c>
      <c r="F95" s="30" t="n">
        <f aca="false">H69+H70+H71+H72</f>
        <v>1275</v>
      </c>
    </row>
    <row r="96" customFormat="false" ht="15" hidden="false" customHeight="false" outlineLevel="0" collapsed="false">
      <c r="A96" s="4"/>
      <c r="B96" s="4" t="s">
        <v>221</v>
      </c>
      <c r="D96" s="31" t="n">
        <f aca="false">D94/D95*D$9</f>
        <v>404.765062259887</v>
      </c>
      <c r="E96" s="31" t="n">
        <f aca="false">E94/E95*E$9</f>
        <v>43.0674316853933</v>
      </c>
      <c r="F96" s="31" t="n">
        <f aca="false">F94/F95*F$9</f>
        <v>135.116299755294</v>
      </c>
    </row>
    <row r="97" customFormat="false" ht="15" hidden="false" customHeight="false" outlineLevel="0" collapsed="false">
      <c r="A97" s="4"/>
      <c r="B97" s="4" t="s">
        <v>222</v>
      </c>
      <c r="D97" s="32" t="n">
        <f aca="false">MAX(Inputs!$D$53*(Inputs!$D$41*12/Inputs!$D$42)+Inputs!$D$54*(Inputs!$D$43*12/Inputs!$D$44),((((D96*Inputs!$D$45*Inputs!$D$59)*Inputs!$D$46)*Inputs!$D$47*Inputs!$D$48+(D96*Inputs!$D$45*Inputs!$D$59)*Inputs!$D$49+(D96*Inputs!$D$45*Inputs!$D$59)*Inputs!$D$50*Inputs!$D$51)*(Inputs!$D$41*12/Inputs!$D$42)+(((D96*Inputs!$D$45*Inputs!$D$59)*Inputs!$D$46)*Inputs!$D$47+(D96*Inputs!$D$45*Inputs!$D$59)+(D96*Inputs!$D$45*Inputs!$D$59)*Inputs!$D$50)*Inputs!$D$52*(Inputs!$D$43*12/Inputs!$D$44)))*(1-Inputs!$D$55)</f>
        <v>61654.6997069997</v>
      </c>
      <c r="E97" s="32" t="n">
        <f aca="false">MAX(Inputs!$D$53*(Inputs!$D$41*12/Inputs!$D$42)+Inputs!$D$54*(Inputs!$D$43*12/Inputs!$D$44),((((E96*Inputs!$D$45*Inputs!$D$59)*Inputs!$D$46)*Inputs!$D$47*Inputs!$D$48+(E96*Inputs!$D$45*Inputs!$D$59)*Inputs!$D$49+(E96*Inputs!$D$45*Inputs!$D$59)*Inputs!$D$50*Inputs!$D$51)*(Inputs!$D$41*12/Inputs!$D$42)+(((E96*Inputs!$D$45*Inputs!$D$59)*Inputs!$D$46)*Inputs!$D$47+(E96*Inputs!$D$45*Inputs!$D$59)+(E96*Inputs!$D$45*Inputs!$D$59)*Inputs!$D$50)*Inputs!$D$52*(Inputs!$D$43*12/Inputs!$D$44)))*(1-Inputs!$D$55)</f>
        <v>44310</v>
      </c>
      <c r="F97" s="32" t="n">
        <f aca="false">MAX(Inputs!$D$53*(Inputs!$D$41*12/Inputs!$D$42)+Inputs!$D$54*(Inputs!$D$43*12/Inputs!$D$44),((((F96*Inputs!$D$45*Inputs!$D$59)*Inputs!$D$46)*Inputs!$D$47*Inputs!$D$48+(F96*Inputs!$D$45*Inputs!$D$59)*Inputs!$D$49+(F96*Inputs!$D$45*Inputs!$D$59)*Inputs!$D$50*Inputs!$D$51)*(Inputs!$D$41*12/Inputs!$D$42)+(((F96*Inputs!$D$45*Inputs!$D$59)*Inputs!$D$46)*Inputs!$D$47+(F96*Inputs!$D$45*Inputs!$D$59)+(F96*Inputs!$D$45*Inputs!$D$59)*Inputs!$D$50)*Inputs!$D$52*(Inputs!$D$43*12/Inputs!$D$44)))*(1-Inputs!$D$55)</f>
        <v>44310</v>
      </c>
    </row>
    <row r="98" customFormat="false" ht="15" hidden="false" customHeight="false" outlineLevel="0" collapsed="false">
      <c r="A98" s="4"/>
      <c r="B98" s="4" t="s">
        <v>223</v>
      </c>
      <c r="D98" s="32" t="n">
        <f aca="false">MAX(Inputs!$D$53*(Inputs!$D$41*12/Inputs!$D$42)+Inputs!$D$54*(Inputs!$D$43*12/Inputs!$D$44),((((D96*Inputs!$D$45*Inputs!$E$59)*Inputs!$D$46)*Inputs!$D$47*Inputs!$D$48+(D96*Inputs!$D$45*Inputs!$E$59)*Inputs!$D$49+(D96*Inputs!$D$45*Inputs!$E$59)*Inputs!$D$50*Inputs!$D$51)*(Inputs!$D$41*12/Inputs!$D$42)+(((D96*Inputs!$D$45*Inputs!$E$59)*Inputs!$D$46)*Inputs!$D$47+(D96*Inputs!$D$45*Inputs!$E$59)+(D96*Inputs!$D$45*Inputs!$E$59)*Inputs!$D$50)*Inputs!$D$52*(Inputs!$D$43*12/Inputs!$D$44)))*(1-Inputs!$D$55)</f>
        <v>92482.0495604995</v>
      </c>
      <c r="E98" s="32" t="n">
        <f aca="false">MAX(Inputs!$D$53*(Inputs!$D$41*12/Inputs!$D$42)+Inputs!$D$54*(Inputs!$D$43*12/Inputs!$D$44),((((E96*Inputs!$D$45*Inputs!$E$59)*Inputs!$D$46)*Inputs!$D$47*Inputs!$D$48+(E96*Inputs!$D$45*Inputs!$E$59)*Inputs!$D$49+(E96*Inputs!$D$45*Inputs!$E$59)*Inputs!$D$50*Inputs!$D$51)*(Inputs!$D$41*12/Inputs!$D$42)+(((E96*Inputs!$D$45*Inputs!$E$59)*Inputs!$D$46)*Inputs!$D$47+(E96*Inputs!$D$45*Inputs!$E$59)+(E96*Inputs!$D$45*Inputs!$E$59)*Inputs!$D$50)*Inputs!$D$52*(Inputs!$D$43*12/Inputs!$D$44)))*(1-Inputs!$D$55)</f>
        <v>44310</v>
      </c>
      <c r="F98" s="32" t="n">
        <f aca="false">MAX(Inputs!$D$53*(Inputs!$D$41*12/Inputs!$D$42)+Inputs!$D$54*(Inputs!$D$43*12/Inputs!$D$44),((((F96*Inputs!$D$45*Inputs!$E$59)*Inputs!$D$46)*Inputs!$D$47*Inputs!$D$48+(F96*Inputs!$D$45*Inputs!$E$59)*Inputs!$D$49+(F96*Inputs!$D$45*Inputs!$E$59)*Inputs!$D$50*Inputs!$D$51)*(Inputs!$D$41*12/Inputs!$D$42)+(((F96*Inputs!$D$45*Inputs!$E$59)*Inputs!$D$46)*Inputs!$D$47+(F96*Inputs!$D$45*Inputs!$E$59)+(F96*Inputs!$D$45*Inputs!$E$59)*Inputs!$D$50)*Inputs!$D$52*(Inputs!$D$43*12/Inputs!$D$44)))*(1-Inputs!$D$55)</f>
        <v>44310</v>
      </c>
    </row>
    <row r="99" customFormat="false" ht="15" hidden="false" customHeight="false" outlineLevel="0" collapsed="false">
      <c r="A99" s="4"/>
      <c r="B99" s="4" t="s">
        <v>224</v>
      </c>
      <c r="D99" s="30" t="n">
        <f aca="false">D93*Inputs!$D$57*Inputs!$D$58</f>
        <v>495.6</v>
      </c>
      <c r="E99" s="30" t="n">
        <f aca="false">E93*Inputs!$D$57*Inputs!$D$58</f>
        <v>1251.3578</v>
      </c>
      <c r="F99" s="30" t="n">
        <f aca="false">F93*Inputs!$D$57*Inputs!$D$58</f>
        <v>1735.02</v>
      </c>
    </row>
    <row r="100" customFormat="false" ht="23.85" hidden="false" customHeight="false" outlineLevel="0" collapsed="false">
      <c r="B100" s="6" t="s">
        <v>227</v>
      </c>
      <c r="D100" s="33" t="n">
        <f aca="false">(D85*D83+D92*D90+D99*D97)/(D85+D92+D99)</f>
        <v>8939.68360171452</v>
      </c>
      <c r="E100" s="33" t="n">
        <f aca="false">(E85*E83+E92*E90+E99*E97)/(E85+E92+E99)</f>
        <v>7057.0782697439</v>
      </c>
      <c r="F100" s="33" t="n">
        <f aca="false">(F85*F83+F92*F90+F99*F97)/(F85+F92+F99)</f>
        <v>7071.53614157276</v>
      </c>
    </row>
    <row r="101" customFormat="false" ht="23.85" hidden="false" customHeight="false" outlineLevel="0" collapsed="false">
      <c r="B101" s="6" t="s">
        <v>228</v>
      </c>
      <c r="D101" s="33" t="n">
        <f aca="false">(D85*D84+D92*D91+D99*D98)/(D85+D92+D99)</f>
        <v>11632.5060301881</v>
      </c>
      <c r="E101" s="33" t="n">
        <f aca="false">(E85*E84+E92*E91+E99*E98)/(E85+E92+E99)</f>
        <v>7057.0782697439</v>
      </c>
      <c r="F101" s="33" t="n">
        <f aca="false">(F85*F84+F92*F91+F99*F98)/(F85+F92+F99)</f>
        <v>7071.53614157276</v>
      </c>
    </row>
    <row r="103" customFormat="false" ht="39.75" hidden="false" customHeight="true" outlineLevel="0" collapsed="false">
      <c r="A103" s="34" t="s">
        <v>229</v>
      </c>
      <c r="B103" s="34"/>
      <c r="C103" s="34"/>
      <c r="D103" s="34"/>
      <c r="E103" s="34"/>
      <c r="F103" s="34"/>
      <c r="G103" s="34"/>
      <c r="H103" s="34"/>
      <c r="I103" s="34"/>
    </row>
  </sheetData>
  <mergeCells count="5">
    <mergeCell ref="A17:C17"/>
    <mergeCell ref="A19:I19"/>
    <mergeCell ref="A33:I33"/>
    <mergeCell ref="A40:I40"/>
    <mergeCell ref="A103:I10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5" min="3" style="0" width="15"/>
    <col collapsed="false" customWidth="true" hidden="false" outlineLevel="0" max="6" min="6" style="0" width="30"/>
  </cols>
  <sheetData>
    <row r="1" customFormat="false" ht="17.35" hidden="false" customHeight="false" outlineLevel="0" collapsed="false">
      <c r="A1" s="1" t="s">
        <v>230</v>
      </c>
    </row>
    <row r="2" customFormat="false" ht="15" hidden="false" customHeight="false" outlineLevel="0" collapsed="false">
      <c r="A2" s="2" t="s">
        <v>231</v>
      </c>
    </row>
    <row r="4" customFormat="false" ht="23.85" hidden="false" customHeight="false" outlineLevel="0" collapsed="false">
      <c r="A4" s="3" t="s">
        <v>232</v>
      </c>
      <c r="B4" s="12"/>
      <c r="C4" s="12"/>
      <c r="D4" s="12"/>
      <c r="E4" s="12"/>
      <c r="F4" s="12"/>
    </row>
    <row r="5" customFormat="false" ht="19.5" hidden="false" customHeight="true" outlineLevel="0" collapsed="false">
      <c r="A5" s="5" t="s">
        <v>44</v>
      </c>
      <c r="B5" s="5" t="s">
        <v>216</v>
      </c>
      <c r="C5" s="5" t="s">
        <v>15</v>
      </c>
      <c r="D5" s="5" t="s">
        <v>16</v>
      </c>
      <c r="E5" s="5" t="s">
        <v>17</v>
      </c>
      <c r="F5" s="5" t="s">
        <v>233</v>
      </c>
    </row>
    <row r="6" customFormat="false" ht="15" hidden="false" customHeight="false" outlineLevel="0" collapsed="false">
      <c r="A6" s="4" t="s">
        <v>52</v>
      </c>
      <c r="B6" s="4" t="s">
        <v>234</v>
      </c>
      <c r="C6" s="35" t="n">
        <f aca="false">Inputs!D8</f>
        <v>6243.5408</v>
      </c>
      <c r="D6" s="35" t="n">
        <f aca="false">Inputs!E8</f>
        <v>13842.87</v>
      </c>
      <c r="E6" s="35" t="n">
        <f aca="false">Inputs!F8</f>
        <v>20812.05</v>
      </c>
    </row>
    <row r="7" customFormat="false" ht="15" hidden="false" customHeight="false" outlineLevel="0" collapsed="false">
      <c r="A7" s="4" t="s">
        <v>54</v>
      </c>
      <c r="B7" s="4" t="s">
        <v>234</v>
      </c>
      <c r="C7" s="9" t="n">
        <f aca="false">Inputs!D10</f>
        <v>2.54319722285706</v>
      </c>
      <c r="D7" s="9" t="n">
        <f aca="false">Inputs!E10</f>
        <v>0.317262579404513</v>
      </c>
      <c r="E7" s="9" t="n">
        <f aca="false">Inputs!F10</f>
        <v>0.714900662222239</v>
      </c>
    </row>
    <row r="8" customFormat="false" ht="15" hidden="false" customHeight="false" outlineLevel="0" collapsed="false">
      <c r="A8" s="4" t="s">
        <v>56</v>
      </c>
      <c r="B8" s="4" t="s">
        <v>234</v>
      </c>
      <c r="C8" s="9" t="n">
        <f aca="false">Inputs!D12</f>
        <v>4</v>
      </c>
      <c r="D8" s="9" t="n">
        <f aca="false">Inputs!E12</f>
        <v>3</v>
      </c>
      <c r="E8" s="9" t="n">
        <f aca="false">Inputs!F12</f>
        <v>5</v>
      </c>
    </row>
    <row r="9" customFormat="false" ht="15" hidden="false" customHeight="false" outlineLevel="0" collapsed="false">
      <c r="A9" s="4" t="s">
        <v>58</v>
      </c>
      <c r="B9" s="4" t="s">
        <v>234</v>
      </c>
      <c r="C9" s="36" t="n">
        <f aca="false">Inputs!D13</f>
        <v>8939.68360171452</v>
      </c>
      <c r="D9" s="36" t="n">
        <f aca="false">Inputs!E13</f>
        <v>7057.0782697439</v>
      </c>
      <c r="E9" s="36" t="n">
        <f aca="false">Inputs!F13</f>
        <v>7071.53614157276</v>
      </c>
    </row>
    <row r="10" customFormat="false" ht="15" hidden="false" customHeight="false" outlineLevel="0" collapsed="false">
      <c r="A10" s="4" t="s">
        <v>60</v>
      </c>
      <c r="B10" s="4" t="s">
        <v>234</v>
      </c>
      <c r="C10" s="9" t="n">
        <f aca="false">Inputs!D15</f>
        <v>4</v>
      </c>
      <c r="D10" s="9" t="n">
        <f aca="false">Inputs!E15</f>
        <v>3.33333333333333</v>
      </c>
      <c r="E10" s="9" t="n">
        <f aca="false">Inputs!F15</f>
        <v>2.33333333333333</v>
      </c>
    </row>
    <row r="11" customFormat="false" ht="15" hidden="false" customHeight="false" outlineLevel="0" collapsed="false">
      <c r="A11" s="4" t="s">
        <v>62</v>
      </c>
      <c r="B11" s="4" t="s">
        <v>234</v>
      </c>
      <c r="C11" s="9" t="n">
        <f aca="false">Inputs!D16</f>
        <v>2</v>
      </c>
      <c r="D11" s="9" t="n">
        <f aca="false">Inputs!E16</f>
        <v>1.5</v>
      </c>
      <c r="E11" s="9" t="n">
        <f aca="false">Inputs!F16</f>
        <v>4.5</v>
      </c>
    </row>
    <row r="12" customFormat="false" ht="15" hidden="false" customHeight="false" outlineLevel="0" collapsed="false">
      <c r="A12" s="6" t="s">
        <v>52</v>
      </c>
      <c r="B12" s="4" t="s">
        <v>235</v>
      </c>
      <c r="C12" s="20" t="n">
        <f aca="false">1+4*C6/MAX($C$6:$E$6)</f>
        <v>2.19998573903099</v>
      </c>
      <c r="D12" s="20" t="n">
        <f aca="false">1+4*D6/MAX($C$6:$E$6)</f>
        <v>3.66054905691655</v>
      </c>
      <c r="E12" s="20" t="n">
        <f aca="false">1+4*E6/MAX($C$6:$E$6)</f>
        <v>5</v>
      </c>
      <c r="F12" s="4" t="s">
        <v>236</v>
      </c>
    </row>
    <row r="13" customFormat="false" ht="15" hidden="false" customHeight="false" outlineLevel="0" collapsed="false">
      <c r="A13" s="6" t="s">
        <v>54</v>
      </c>
      <c r="B13" s="4" t="s">
        <v>235</v>
      </c>
      <c r="C13" s="20" t="n">
        <f aca="false">1+4*C7/MAX($C$7:$E$7)</f>
        <v>5</v>
      </c>
      <c r="D13" s="20" t="n">
        <f aca="false">1+4*D7/MAX($C$7:$E$7)</f>
        <v>1.49899799599198</v>
      </c>
      <c r="E13" s="20" t="n">
        <f aca="false">1+4*E7/MAX($C$7:$E$7)</f>
        <v>2.12441246128621</v>
      </c>
      <c r="F13" s="4" t="s">
        <v>236</v>
      </c>
    </row>
    <row r="14" customFormat="false" ht="15" hidden="false" customHeight="false" outlineLevel="0" collapsed="false">
      <c r="A14" s="6" t="s">
        <v>56</v>
      </c>
      <c r="B14" s="4" t="s">
        <v>235</v>
      </c>
      <c r="C14" s="20" t="n">
        <f aca="false">C8</f>
        <v>4</v>
      </c>
      <c r="D14" s="20" t="n">
        <f aca="false">D8</f>
        <v>3</v>
      </c>
      <c r="E14" s="20" t="n">
        <f aca="false">E8</f>
        <v>5</v>
      </c>
      <c r="F14" s="4" t="s">
        <v>237</v>
      </c>
    </row>
    <row r="15" customFormat="false" ht="15" hidden="false" customHeight="false" outlineLevel="0" collapsed="false">
      <c r="A15" s="6" t="s">
        <v>58</v>
      </c>
      <c r="B15" s="4" t="s">
        <v>235</v>
      </c>
      <c r="C15" s="20" t="n">
        <f aca="false">1+4*C9/MAX($C$9:$E$9)</f>
        <v>5</v>
      </c>
      <c r="D15" s="20" t="n">
        <f aca="false">1+4*D9/MAX($C$9:$E$9)</f>
        <v>4.1576411802272</v>
      </c>
      <c r="E15" s="20" t="n">
        <f aca="false">1+4*E9/MAX($C$9:$E$9)</f>
        <v>4.1641102556321</v>
      </c>
      <c r="F15" s="4" t="s">
        <v>236</v>
      </c>
    </row>
    <row r="16" customFormat="false" ht="15" hidden="false" customHeight="false" outlineLevel="0" collapsed="false">
      <c r="A16" s="6" t="s">
        <v>60</v>
      </c>
      <c r="B16" s="4" t="s">
        <v>235</v>
      </c>
      <c r="C16" s="20" t="n">
        <f aca="false">C10</f>
        <v>4</v>
      </c>
      <c r="D16" s="20" t="n">
        <f aca="false">D10</f>
        <v>3.33333333333333</v>
      </c>
      <c r="E16" s="20" t="n">
        <f aca="false">E10</f>
        <v>2.33333333333333</v>
      </c>
      <c r="F16" s="4" t="s">
        <v>237</v>
      </c>
    </row>
    <row r="17" customFormat="false" ht="15" hidden="false" customHeight="false" outlineLevel="0" collapsed="false">
      <c r="A17" s="6" t="s">
        <v>62</v>
      </c>
      <c r="B17" s="4" t="s">
        <v>235</v>
      </c>
      <c r="C17" s="20" t="n">
        <f aca="false">C11</f>
        <v>2</v>
      </c>
      <c r="D17" s="20" t="n">
        <f aca="false">D11</f>
        <v>1.5</v>
      </c>
      <c r="E17" s="20" t="n">
        <f aca="false">E11</f>
        <v>4.5</v>
      </c>
      <c r="F17" s="4" t="s">
        <v>237</v>
      </c>
    </row>
    <row r="18" customFormat="false" ht="23.85" hidden="false" customHeight="false" outlineLevel="0" collapsed="false">
      <c r="A18" s="37" t="s">
        <v>238</v>
      </c>
      <c r="B18" s="38" t="s">
        <v>239</v>
      </c>
      <c r="C18" s="39" t="n">
        <f aca="false">SUMPRODUCT(Weights!$B$5:$B$10,C12:C17)</f>
        <v>3.7899971478062</v>
      </c>
      <c r="D18" s="39" t="n">
        <f aca="false">SUMPRODUCT(Weights!$B$5:$B$10,D12:D17)</f>
        <v>2.90555558761579</v>
      </c>
      <c r="E18" s="39" t="n">
        <f aca="false">SUMPRODUCT(Weights!$B$5:$B$10,E12:E17)</f>
        <v>3.84949903060206</v>
      </c>
    </row>
    <row r="19" customFormat="false" ht="35.05" hidden="false" customHeight="false" outlineLevel="0" collapsed="false">
      <c r="A19" s="6" t="s">
        <v>240</v>
      </c>
      <c r="C19" s="40" t="str">
        <f aca="false">INDEX({"Distribution","Manufacturing","Prof. services"},MATCH(MAX(C18:E18),C18:E18,0))</f>
        <v>Prof. services</v>
      </c>
      <c r="E19" s="41" t="n">
        <f aca="false">C18-E18</f>
        <v>-0.0595018827958587</v>
      </c>
    </row>
    <row r="21" customFormat="false" ht="23.85" hidden="false" customHeight="false" outlineLevel="0" collapsed="false">
      <c r="A21" s="3" t="s">
        <v>241</v>
      </c>
      <c r="B21" s="12"/>
      <c r="C21" s="12"/>
      <c r="D21" s="12"/>
      <c r="E21" s="12"/>
      <c r="F21" s="12"/>
    </row>
    <row r="22" customFormat="false" ht="15" hidden="false" customHeight="false" outlineLevel="0" collapsed="false">
      <c r="A22" s="4" t="s">
        <v>52</v>
      </c>
      <c r="B22" s="42" t="n">
        <f aca="false">Weights!$B$5</f>
        <v>0.2</v>
      </c>
      <c r="C22" s="20" t="n">
        <f aca="false">$B22*C12</f>
        <v>0.439997147806199</v>
      </c>
      <c r="D22" s="20" t="n">
        <f aca="false">$B22*D12</f>
        <v>0.732109811383309</v>
      </c>
      <c r="E22" s="20" t="n">
        <f aca="false">$B22*E12</f>
        <v>1</v>
      </c>
    </row>
    <row r="23" customFormat="false" ht="15" hidden="false" customHeight="false" outlineLevel="0" collapsed="false">
      <c r="A23" s="4" t="s">
        <v>54</v>
      </c>
      <c r="B23" s="42" t="n">
        <f aca="false">Weights!$B$6</f>
        <v>0.2</v>
      </c>
      <c r="C23" s="20" t="n">
        <f aca="false">$B23*C13</f>
        <v>1</v>
      </c>
      <c r="D23" s="20" t="n">
        <f aca="false">$B23*D13</f>
        <v>0.299799599198397</v>
      </c>
      <c r="E23" s="20" t="n">
        <f aca="false">$B23*E13</f>
        <v>0.424882492257242</v>
      </c>
    </row>
    <row r="24" customFormat="false" ht="15" hidden="false" customHeight="false" outlineLevel="0" collapsed="false">
      <c r="A24" s="4" t="s">
        <v>56</v>
      </c>
      <c r="B24" s="42" t="n">
        <f aca="false">Weights!$B$7</f>
        <v>0.2</v>
      </c>
      <c r="C24" s="20" t="n">
        <f aca="false">$B24*C14</f>
        <v>0.8</v>
      </c>
      <c r="D24" s="20" t="n">
        <f aca="false">$B24*D14</f>
        <v>0.6</v>
      </c>
      <c r="E24" s="20" t="n">
        <f aca="false">$B24*E14</f>
        <v>1</v>
      </c>
    </row>
    <row r="25" customFormat="false" ht="15" hidden="false" customHeight="false" outlineLevel="0" collapsed="false">
      <c r="A25" s="4" t="s">
        <v>58</v>
      </c>
      <c r="B25" s="42" t="n">
        <f aca="false">Weights!$B$8</f>
        <v>0.15</v>
      </c>
      <c r="C25" s="20" t="n">
        <f aca="false">$B25*C15</f>
        <v>0.75</v>
      </c>
      <c r="D25" s="20" t="n">
        <f aca="false">$B25*D15</f>
        <v>0.62364617703408</v>
      </c>
      <c r="E25" s="20" t="n">
        <f aca="false">$B25*E15</f>
        <v>0.624616538344816</v>
      </c>
    </row>
    <row r="26" customFormat="false" ht="15" hidden="false" customHeight="false" outlineLevel="0" collapsed="false">
      <c r="A26" s="4" t="s">
        <v>60</v>
      </c>
      <c r="B26" s="42" t="n">
        <f aca="false">Weights!$B$9</f>
        <v>0.15</v>
      </c>
      <c r="C26" s="20" t="n">
        <f aca="false">$B26*C16</f>
        <v>0.6</v>
      </c>
      <c r="D26" s="20" t="n">
        <f aca="false">$B26*D16</f>
        <v>0.5</v>
      </c>
      <c r="E26" s="20" t="n">
        <f aca="false">$B26*E16</f>
        <v>0.35</v>
      </c>
    </row>
    <row r="27" customFormat="false" ht="15" hidden="false" customHeight="false" outlineLevel="0" collapsed="false">
      <c r="A27" s="4" t="s">
        <v>62</v>
      </c>
      <c r="B27" s="42" t="n">
        <f aca="false">Weights!$B$10</f>
        <v>0.1</v>
      </c>
      <c r="C27" s="20" t="n">
        <f aca="false">$B27*C17</f>
        <v>0.2</v>
      </c>
      <c r="D27" s="20" t="n">
        <f aca="false">$B27*D17</f>
        <v>0.15</v>
      </c>
      <c r="E27" s="20" t="n">
        <f aca="false">$B27*E17</f>
        <v>0.45</v>
      </c>
    </row>
    <row r="29" customFormat="false" ht="23.85" hidden="false" customHeight="false" outlineLevel="0" collapsed="false">
      <c r="A29" s="3" t="s">
        <v>242</v>
      </c>
      <c r="B29" s="12"/>
      <c r="C29" s="12"/>
      <c r="D29" s="12"/>
      <c r="E29" s="12"/>
      <c r="F29" s="12"/>
    </row>
    <row r="30" customFormat="false" ht="39.75" hidden="false" customHeight="true" outlineLevel="0" collapsed="false">
      <c r="A30" s="6" t="s">
        <v>52</v>
      </c>
      <c r="B30" s="4" t="s">
        <v>243</v>
      </c>
      <c r="C30" s="4"/>
      <c r="D30" s="4"/>
      <c r="E30" s="4"/>
      <c r="F30" s="4"/>
    </row>
    <row r="31" customFormat="false" ht="39.75" hidden="false" customHeight="true" outlineLevel="0" collapsed="false">
      <c r="A31" s="6" t="s">
        <v>54</v>
      </c>
      <c r="B31" s="4" t="s">
        <v>244</v>
      </c>
      <c r="C31" s="4"/>
      <c r="D31" s="4"/>
      <c r="E31" s="4"/>
      <c r="F31" s="4"/>
    </row>
    <row r="32" customFormat="false" ht="39.75" hidden="false" customHeight="true" outlineLevel="0" collapsed="false">
      <c r="A32" s="6" t="s">
        <v>56</v>
      </c>
      <c r="B32" s="4" t="s">
        <v>245</v>
      </c>
      <c r="C32" s="4"/>
      <c r="D32" s="4"/>
      <c r="E32" s="4"/>
      <c r="F32" s="4"/>
    </row>
    <row r="33" customFormat="false" ht="39.75" hidden="false" customHeight="true" outlineLevel="0" collapsed="false">
      <c r="A33" s="6" t="s">
        <v>58</v>
      </c>
      <c r="B33" s="4" t="s">
        <v>246</v>
      </c>
      <c r="C33" s="4"/>
      <c r="D33" s="4"/>
      <c r="E33" s="4"/>
      <c r="F33" s="4"/>
    </row>
    <row r="34" customFormat="false" ht="39.75" hidden="false" customHeight="true" outlineLevel="0" collapsed="false">
      <c r="A34" s="6" t="s">
        <v>60</v>
      </c>
      <c r="B34" s="4" t="s">
        <v>247</v>
      </c>
      <c r="C34" s="4"/>
      <c r="D34" s="4"/>
      <c r="E34" s="4"/>
      <c r="F34" s="4"/>
    </row>
    <row r="35" customFormat="false" ht="39.75" hidden="false" customHeight="true" outlineLevel="0" collapsed="false">
      <c r="A35" s="6" t="s">
        <v>62</v>
      </c>
      <c r="B35" s="4" t="s">
        <v>248</v>
      </c>
      <c r="C35" s="4"/>
      <c r="D35" s="4"/>
      <c r="E35" s="4"/>
      <c r="F35" s="4"/>
    </row>
  </sheetData>
  <mergeCells count="6">
    <mergeCell ref="B30:F30"/>
    <mergeCell ref="B31:F31"/>
    <mergeCell ref="B32:F32"/>
    <mergeCell ref="B33:F33"/>
    <mergeCell ref="B34:F34"/>
    <mergeCell ref="B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5" min="3" style="0" width="15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249</v>
      </c>
    </row>
    <row r="2" customFormat="false" ht="15" hidden="false" customHeight="false" outlineLevel="0" collapsed="false">
      <c r="A2" s="2" t="s">
        <v>250</v>
      </c>
    </row>
    <row r="4" customFormat="false" ht="30" hidden="false" customHeight="true" outlineLevel="0" collapsed="false">
      <c r="A4" s="5" t="s">
        <v>251</v>
      </c>
      <c r="B4" s="5" t="s">
        <v>252</v>
      </c>
      <c r="C4" s="5" t="s">
        <v>15</v>
      </c>
      <c r="D4" s="5" t="s">
        <v>16</v>
      </c>
      <c r="E4" s="5" t="s">
        <v>17</v>
      </c>
      <c r="F4" s="5" t="s">
        <v>253</v>
      </c>
    </row>
    <row r="5" customFormat="false" ht="31.5" hidden="false" customHeight="true" outlineLevel="0" collapsed="false">
      <c r="A5" s="6" t="s">
        <v>254</v>
      </c>
      <c r="B5" s="4" t="s">
        <v>255</v>
      </c>
      <c r="C5" s="21" t="n">
        <f aca="false">Weights!$B$5*C21+Weights!$B$6*C22+Weights!$B$7*C23+Weights!$B$8*C24+Weights!$B$9*C25+Weights!$B$10*C26</f>
        <v>3.96778005760975</v>
      </c>
      <c r="D5" s="21" t="n">
        <f aca="false">Weights!$B$5*D21+Weights!$B$6*D22+Weights!$B$7*D23+Weights!$B$8*D24+Weights!$B$9*D25+Weights!$B$10*D26</f>
        <v>2.7044652725028</v>
      </c>
      <c r="E5" s="21" t="n">
        <f aca="false">Weights!$B$5*E21+Weights!$B$6*E22+Weights!$B$7*E23+Weights!$B$8*E24+Weights!$B$9*E25+Weights!$B$10*E26</f>
        <v>3.41185001533273</v>
      </c>
      <c r="F5" s="41" t="n">
        <f aca="false">C5-E5</f>
        <v>0.555930042277027</v>
      </c>
    </row>
    <row r="6" customFormat="false" ht="31.5" hidden="false" customHeight="true" outlineLevel="0" collapsed="false">
      <c r="A6" s="4" t="s">
        <v>256</v>
      </c>
      <c r="B6" s="4" t="s">
        <v>257</v>
      </c>
      <c r="C6" s="20" t="n">
        <f aca="false">Weights!$B$5*Scorecard!C12+Weights!$B$6*C22+Weights!$B$7*C23+Weights!$B$8*C24+Weights!$B$9*C25+Weights!$B$10*C26</f>
        <v>3.62383455978566</v>
      </c>
      <c r="D6" s="20" t="n">
        <f aca="false">Weights!$B$5*Scorecard!D12+Weights!$B$6*D22+Weights!$B$7*D23+Weights!$B$8*D24+Weights!$B$9*D25+Weights!$B$10*D26</f>
        <v>2.6319094934655</v>
      </c>
      <c r="E6" s="20" t="n">
        <f aca="false">Weights!$B$5*Scorecard!E12+Weights!$B$6*E22+Weights!$B$7*E23+Weights!$B$8*E24+Weights!$B$9*E25+Weights!$B$10*E26</f>
        <v>3.71185001533273</v>
      </c>
      <c r="F6" s="41" t="n">
        <f aca="false">C6-E6</f>
        <v>-0.0880154555470623</v>
      </c>
    </row>
    <row r="7" customFormat="false" ht="31.5" hidden="false" customHeight="true" outlineLevel="0" collapsed="false">
      <c r="A7" s="4" t="s">
        <v>258</v>
      </c>
      <c r="B7" s="4" t="s">
        <v>259</v>
      </c>
      <c r="C7" s="20" t="n">
        <f aca="false">Weights!$B$5*Scorecard!C12+Weights!$B$6*Scorecard!C13+Weights!$B$7*C23+Weights!$B$8*C24+Weights!$B$9*C25+Weights!$B$10*C26</f>
        <v>3.62383455978566</v>
      </c>
      <c r="D7" s="20" t="n">
        <f aca="false">Weights!$B$5*Scorecard!D12+Weights!$B$6*Scorecard!D13+Weights!$B$7*D23+Weights!$B$8*D24+Weights!$B$9*D25+Weights!$B$10*D26</f>
        <v>2.4257451821262</v>
      </c>
      <c r="E7" s="20" t="n">
        <f aca="false">Weights!$B$5*Scorecard!E12+Weights!$B$6*Scorecard!E13+Weights!$B$7*E23+Weights!$B$8*E24+Weights!$B$9*E25+Weights!$B$10*E26</f>
        <v>3.57581612041609</v>
      </c>
      <c r="F7" s="41" t="n">
        <f aca="false">C7-E7</f>
        <v>0.0480184393695775</v>
      </c>
    </row>
    <row r="8" customFormat="false" ht="31.5" hidden="false" customHeight="true" outlineLevel="0" collapsed="false">
      <c r="A8" s="4" t="s">
        <v>260</v>
      </c>
      <c r="B8" s="4" t="s">
        <v>261</v>
      </c>
      <c r="C8" s="20" t="n">
        <f aca="false">Weights!$B$5*Scorecard!C12+Weights!$B$6*Scorecard!C13+Weights!$B$7*Scorecard!C14+Weights!$B$8*C24+Weights!$B$9*C25+Weights!$B$10*C26</f>
        <v>3.62383455978566</v>
      </c>
      <c r="D8" s="20" t="n">
        <f aca="false">Weights!$B$5*Scorecard!D12+Weights!$B$6*Scorecard!D13+Weights!$B$7*Scorecard!D14+Weights!$B$8*D24+Weights!$B$9*D25+Weights!$B$10*D26</f>
        <v>2.6257451821262</v>
      </c>
      <c r="E8" s="20" t="n">
        <f aca="false">Weights!$B$5*Scorecard!E12+Weights!$B$6*Scorecard!E13+Weights!$B$7*Scorecard!E14+Weights!$B$8*E24+Weights!$B$9*E25+Weights!$B$10*E26</f>
        <v>3.77581612041609</v>
      </c>
      <c r="F8" s="41" t="n">
        <f aca="false">C8-E8</f>
        <v>-0.151981560630422</v>
      </c>
    </row>
    <row r="9" customFormat="false" ht="31.5" hidden="false" customHeight="true" outlineLevel="0" collapsed="false">
      <c r="A9" s="4" t="s">
        <v>262</v>
      </c>
      <c r="B9" s="4" t="s">
        <v>263</v>
      </c>
      <c r="C9" s="20" t="n">
        <f aca="false">Weights!$B$5*Scorecard!C12+Weights!$B$6*Scorecard!C13+Weights!$B$7*Scorecard!C14+Weights!$B$8*Scorecard!C15+Weights!$B$9*C25+Weights!$B$10*C26</f>
        <v>3.7899971478062</v>
      </c>
      <c r="D9" s="20" t="n">
        <f aca="false">Weights!$B$5*Scorecard!D12+Weights!$B$6*Scorecard!D13+Weights!$B$7*Scorecard!D14+Weights!$B$8*Scorecard!D15+Weights!$B$9*D25+Weights!$B$10*D26</f>
        <v>2.90555058761579</v>
      </c>
      <c r="E9" s="20" t="n">
        <f aca="false">Weights!$B$5*Scorecard!E12+Weights!$B$6*Scorecard!E13+Weights!$B$7*Scorecard!E14+Weights!$B$8*Scorecard!E15+Weights!$B$9*E25+Weights!$B$10*E26</f>
        <v>3.84949403060206</v>
      </c>
      <c r="F9" s="41" t="n">
        <f aca="false">C9-E9</f>
        <v>-0.059496882795858</v>
      </c>
    </row>
    <row r="10" customFormat="false" ht="31.5" hidden="false" customHeight="true" outlineLevel="0" collapsed="false">
      <c r="A10" s="6" t="s">
        <v>264</v>
      </c>
      <c r="B10" s="4" t="s">
        <v>265</v>
      </c>
      <c r="C10" s="21" t="n">
        <f aca="false">Weights!$B$5*Scorecard!C12+Weights!$B$6*Scorecard!C13+Weights!$B$7*Scorecard!C14+Weights!$B$8*Scorecard!C15+Weights!$B$9*C25+Weights!$B$10*C26</f>
        <v>3.7899971478062</v>
      </c>
      <c r="D10" s="21" t="n">
        <f aca="false">Weights!$B$5*Scorecard!D12+Weights!$B$6*Scorecard!D13+Weights!$B$7*Scorecard!D14+Weights!$B$8*Scorecard!D15+Weights!$B$9*D25+Weights!$B$10*D26</f>
        <v>2.90555058761579</v>
      </c>
      <c r="E10" s="21" t="n">
        <f aca="false">Weights!$B$5*Scorecard!E12+Weights!$B$6*Scorecard!E13+Weights!$B$7*Scorecard!E14+Weights!$B$8*Scorecard!E15+Weights!$B$9*E25+Weights!$B$10*E26</f>
        <v>3.84949403060206</v>
      </c>
      <c r="F10" s="41" t="n">
        <f aca="false">C10-E10</f>
        <v>-0.059496882795858</v>
      </c>
    </row>
    <row r="12" customFormat="false" ht="23.85" hidden="false" customHeight="false" outlineLevel="0" collapsed="false">
      <c r="A12" s="4" t="s">
        <v>266</v>
      </c>
      <c r="C12" s="20" t="n">
        <f aca="false">ROUND(C10-Scorecard!C18,6)+ROUND(E10-Scorecard!E18,6)</f>
        <v>-5E-006</v>
      </c>
    </row>
    <row r="14" customFormat="false" ht="45.75" hidden="false" customHeight="true" outlineLevel="0" collapsed="false">
      <c r="A14" s="34" t="s">
        <v>267</v>
      </c>
      <c r="B14" s="34"/>
      <c r="C14" s="34"/>
      <c r="D14" s="34"/>
      <c r="E14" s="34"/>
      <c r="F14" s="34"/>
    </row>
    <row r="20" customFormat="false" ht="15" hidden="false" customHeight="false" outlineLevel="0" collapsed="false">
      <c r="A20" s="6" t="s">
        <v>268</v>
      </c>
    </row>
    <row r="21" customFormat="false" ht="15" hidden="false" customHeight="false" outlineLevel="0" collapsed="false">
      <c r="A21" s="4" t="s">
        <v>52</v>
      </c>
      <c r="C21" s="26" t="n">
        <v>3.91971322815144</v>
      </c>
      <c r="D21" s="26" t="n">
        <v>4.02332795210303</v>
      </c>
      <c r="E21" s="26" t="n">
        <v>3.5</v>
      </c>
    </row>
    <row r="22" customFormat="false" ht="15" hidden="false" customHeight="false" outlineLevel="0" collapsed="false">
      <c r="A22" s="4" t="s">
        <v>54</v>
      </c>
      <c r="C22" s="26" t="n">
        <v>5</v>
      </c>
      <c r="D22" s="26" t="n">
        <v>2.52981955268848</v>
      </c>
      <c r="E22" s="26" t="n">
        <v>2.80458193586941</v>
      </c>
    </row>
    <row r="23" customFormat="false" ht="15" hidden="false" customHeight="false" outlineLevel="0" collapsed="false">
      <c r="A23" s="4" t="s">
        <v>56</v>
      </c>
      <c r="C23" s="26" t="n">
        <v>4</v>
      </c>
      <c r="D23" s="26" t="n">
        <v>2</v>
      </c>
      <c r="E23" s="26" t="n">
        <v>4</v>
      </c>
    </row>
    <row r="24" customFormat="false" ht="15" hidden="false" customHeight="false" outlineLevel="0" collapsed="false">
      <c r="A24" s="4" t="s">
        <v>58</v>
      </c>
      <c r="C24" s="26" t="n">
        <v>3.89224941319643</v>
      </c>
      <c r="D24" s="26" t="n">
        <v>2.29227181029663</v>
      </c>
      <c r="E24" s="26" t="n">
        <v>3.67292418772563</v>
      </c>
    </row>
    <row r="25" customFormat="false" ht="15" hidden="false" customHeight="false" outlineLevel="0" collapsed="false">
      <c r="A25" s="4" t="s">
        <v>60</v>
      </c>
      <c r="C25" s="26" t="n">
        <v>4</v>
      </c>
      <c r="D25" s="26" t="n">
        <v>3.3333</v>
      </c>
      <c r="E25" s="26" t="n">
        <v>2.3333</v>
      </c>
    </row>
    <row r="26" customFormat="false" ht="15" hidden="false" customHeight="false" outlineLevel="0" collapsed="false">
      <c r="A26" s="4" t="s">
        <v>62</v>
      </c>
      <c r="C26" s="26" t="n">
        <v>2</v>
      </c>
      <c r="D26" s="26" t="n">
        <v>1.5</v>
      </c>
      <c r="E26" s="26" t="n">
        <v>4.5</v>
      </c>
    </row>
  </sheetData>
  <mergeCells count="1">
    <mergeCell ref="A14:F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17.35" hidden="false" customHeight="false" outlineLevel="0" collapsed="false">
      <c r="A1" s="1" t="s">
        <v>269</v>
      </c>
    </row>
    <row r="2" customFormat="false" ht="15" hidden="false" customHeight="false" outlineLevel="0" collapsed="false">
      <c r="A2" s="2" t="s">
        <v>270</v>
      </c>
    </row>
    <row r="4" customFormat="false" ht="30" hidden="false" customHeight="true" outlineLevel="0" collapsed="false">
      <c r="A4" s="5" t="s">
        <v>271</v>
      </c>
      <c r="B4" s="5" t="s">
        <v>15</v>
      </c>
      <c r="C4" s="5" t="s">
        <v>16</v>
      </c>
      <c r="D4" s="5" t="s">
        <v>17</v>
      </c>
      <c r="E4" s="5" t="s">
        <v>272</v>
      </c>
      <c r="F4" s="5" t="s">
        <v>273</v>
      </c>
    </row>
    <row r="5" customFormat="false" ht="15" hidden="false" customHeight="false" outlineLevel="0" collapsed="false">
      <c r="A5" s="6" t="s">
        <v>45</v>
      </c>
      <c r="B5" s="20" t="n">
        <f aca="false">SUMPRODUCT(Weights!$B$5:$B$10,Scorecard!C12:C17)</f>
        <v>3.7899971478062</v>
      </c>
      <c r="C5" s="20" t="n">
        <f aca="false">SUMPRODUCT(Weights!$B$5:$B$10,Scorecard!D12:D17)</f>
        <v>2.90555558761579</v>
      </c>
      <c r="D5" s="20" t="n">
        <f aca="false">SUMPRODUCT(Weights!$B$5:$B$10,Scorecard!E12:E17)</f>
        <v>3.84949903060206</v>
      </c>
      <c r="E5" s="17" t="str">
        <f aca="false">INDEX({"Distribution","Manufacturing","Prof. services"},MATCH(MAX(B5:D5),B5:D5,0))</f>
        <v>Prof. services</v>
      </c>
      <c r="F5" s="41" t="n">
        <f aca="false">B5-D5</f>
        <v>-0.0595018827958587</v>
      </c>
    </row>
    <row r="6" customFormat="false" ht="15" hidden="false" customHeight="false" outlineLevel="0" collapsed="false">
      <c r="A6" s="4" t="s">
        <v>46</v>
      </c>
      <c r="B6" s="20" t="n">
        <f aca="false">SUMPRODUCT(Weights!$C$5:$C$10,Scorecard!C12:C17)</f>
        <v>3.69999762317183</v>
      </c>
      <c r="C6" s="20" t="n">
        <f aca="false">SUMPRODUCT(Weights!$C$5:$C$10,Scorecard!D12:D17)</f>
        <v>2.85842026107818</v>
      </c>
      <c r="D6" s="20" t="n">
        <f aca="false">SUMPRODUCT(Weights!$C$5:$C$10,Scorecard!E12:E17)</f>
        <v>3.85364267504194</v>
      </c>
      <c r="E6" s="17" t="str">
        <f aca="false">INDEX({"Distribution","Manufacturing","Prof. services"},MATCH(MAX(B6:D6),B6:D6,0))</f>
        <v>Prof. services</v>
      </c>
      <c r="F6" s="41" t="n">
        <f aca="false">B6-D6</f>
        <v>-0.153645051870109</v>
      </c>
    </row>
    <row r="7" customFormat="false" ht="15" hidden="false" customHeight="false" outlineLevel="0" collapsed="false">
      <c r="A7" s="4" t="s">
        <v>47</v>
      </c>
      <c r="B7" s="20" t="n">
        <f aca="false">SUMPRODUCT(Weights!$D$5:$D$10,Scorecard!C12:C17)</f>
        <v>3.7599957217093</v>
      </c>
      <c r="C7" s="20" t="n">
        <f aca="false">SUMPRODUCT(Weights!$D$5:$D$10,Scorecard!D12:D17)</f>
        <v>3.2207580448639</v>
      </c>
      <c r="D7" s="20" t="n">
        <f aca="false">SUMPRODUCT(Weights!$D$5:$D$10,Scorecard!E12:E17)</f>
        <v>4.06802276643429</v>
      </c>
      <c r="E7" s="17" t="str">
        <f aca="false">INDEX({"Distribution","Manufacturing","Prof. services"},MATCH(MAX(B7:D7),B7:D7,0))</f>
        <v>Prof. services</v>
      </c>
      <c r="F7" s="41" t="n">
        <f aca="false">B7-D7</f>
        <v>-0.308027044724992</v>
      </c>
    </row>
    <row r="8" customFormat="false" ht="15" hidden="false" customHeight="false" outlineLevel="0" collapsed="false">
      <c r="A8" s="4" t="s">
        <v>48</v>
      </c>
      <c r="B8" s="20" t="n">
        <f aca="false">SUMPRODUCT(Weights!$E$5:$E$10,Scorecard!C12:C17)</f>
        <v>3.37999786085465</v>
      </c>
      <c r="C8" s="20" t="n">
        <f aca="false">SUMPRODUCT(Weights!$E$5:$E$10,Scorecard!D12:D17)</f>
        <v>2.57302950929233</v>
      </c>
      <c r="D8" s="20" t="n">
        <f aca="false">SUMPRODUCT(Weights!$E$5:$E$10,Scorecard!E12:E17)</f>
        <v>4.06840622808948</v>
      </c>
      <c r="E8" s="17" t="str">
        <f aca="false">INDEX({"Distribution","Manufacturing","Prof. services"},MATCH(MAX(B8:D8),B8:D8,0))</f>
        <v>Prof. services</v>
      </c>
      <c r="F8" s="41" t="n">
        <f aca="false">B8-D8</f>
        <v>-0.688408367234826</v>
      </c>
    </row>
    <row r="9" customFormat="false" ht="15" hidden="false" customHeight="false" outlineLevel="0" collapsed="false">
      <c r="A9" s="4" t="s">
        <v>49</v>
      </c>
      <c r="B9" s="20" t="n">
        <f aca="false">SUMPRODUCT(Weights!$F$5:$F$10,Scorecard!C12:C17)</f>
        <v>3.82999786085465</v>
      </c>
      <c r="C9" s="20" t="n">
        <f aca="false">SUMPRODUCT(Weights!$F$5:$F$10,Scorecard!D12:D17)</f>
        <v>2.8646460757586</v>
      </c>
      <c r="D9" s="20" t="n">
        <f aca="false">SUMPRODUCT(Weights!$F$5:$F$10,Scorecard!E12:E17)</f>
        <v>3.49129351782045</v>
      </c>
      <c r="E9" s="17" t="str">
        <f aca="false">INDEX({"Distribution","Manufacturing","Prof. services"},MATCH(MAX(B9:D9),B9:D9,0))</f>
        <v>Distribution</v>
      </c>
      <c r="F9" s="41" t="n">
        <f aca="false">B9-D9</f>
        <v>0.338704343034197</v>
      </c>
    </row>
    <row r="10" customFormat="false" ht="15" hidden="false" customHeight="false" outlineLevel="0" collapsed="false">
      <c r="A10" s="4" t="s">
        <v>50</v>
      </c>
      <c r="B10" s="20" t="n">
        <f aca="false">SUMPRODUCT(Weights!$G$5:$G$10,Scorecard!C12:C17)</f>
        <v>3.82999786085465</v>
      </c>
      <c r="C10" s="20" t="n">
        <f aca="false">SUMPRODUCT(Weights!$G$5:$G$10,Scorecard!D12:D17)</f>
        <v>3.10460784553817</v>
      </c>
      <c r="D10" s="20" t="n">
        <f aca="false">SUMPRODUCT(Weights!$G$5:$G$10,Scorecard!E12:E17)</f>
        <v>4.12000765615159</v>
      </c>
      <c r="E10" s="17" t="str">
        <f aca="false">INDEX({"Distribution","Manufacturing","Prof. services"},MATCH(MAX(B10:D10),B10:D10,0))</f>
        <v>Prof. services</v>
      </c>
      <c r="F10" s="41" t="n">
        <f aca="false">B10-D10</f>
        <v>-0.290009795296937</v>
      </c>
    </row>
    <row r="11" customFormat="false" ht="15" hidden="false" customHeight="false" outlineLevel="0" collapsed="false">
      <c r="A11" s="6" t="s">
        <v>274</v>
      </c>
      <c r="B11" s="40" t="n">
        <f aca="false">COUNTIF(E5:E10,"Distribution")</f>
        <v>1</v>
      </c>
    </row>
    <row r="12" customFormat="false" ht="23.85" hidden="false" customHeight="false" outlineLevel="0" collapsed="false">
      <c r="A12" s="6" t="s">
        <v>275</v>
      </c>
      <c r="B12" s="40" t="n">
        <f aca="false">COUNTIF(E5:E10,"Prof. services")</f>
        <v>5</v>
      </c>
    </row>
    <row r="15" customFormat="false" ht="35.05" hidden="false" customHeight="false" outlineLevel="0" collapsed="false">
      <c r="A15" s="43" t="s">
        <v>276</v>
      </c>
    </row>
    <row r="16" customFormat="false" ht="30" hidden="false" customHeight="true" outlineLevel="0" collapsed="false">
      <c r="A16" s="5" t="s">
        <v>44</v>
      </c>
      <c r="B16" s="5" t="s">
        <v>277</v>
      </c>
      <c r="C16" s="5" t="s">
        <v>278</v>
      </c>
      <c r="D16" s="5" t="s">
        <v>279</v>
      </c>
      <c r="E16" s="5" t="s">
        <v>280</v>
      </c>
      <c r="F16" s="5" t="s">
        <v>281</v>
      </c>
    </row>
    <row r="17" customFormat="false" ht="35.05" hidden="false" customHeight="false" outlineLevel="0" collapsed="false">
      <c r="A17" s="4" t="s">
        <v>52</v>
      </c>
      <c r="B17" s="42" t="n">
        <f aca="false">Weights!$B$5</f>
        <v>0.2</v>
      </c>
      <c r="C17" s="44" t="n">
        <f aca="false">Scorecard!C12-Scorecard!E12</f>
        <v>-2.80001426096901</v>
      </c>
      <c r="D17" s="44" t="n">
        <f aca="false">((Scorecard!C18-Scorecard!E18)-B17*C17)/(1-B17)</f>
        <v>0.625626211747428</v>
      </c>
      <c r="E17" s="45" t="n">
        <f aca="false">IFERROR(IF(AND(D17/(D17-C17)&gt;=0,D17/(D17-C17)&lt;=1),D17/(D17-C17),"none in 0–100%"),"none")</f>
        <v>0.18263043560182</v>
      </c>
      <c r="F17" s="4" t="str">
        <f aca="false">IF(ISNUMBER(E17),IF(C17&gt;0,"Distribution leads above this weight","Prof. services leads above this weight"),"")</f>
        <v>Prof. services leads above this weight</v>
      </c>
    </row>
    <row r="18" customFormat="false" ht="35.05" hidden="false" customHeight="false" outlineLevel="0" collapsed="false">
      <c r="A18" s="4" t="s">
        <v>54</v>
      </c>
      <c r="B18" s="42" t="n">
        <f aca="false">Weights!$B$6</f>
        <v>0.2</v>
      </c>
      <c r="C18" s="44" t="n">
        <f aca="false">Scorecard!C13-Scorecard!E13</f>
        <v>2.87558753871379</v>
      </c>
      <c r="D18" s="44" t="n">
        <f aca="false">((Scorecard!C18-Scorecard!E18)-B18*C18)/(1-B18)</f>
        <v>-0.793274238173271</v>
      </c>
      <c r="E18" s="45" t="n">
        <f aca="false">IFERROR(IF(AND(D18/(D18-C18)&gt;=0,D18/(D18-C18)&lt;=1),D18/(D18-C18),"none in 0–100%"),"none")</f>
        <v>0.216218076998895</v>
      </c>
      <c r="F18" s="4" t="str">
        <f aca="false">IF(ISNUMBER(E18),IF(C18&gt;0,"Distribution leads above this weight","Prof. services leads above this weight"),"")</f>
        <v>Distribution leads above this weight</v>
      </c>
    </row>
    <row r="19" customFormat="false" ht="35.05" hidden="false" customHeight="false" outlineLevel="0" collapsed="false">
      <c r="A19" s="4" t="s">
        <v>56</v>
      </c>
      <c r="B19" s="42" t="n">
        <f aca="false">Weights!$B$7</f>
        <v>0.2</v>
      </c>
      <c r="C19" s="44" t="n">
        <f aca="false">Scorecard!C14-Scorecard!E14</f>
        <v>-1</v>
      </c>
      <c r="D19" s="44" t="n">
        <f aca="false">((Scorecard!C18-Scorecard!E18)-B19*C19)/(1-B19)</f>
        <v>0.175622646505177</v>
      </c>
      <c r="E19" s="45" t="n">
        <f aca="false">IFERROR(IF(AND(D19/(D19-C19)&gt;=0,D19/(D19-C19)&lt;=1),D19/(D19-C19),"none in 0–100%"),"none")</f>
        <v>0.149386920222452</v>
      </c>
      <c r="F19" s="4" t="str">
        <f aca="false">IF(ISNUMBER(E19),IF(C19&gt;0,"Distribution leads above this weight","Prof. services leads above this weight"),"")</f>
        <v>Prof. services leads above this weight</v>
      </c>
    </row>
    <row r="20" customFormat="false" ht="35.05" hidden="false" customHeight="false" outlineLevel="0" collapsed="false">
      <c r="A20" s="4" t="s">
        <v>58</v>
      </c>
      <c r="B20" s="42" t="n">
        <f aca="false">Weights!$B$8</f>
        <v>0.15</v>
      </c>
      <c r="C20" s="44" t="n">
        <f aca="false">Scorecard!C15-Scorecard!E15</f>
        <v>0.835889744367896</v>
      </c>
      <c r="D20" s="44" t="n">
        <f aca="false">((Scorecard!C18-Scorecard!E18)-B20*C20)/(1-B20)</f>
        <v>-0.217512169942404</v>
      </c>
      <c r="E20" s="45" t="n">
        <f aca="false">IFERROR(IF(AND(D20/(D20-C20)&gt;=0,D20/(D20-C20)&lt;=1),D20/(D20-C20),"none in 0–100%"),"none")</f>
        <v>0.206485451552285</v>
      </c>
      <c r="F20" s="4" t="str">
        <f aca="false">IF(ISNUMBER(E20),IF(C20&gt;0,"Distribution leads above this weight","Prof. services leads above this weight"),"")</f>
        <v>Distribution leads above this weight</v>
      </c>
    </row>
    <row r="21" customFormat="false" ht="35.05" hidden="false" customHeight="false" outlineLevel="0" collapsed="false">
      <c r="A21" s="4" t="s">
        <v>60</v>
      </c>
      <c r="B21" s="42" t="n">
        <f aca="false">Weights!$B$9</f>
        <v>0.15</v>
      </c>
      <c r="C21" s="44" t="n">
        <f aca="false">Scorecard!C16-Scorecard!E16</f>
        <v>1.66666666666667</v>
      </c>
      <c r="D21" s="44" t="n">
        <f aca="false">((Scorecard!C18-Scorecard!E18)-B21*C21)/(1-B21)</f>
        <v>-0.364119862112775</v>
      </c>
      <c r="E21" s="45" t="n">
        <f aca="false">IFERROR(IF(AND(D21/(D21-C21)&gt;=0,D21/(D21-C21)&lt;=1),D21/(D21-C21),"none in 0–100%"),"none")</f>
        <v>0.179299919983033</v>
      </c>
      <c r="F21" s="4" t="str">
        <f aca="false">IF(ISNUMBER(E21),IF(C21&gt;0,"Distribution leads above this weight","Prof. services leads above this weight"),"")</f>
        <v>Distribution leads above this weight</v>
      </c>
    </row>
    <row r="22" customFormat="false" ht="35.05" hidden="false" customHeight="false" outlineLevel="0" collapsed="false">
      <c r="A22" s="4" t="s">
        <v>62</v>
      </c>
      <c r="B22" s="42" t="n">
        <f aca="false">Weights!$B$10</f>
        <v>0.1</v>
      </c>
      <c r="C22" s="44" t="n">
        <f aca="false">Scorecard!C17-Scorecard!E17</f>
        <v>-2.5</v>
      </c>
      <c r="D22" s="44" t="n">
        <f aca="false">((Scorecard!C18-Scorecard!E18)-B22*C22)/(1-B22)</f>
        <v>0.211664574671268</v>
      </c>
      <c r="E22" s="45" t="n">
        <f aca="false">IFERROR(IF(AND(D22/(D22-C22)&gt;=0,D22/(D22-C22)&lt;=1),D22/(D22-C22),"none in 0–100%"),"none")</f>
        <v>0.0780570637859692</v>
      </c>
      <c r="F22" s="4" t="str">
        <f aca="false">IF(ISNUMBER(E22),IF(C22&gt;0,"Distribution leads above this weight","Prof. services leads above this weight"),"")</f>
        <v>Prof. services leads above this weight</v>
      </c>
    </row>
    <row r="25" customFormat="false" ht="23.85" hidden="false" customHeight="false" outlineLevel="0" collapsed="false">
      <c r="A25" s="43" t="s">
        <v>282</v>
      </c>
    </row>
    <row r="26" customFormat="false" ht="30" hidden="false" customHeight="true" outlineLevel="0" collapsed="false">
      <c r="A26" s="5" t="s">
        <v>283</v>
      </c>
      <c r="B26" s="5" t="s">
        <v>15</v>
      </c>
      <c r="C26" s="5" t="s">
        <v>16</v>
      </c>
      <c r="D26" s="5" t="s">
        <v>17</v>
      </c>
      <c r="E26" s="5"/>
      <c r="F26" s="5"/>
    </row>
    <row r="27" customFormat="false" ht="23.85" hidden="false" customHeight="false" outlineLevel="0" collapsed="false">
      <c r="A27" s="4" t="s">
        <v>284</v>
      </c>
      <c r="B27" s="45" t="n">
        <f aca="false">COUNTIF(Random_Weights!$J$5:$J$1004,"Distribution")/1000</f>
        <v>0.429</v>
      </c>
      <c r="C27" s="45" t="n">
        <f aca="false">COUNTIF(Random_Weights!$J$5:$J$1004,"Manufacturing")/1000</f>
        <v>0</v>
      </c>
      <c r="D27" s="45" t="n">
        <f aca="false">COUNTIF(Random_Weights!$J$5:$J$1004,"Prof. services")/1000</f>
        <v>0.571</v>
      </c>
    </row>
    <row r="28" customFormat="false" ht="23.85" hidden="false" customHeight="false" outlineLevel="0" collapsed="false">
      <c r="A28" s="4" t="s">
        <v>285</v>
      </c>
      <c r="B28" s="45" t="n">
        <f aca="false">COUNTIF(Random_Weights!$U$5:$U$1004,"Distribution")/1000</f>
        <v>0.446</v>
      </c>
      <c r="C28" s="45" t="n">
        <f aca="false">COUNTIF(Random_Weights!$U$5:$U$1004,"Manufacturing")/1000</f>
        <v>0</v>
      </c>
      <c r="D28" s="45" t="n">
        <f aca="false">COUNTIF(Random_Weights!$U$5:$U$1004,"Prof. services")/1000</f>
        <v>0.554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0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1"/>
    <col collapsed="false" customWidth="true" hidden="false" outlineLevel="0" max="9" min="7" style="0" width="12"/>
    <col collapsed="false" customWidth="true" hidden="false" outlineLevel="0" max="10" min="10" style="0" width="14"/>
    <col collapsed="false" customWidth="true" hidden="false" outlineLevel="0" max="17" min="12" style="0" width="11"/>
    <col collapsed="false" customWidth="true" hidden="false" outlineLevel="0" max="20" min="18" style="0" width="12"/>
    <col collapsed="false" customWidth="true" hidden="false" outlineLevel="0" max="21" min="21" style="0" width="14"/>
  </cols>
  <sheetData>
    <row r="1" customFormat="false" ht="17.35" hidden="false" customHeight="false" outlineLevel="0" collapsed="false">
      <c r="A1" s="1" t="s">
        <v>286</v>
      </c>
    </row>
    <row r="2" customFormat="false" ht="15" hidden="false" customHeight="false" outlineLevel="0" collapsed="false">
      <c r="A2" s="2" t="s">
        <v>287</v>
      </c>
    </row>
    <row r="3" customFormat="false" ht="46.25" hidden="false" customHeight="false" outlineLevel="0" collapsed="false">
      <c r="A3" s="43" t="s">
        <v>288</v>
      </c>
      <c r="L3" s="43" t="s">
        <v>289</v>
      </c>
    </row>
    <row r="4" customFormat="false" ht="30" hidden="false" customHeight="true" outlineLevel="0" collapsed="false">
      <c r="A4" s="5" t="s">
        <v>290</v>
      </c>
      <c r="B4" s="5" t="s">
        <v>291</v>
      </c>
      <c r="C4" s="5" t="s">
        <v>292</v>
      </c>
      <c r="D4" s="5" t="s">
        <v>293</v>
      </c>
      <c r="E4" s="5" t="s">
        <v>294</v>
      </c>
      <c r="F4" s="5" t="s">
        <v>295</v>
      </c>
      <c r="G4" s="5" t="s">
        <v>15</v>
      </c>
      <c r="H4" s="5" t="s">
        <v>16</v>
      </c>
      <c r="I4" s="5" t="s">
        <v>17</v>
      </c>
      <c r="J4" s="5" t="s">
        <v>272</v>
      </c>
      <c r="L4" s="5" t="s">
        <v>290</v>
      </c>
      <c r="M4" s="5" t="s">
        <v>291</v>
      </c>
      <c r="N4" s="5" t="s">
        <v>292</v>
      </c>
      <c r="O4" s="5" t="s">
        <v>293</v>
      </c>
      <c r="P4" s="5" t="s">
        <v>294</v>
      </c>
      <c r="Q4" s="5" t="s">
        <v>295</v>
      </c>
      <c r="R4" s="5" t="s">
        <v>15</v>
      </c>
      <c r="S4" s="5" t="s">
        <v>16</v>
      </c>
      <c r="T4" s="5" t="s">
        <v>17</v>
      </c>
      <c r="U4" s="5" t="s">
        <v>272</v>
      </c>
    </row>
    <row r="5" customFormat="false" ht="15" hidden="false" customHeight="false" outlineLevel="0" collapsed="false">
      <c r="A5" s="46" t="n">
        <v>0.268805</v>
      </c>
      <c r="B5" s="46" t="n">
        <v>0.2612</v>
      </c>
      <c r="C5" s="46" t="n">
        <v>0.266631</v>
      </c>
      <c r="D5" s="46" t="n">
        <v>0.031283</v>
      </c>
      <c r="E5" s="46" t="n">
        <v>0.009664</v>
      </c>
      <c r="F5" s="46" t="n">
        <v>0.162416</v>
      </c>
      <c r="G5" s="47" t="n">
        <f aca="false">A5*Scorecard!$C$12+B5*Scorecard!$C$13+C5*Scorecard!$C$14+D5*Scorecard!$C$15+E5*Scorecard!$C$16+F5*Scorecard!$C$17</f>
        <v>3.48379416658023</v>
      </c>
      <c r="H5" s="47" t="n">
        <f aca="false">A5*Scorecard!$D$12+B5*Scorecard!$D$13+C5*Scorecard!$D$14+D5*Scorecard!$D$15+E5*Scorecard!$D$16+F5*Scorecard!$D$17</f>
        <v>2.58130598817194</v>
      </c>
      <c r="I5" s="47" t="n">
        <f aca="false">A5*Scorecard!$E$12+B5*Scorecard!$E$13+C5*Scorecard!$E$14+D5*Scorecard!$E$15+E5*Scorecard!$E$16+F5*Scorecard!$E$17</f>
        <v>4.11576372934823</v>
      </c>
      <c r="J5" s="0" t="str">
        <f aca="false">IF(AND(G5&gt;=H5,G5&gt;=I5),"Distribution",IF(I5&gt;=H5,"Prof. services","Manufacturing"))</f>
        <v>Prof. services</v>
      </c>
      <c r="L5" s="46" t="n">
        <v>0.186652</v>
      </c>
      <c r="M5" s="46" t="n">
        <v>0.140559</v>
      </c>
      <c r="N5" s="46" t="n">
        <v>0.290406</v>
      </c>
      <c r="O5" s="46" t="n">
        <v>0.237903</v>
      </c>
      <c r="P5" s="46" t="n">
        <v>0.065232</v>
      </c>
      <c r="Q5" s="46" t="n">
        <v>0.079249</v>
      </c>
      <c r="R5" s="47" t="n">
        <f aca="false">L5*Scorecard!$C$12+M5*Scorecard!$C$13+N5*Scorecard!$C$14+O5*Scorecard!$C$15+P5*Scorecard!$C$16+Q5*Scorecard!$C$17</f>
        <v>3.88399173816161</v>
      </c>
      <c r="S5" s="47" t="n">
        <f aca="false">L5*Scorecard!$D$12+M5*Scorecard!$D$13+N5*Scorecard!$D$14+O5*Scorecard!$D$15+P5*Scorecard!$D$16+Q5*Scorecard!$D$17</f>
        <v>3.09059327158982</v>
      </c>
      <c r="T5" s="47" t="n">
        <f aca="false">L5*Scorecard!$E$12+M5*Scorecard!$E$13+N5*Scorecard!$E$14+O5*Scorecard!$E$15+P5*Scorecard!$E$16+Q5*Scorecard!$E$17</f>
        <v>4.18337811329157</v>
      </c>
      <c r="U5" s="0" t="str">
        <f aca="false">IF(AND(R5&gt;=S5,R5&gt;=T5),"Distribution",IF(T5&gt;=S5,"Prof. services","Manufacturing"))</f>
        <v>Prof. services</v>
      </c>
    </row>
    <row r="6" customFormat="false" ht="15" hidden="false" customHeight="false" outlineLevel="0" collapsed="false">
      <c r="A6" s="46" t="n">
        <v>0.206752</v>
      </c>
      <c r="B6" s="46" t="n">
        <v>0.458137</v>
      </c>
      <c r="C6" s="46" t="n">
        <v>0.011627</v>
      </c>
      <c r="D6" s="46" t="n">
        <v>0.153464</v>
      </c>
      <c r="E6" s="46" t="n">
        <v>0.010329</v>
      </c>
      <c r="F6" s="46" t="n">
        <v>0.159691</v>
      </c>
      <c r="G6" s="47" t="n">
        <f aca="false">A6*Scorecard!$C$12+B6*Scorecard!$C$13+C6*Scorecard!$C$14+D6*Scorecard!$C$15+E6*Scorecard!$C$16+F6*Scorecard!$C$17</f>
        <v>3.92006245151614</v>
      </c>
      <c r="H6" s="47" t="n">
        <f aca="false">A6*Scorecard!$D$12+B6*Scorecard!$D$13+C6*Scorecard!$D$14+D6*Scorecard!$D$15+E6*Scorecard!$D$16+F6*Scorecard!$D$17</f>
        <v>2.39046802958778</v>
      </c>
      <c r="I6" s="47" t="n">
        <f aca="false">A6*Scorecard!$E$12+B6*Scorecard!$E$13+C6*Scorecard!$E$14+D6*Scorecard!$E$15+E6*Scorecard!$E$16+F6*Scorecard!$E$17</f>
        <v>3.44691846804661</v>
      </c>
      <c r="J6" s="0" t="str">
        <f aca="false">IF(AND(G6&gt;=H6,G6&gt;=I6),"Distribution",IF(I6&gt;=H6,"Prof. services","Manufacturing"))</f>
        <v>Distribution</v>
      </c>
      <c r="L6" s="46" t="n">
        <v>0.102209</v>
      </c>
      <c r="M6" s="46" t="n">
        <v>0.227109</v>
      </c>
      <c r="N6" s="46" t="n">
        <v>0.328271</v>
      </c>
      <c r="O6" s="46" t="n">
        <v>0.136088</v>
      </c>
      <c r="P6" s="46" t="n">
        <v>0.103459</v>
      </c>
      <c r="Q6" s="46" t="n">
        <v>0.102865</v>
      </c>
      <c r="R6" s="47" t="n">
        <f aca="false">L6*Scorecard!$C$12+M6*Scorecard!$C$13+N6*Scorecard!$C$14+O6*Scorecard!$C$15+P6*Scorecard!$C$16+Q6*Scorecard!$C$17</f>
        <v>3.97349334240062</v>
      </c>
      <c r="S6" s="47" t="n">
        <f aca="false">L6*Scorecard!$D$12+M6*Scorecard!$D$13+N6*Scorecard!$D$14+O6*Scorecard!$D$15+P6*Scorecard!$D$16+Q6*Scorecard!$D$17</f>
        <v>2.76435590069822</v>
      </c>
      <c r="T6" s="47" t="n">
        <f aca="false">L6*Scorecard!$E$12+M6*Scorecard!$E$13+N6*Scorecard!$E$14+O6*Scorecard!$E$15+P6*Scorecard!$E$16+Q6*Scorecard!$E$17</f>
        <v>3.90585545947204</v>
      </c>
      <c r="U6" s="0" t="str">
        <f aca="false">IF(AND(R6&gt;=S6,R6&gt;=T6),"Distribution",IF(T6&gt;=S6,"Prof. services","Manufacturing"))</f>
        <v>Distribution</v>
      </c>
    </row>
    <row r="7" customFormat="false" ht="15" hidden="false" customHeight="false" outlineLevel="0" collapsed="false">
      <c r="A7" s="46" t="n">
        <v>0.442756</v>
      </c>
      <c r="B7" s="46" t="n">
        <v>0.098942</v>
      </c>
      <c r="C7" s="46" t="n">
        <v>0.314956</v>
      </c>
      <c r="D7" s="46" t="n">
        <v>0.039325</v>
      </c>
      <c r="E7" s="46" t="n">
        <v>0.023419</v>
      </c>
      <c r="F7" s="46" t="n">
        <v>0.080602</v>
      </c>
      <c r="G7" s="47" t="n">
        <f aca="false">A7*Scorecard!$C$12+B7*Scorecard!$C$13+C7*Scorecard!$C$14+D7*Scorecard!$C$15+E7*Scorecard!$C$16+F7*Scorecard!$C$17</f>
        <v>3.18009588587041</v>
      </c>
      <c r="H7" s="47" t="n">
        <f aca="false">A7*Scorecard!$D$12+B7*Scorecard!$D$13+C7*Scorecard!$D$14+D7*Scorecard!$D$15+E7*Scorecard!$D$16+F7*Scorecard!$D$17</f>
        <v>3.07637749070935</v>
      </c>
      <c r="I7" s="47" t="n">
        <f aca="false">A7*Scorecard!$E$12+B7*Scorecard!$E$13+C7*Scorecard!$E$14+D7*Scorecard!$E$15+E7*Scorecard!$E$16+F7*Scorecard!$E$17</f>
        <v>4.57986058688065</v>
      </c>
      <c r="J7" s="0" t="str">
        <f aca="false">IF(AND(G7&gt;=H7,G7&gt;=I7),"Distribution",IF(I7&gt;=H7,"Prof. services","Manufacturing"))</f>
        <v>Prof. services</v>
      </c>
      <c r="L7" s="46" t="n">
        <v>0.26233</v>
      </c>
      <c r="M7" s="46" t="n">
        <v>0.263046</v>
      </c>
      <c r="N7" s="46" t="n">
        <v>0.154498</v>
      </c>
      <c r="O7" s="46" t="n">
        <v>0.097962</v>
      </c>
      <c r="P7" s="46" t="n">
        <v>0.151289</v>
      </c>
      <c r="Q7" s="46" t="n">
        <v>0.070875</v>
      </c>
      <c r="R7" s="47" t="n">
        <f aca="false">L7*Scorecard!$C$12+M7*Scorecard!$C$13+N7*Scorecard!$C$14+O7*Scorecard!$C$15+P7*Scorecard!$C$16+Q7*Scorecard!$C$17</f>
        <v>3.74706025892</v>
      </c>
      <c r="S7" s="47" t="n">
        <f aca="false">L7*Scorecard!$D$12+M7*Scorecard!$D$13+N7*Scorecard!$D$14+O7*Scorecard!$D$15+P7*Scorecard!$D$16+Q7*Scorecard!$D$17</f>
        <v>2.83597127291871</v>
      </c>
      <c r="T7" s="47" t="n">
        <f aca="false">L7*Scorecard!$E$12+M7*Scorecard!$E$13+N7*Scorecard!$E$14+O7*Scorecard!$E$15+P7*Scorecard!$E$16+Q7*Scorecard!$E$17</f>
        <v>3.72282793582039</v>
      </c>
      <c r="U7" s="0" t="str">
        <f aca="false">IF(AND(R7&gt;=S7,R7&gt;=T7),"Distribution",IF(T7&gt;=S7,"Prof. services","Manufacturing"))</f>
        <v>Distribution</v>
      </c>
    </row>
    <row r="8" customFormat="false" ht="15" hidden="false" customHeight="false" outlineLevel="0" collapsed="false">
      <c r="A8" s="46" t="n">
        <v>0.154046</v>
      </c>
      <c r="B8" s="46" t="n">
        <v>0.070593</v>
      </c>
      <c r="C8" s="46" t="n">
        <v>0.213221</v>
      </c>
      <c r="D8" s="46" t="n">
        <v>0.038217</v>
      </c>
      <c r="E8" s="46" t="n">
        <v>0.314172</v>
      </c>
      <c r="F8" s="46" t="n">
        <v>0.209751</v>
      </c>
      <c r="G8" s="47" t="n">
        <f aca="false">A8*Scorecard!$C$12+B8*Scorecard!$C$13+C8*Scorecard!$C$14+D8*Scorecard!$C$15+E8*Scorecard!$C$16+F8*Scorecard!$C$17</f>
        <v>3.41202300315477</v>
      </c>
      <c r="H8" s="47" t="n">
        <f aca="false">A8*Scorecard!$D$12+B8*Scorecard!$D$13+C8*Scorecard!$D$14+D8*Scorecard!$D$15+E8*Scorecard!$D$16+F8*Scorecard!$D$17</f>
        <v>2.83013377853757</v>
      </c>
      <c r="I8" s="47" t="n">
        <f aca="false">A8*Scorecard!$E$12+B8*Scorecard!$E$13+C8*Scorecard!$E$14+D8*Scorecard!$E$15+E8*Scorecard!$E$16+F8*Scorecard!$E$17</f>
        <v>3.82239095051907</v>
      </c>
      <c r="J8" s="0" t="str">
        <f aca="false">IF(AND(G8&gt;=H8,G8&gt;=I8),"Distribution",IF(I8&gt;=H8,"Prof. services","Manufacturing"))</f>
        <v>Prof. services</v>
      </c>
      <c r="L8" s="46" t="n">
        <v>0.317416</v>
      </c>
      <c r="M8" s="46" t="n">
        <v>0.170633</v>
      </c>
      <c r="N8" s="46" t="n">
        <v>0.203849</v>
      </c>
      <c r="O8" s="46" t="n">
        <v>0.173618</v>
      </c>
      <c r="P8" s="46" t="n">
        <v>0.068366</v>
      </c>
      <c r="Q8" s="46" t="n">
        <v>0.066118</v>
      </c>
      <c r="R8" s="47" t="n">
        <f aca="false">L8*Scorecard!$C$12+M8*Scorecard!$C$13+N8*Scorecard!$C$14+O8*Scorecard!$C$15+P8*Scorecard!$C$16+Q8*Scorecard!$C$17</f>
        <v>3.64066167334026</v>
      </c>
      <c r="S8" s="47" t="n">
        <f aca="false">L8*Scorecard!$D$12+M8*Scorecard!$D$13+N8*Scorecard!$D$14+O8*Scorecard!$D$15+P8*Scorecard!$D$16+Q8*Scorecard!$D$17</f>
        <v>3.07814737759568</v>
      </c>
      <c r="T8" s="47" t="n">
        <f aca="false">L8*Scorecard!$E$12+M8*Scorecard!$E$13+N8*Scorecard!$E$14+O8*Scorecard!$E$15+P8*Scorecard!$E$16+Q8*Scorecard!$E$17</f>
        <v>4.14883603253565</v>
      </c>
      <c r="U8" s="0" t="str">
        <f aca="false">IF(AND(R8&gt;=S8,R8&gt;=T8),"Distribution",IF(T8&gt;=S8,"Prof. services","Manufacturing"))</f>
        <v>Prof. services</v>
      </c>
    </row>
    <row r="9" customFormat="false" ht="15" hidden="false" customHeight="false" outlineLevel="0" collapsed="false">
      <c r="A9" s="46" t="n">
        <v>0.265695</v>
      </c>
      <c r="B9" s="46" t="n">
        <v>0.168982</v>
      </c>
      <c r="C9" s="46" t="n">
        <v>0.183662</v>
      </c>
      <c r="D9" s="46" t="n">
        <v>0.031228</v>
      </c>
      <c r="E9" s="46" t="n">
        <v>0.072778</v>
      </c>
      <c r="F9" s="46" t="n">
        <v>0.277656</v>
      </c>
      <c r="G9" s="47" t="n">
        <f aca="false">A9*Scorecard!$C$12+B9*Scorecard!$C$13+C9*Scorecard!$C$14+D9*Scorecard!$C$15+E9*Scorecard!$C$16+F9*Scorecard!$C$17</f>
        <v>3.16664721093184</v>
      </c>
      <c r="H9" s="47" t="n">
        <f aca="false">A9*Scorecard!$D$12+B9*Scorecard!$D$13+C9*Scorecard!$D$14+D9*Scorecard!$D$15+E9*Scorecard!$D$16+F9*Scorecard!$D$17</f>
        <v>2.56579141314563</v>
      </c>
      <c r="I9" s="47" t="n">
        <f aca="false">A9*Scorecard!$E$12+B9*Scorecard!$E$13+C9*Scorecard!$E$14+D9*Scorecard!$E$15+E9*Scorecard!$E$16+F9*Scorecard!$E$17</f>
        <v>4.15507663492928</v>
      </c>
      <c r="J9" s="0" t="str">
        <f aca="false">IF(AND(G9&gt;=H9,G9&gt;=I9),"Distribution",IF(I9&gt;=H9,"Prof. services","Manufacturing"))</f>
        <v>Prof. services</v>
      </c>
      <c r="L9" s="46" t="n">
        <v>0.290348</v>
      </c>
      <c r="M9" s="46" t="n">
        <v>0.201028</v>
      </c>
      <c r="N9" s="46" t="n">
        <v>0.122501</v>
      </c>
      <c r="O9" s="46" t="n">
        <v>0.14603</v>
      </c>
      <c r="P9" s="46" t="n">
        <v>0.180414</v>
      </c>
      <c r="Q9" s="46" t="n">
        <v>0.05968</v>
      </c>
      <c r="R9" s="47" t="n">
        <f aca="false">L9*Scorecard!$C$12+M9*Scorecard!$C$13+N9*Scorecard!$C$14+O9*Scorecard!$C$15+P9*Scorecard!$C$16+Q9*Scorecard!$C$17</f>
        <v>3.70507145935617</v>
      </c>
      <c r="S9" s="47" t="n">
        <f aca="false">L9*Scorecard!$D$12+M9*Scorecard!$D$13+N9*Scorecard!$D$14+O9*Scorecard!$D$15+P9*Scorecard!$D$16+Q9*Scorecard!$D$17</f>
        <v>3.02971700826446</v>
      </c>
      <c r="T9" s="47" t="n">
        <f aca="false">L9*Scorecard!$E$12+M9*Scorecard!$E$13+N9*Scorecard!$E$14+O9*Scorecard!$E$15+P9*Scorecard!$E$16+Q9*Scorecard!$E$17</f>
        <v>3.7889224088974</v>
      </c>
      <c r="U9" s="0" t="str">
        <f aca="false">IF(AND(R9&gt;=S9,R9&gt;=T9),"Distribution",IF(T9&gt;=S9,"Prof. services","Manufacturing"))</f>
        <v>Prof. services</v>
      </c>
    </row>
    <row r="10" customFormat="false" ht="15" hidden="false" customHeight="false" outlineLevel="0" collapsed="false">
      <c r="A10" s="46" t="n">
        <v>0.104993</v>
      </c>
      <c r="B10" s="46" t="n">
        <v>0.341497</v>
      </c>
      <c r="C10" s="46" t="n">
        <v>0.191383</v>
      </c>
      <c r="D10" s="46" t="n">
        <v>0.064271</v>
      </c>
      <c r="E10" s="46" t="n">
        <v>0.124553</v>
      </c>
      <c r="F10" s="46" t="n">
        <v>0.173302</v>
      </c>
      <c r="G10" s="47" t="n">
        <f aca="false">A10*Scorecard!$C$12+B10*Scorecard!$C$13+C10*Scorecard!$C$14+D10*Scorecard!$C$15+E10*Scorecard!$C$16+F10*Scorecard!$C$17</f>
        <v>3.87017110269808</v>
      </c>
      <c r="H10" s="47" t="n">
        <f aca="false">A10*Scorecard!$D$12+B10*Scorecard!$D$13+C10*Scorecard!$D$14+D10*Scorecard!$D$15+E10*Scorecard!$D$16+F10*Scorecard!$D$17</f>
        <v>2.41272976873116</v>
      </c>
      <c r="I10" s="47" t="n">
        <f aca="false">A10*Scorecard!$E$12+B10*Scorecard!$E$13+C10*Scorecard!$E$14+D10*Scorecard!$E$15+E10*Scorecard!$E$16+F10*Scorecard!$E$17</f>
        <v>3.54547467919825</v>
      </c>
      <c r="J10" s="0" t="str">
        <f aca="false">IF(AND(G10&gt;=H10,G10&gt;=I10),"Distribution",IF(I10&gt;=H10,"Prof. services","Manufacturing"))</f>
        <v>Distribution</v>
      </c>
      <c r="L10" s="46" t="n">
        <v>0.206832</v>
      </c>
      <c r="M10" s="46" t="n">
        <v>0.195027</v>
      </c>
      <c r="N10" s="46" t="n">
        <v>0.089793</v>
      </c>
      <c r="O10" s="46" t="n">
        <v>0.099858</v>
      </c>
      <c r="P10" s="46" t="n">
        <v>0.220658</v>
      </c>
      <c r="Q10" s="46" t="n">
        <v>0.187832</v>
      </c>
      <c r="R10" s="47" t="n">
        <f aca="false">L10*Scorecard!$C$12+M10*Scorecard!$C$13+N10*Scorecard!$C$14+O10*Scorecard!$C$15+P10*Scorecard!$C$16+Q10*Scorecard!$C$17</f>
        <v>3.54692045037526</v>
      </c>
      <c r="S10" s="47" t="n">
        <f aca="false">L10*Scorecard!$D$12+M10*Scorecard!$D$13+N10*Scorecard!$D$14+O10*Scorecard!$D$15+P10*Scorecard!$D$16+Q10*Scorecard!$D$17</f>
        <v>2.75129116434629</v>
      </c>
      <c r="T10" s="47" t="n">
        <f aca="false">L10*Scorecard!$E$12+M10*Scorecard!$E$13+N10*Scorecard!$E$14+O10*Scorecard!$E$15+P10*Scorecard!$E$16+Q10*Scorecard!$E$17</f>
        <v>3.67337517766084</v>
      </c>
      <c r="U10" s="0" t="str">
        <f aca="false">IF(AND(R10&gt;=S10,R10&gt;=T10),"Distribution",IF(T10&gt;=S10,"Prof. services","Manufacturing"))</f>
        <v>Prof. services</v>
      </c>
    </row>
    <row r="11" customFormat="false" ht="15" hidden="false" customHeight="false" outlineLevel="0" collapsed="false">
      <c r="A11" s="46" t="n">
        <v>0.0753</v>
      </c>
      <c r="B11" s="46" t="n">
        <v>0.070499</v>
      </c>
      <c r="C11" s="46" t="n">
        <v>0.192484</v>
      </c>
      <c r="D11" s="46" t="n">
        <v>0.065032</v>
      </c>
      <c r="E11" s="46" t="n">
        <v>0.292083</v>
      </c>
      <c r="F11" s="46" t="n">
        <v>0.304602</v>
      </c>
      <c r="G11" s="47" t="n">
        <f aca="false">A11*Scorecard!$C$12+B11*Scorecard!$C$13+C11*Scorecard!$C$14+D11*Scorecard!$C$15+E11*Scorecard!$C$16+F11*Scorecard!$C$17</f>
        <v>3.39078592614903</v>
      </c>
      <c r="H11" s="47" t="n">
        <f aca="false">A11*Scorecard!$D$12+B11*Scorecard!$D$13+C11*Scorecard!$D$14+D11*Scorecard!$D$15+E11*Scorecard!$D$16+F11*Scorecard!$D$17</f>
        <v>2.65966192493779</v>
      </c>
      <c r="I11" s="47" t="n">
        <f aca="false">A11*Scorecard!$E$12+B11*Scorecard!$E$13+C11*Scorecard!$E$14+D11*Scorecard!$E$15+E11*Scorecard!$E$16+F11*Scorecard!$E$17</f>
        <v>3.81172537225248</v>
      </c>
      <c r="J11" s="0" t="str">
        <f aca="false">IF(AND(G11&gt;=H11,G11&gt;=I11),"Distribution",IF(I11&gt;=H11,"Prof. services","Manufacturing"))</f>
        <v>Prof. services</v>
      </c>
      <c r="L11" s="46" t="n">
        <v>0.30896</v>
      </c>
      <c r="M11" s="46" t="n">
        <v>0.169517</v>
      </c>
      <c r="N11" s="46" t="n">
        <v>0.076404</v>
      </c>
      <c r="O11" s="46" t="n">
        <v>0.111919</v>
      </c>
      <c r="P11" s="46" t="n">
        <v>0.08208</v>
      </c>
      <c r="Q11" s="46" t="n">
        <v>0.25112</v>
      </c>
      <c r="R11" s="47" t="n">
        <f aca="false">L11*Scorecard!$C$12+M11*Scorecard!$C$13+N11*Scorecard!$C$14+O11*Scorecard!$C$15+P11*Scorecard!$C$16+Q11*Scorecard!$C$17</f>
        <v>3.22306359393102</v>
      </c>
      <c r="S11" s="47" t="n">
        <f aca="false">L11*Scorecard!$D$12+M11*Scorecard!$D$13+N11*Scorecard!$D$14+O11*Scorecard!$D$15+P11*Scorecard!$D$16+Q11*Scorecard!$D$17</f>
        <v>2.72987992316136</v>
      </c>
      <c r="T11" s="47" t="n">
        <f aca="false">L11*Scorecard!$E$12+M11*Scorecard!$E$13+N11*Scorecard!$E$14+O11*Scorecard!$E$15+P11*Scorecard!$E$16+Q11*Scorecard!$E$17</f>
        <v>4.07454708289994</v>
      </c>
      <c r="U11" s="0" t="str">
        <f aca="false">IF(AND(R11&gt;=S11,R11&gt;=T11),"Distribution",IF(T11&gt;=S11,"Prof. services","Manufacturing"))</f>
        <v>Prof. services</v>
      </c>
    </row>
    <row r="12" customFormat="false" ht="15" hidden="false" customHeight="false" outlineLevel="0" collapsed="false">
      <c r="A12" s="46" t="n">
        <v>0.214772</v>
      </c>
      <c r="B12" s="46" t="n">
        <v>0.014468</v>
      </c>
      <c r="C12" s="46" t="n">
        <v>0.224674</v>
      </c>
      <c r="D12" s="46" t="n">
        <v>0.268313</v>
      </c>
      <c r="E12" s="46" t="n">
        <v>0.222291</v>
      </c>
      <c r="F12" s="46" t="n">
        <v>0.055482</v>
      </c>
      <c r="G12" s="47" t="n">
        <f aca="false">A12*Scorecard!$C$12+B12*Scorecard!$C$13+C12*Scorecard!$C$14+D12*Scorecard!$C$15+E12*Scorecard!$C$16+F12*Scorecard!$C$17</f>
        <v>3.78522433714317</v>
      </c>
      <c r="H12" s="47" t="n">
        <f aca="false">A12*Scorecard!$D$12+B12*Scorecard!$D$13+C12*Scorecard!$D$14+D12*Scorecard!$D$15+E12*Scorecard!$D$16+F12*Scorecard!$D$17</f>
        <v>3.42163512304839</v>
      </c>
      <c r="I12" s="47" t="n">
        <f aca="false">A12*Scorecard!$E$12+B12*Scorecard!$E$13+C12*Scorecard!$E$14+D12*Scorecard!$E$15+E12*Scorecard!$E$16+F12*Scorecard!$E$17</f>
        <v>4.11359891450931</v>
      </c>
      <c r="J12" s="0" t="str">
        <f aca="false">IF(AND(G12&gt;=H12,G12&gt;=I12),"Distribution",IF(I12&gt;=H12,"Prof. services","Manufacturing"))</f>
        <v>Prof. services</v>
      </c>
      <c r="L12" s="46" t="n">
        <v>0.087949</v>
      </c>
      <c r="M12" s="46" t="n">
        <v>0.12169</v>
      </c>
      <c r="N12" s="46" t="n">
        <v>0.218965</v>
      </c>
      <c r="O12" s="46" t="n">
        <v>0.148225</v>
      </c>
      <c r="P12" s="46" t="n">
        <v>0.288673</v>
      </c>
      <c r="Q12" s="46" t="n">
        <v>0.134499</v>
      </c>
      <c r="R12" s="47" t="n">
        <f aca="false">L12*Scorecard!$C$12+M12*Scorecard!$C$13+N12*Scorecard!$C$14+O12*Scorecard!$C$15+P12*Scorecard!$C$16+Q12*Scorecard!$C$17</f>
        <v>3.84261154576204</v>
      </c>
      <c r="S12" s="47" t="n">
        <f aca="false">L12*Scorecard!$D$12+M12*Scorecard!$D$13+N12*Scorecard!$D$14+O12*Scorecard!$D$15+P12*Scorecard!$D$16+Q12*Scorecard!$D$17</f>
        <v>2.94150789241153</v>
      </c>
      <c r="T12" s="47" t="n">
        <f aca="false">L12*Scorecard!$E$12+M12*Scorecard!$E$13+N12*Scorecard!$E$14+O12*Scorecard!$E$15+P12*Scorecard!$E$16+Q12*Scorecard!$E$17</f>
        <v>3.68913082838832</v>
      </c>
      <c r="U12" s="0" t="str">
        <f aca="false">IF(AND(R12&gt;=S12,R12&gt;=T12),"Distribution",IF(T12&gt;=S12,"Prof. services","Manufacturing"))</f>
        <v>Distribution</v>
      </c>
    </row>
    <row r="13" customFormat="false" ht="15" hidden="false" customHeight="false" outlineLevel="0" collapsed="false">
      <c r="A13" s="46" t="n">
        <v>0.136884</v>
      </c>
      <c r="B13" s="46" t="n">
        <v>0.070689</v>
      </c>
      <c r="C13" s="46" t="n">
        <v>0.151141</v>
      </c>
      <c r="D13" s="46" t="n">
        <v>0.009016</v>
      </c>
      <c r="E13" s="46" t="n">
        <v>0.07138</v>
      </c>
      <c r="F13" s="46" t="n">
        <v>0.56089</v>
      </c>
      <c r="G13" s="47" t="n">
        <f aca="false">A13*Scorecard!$C$12+B13*Scorecard!$C$13+C13*Scorecard!$C$14+D13*Scorecard!$C$15+E13*Scorecard!$C$16+F13*Scorecard!$C$17</f>
        <v>2.71153184790152</v>
      </c>
      <c r="H13" s="47" t="n">
        <f aca="false">A13*Scorecard!$D$12+B13*Scorecard!$D$13+C13*Scorecard!$D$14+D13*Scorecard!$D$15+E13*Scorecard!$D$16+F13*Scorecard!$D$17</f>
        <v>2.1772098926599</v>
      </c>
      <c r="I13" s="47" t="n">
        <f aca="false">A13*Scorecard!$E$12+B13*Scorecard!$E$13+C13*Scorecard!$E$14+D13*Scorecard!$E$15+E13*Scorecard!$E$16+F13*Scorecard!$E$17</f>
        <v>4.31839954387397</v>
      </c>
      <c r="J13" s="0" t="str">
        <f aca="false">IF(AND(G13&gt;=H13,G13&gt;=I13),"Distribution",IF(I13&gt;=H13,"Prof. services","Manufacturing"))</f>
        <v>Prof. services</v>
      </c>
      <c r="L13" s="46" t="n">
        <v>0.173818</v>
      </c>
      <c r="M13" s="46" t="n">
        <v>0.298028</v>
      </c>
      <c r="N13" s="46" t="n">
        <v>0.156266</v>
      </c>
      <c r="O13" s="46" t="n">
        <v>0.275322</v>
      </c>
      <c r="P13" s="46" t="n">
        <v>0.087954</v>
      </c>
      <c r="Q13" s="46" t="n">
        <v>0.008612</v>
      </c>
      <c r="R13" s="47" t="n">
        <f aca="false">L13*Scorecard!$C$12+M13*Scorecard!$C$13+N13*Scorecard!$C$14+O13*Scorecard!$C$15+P13*Scorecard!$C$16+Q13*Scorecard!$C$17</f>
        <v>4.24325112118689</v>
      </c>
      <c r="S13" s="47" t="n">
        <f aca="false">L13*Scorecard!$D$12+M13*Scorecard!$D$13+N13*Scorecard!$D$14+O13*Scorecard!$D$15+P13*Scorecard!$D$16+Q13*Scorecard!$D$17</f>
        <v>3.00259877574713</v>
      </c>
      <c r="T13" s="47" t="n">
        <f aca="false">L13*Scorecard!$E$12+M13*Scorecard!$E$13+N13*Scorecard!$E$14+O13*Scorecard!$E$15+P13*Scorecard!$E$16+Q13*Scorecard!$E$17</f>
        <v>3.67400556081335</v>
      </c>
      <c r="U13" s="0" t="str">
        <f aca="false">IF(AND(R13&gt;=S13,R13&gt;=T13),"Distribution",IF(T13&gt;=S13,"Prof. services","Manufacturing"))</f>
        <v>Distribution</v>
      </c>
    </row>
    <row r="14" customFormat="false" ht="15" hidden="false" customHeight="false" outlineLevel="0" collapsed="false">
      <c r="A14" s="46" t="n">
        <v>0.697088</v>
      </c>
      <c r="B14" s="46" t="n">
        <v>0.098313</v>
      </c>
      <c r="C14" s="46" t="n">
        <v>0.049553</v>
      </c>
      <c r="D14" s="46" t="n">
        <v>0.069391</v>
      </c>
      <c r="E14" s="46" t="n">
        <v>0.063039</v>
      </c>
      <c r="F14" s="46" t="n">
        <v>0.022616</v>
      </c>
      <c r="G14" s="47" t="n">
        <f aca="false">A14*Scorecard!$C$12+B14*Scorecard!$C$13+C14*Scorecard!$C$14+D14*Scorecard!$C$15+E14*Scorecard!$C$16+F14*Scorecard!$C$17</f>
        <v>2.86770365884964</v>
      </c>
      <c r="H14" s="47" t="n">
        <f aca="false">A14*Scorecard!$D$12+B14*Scorecard!$D$13+C14*Scorecard!$D$14+D14*Scorecard!$D$15+E14*Scorecard!$D$16+F14*Scorecard!$D$17</f>
        <v>3.38031169010495</v>
      </c>
      <c r="I14" s="47" t="n">
        <f aca="false">A14*Scorecard!$E$12+B14*Scorecard!$E$13+C14*Scorecard!$E$14+D14*Scorecard!$E$15+E14*Scorecard!$E$16+F14*Scorecard!$E$17</f>
        <v>4.479877137055</v>
      </c>
      <c r="J14" s="0" t="str">
        <f aca="false">IF(AND(G14&gt;=H14,G14&gt;=I14),"Distribution",IF(I14&gt;=H14,"Prof. services","Manufacturing"))</f>
        <v>Prof. services</v>
      </c>
      <c r="L14" s="46" t="n">
        <v>0.178951</v>
      </c>
      <c r="M14" s="46" t="n">
        <v>0.068043</v>
      </c>
      <c r="N14" s="46" t="n">
        <v>0.262058</v>
      </c>
      <c r="O14" s="46" t="n">
        <v>0.144688</v>
      </c>
      <c r="P14" s="46" t="n">
        <v>0.271737</v>
      </c>
      <c r="Q14" s="46" t="n">
        <v>0.074522</v>
      </c>
      <c r="R14" s="47" t="n">
        <f aca="false">L14*Scorecard!$C$12+M14*Scorecard!$C$13+N14*Scorecard!$C$14+O14*Scorecard!$C$15+P14*Scorecard!$C$16+Q14*Scorecard!$C$17</f>
        <v>3.74156864798534</v>
      </c>
      <c r="S14" s="47" t="n">
        <f aca="false">L14*Scorecard!$D$12+M14*Scorecard!$D$13+N14*Scorecard!$D$14+O14*Scorecard!$D$15+P14*Scorecard!$D$16+Q14*Scorecard!$D$17</f>
        <v>3.16236302201027</v>
      </c>
      <c r="T14" s="47" t="n">
        <f aca="false">L14*Scorecard!$E$12+M14*Scorecard!$E$13+N14*Scorecard!$E$14+O14*Scorecard!$E$15+P14*Scorecard!$E$16+Q14*Scorecard!$E$17</f>
        <v>3.9214951817702</v>
      </c>
      <c r="U14" s="0" t="str">
        <f aca="false">IF(AND(R14&gt;=S14,R14&gt;=T14),"Distribution",IF(T14&gt;=S14,"Prof. services","Manufacturing"))</f>
        <v>Prof. services</v>
      </c>
    </row>
    <row r="15" customFormat="false" ht="15" hidden="false" customHeight="false" outlineLevel="0" collapsed="false">
      <c r="A15" s="46" t="n">
        <v>0.083151</v>
      </c>
      <c r="B15" s="46" t="n">
        <v>0.105604</v>
      </c>
      <c r="C15" s="46" t="n">
        <v>0.115733</v>
      </c>
      <c r="D15" s="46" t="n">
        <v>0.407562</v>
      </c>
      <c r="E15" s="46" t="n">
        <v>0.161698</v>
      </c>
      <c r="F15" s="46" t="n">
        <v>0.126252</v>
      </c>
      <c r="G15" s="47" t="n">
        <f aca="false">A15*Scorecard!$C$12+B15*Scorecard!$C$13+C15*Scorecard!$C$14+D15*Scorecard!$C$15+E15*Scorecard!$C$16+F15*Scorecard!$C$17</f>
        <v>4.11098901418617</v>
      </c>
      <c r="H15" s="47" t="n">
        <f aca="false">A15*Scorecard!$D$12+B15*Scorecard!$D$13+C15*Scorecard!$D$14+D15*Scorecard!$D$15+E15*Scorecard!$D$16+F15*Scorecard!$D$17</f>
        <v>3.2327453870295</v>
      </c>
      <c r="I15" s="47" t="n">
        <f aca="false">A15*Scorecard!$E$12+B15*Scorecard!$E$13+C15*Scorecard!$E$14+D15*Scorecard!$E$15+E15*Scorecard!$E$16+F15*Scorecard!$E$17</f>
        <v>3.86132889090093</v>
      </c>
      <c r="J15" s="0" t="str">
        <f aca="false">IF(AND(G15&gt;=H15,G15&gt;=I15),"Distribution",IF(I15&gt;=H15,"Prof. services","Manufacturing"))</f>
        <v>Distribution</v>
      </c>
      <c r="L15" s="46" t="n">
        <v>0.103279</v>
      </c>
      <c r="M15" s="46" t="n">
        <v>0.23734</v>
      </c>
      <c r="N15" s="46" t="n">
        <v>0.156959</v>
      </c>
      <c r="O15" s="46" t="n">
        <v>0.207592</v>
      </c>
      <c r="P15" s="46" t="n">
        <v>0.095117</v>
      </c>
      <c r="Q15" s="46" t="n">
        <v>0.199714</v>
      </c>
      <c r="R15" s="47" t="n">
        <f aca="false">L15*Scorecard!$C$12+M15*Scorecard!$C$13+N15*Scorecard!$C$14+O15*Scorecard!$C$15+P15*Scorecard!$C$16+Q15*Scorecard!$C$17</f>
        <v>3.85960432714138</v>
      </c>
      <c r="S15" s="47" t="n">
        <f aca="false">L15*Scorecard!$D$12+M15*Scorecard!$D$13+N15*Scorecard!$D$14+O15*Scorecard!$D$15+P15*Scorecard!$D$16+Q15*Scorecard!$D$17</f>
        <v>2.68442774497041</v>
      </c>
      <c r="T15" s="47" t="n">
        <f aca="false">L15*Scorecard!$E$12+M15*Scorecard!$E$13+N15*Scorecard!$E$14+O15*Scorecard!$E$15+P15*Scorecard!$E$16+Q15*Scorecard!$E$17</f>
        <v>3.79048669641552</v>
      </c>
      <c r="U15" s="0" t="str">
        <f aca="false">IF(AND(R15&gt;=S15,R15&gt;=T15),"Distribution",IF(T15&gt;=S15,"Prof. services","Manufacturing"))</f>
        <v>Distribution</v>
      </c>
    </row>
    <row r="16" customFormat="false" ht="15" hidden="false" customHeight="false" outlineLevel="0" collapsed="false">
      <c r="A16" s="46" t="n">
        <v>0.218926</v>
      </c>
      <c r="B16" s="46" t="n">
        <v>0.124312</v>
      </c>
      <c r="C16" s="46" t="n">
        <v>0.009326</v>
      </c>
      <c r="D16" s="46" t="n">
        <v>0.200696</v>
      </c>
      <c r="E16" s="46" t="n">
        <v>0.130367</v>
      </c>
      <c r="F16" s="46" t="n">
        <v>0.316372</v>
      </c>
      <c r="G16" s="47" t="n">
        <f aca="false">A16*Scorecard!$C$12+B16*Scorecard!$C$13+C16*Scorecard!$C$14+D16*Scorecard!$C$15+E16*Scorecard!$C$16+F16*Scorecard!$C$17</f>
        <v>3.2981900779031</v>
      </c>
      <c r="H16" s="47" t="n">
        <f aca="false">A16*Scorecard!$D$12+B16*Scorecard!$D$13+C16*Scorecard!$D$14+D16*Scorecard!$D$15+E16*Scorecard!$D$16+F16*Scorecard!$D$17</f>
        <v>2.75924742268581</v>
      </c>
      <c r="I16" s="47" t="n">
        <f aca="false">A16*Scorecard!$E$12+B16*Scorecard!$E$13+C16*Scorecard!$E$14+D16*Scorecard!$E$15+E16*Scorecard!$E$16+F16*Scorecard!$E$17</f>
        <v>3.96893390041842</v>
      </c>
      <c r="J16" s="0" t="str">
        <f aca="false">IF(AND(G16&gt;=H16,G16&gt;=I16),"Distribution",IF(I16&gt;=H16,"Prof. services","Manufacturing"))</f>
        <v>Prof. services</v>
      </c>
      <c r="L16" s="46" t="n">
        <v>0.169281</v>
      </c>
      <c r="M16" s="46" t="n">
        <v>0.155183</v>
      </c>
      <c r="N16" s="46" t="n">
        <v>0.273695</v>
      </c>
      <c r="O16" s="46" t="n">
        <v>0.186502</v>
      </c>
      <c r="P16" s="46" t="n">
        <v>0.084814</v>
      </c>
      <c r="Q16" s="46" t="n">
        <v>0.130525</v>
      </c>
      <c r="R16" s="47" t="n">
        <f aca="false">L16*Scorecard!$C$12+M16*Scorecard!$C$13+N16*Scorecard!$C$14+O16*Scorecard!$C$15+P16*Scorecard!$C$16+Q16*Scorecard!$C$17</f>
        <v>3.77592678588891</v>
      </c>
      <c r="S16" s="47" t="n">
        <f aca="false">L16*Scorecard!$D$12+M16*Scorecard!$D$13+N16*Scorecard!$D$14+O16*Scorecard!$D$15+P16*Scorecard!$D$16+Q16*Scorecard!$D$17</f>
        <v>2.92727463964398</v>
      </c>
      <c r="T16" s="47" t="n">
        <f aca="false">L16*Scorecard!$E$12+M16*Scorecard!$E$13+N16*Scorecard!$E$14+O16*Scorecard!$E$15+P16*Scorecard!$E$16+Q16*Scorecard!$E$17</f>
        <v>4.10642942320901</v>
      </c>
      <c r="U16" s="0" t="str">
        <f aca="false">IF(AND(R16&gt;=S16,R16&gt;=T16),"Distribution",IF(T16&gt;=S16,"Prof. services","Manufacturing"))</f>
        <v>Prof. services</v>
      </c>
    </row>
    <row r="17" customFormat="false" ht="15" hidden="false" customHeight="false" outlineLevel="0" collapsed="false">
      <c r="A17" s="46" t="n">
        <v>0.302275</v>
      </c>
      <c r="B17" s="46" t="n">
        <v>0.049495</v>
      </c>
      <c r="C17" s="46" t="n">
        <v>0.007415</v>
      </c>
      <c r="D17" s="46" t="n">
        <v>0.137845</v>
      </c>
      <c r="E17" s="46" t="n">
        <v>0.380589</v>
      </c>
      <c r="F17" s="46" t="n">
        <v>0.122381</v>
      </c>
      <c r="G17" s="47" t="n">
        <f aca="false">A17*Scorecard!$C$12+B17*Scorecard!$C$13+C17*Scorecard!$C$14+D17*Scorecard!$C$15+E17*Scorecard!$C$16+F17*Scorecard!$C$17</f>
        <v>3.39847868926559</v>
      </c>
      <c r="H17" s="47" t="n">
        <f aca="false">A17*Scorecard!$D$12+B17*Scorecard!$D$13+C17*Scorecard!$D$14+D17*Scorecard!$D$15+E17*Scorecard!$D$16+F17*Scorecard!$D$17</f>
        <v>3.22824192047949</v>
      </c>
      <c r="I17" s="47" t="n">
        <f aca="false">A17*Scorecard!$E$12+B17*Scorecard!$E$13+C17*Scorecard!$E$14+D17*Scorecard!$E$15+E17*Scorecard!$E$16+F17*Scorecard!$E$17</f>
        <v>3.66635507295897</v>
      </c>
      <c r="J17" s="0" t="str">
        <f aca="false">IF(AND(G17&gt;=H17,G17&gt;=I17),"Distribution",IF(I17&gt;=H17,"Prof. services","Manufacturing"))</f>
        <v>Prof. services</v>
      </c>
      <c r="L17" s="46" t="n">
        <v>0.211324</v>
      </c>
      <c r="M17" s="46" t="n">
        <v>0.155407</v>
      </c>
      <c r="N17" s="46" t="n">
        <v>0.222998</v>
      </c>
      <c r="O17" s="46" t="n">
        <v>0.219975</v>
      </c>
      <c r="P17" s="46" t="n">
        <v>0.115828</v>
      </c>
      <c r="Q17" s="46" t="n">
        <v>0.074468</v>
      </c>
      <c r="R17" s="47" t="n">
        <f aca="false">L17*Scorecard!$C$12+M17*Scorecard!$C$13+N17*Scorecard!$C$14+O17*Scorecard!$C$15+P17*Scorecard!$C$16+Q17*Scorecard!$C$17</f>
        <v>3.84605978631499</v>
      </c>
      <c r="S17" s="47" t="n">
        <f aca="false">L17*Scorecard!$D$12+M17*Scorecard!$D$13+N17*Scorecard!$D$14+O17*Scorecard!$D$15+P17*Scorecard!$D$16+Q17*Scorecard!$D$17</f>
        <v>3.08788310242077</v>
      </c>
      <c r="T17" s="47" t="n">
        <f aca="false">L17*Scorecard!$E$12+M17*Scorecard!$E$13+N17*Scorecard!$E$14+O17*Scorecard!$E$15+P17*Scorecard!$E$16+Q17*Scorecard!$E$17</f>
        <v>4.02313005418711</v>
      </c>
      <c r="U17" s="0" t="str">
        <f aca="false">IF(AND(R17&gt;=S17,R17&gt;=T17),"Distribution",IF(T17&gt;=S17,"Prof. services","Manufacturing"))</f>
        <v>Prof. services</v>
      </c>
    </row>
    <row r="18" customFormat="false" ht="15" hidden="false" customHeight="false" outlineLevel="0" collapsed="false">
      <c r="A18" s="46" t="n">
        <v>0.447336</v>
      </c>
      <c r="B18" s="46" t="n">
        <v>0.158076</v>
      </c>
      <c r="C18" s="46" t="n">
        <v>0.275839</v>
      </c>
      <c r="D18" s="46" t="n">
        <v>0.060622</v>
      </c>
      <c r="E18" s="46" t="n">
        <v>0.028217</v>
      </c>
      <c r="F18" s="46" t="n">
        <v>0.02991</v>
      </c>
      <c r="G18" s="47" t="n">
        <f aca="false">A18*Scorecard!$C$12+B18*Scorecard!$C$13+C18*Scorecard!$C$14+D18*Scorecard!$C$15+E18*Scorecard!$C$16+F18*Scorecard!$C$17</f>
        <v>3.35366682055517</v>
      </c>
      <c r="H18" s="47" t="n">
        <f aca="false">A18*Scorecard!$D$12+B18*Scorecard!$D$13+C18*Scorecard!$D$14+D18*Scorecard!$D$15+E18*Scorecard!$D$16+F18*Scorecard!$D$17</f>
        <v>3.09293417043365</v>
      </c>
      <c r="I18" s="47" t="n">
        <f aca="false">A18*Scorecard!$E$12+B18*Scorecard!$E$13+C18*Scorecard!$E$14+D18*Scorecard!$E$15+E18*Scorecard!$E$16+F18*Scorecard!$E$17</f>
        <v>4.40456498281387</v>
      </c>
      <c r="J18" s="0" t="str">
        <f aca="false">IF(AND(G18&gt;=H18,G18&gt;=I18),"Distribution",IF(I18&gt;=H18,"Prof. services","Manufacturing"))</f>
        <v>Prof. services</v>
      </c>
      <c r="L18" s="46" t="n">
        <v>0.217421</v>
      </c>
      <c r="M18" s="46" t="n">
        <v>0.164389</v>
      </c>
      <c r="N18" s="46" t="n">
        <v>0.221139</v>
      </c>
      <c r="O18" s="46" t="n">
        <v>0.154111</v>
      </c>
      <c r="P18" s="46" t="n">
        <v>0.1498</v>
      </c>
      <c r="Q18" s="46" t="n">
        <v>0.093139</v>
      </c>
      <c r="R18" s="47" t="n">
        <f aca="false">L18*Scorecard!$C$12+M18*Scorecard!$C$13+N18*Scorecard!$C$14+O18*Scorecard!$C$15+P18*Scorecard!$C$16+Q18*Scorecard!$C$17</f>
        <v>3.74085709936586</v>
      </c>
      <c r="S18" s="47" t="n">
        <f aca="false">L18*Scorecard!$D$12+M18*Scorecard!$D$13+N18*Scorecard!$D$14+O18*Scorecard!$D$15+P18*Scorecard!$D$16+Q18*Scorecard!$D$17</f>
        <v>2.98549609132631</v>
      </c>
      <c r="T18" s="47" t="n">
        <f aca="false">L18*Scorecard!$E$12+M18*Scorecard!$E$13+N18*Scorecard!$E$14+O18*Scorecard!$E$15+P18*Scorecard!$E$16+Q18*Scorecard!$E$17</f>
        <v>3.95242406903743</v>
      </c>
      <c r="U18" s="0" t="str">
        <f aca="false">IF(AND(R18&gt;=S18,R18&gt;=T18),"Distribution",IF(T18&gt;=S18,"Prof. services","Manufacturing"))</f>
        <v>Prof. services</v>
      </c>
    </row>
    <row r="19" customFormat="false" ht="15" hidden="false" customHeight="false" outlineLevel="0" collapsed="false">
      <c r="A19" s="46" t="n">
        <v>0.032165</v>
      </c>
      <c r="B19" s="46" t="n">
        <v>0.014944</v>
      </c>
      <c r="C19" s="46" t="n">
        <v>0.469187</v>
      </c>
      <c r="D19" s="46" t="n">
        <v>0.122617</v>
      </c>
      <c r="E19" s="46" t="n">
        <v>0.105539</v>
      </c>
      <c r="F19" s="46" t="n">
        <v>0.255547</v>
      </c>
      <c r="G19" s="47" t="n">
        <f aca="false">A19*Scorecard!$C$12+B19*Scorecard!$C$13+C19*Scorecard!$C$14+D19*Scorecard!$C$15+E19*Scorecard!$C$16+F19*Scorecard!$C$17</f>
        <v>3.56856554129593</v>
      </c>
      <c r="H19" s="47" t="n">
        <f aca="false">A19*Scorecard!$D$12+B19*Scorecard!$D$13+C19*Scorecard!$D$14+D19*Scorecard!$D$15+E19*Scorecard!$D$16+F19*Scorecard!$D$17</f>
        <v>2.79261824173041</v>
      </c>
      <c r="I19" s="47" t="n">
        <f aca="false">A19*Scorecard!$E$12+B19*Scorecard!$E$13+C19*Scorecard!$E$14+D19*Scorecard!$E$15+E19*Scorecard!$E$16+F19*Scorecard!$E$17</f>
        <v>4.44531709370297</v>
      </c>
      <c r="J19" s="0" t="str">
        <f aca="false">IF(AND(G19&gt;=H19,G19&gt;=I19),"Distribution",IF(I19&gt;=H19,"Prof. services","Manufacturing"))</f>
        <v>Prof. services</v>
      </c>
      <c r="L19" s="46" t="n">
        <v>0.10209</v>
      </c>
      <c r="M19" s="46" t="n">
        <v>0.254478</v>
      </c>
      <c r="N19" s="46" t="n">
        <v>0.132368</v>
      </c>
      <c r="O19" s="46" t="n">
        <v>0.23658</v>
      </c>
      <c r="P19" s="46" t="n">
        <v>0.076621</v>
      </c>
      <c r="Q19" s="46" t="n">
        <v>0.197863</v>
      </c>
      <c r="R19" s="47" t="n">
        <f aca="false">L19*Scorecard!$C$12+M19*Scorecard!$C$13+N19*Scorecard!$C$14+O19*Scorecard!$C$15+P19*Scorecard!$C$16+Q19*Scorecard!$C$17</f>
        <v>3.91156854409767</v>
      </c>
      <c r="S19" s="47" t="n">
        <f aca="false">L19*Scorecard!$D$12+M19*Scorecard!$D$13+N19*Scorecard!$D$14+O19*Scorecard!$D$15+P19*Scorecard!$D$16+Q19*Scorecard!$D$17</f>
        <v>2.68808404899614</v>
      </c>
      <c r="T19" s="47" t="n">
        <f aca="false">L19*Scorecard!$E$12+M19*Scorecard!$E$13+N19*Scorecard!$E$14+O19*Scorecard!$E$15+P19*Scorecard!$E$16+Q19*Scorecard!$E$17</f>
        <v>3.76721727193397</v>
      </c>
      <c r="U19" s="0" t="str">
        <f aca="false">IF(AND(R19&gt;=S19,R19&gt;=T19),"Distribution",IF(T19&gt;=S19,"Prof. services","Manufacturing"))</f>
        <v>Distribution</v>
      </c>
    </row>
    <row r="20" customFormat="false" ht="15" hidden="false" customHeight="false" outlineLevel="0" collapsed="false">
      <c r="A20" s="46" t="n">
        <v>0.042004</v>
      </c>
      <c r="B20" s="46" t="n">
        <v>0.430268</v>
      </c>
      <c r="C20" s="46" t="n">
        <v>0.289782</v>
      </c>
      <c r="D20" s="46" t="n">
        <v>0.073848</v>
      </c>
      <c r="E20" s="46" t="n">
        <v>0.044992</v>
      </c>
      <c r="F20" s="46" t="n">
        <v>0.119106</v>
      </c>
      <c r="G20" s="47" t="n">
        <f aca="false">A20*Scorecard!$C$12+B20*Scorecard!$C$13+C20*Scorecard!$C$14+D20*Scorecard!$C$15+E20*Scorecard!$C$16+F20*Scorecard!$C$17</f>
        <v>4.19029620098226</v>
      </c>
      <c r="H20" s="47" t="n">
        <f aca="false">A20*Scorecard!$D$12+B20*Scorecard!$D$13+C20*Scorecard!$D$14+D20*Scorecard!$D$15+E20*Scorecard!$D$16+F20*Scorecard!$D$17</f>
        <v>2.30374039153695</v>
      </c>
      <c r="I20" s="47" t="n">
        <f aca="false">A20*Scorecard!$E$12+B20*Scorecard!$E$13+C20*Scorecard!$E$14+D20*Scorecard!$E$15+E20*Scorecard!$E$16+F20*Scorecard!$E$17</f>
        <v>3.52146624838395</v>
      </c>
      <c r="J20" s="0" t="str">
        <f aca="false">IF(AND(G20&gt;=H20,G20&gt;=I20),"Distribution",IF(I20&gt;=H20,"Prof. services","Manufacturing"))</f>
        <v>Distribution</v>
      </c>
      <c r="L20" s="46" t="n">
        <v>0.194164</v>
      </c>
      <c r="M20" s="46" t="n">
        <v>0.32348</v>
      </c>
      <c r="N20" s="46" t="n">
        <v>0.238432</v>
      </c>
      <c r="O20" s="46" t="n">
        <v>0.08525</v>
      </c>
      <c r="P20" s="46" t="n">
        <v>0.087637</v>
      </c>
      <c r="Q20" s="46" t="n">
        <v>0.071038</v>
      </c>
      <c r="R20" s="47" t="n">
        <f aca="false">L20*Scorecard!$C$12+M20*Scorecard!$C$13+N20*Scorecard!$C$14+O20*Scorecard!$C$15+P20*Scorecard!$C$16+Q20*Scorecard!$C$17</f>
        <v>3.91716003103321</v>
      </c>
      <c r="S20" s="47" t="n">
        <f aca="false">L20*Scorecard!$D$12+M20*Scorecard!$D$13+N20*Scorecard!$D$14+O20*Scorecard!$D$15+P20*Scorecard!$D$16+Q20*Scorecard!$D$17</f>
        <v>2.66405796277833</v>
      </c>
      <c r="T20" s="47" t="n">
        <f aca="false">L20*Scorecard!$E$12+M20*Scorecard!$E$13+N20*Scorecard!$E$14+O20*Scorecard!$E$15+P20*Scorecard!$E$16+Q20*Scorecard!$E$17</f>
        <v>3.72933267560283</v>
      </c>
      <c r="U20" s="0" t="str">
        <f aca="false">IF(AND(R20&gt;=S20,R20&gt;=T20),"Distribution",IF(T20&gt;=S20,"Prof. services","Manufacturing"))</f>
        <v>Distribution</v>
      </c>
    </row>
    <row r="21" customFormat="false" ht="15" hidden="false" customHeight="false" outlineLevel="0" collapsed="false">
      <c r="A21" s="46" t="n">
        <v>0.042178</v>
      </c>
      <c r="B21" s="46" t="n">
        <v>0.01048</v>
      </c>
      <c r="C21" s="46" t="n">
        <v>0.069675</v>
      </c>
      <c r="D21" s="46" t="n">
        <v>0.311581</v>
      </c>
      <c r="E21" s="46" t="n">
        <v>0.139589</v>
      </c>
      <c r="F21" s="46" t="n">
        <v>0.426497</v>
      </c>
      <c r="G21" s="47" t="n">
        <f aca="false">A21*Scorecard!$C$12+B21*Scorecard!$C$13+C21*Scorecard!$C$14+D21*Scorecard!$C$15+E21*Scorecard!$C$16+F21*Scorecard!$C$17</f>
        <v>3.39314599850085</v>
      </c>
      <c r="H21" s="47" t="n">
        <f aca="false">A21*Scorecard!$D$12+B21*Scorecard!$D$13+C21*Scorecard!$D$14+D21*Scorecard!$D$15+E21*Scorecard!$D$16+F21*Scorecard!$D$17</f>
        <v>2.77961330036366</v>
      </c>
      <c r="I21" s="47" t="n">
        <f aca="false">A21*Scorecard!$E$12+B21*Scorecard!$E$13+C21*Scorecard!$E$14+D21*Scorecard!$E$15+E21*Scorecard!$E$16+F21*Scorecard!$E$17</f>
        <v>4.12393064682105</v>
      </c>
      <c r="J21" s="0" t="str">
        <f aca="false">IF(AND(G21&gt;=H21,G21&gt;=I21),"Distribution",IF(I21&gt;=H21,"Prof. services","Manufacturing"))</f>
        <v>Prof. services</v>
      </c>
      <c r="L21" s="46" t="n">
        <v>0.163921</v>
      </c>
      <c r="M21" s="46" t="n">
        <v>0.192364</v>
      </c>
      <c r="N21" s="46" t="n">
        <v>0.224245</v>
      </c>
      <c r="O21" s="46" t="n">
        <v>0.133122</v>
      </c>
      <c r="P21" s="46" t="n">
        <v>0.165325</v>
      </c>
      <c r="Q21" s="46" t="n">
        <v>0.121022</v>
      </c>
      <c r="R21" s="47" t="n">
        <f aca="false">L21*Scorecard!$C$12+M21*Scorecard!$C$13+N21*Scorecard!$C$14+O21*Scorecard!$C$15+P21*Scorecard!$C$16+Q21*Scorecard!$C$17</f>
        <v>3.7883778623277</v>
      </c>
      <c r="S21" s="47" t="n">
        <f aca="false">L21*Scorecard!$D$12+M21*Scorecard!$D$13+N21*Scorecard!$D$14+O21*Scorecard!$D$15+P21*Scorecard!$D$16+Q21*Scorecard!$D$17</f>
        <v>2.84721895498736</v>
      </c>
      <c r="T21" s="47" t="n">
        <f aca="false">L21*Scorecard!$E$12+M21*Scorecard!$E$13+N21*Scorecard!$E$14+O21*Scorecard!$E$15+P21*Scorecard!$E$16+Q21*Scorecard!$E$17</f>
        <v>3.83418249748645</v>
      </c>
      <c r="U21" s="0" t="str">
        <f aca="false">IF(AND(R21&gt;=S21,R21&gt;=T21),"Distribution",IF(T21&gt;=S21,"Prof. services","Manufacturing"))</f>
        <v>Prof. services</v>
      </c>
    </row>
    <row r="22" customFormat="false" ht="15" hidden="false" customHeight="false" outlineLevel="0" collapsed="false">
      <c r="A22" s="46" t="n">
        <v>0.284625</v>
      </c>
      <c r="B22" s="46" t="n">
        <v>0.15548</v>
      </c>
      <c r="C22" s="46" t="n">
        <v>0.257388</v>
      </c>
      <c r="D22" s="46" t="n">
        <v>0.101104</v>
      </c>
      <c r="E22" s="46" t="n">
        <v>0.14852</v>
      </c>
      <c r="F22" s="46" t="n">
        <v>0.052882</v>
      </c>
      <c r="G22" s="47" t="n">
        <f aca="false">A22*Scorecard!$C$12+B22*Scorecard!$C$13+C22*Scorecard!$C$14+D22*Scorecard!$C$15+E22*Scorecard!$C$16+F22*Scorecard!$C$17</f>
        <v>3.6384869409717</v>
      </c>
      <c r="H22" s="47" t="n">
        <f aca="false">A22*Scorecard!$D$12+B22*Scorecard!$D$13+C22*Scorecard!$D$14+D22*Scorecard!$D$15+E22*Scorecard!$D$16+F22*Scorecard!$D$17</f>
        <v>3.04185580429406</v>
      </c>
      <c r="I22" s="47" t="n">
        <f aca="false">A22*Scorecard!$E$12+B22*Scorecard!$E$13+C22*Scorecard!$E$14+D22*Scorecard!$E$15+E22*Scorecard!$E$16+F22*Scorecard!$E$17</f>
        <v>4.04589251943288</v>
      </c>
      <c r="J22" s="0" t="str">
        <f aca="false">IF(AND(G22&gt;=H22,G22&gt;=I22),"Distribution",IF(I22&gt;=H22,"Prof. services","Manufacturing"))</f>
        <v>Prof. services</v>
      </c>
      <c r="L22" s="46" t="n">
        <v>0.15164</v>
      </c>
      <c r="M22" s="46" t="n">
        <v>0.215003</v>
      </c>
      <c r="N22" s="46" t="n">
        <v>0.234489</v>
      </c>
      <c r="O22" s="46" t="n">
        <v>0.15294</v>
      </c>
      <c r="P22" s="46" t="n">
        <v>0.157027</v>
      </c>
      <c r="Q22" s="46" t="n">
        <v>0.088901</v>
      </c>
      <c r="R22" s="47" t="n">
        <f aca="false">L22*Scorecard!$C$12+M22*Scorecard!$C$13+N22*Scorecard!$C$14+O22*Scorecard!$C$15+P22*Scorecard!$C$16+Q22*Scorecard!$C$17</f>
        <v>3.91718683746666</v>
      </c>
      <c r="S22" s="47" t="n">
        <f aca="false">L22*Scorecard!$D$12+M22*Scorecard!$D$13+N22*Scorecard!$D$14+O22*Scorecard!$D$15+P22*Scorecard!$D$16+Q22*Scorecard!$D$17</f>
        <v>2.87348620056037</v>
      </c>
      <c r="T22" s="47" t="n">
        <f aca="false">L22*Scorecard!$E$12+M22*Scorecard!$E$13+N22*Scorecard!$E$14+O22*Scorecard!$E$15+P22*Scorecard!$E$16+Q22*Scorecard!$E$17</f>
        <v>3.79070990824363</v>
      </c>
      <c r="U22" s="0" t="str">
        <f aca="false">IF(AND(R22&gt;=S22,R22&gt;=T22),"Distribution",IF(T22&gt;=S22,"Prof. services","Manufacturing"))</f>
        <v>Distribution</v>
      </c>
    </row>
    <row r="23" customFormat="false" ht="15" hidden="false" customHeight="false" outlineLevel="0" collapsed="false">
      <c r="A23" s="46" t="n">
        <v>0.055179</v>
      </c>
      <c r="B23" s="46" t="n">
        <v>0.540293</v>
      </c>
      <c r="C23" s="46" t="n">
        <v>0.035342</v>
      </c>
      <c r="D23" s="46" t="n">
        <v>0.047331</v>
      </c>
      <c r="E23" s="46" t="n">
        <v>0.078148</v>
      </c>
      <c r="F23" s="46" t="n">
        <v>0.243708</v>
      </c>
      <c r="G23" s="47" t="n">
        <f aca="false">A23*Scorecard!$C$12+B23*Scorecard!$C$13+C23*Scorecard!$C$14+D23*Scorecard!$C$15+E23*Scorecard!$C$16+F23*Scorecard!$C$17</f>
        <v>4.00088901309399</v>
      </c>
      <c r="H23" s="47" t="n">
        <f aca="false">A23*Scorecard!$D$12+B23*Scorecard!$D$13+C23*Scorecard!$D$14+D23*Scorecard!$D$15+E23*Scorecard!$D$16+F23*Scorecard!$D$17</f>
        <v>1.94075020869476</v>
      </c>
      <c r="I23" s="47" t="n">
        <f aca="false">A23*Scorecard!$E$12+B23*Scorecard!$E$13+C23*Scorecard!$E$14+D23*Scorecard!$E$15+E23*Scorecard!$E$16+F23*Scorecard!$E$17</f>
        <v>3.07653301778837</v>
      </c>
      <c r="J23" s="0" t="str">
        <f aca="false">IF(AND(G23&gt;=H23,G23&gt;=I23),"Distribution",IF(I23&gt;=H23,"Prof. services","Manufacturing"))</f>
        <v>Distribution</v>
      </c>
      <c r="L23" s="46" t="n">
        <v>0.336338</v>
      </c>
      <c r="M23" s="46" t="n">
        <v>0.215165</v>
      </c>
      <c r="N23" s="46" t="n">
        <v>0.164279</v>
      </c>
      <c r="O23" s="46" t="n">
        <v>0.161282</v>
      </c>
      <c r="P23" s="46" t="n">
        <v>0.082415</v>
      </c>
      <c r="Q23" s="46" t="n">
        <v>0.040521</v>
      </c>
      <c r="R23" s="47" t="n">
        <f aca="false">L23*Scorecard!$C$12+M23*Scorecard!$C$13+N23*Scorecard!$C$14+O23*Scorecard!$C$15+P23*Scorecard!$C$16+Q23*Scorecard!$C$17</f>
        <v>3.68999180349421</v>
      </c>
      <c r="S23" s="47" t="n">
        <f aca="false">L23*Scorecard!$D$12+M23*Scorecard!$D$13+N23*Scorecard!$D$14+O23*Scorecard!$D$15+P23*Scorecard!$D$16+Q23*Scorecard!$D$17</f>
        <v>3.05260150400888</v>
      </c>
      <c r="T23" s="47" t="n">
        <f aca="false">L23*Scorecard!$E$12+M23*Scorecard!$E$13+N23*Scorecard!$E$14+O23*Scorecard!$E$15+P23*Scorecard!$E$16+Q23*Scorecard!$E$17</f>
        <v>4.00642640414817</v>
      </c>
      <c r="U23" s="0" t="str">
        <f aca="false">IF(AND(R23&gt;=S23,R23&gt;=T23),"Distribution",IF(T23&gt;=S23,"Prof. services","Manufacturing"))</f>
        <v>Prof. services</v>
      </c>
    </row>
    <row r="24" customFormat="false" ht="15" hidden="false" customHeight="false" outlineLevel="0" collapsed="false">
      <c r="A24" s="46" t="n">
        <v>0.067378</v>
      </c>
      <c r="B24" s="46" t="n">
        <v>0.111443</v>
      </c>
      <c r="C24" s="46" t="n">
        <v>0.35164</v>
      </c>
      <c r="D24" s="46" t="n">
        <v>0.251012</v>
      </c>
      <c r="E24" s="46" t="n">
        <v>0.190694</v>
      </c>
      <c r="F24" s="46" t="n">
        <v>0.027833</v>
      </c>
      <c r="G24" s="47" t="n">
        <f aca="false">A24*Scorecard!$C$12+B24*Scorecard!$C$13+C24*Scorecard!$C$14+D24*Scorecard!$C$15+E24*Scorecard!$C$16+F24*Scorecard!$C$17</f>
        <v>4.18550763912443</v>
      </c>
      <c r="H24" s="47" t="n">
        <f aca="false">A24*Scorecard!$D$12+B24*Scorecard!$D$13+C24*Scorecard!$D$14+D24*Scorecard!$D$15+E24*Scorecard!$D$16+F24*Scorecard!$D$17</f>
        <v>3.18962730262212</v>
      </c>
      <c r="I24" s="47" t="n">
        <f aca="false">A24*Scorecard!$E$12+B24*Scorecard!$E$13+C24*Scorecard!$E$14+D24*Scorecard!$E$15+E24*Scorecard!$E$16+F24*Scorecard!$E$17</f>
        <v>3.94728370807651</v>
      </c>
      <c r="J24" s="0" t="str">
        <f aca="false">IF(AND(G24&gt;=H24,G24&gt;=I24),"Distribution",IF(I24&gt;=H24,"Prof. services","Manufacturing"))</f>
        <v>Distribution</v>
      </c>
      <c r="L24" s="46" t="n">
        <v>0.255398</v>
      </c>
      <c r="M24" s="46" t="n">
        <v>0.315234</v>
      </c>
      <c r="N24" s="46" t="n">
        <v>0.156847</v>
      </c>
      <c r="O24" s="46" t="n">
        <v>0.200209</v>
      </c>
      <c r="P24" s="46" t="n">
        <v>0.050854</v>
      </c>
      <c r="Q24" s="46" t="n">
        <v>0.021457</v>
      </c>
      <c r="R24" s="47" t="n">
        <f aca="false">L24*Scorecard!$C$12+M24*Scorecard!$C$13+N24*Scorecard!$C$14+O24*Scorecard!$C$15+P24*Scorecard!$C$16+Q24*Scorecard!$C$17</f>
        <v>4.01280495777704</v>
      </c>
      <c r="S24" s="47" t="n">
        <f aca="false">L24*Scorecard!$D$12+M24*Scorecard!$D$13+N24*Scorecard!$D$14+O24*Scorecard!$D$15+P24*Scorecard!$D$16+Q24*Scorecard!$D$17</f>
        <v>2.91206905869235</v>
      </c>
      <c r="T24" s="47" t="n">
        <f aca="false">L24*Scorecard!$E$12+M24*Scorecard!$E$13+N24*Scorecard!$E$14+O24*Scorecard!$E$15+P24*Scorecard!$E$16+Q24*Scorecard!$E$17</f>
        <v>3.77982022132428</v>
      </c>
      <c r="U24" s="0" t="str">
        <f aca="false">IF(AND(R24&gt;=S24,R24&gt;=T24),"Distribution",IF(T24&gt;=S24,"Prof. services","Manufacturing"))</f>
        <v>Distribution</v>
      </c>
    </row>
    <row r="25" customFormat="false" ht="15" hidden="false" customHeight="false" outlineLevel="0" collapsed="false">
      <c r="A25" s="46" t="n">
        <v>0.377267</v>
      </c>
      <c r="B25" s="46" t="n">
        <v>0.144154</v>
      </c>
      <c r="C25" s="46" t="n">
        <v>0.039256</v>
      </c>
      <c r="D25" s="46" t="n">
        <v>0.126692</v>
      </c>
      <c r="E25" s="46" t="n">
        <v>0.02238</v>
      </c>
      <c r="F25" s="46" t="n">
        <v>0.290252</v>
      </c>
      <c r="G25" s="47" t="n">
        <f aca="false">A25*Scorecard!$C$12+B25*Scorecard!$C$13+C25*Scorecard!$C$14+D25*Scorecard!$C$15+E25*Scorecard!$C$16+F25*Scorecard!$C$17</f>
        <v>3.01126001980701</v>
      </c>
      <c r="H25" s="47" t="n">
        <f aca="false">A25*Scorecard!$D$12+B25*Scorecard!$D$13+C25*Scorecard!$D$14+D25*Scorecard!$D$15+E25*Scorecard!$D$16+F25*Scorecard!$D$17</f>
        <v>2.75157679457531</v>
      </c>
      <c r="I25" s="47" t="n">
        <f aca="false">A25*Scorecard!$E$12+B25*Scorecard!$E$13+C25*Scorecard!$E$14+D25*Scorecard!$E$15+E25*Scorecard!$E$16+F25*Scorecard!$E$17</f>
        <v>4.2747710104508</v>
      </c>
      <c r="J25" s="0" t="str">
        <f aca="false">IF(AND(G25&gt;=H25,G25&gt;=I25),"Distribution",IF(I25&gt;=H25,"Prof. services","Manufacturing"))</f>
        <v>Prof. services</v>
      </c>
      <c r="L25" s="46" t="n">
        <v>0.25261</v>
      </c>
      <c r="M25" s="46" t="n">
        <v>0.194758</v>
      </c>
      <c r="N25" s="46" t="n">
        <v>0.160029</v>
      </c>
      <c r="O25" s="46" t="n">
        <v>0.243088</v>
      </c>
      <c r="P25" s="46" t="n">
        <v>0.110463</v>
      </c>
      <c r="Q25" s="46" t="n">
        <v>0.039053</v>
      </c>
      <c r="R25" s="47" t="n">
        <f aca="false">L25*Scorecard!$C$12+M25*Scorecard!$C$13+N25*Scorecard!$C$14+O25*Scorecard!$C$15+P25*Scorecard!$C$16+Q25*Scorecard!$C$17</f>
        <v>3.90504239753662</v>
      </c>
      <c r="S25" s="47" t="n">
        <f aca="false">L25*Scorecard!$D$12+M25*Scorecard!$D$13+N25*Scorecard!$D$14+O25*Scorecard!$D$15+P25*Scorecard!$D$16+Q25*Scorecard!$D$17</f>
        <v>3.13418232819017</v>
      </c>
      <c r="T25" s="47" t="n">
        <f aca="false">L25*Scorecard!$E$12+M25*Scorecard!$E$13+N25*Scorecard!$E$14+O25*Scorecard!$E$15+P25*Scorecard!$E$16+Q25*Scorecard!$E$17</f>
        <v>3.92267205595628</v>
      </c>
      <c r="U25" s="0" t="str">
        <f aca="false">IF(AND(R25&gt;=S25,R25&gt;=T25),"Distribution",IF(T25&gt;=S25,"Prof. services","Manufacturing"))</f>
        <v>Prof. services</v>
      </c>
    </row>
    <row r="26" customFormat="false" ht="15" hidden="false" customHeight="false" outlineLevel="0" collapsed="false">
      <c r="A26" s="46" t="n">
        <v>0.153334</v>
      </c>
      <c r="B26" s="46" t="n">
        <v>0.046442</v>
      </c>
      <c r="C26" s="46" t="n">
        <v>0.007234</v>
      </c>
      <c r="D26" s="46" t="n">
        <v>0.430694</v>
      </c>
      <c r="E26" s="46" t="n">
        <v>0.127473</v>
      </c>
      <c r="F26" s="46" t="n">
        <v>0.234823</v>
      </c>
      <c r="G26" s="47" t="n">
        <f aca="false">A26*Scorecard!$C$12+B26*Scorecard!$C$13+C26*Scorecard!$C$14+D26*Scorecard!$C$15+E26*Scorecard!$C$16+F26*Scorecard!$C$17</f>
        <v>3.73148661330858</v>
      </c>
      <c r="H26" s="47" t="n">
        <f aca="false">A26*Scorecard!$D$12+B26*Scorecard!$D$13+C26*Scorecard!$D$14+D26*Scorecard!$D$15+E26*Scorecard!$D$16+F26*Scorecard!$D$17</f>
        <v>3.22042070449988</v>
      </c>
      <c r="I26" s="47" t="n">
        <f aca="false">A26*Scorecard!$E$12+B26*Scorecard!$E$13+C26*Scorecard!$E$14+D26*Scorecard!$E$15+E26*Scorecard!$E$16+F26*Scorecard!$E$17</f>
        <v>4.04909976596627</v>
      </c>
      <c r="J26" s="0" t="str">
        <f aca="false">IF(AND(G26&gt;=H26,G26&gt;=I26),"Distribution",IF(I26&gt;=H26,"Prof. services","Manufacturing"))</f>
        <v>Prof. services</v>
      </c>
      <c r="L26" s="46" t="n">
        <v>0.094678</v>
      </c>
      <c r="M26" s="46" t="n">
        <v>0.187394</v>
      </c>
      <c r="N26" s="46" t="n">
        <v>0.201479</v>
      </c>
      <c r="O26" s="46" t="n">
        <v>0.124304</v>
      </c>
      <c r="P26" s="46" t="n">
        <v>0.209166</v>
      </c>
      <c r="Q26" s="46" t="n">
        <v>0.182979</v>
      </c>
      <c r="R26" s="47" t="n">
        <f aca="false">L26*Scorecard!$C$12+M26*Scorecard!$C$13+N26*Scorecard!$C$14+O26*Scorecard!$C$15+P26*Scorecard!$C$16+Q26*Scorecard!$C$17</f>
        <v>3.77531824979998</v>
      </c>
      <c r="S26" s="47" t="n">
        <f aca="false">L26*Scorecard!$D$12+M26*Scorecard!$D$13+N26*Scorecard!$D$14+O26*Scorecard!$D$15+P26*Scorecard!$D$16+Q26*Scorecard!$D$17</f>
        <v>2.72041362333863</v>
      </c>
      <c r="T26" s="47" t="n">
        <f aca="false">L26*Scorecard!$E$12+M26*Scorecard!$E$13+N26*Scorecard!$E$14+O26*Scorecard!$E$15+P26*Scorecard!$E$16+Q26*Scorecard!$E$17</f>
        <v>3.70796220998636</v>
      </c>
      <c r="U26" s="0" t="str">
        <f aca="false">IF(AND(R26&gt;=S26,R26&gt;=T26),"Distribution",IF(T26&gt;=S26,"Prof. services","Manufacturing"))</f>
        <v>Distribution</v>
      </c>
    </row>
    <row r="27" customFormat="false" ht="15" hidden="false" customHeight="false" outlineLevel="0" collapsed="false">
      <c r="A27" s="46" t="n">
        <v>0.035749</v>
      </c>
      <c r="B27" s="46" t="n">
        <v>0.169869</v>
      </c>
      <c r="C27" s="46" t="n">
        <v>0.166309</v>
      </c>
      <c r="D27" s="46" t="n">
        <v>0.009437</v>
      </c>
      <c r="E27" s="46" t="n">
        <v>0.550381</v>
      </c>
      <c r="F27" s="46" t="n">
        <v>0.068255</v>
      </c>
      <c r="G27" s="47" t="n">
        <f aca="false">A27*Scorecard!$C$12+B27*Scorecard!$C$13+C27*Scorecard!$C$14+D27*Scorecard!$C$15+E27*Scorecard!$C$16+F27*Scorecard!$C$17</f>
        <v>3.97844729018462</v>
      </c>
      <c r="H27" s="47" t="n">
        <f aca="false">A27*Scorecard!$D$12+B27*Scorecard!$D$13+C27*Scorecard!$D$14+D27*Scorecard!$D$15+E27*Scorecard!$D$16+F27*Scorecard!$D$17</f>
        <v>2.86064275196801</v>
      </c>
      <c r="I27" s="47" t="n">
        <f aca="false">A27*Scorecard!$E$12+B27*Scorecard!$E$13+C27*Scorecard!$E$14+D27*Scorecard!$E$15+E27*Scorecard!$E$16+F27*Scorecard!$E$17</f>
        <v>3.00182836220196</v>
      </c>
      <c r="J27" s="0" t="str">
        <f aca="false">IF(AND(G27&gt;=H27,G27&gt;=I27),"Distribution",IF(I27&gt;=H27,"Prof. services","Manufacturing"))</f>
        <v>Distribution</v>
      </c>
      <c r="L27" s="46" t="n">
        <v>0.17493</v>
      </c>
      <c r="M27" s="46" t="n">
        <v>0.08992</v>
      </c>
      <c r="N27" s="46" t="n">
        <v>0.227208</v>
      </c>
      <c r="O27" s="46" t="n">
        <v>0.250295</v>
      </c>
      <c r="P27" s="46" t="n">
        <v>0.126601</v>
      </c>
      <c r="Q27" s="46" t="n">
        <v>0.131047</v>
      </c>
      <c r="R27" s="47" t="n">
        <f aca="false">L27*Scorecard!$C$12+M27*Scorecard!$C$13+N27*Scorecard!$C$14+O27*Scorecard!$C$15+P27*Scorecard!$C$16+Q27*Scorecard!$C$17</f>
        <v>3.76324850532869</v>
      </c>
      <c r="S27" s="47" t="n">
        <f aca="false">L27*Scorecard!$D$12+M27*Scorecard!$D$13+N27*Scorecard!$D$14+O27*Scorecard!$D$15+P27*Scorecard!$D$16+Q27*Scorecard!$D$17</f>
        <v>3.11596437886431</v>
      </c>
      <c r="T27" s="47" t="n">
        <f aca="false">L27*Scorecard!$E$12+M27*Scorecard!$E$13+N27*Scorecard!$E$14+O27*Scorecard!$E$15+P27*Scorecard!$E$16+Q27*Scorecard!$E$17</f>
        <v>4.12908697828563</v>
      </c>
      <c r="U27" s="0" t="str">
        <f aca="false">IF(AND(R27&gt;=S27,R27&gt;=T27),"Distribution",IF(T27&gt;=S27,"Prof. services","Manufacturing"))</f>
        <v>Prof. services</v>
      </c>
    </row>
    <row r="28" customFormat="false" ht="15" hidden="false" customHeight="false" outlineLevel="0" collapsed="false">
      <c r="A28" s="46" t="n">
        <v>0.280194</v>
      </c>
      <c r="B28" s="46" t="n">
        <v>0.048852</v>
      </c>
      <c r="C28" s="46" t="n">
        <v>0.197216</v>
      </c>
      <c r="D28" s="46" t="n">
        <v>0.05738</v>
      </c>
      <c r="E28" s="46" t="n">
        <v>0.32353</v>
      </c>
      <c r="F28" s="46" t="n">
        <v>0.092828</v>
      </c>
      <c r="G28" s="47" t="n">
        <f aca="false">A28*Scorecard!$C$12+B28*Scorecard!$C$13+C28*Scorecard!$C$14+D28*Scorecard!$C$15+E28*Scorecard!$C$16+F28*Scorecard!$C$17</f>
        <v>3.41622280416205</v>
      </c>
      <c r="H28" s="47" t="n">
        <f aca="false">A28*Scorecard!$D$12+B28*Scorecard!$D$13+C28*Scorecard!$D$14+D28*Scorecard!$D$15+E28*Scorecard!$D$16+F28*Scorecard!$D$17</f>
        <v>3.14678171680864</v>
      </c>
      <c r="I28" s="47" t="n">
        <f aca="false">A28*Scorecard!$E$12+B28*Scorecard!$E$13+C28*Scorecard!$E$14+D28*Scorecard!$E$15+E28*Scorecard!$E$16+F28*Scorecard!$E$17</f>
        <v>3.90239777736026</v>
      </c>
      <c r="J28" s="0" t="str">
        <f aca="false">IF(AND(G28&gt;=H28,G28&gt;=I28),"Distribution",IF(I28&gt;=H28,"Prof. services","Manufacturing"))</f>
        <v>Prof. services</v>
      </c>
      <c r="L28" s="46" t="n">
        <v>0.094037</v>
      </c>
      <c r="M28" s="46" t="n">
        <v>0.169781</v>
      </c>
      <c r="N28" s="46" t="n">
        <v>0.190025</v>
      </c>
      <c r="O28" s="46" t="n">
        <v>0.129495</v>
      </c>
      <c r="P28" s="46" t="n">
        <v>0.258624</v>
      </c>
      <c r="Q28" s="46" t="n">
        <v>0.158037</v>
      </c>
      <c r="R28" s="47" t="n">
        <f aca="false">L28*Scorecard!$C$12+M28*Scorecard!$C$13+N28*Scorecard!$C$14+O28*Scorecard!$C$15+P28*Scorecard!$C$16+Q28*Scorecard!$C$17</f>
        <v>3.81393005894126</v>
      </c>
      <c r="S28" s="47" t="n">
        <f aca="false">L28*Scorecard!$D$12+M28*Scorecard!$D$13+N28*Scorecard!$D$14+O28*Scorecard!$D$15+P28*Scorecard!$D$16+Q28*Scorecard!$D$17</f>
        <v>2.8063326750563</v>
      </c>
      <c r="T28" s="47" t="n">
        <f aca="false">L28*Scorecard!$E$12+M28*Scorecard!$E$13+N28*Scorecard!$E$14+O28*Scorecard!$E$15+P28*Scorecard!$E$16+Q28*Scorecard!$E$17</f>
        <v>3.63484882964271</v>
      </c>
      <c r="U28" s="0" t="str">
        <f aca="false">IF(AND(R28&gt;=S28,R28&gt;=T28),"Distribution",IF(T28&gt;=S28,"Prof. services","Manufacturing"))</f>
        <v>Distribution</v>
      </c>
    </row>
    <row r="29" customFormat="false" ht="15" hidden="false" customHeight="false" outlineLevel="0" collapsed="false">
      <c r="A29" s="46" t="n">
        <v>0.245409</v>
      </c>
      <c r="B29" s="46" t="n">
        <v>0.166337</v>
      </c>
      <c r="C29" s="46" t="n">
        <v>0.237349</v>
      </c>
      <c r="D29" s="46" t="n">
        <v>0.148771</v>
      </c>
      <c r="E29" s="46" t="n">
        <v>0.193088</v>
      </c>
      <c r="F29" s="46" t="n">
        <v>0.009047</v>
      </c>
      <c r="G29" s="47" t="n">
        <f aca="false">A29*Scorecard!$C$12+B29*Scorecard!$C$13+C29*Scorecard!$C$14+D29*Scorecard!$C$15+E29*Scorecard!$C$16+F29*Scorecard!$C$17</f>
        <v>3.85527830022986</v>
      </c>
      <c r="H29" s="47" t="n">
        <f aca="false">A29*Scorecard!$D$12+B29*Scorecard!$D$13+C29*Scorecard!$D$14+D29*Scorecard!$D$15+E29*Scorecard!$D$16+F29*Scorecard!$D$17</f>
        <v>3.1354511158584</v>
      </c>
      <c r="I29" s="47" t="n">
        <f aca="false">A29*Scorecard!$E$12+B29*Scorecard!$E$13+C29*Scorecard!$E$14+D29*Scorecard!$E$15+E29*Scorecard!$E$16+F29*Scorecard!$E$17</f>
        <v>3.87790740908027</v>
      </c>
      <c r="J29" s="0" t="str">
        <f aca="false">IF(AND(G29&gt;=H29,G29&gt;=I29),"Distribution",IF(I29&gt;=H29,"Prof. services","Manufacturing"))</f>
        <v>Prof. services</v>
      </c>
      <c r="L29" s="46" t="n">
        <v>0.242021</v>
      </c>
      <c r="M29" s="46" t="n">
        <v>0.274401</v>
      </c>
      <c r="N29" s="46" t="n">
        <v>0.202424</v>
      </c>
      <c r="O29" s="46" t="n">
        <v>0.131272</v>
      </c>
      <c r="P29" s="46" t="n">
        <v>0.108376</v>
      </c>
      <c r="Q29" s="46" t="n">
        <v>0.041506</v>
      </c>
      <c r="R29" s="47" t="n">
        <f aca="false">L29*Scorecard!$C$12+M29*Scorecard!$C$13+N29*Scorecard!$C$14+O29*Scorecard!$C$15+P29*Scorecard!$C$16+Q29*Scorecard!$C$17</f>
        <v>3.88701974854602</v>
      </c>
      <c r="S29" s="47" t="n">
        <f aca="false">L29*Scorecard!$D$12+M29*Scorecard!$D$13+N29*Scorecard!$D$14+O29*Scorecard!$D$15+P29*Scorecard!$D$16+Q29*Scorecard!$D$17</f>
        <v>2.87382249874631</v>
      </c>
      <c r="T29" s="47" t="n">
        <f aca="false">L29*Scorecard!$E$12+M29*Scorecard!$E$13+N29*Scorecard!$E$14+O29*Scorecard!$E$15+P29*Scorecard!$E$16+Q29*Scorecard!$E$17</f>
        <v>3.79145131860007</v>
      </c>
      <c r="U29" s="0" t="str">
        <f aca="false">IF(AND(R29&gt;=S29,R29&gt;=T29),"Distribution",IF(T29&gt;=S29,"Prof. services","Manufacturing"))</f>
        <v>Distribution</v>
      </c>
    </row>
    <row r="30" customFormat="false" ht="15" hidden="false" customHeight="false" outlineLevel="0" collapsed="false">
      <c r="A30" s="46" t="n">
        <v>0.143862</v>
      </c>
      <c r="B30" s="46" t="n">
        <v>0.227427</v>
      </c>
      <c r="C30" s="46" t="n">
        <v>0.052647</v>
      </c>
      <c r="D30" s="46" t="n">
        <v>0.308483</v>
      </c>
      <c r="E30" s="46" t="n">
        <v>0.015232</v>
      </c>
      <c r="F30" s="46" t="n">
        <v>0.252348</v>
      </c>
      <c r="G30" s="47" t="n">
        <f aca="false">A30*Scorecard!$C$12+B30*Scorecard!$C$13+C30*Scorecard!$C$14+D30*Scorecard!$C$15+E30*Scorecard!$C$16+F30*Scorecard!$C$17</f>
        <v>3.77225634838848</v>
      </c>
      <c r="H30" s="47" t="n">
        <f aca="false">A30*Scorecard!$D$12+B30*Scorecard!$D$13+C30*Scorecard!$D$14+D30*Scorecard!$D$15+E30*Scorecard!$D$16+F30*Scorecard!$D$17</f>
        <v>2.73732448319396</v>
      </c>
      <c r="I30" s="47" t="n">
        <f aca="false">A30*Scorecard!$E$12+B30*Scorecard!$E$13+C30*Scorecard!$E$14+D30*Scorecard!$E$15+E30*Scorecard!$E$16+F30*Scorecard!$E$17</f>
        <v>3.92135831015443</v>
      </c>
      <c r="J30" s="0" t="str">
        <f aca="false">IF(AND(G30&gt;=H30,G30&gt;=I30),"Distribution",IF(I30&gt;=H30,"Prof. services","Manufacturing"))</f>
        <v>Prof. services</v>
      </c>
      <c r="L30" s="46" t="n">
        <v>0.251165</v>
      </c>
      <c r="M30" s="46" t="n">
        <v>0.297629</v>
      </c>
      <c r="N30" s="46" t="n">
        <v>0.143807</v>
      </c>
      <c r="O30" s="46" t="n">
        <v>0.107533</v>
      </c>
      <c r="P30" s="46" t="n">
        <v>0.137894</v>
      </c>
      <c r="Q30" s="46" t="n">
        <v>0.061971</v>
      </c>
      <c r="R30" s="47" t="n">
        <f aca="false">L30*Scorecard!$C$12+M30*Scorecard!$C$13+N30*Scorecard!$C$14+O30*Scorecard!$C$15+P30*Scorecard!$C$16+Q30*Scorecard!$C$17</f>
        <v>3.82911541814372</v>
      </c>
      <c r="S30" s="47" t="n">
        <f aca="false">L30*Scorecard!$D$12+M30*Scorecard!$D$13+N30*Scorecard!$D$14+O30*Scorecard!$D$15+P30*Scorecard!$D$16+Q30*Scorecard!$D$17</f>
        <v>2.79665487412958</v>
      </c>
      <c r="T30" s="47" t="n">
        <f aca="false">L30*Scorecard!$E$12+M30*Scorecard!$E$13+N30*Scorecard!$E$14+O30*Scorecard!$E$15+P30*Scorecard!$E$16+Q30*Scorecard!$E$17</f>
        <v>3.65554819122571</v>
      </c>
      <c r="U30" s="0" t="str">
        <f aca="false">IF(AND(R30&gt;=S30,R30&gt;=T30),"Distribution",IF(T30&gt;=S30,"Prof. services","Manufacturing"))</f>
        <v>Distribution</v>
      </c>
    </row>
    <row r="31" customFormat="false" ht="15" hidden="false" customHeight="false" outlineLevel="0" collapsed="false">
      <c r="A31" s="46" t="n">
        <v>0.071018</v>
      </c>
      <c r="B31" s="46" t="n">
        <v>0.130331</v>
      </c>
      <c r="C31" s="46" t="n">
        <v>0.475006</v>
      </c>
      <c r="D31" s="46" t="n">
        <v>0.02474</v>
      </c>
      <c r="E31" s="46" t="n">
        <v>0.037226</v>
      </c>
      <c r="F31" s="46" t="n">
        <v>0.261679</v>
      </c>
      <c r="G31" s="47" t="n">
        <f aca="false">A31*Scorecard!$C$12+B31*Scorecard!$C$13+C31*Scorecard!$C$14+D31*Scorecard!$C$15+E31*Scorecard!$C$16+F31*Scorecard!$C$17</f>
        <v>3.5038795872145</v>
      </c>
      <c r="H31" s="47" t="n">
        <f aca="false">A31*Scorecard!$D$12+B31*Scorecard!$D$13+C31*Scorecard!$D$14+D31*Scorecard!$D$15+E31*Scorecard!$D$16+F31*Scorecard!$D$17</f>
        <v>2.49981399020522</v>
      </c>
      <c r="I31" s="47" t="n">
        <f aca="false">A31*Scorecard!$E$12+B31*Scorecard!$E$13+C31*Scorecard!$E$14+D31*Scorecard!$E$15+E31*Scorecard!$E$16+F31*Scorecard!$E$17</f>
        <v>4.3744330548829</v>
      </c>
      <c r="J31" s="0" t="str">
        <f aca="false">IF(AND(G31&gt;=H31,G31&gt;=I31),"Distribution",IF(I31&gt;=H31,"Prof. services","Manufacturing"))</f>
        <v>Prof. services</v>
      </c>
      <c r="L31" s="46" t="n">
        <v>0.139793</v>
      </c>
      <c r="M31" s="46" t="n">
        <v>0.12205</v>
      </c>
      <c r="N31" s="46" t="n">
        <v>0.448901</v>
      </c>
      <c r="O31" s="46" t="n">
        <v>0.065893</v>
      </c>
      <c r="P31" s="46" t="n">
        <v>0.187531</v>
      </c>
      <c r="Q31" s="46" t="n">
        <v>0.035832</v>
      </c>
      <c r="R31" s="47" t="n">
        <f aca="false">L31*Scorecard!$C$12+M31*Scorecard!$C$13+N31*Scorecard!$C$14+O31*Scorecard!$C$15+P31*Scorecard!$C$16+Q31*Scorecard!$C$17</f>
        <v>3.86464960641636</v>
      </c>
      <c r="S31" s="47" t="n">
        <f aca="false">L31*Scorecard!$D$12+M31*Scorecard!$D$13+N31*Scorecard!$D$14+O31*Scorecard!$D$15+P31*Scorecard!$D$16+Q31*Scorecard!$D$17</f>
        <v>2.9941856233464</v>
      </c>
      <c r="T31" s="47" t="n">
        <f aca="false">L31*Scorecard!$E$12+M31*Scorecard!$E$13+N31*Scorecard!$E$14+O31*Scorecard!$E$15+P31*Scorecard!$E$16+Q31*Scorecard!$E$17</f>
        <v>4.07595659130768</v>
      </c>
      <c r="U31" s="0" t="str">
        <f aca="false">IF(AND(R31&gt;=S31,R31&gt;=T31),"Distribution",IF(T31&gt;=S31,"Prof. services","Manufacturing"))</f>
        <v>Prof. services</v>
      </c>
    </row>
    <row r="32" customFormat="false" ht="15" hidden="false" customHeight="false" outlineLevel="0" collapsed="false">
      <c r="A32" s="46" t="n">
        <v>0.208059</v>
      </c>
      <c r="B32" s="46" t="n">
        <v>0.060989</v>
      </c>
      <c r="C32" s="46" t="n">
        <v>0.093899</v>
      </c>
      <c r="D32" s="46" t="n">
        <v>0.158812</v>
      </c>
      <c r="E32" s="46" t="n">
        <v>0.402351</v>
      </c>
      <c r="F32" s="46" t="n">
        <v>0.075889</v>
      </c>
      <c r="G32" s="47" t="n">
        <f aca="false">A32*Scorecard!$C$12+B32*Scorecard!$C$13+C32*Scorecard!$C$14+D32*Scorecard!$C$15+E32*Scorecard!$C$16+F32*Scorecard!$C$17</f>
        <v>3.69350983287705</v>
      </c>
      <c r="H32" s="47" t="n">
        <f aca="false">A32*Scorecard!$D$12+B32*Scorecard!$D$13+C32*Scorecard!$D$14+D32*Scorecard!$D$15+E32*Scorecard!$D$16+F32*Scorecard!$D$17</f>
        <v>3.2500163761248</v>
      </c>
      <c r="I32" s="47" t="n">
        <f aca="false">A32*Scorecard!$E$12+B32*Scorecard!$E$13+C32*Scorecard!$E$14+D32*Scorecard!$E$15+E32*Scorecard!$E$16+F32*Scorecard!$E$17</f>
        <v>3.58098596951883</v>
      </c>
      <c r="J32" s="0" t="str">
        <f aca="false">IF(AND(G32&gt;=H32,G32&gt;=I32),"Distribution",IF(I32&gt;=H32,"Prof. services","Manufacturing"))</f>
        <v>Distribution</v>
      </c>
      <c r="L32" s="46" t="n">
        <v>0.243322</v>
      </c>
      <c r="M32" s="46" t="n">
        <v>0.219266</v>
      </c>
      <c r="N32" s="46" t="n">
        <v>0.135998</v>
      </c>
      <c r="O32" s="46" t="n">
        <v>0.250968</v>
      </c>
      <c r="P32" s="46" t="n">
        <v>0.107887</v>
      </c>
      <c r="Q32" s="46" t="n">
        <v>0.04256</v>
      </c>
      <c r="R32" s="47" t="n">
        <f aca="false">L32*Scorecard!$C$12+M32*Scorecard!$C$13+N32*Scorecard!$C$14+O32*Scorecard!$C$15+P32*Scorecard!$C$16+Q32*Scorecard!$C$17</f>
        <v>3.9471349299925</v>
      </c>
      <c r="S32" s="47" t="n">
        <f aca="false">L32*Scorecard!$D$12+M32*Scorecard!$D$13+N32*Scorecard!$D$14+O32*Scorecard!$D$15+P32*Scorecard!$D$16+Q32*Scorecard!$D$17</f>
        <v>3.09426363726882</v>
      </c>
      <c r="T32" s="47" t="n">
        <f aca="false">L32*Scorecard!$E$12+M32*Scorecard!$E$13+N32*Scorecard!$E$14+O32*Scorecard!$E$15+P32*Scorecard!$E$16+Q32*Scorecard!$E$17</f>
        <v>3.85072617870519</v>
      </c>
      <c r="U32" s="0" t="str">
        <f aca="false">IF(AND(R32&gt;=S32,R32&gt;=T32),"Distribution",IF(T32&gt;=S32,"Prof. services","Manufacturing"))</f>
        <v>Distribution</v>
      </c>
    </row>
    <row r="33" customFormat="false" ht="15" hidden="false" customHeight="false" outlineLevel="0" collapsed="false">
      <c r="A33" s="46" t="n">
        <v>0.140299</v>
      </c>
      <c r="B33" s="46" t="n">
        <v>0.064951</v>
      </c>
      <c r="C33" s="46" t="n">
        <v>0.055806</v>
      </c>
      <c r="D33" s="46" t="n">
        <v>0.391252</v>
      </c>
      <c r="E33" s="46" t="n">
        <v>0.102067</v>
      </c>
      <c r="F33" s="46" t="n">
        <v>0.245626</v>
      </c>
      <c r="G33" s="47" t="n">
        <f aca="false">A33*Scorecard!$C$12+B33*Scorecard!$C$13+C33*Scorecard!$C$14+D33*Scorecard!$C$15+E33*Scorecard!$C$16+F33*Scorecard!$C$17</f>
        <v>3.71241479920031</v>
      </c>
      <c r="H33" s="47" t="n">
        <f aca="false">A33*Scorecard!$D$12+B33*Scorecard!$D$13+C33*Scorecard!$D$14+D33*Scorecard!$D$15+E33*Scorecard!$D$16+F33*Scorecard!$D$17</f>
        <v>3.1136985513536</v>
      </c>
      <c r="I33" s="47" t="n">
        <f aca="false">A33*Scorecard!$E$12+B33*Scorecard!$E$13+C33*Scorecard!$E$14+D33*Scorecard!$E$15+E33*Scorecard!$E$16+F33*Scorecard!$E$17</f>
        <v>4.09119751284291</v>
      </c>
      <c r="J33" s="0" t="str">
        <f aca="false">IF(AND(G33&gt;=H33,G33&gt;=I33),"Distribution",IF(I33&gt;=H33,"Prof. services","Manufacturing"))</f>
        <v>Prof. services</v>
      </c>
      <c r="L33" s="46" t="n">
        <v>0.294803</v>
      </c>
      <c r="M33" s="46" t="n">
        <v>0.190065</v>
      </c>
      <c r="N33" s="46" t="n">
        <v>0.158907</v>
      </c>
      <c r="O33" s="46" t="n">
        <v>0.234838</v>
      </c>
      <c r="P33" s="46" t="n">
        <v>0.090935</v>
      </c>
      <c r="Q33" s="46" t="n">
        <v>0.030453</v>
      </c>
      <c r="R33" s="47" t="n">
        <f aca="false">L33*Scorecard!$C$12+M33*Scorecard!$C$13+N33*Scorecard!$C$14+O33*Scorecard!$C$15+P33*Scorecard!$C$16+Q33*Scorecard!$C$17</f>
        <v>3.83335139582355</v>
      </c>
      <c r="S33" s="47" t="n">
        <f aca="false">L33*Scorecard!$D$12+M33*Scorecard!$D$13+N33*Scorecard!$D$14+O33*Scorecard!$D$15+P33*Scorecard!$D$16+Q33*Scorecard!$D$17</f>
        <v>3.16593720388325</v>
      </c>
      <c r="T33" s="47" t="n">
        <f aca="false">L33*Scorecard!$E$12+M33*Scorecard!$E$13+N33*Scorecard!$E$14+O33*Scorecard!$E$15+P33*Scorecard!$E$16+Q33*Scorecard!$E$17</f>
        <v>3.99943794533316</v>
      </c>
      <c r="U33" s="0" t="str">
        <f aca="false">IF(AND(R33&gt;=S33,R33&gt;=T33),"Distribution",IF(T33&gt;=S33,"Prof. services","Manufacturing"))</f>
        <v>Prof. services</v>
      </c>
    </row>
    <row r="34" customFormat="false" ht="15" hidden="false" customHeight="false" outlineLevel="0" collapsed="false">
      <c r="A34" s="46" t="n">
        <v>0.05836</v>
      </c>
      <c r="B34" s="46" t="n">
        <v>0.035867</v>
      </c>
      <c r="C34" s="46" t="n">
        <v>0.220251</v>
      </c>
      <c r="D34" s="46" t="n">
        <v>0.273279</v>
      </c>
      <c r="E34" s="46" t="n">
        <v>0.183327</v>
      </c>
      <c r="F34" s="46" t="n">
        <v>0.228916</v>
      </c>
      <c r="G34" s="47" t="n">
        <f aca="false">A34*Scorecard!$C$12+B34*Scorecard!$C$13+C34*Scorecard!$C$14+D34*Scorecard!$C$15+E34*Scorecard!$C$16+F34*Scorecard!$C$17</f>
        <v>3.74626516772985</v>
      </c>
      <c r="H34" s="47" t="n">
        <f aca="false">A34*Scorecard!$D$12+B34*Scorecard!$D$13+C34*Scorecard!$D$14+D34*Scorecard!$D$15+E34*Scorecard!$D$16+F34*Scorecard!$D$17</f>
        <v>3.0188072281752</v>
      </c>
      <c r="I34" s="47" t="n">
        <f aca="false">A34*Scorecard!$E$12+B34*Scorecard!$E$13+C34*Scorecard!$E$14+D34*Scorecard!$E$15+E34*Scorecard!$E$16+F34*Scorecard!$E$17</f>
        <v>4.06510018829784</v>
      </c>
      <c r="J34" s="0" t="str">
        <f aca="false">IF(AND(G34&gt;=H34,G34&gt;=I34),"Distribution",IF(I34&gt;=H34,"Prof. services","Manufacturing"))</f>
        <v>Prof. services</v>
      </c>
      <c r="L34" s="46" t="n">
        <v>0.265637</v>
      </c>
      <c r="M34" s="46" t="n">
        <v>0.318519</v>
      </c>
      <c r="N34" s="46" t="n">
        <v>0.155073</v>
      </c>
      <c r="O34" s="46" t="n">
        <v>0.020721</v>
      </c>
      <c r="P34" s="46" t="n">
        <v>0.113009</v>
      </c>
      <c r="Q34" s="46" t="n">
        <v>0.127042</v>
      </c>
      <c r="R34" s="47" t="n">
        <f aca="false">L34*Scorecard!$C$12+M34*Scorecard!$C$13+N34*Scorecard!$C$14+O34*Scorecard!$C$15+P34*Scorecard!$C$16+Q34*Scorecard!$C$17</f>
        <v>3.60700961175898</v>
      </c>
      <c r="S34" s="47" t="n">
        <f aca="false">L34*Scorecard!$D$12+M34*Scorecard!$D$13+N34*Scorecard!$D$14+O34*Scorecard!$D$15+P34*Scorecard!$D$16+Q34*Scorecard!$D$17</f>
        <v>2.56846576207967</v>
      </c>
      <c r="T34" s="47" t="n">
        <f aca="false">L34*Scorecard!$E$12+M34*Scorecard!$E$13+N34*Scorecard!$E$14+O34*Scorecard!$E$15+P34*Scorecard!$E$16+Q34*Scorecard!$E$17</f>
        <v>3.70187692803004</v>
      </c>
      <c r="U34" s="0" t="str">
        <f aca="false">IF(AND(R34&gt;=S34,R34&gt;=T34),"Distribution",IF(T34&gt;=S34,"Prof. services","Manufacturing"))</f>
        <v>Prof. services</v>
      </c>
    </row>
    <row r="35" customFormat="false" ht="15" hidden="false" customHeight="false" outlineLevel="0" collapsed="false">
      <c r="A35" s="46" t="n">
        <v>0.128286</v>
      </c>
      <c r="B35" s="46" t="n">
        <v>0.13749</v>
      </c>
      <c r="C35" s="46" t="n">
        <v>0.283891</v>
      </c>
      <c r="D35" s="46" t="n">
        <v>0.355508</v>
      </c>
      <c r="E35" s="46" t="n">
        <v>0.083399</v>
      </c>
      <c r="F35" s="46" t="n">
        <v>0.011426</v>
      </c>
      <c r="G35" s="47" t="n">
        <f aca="false">A35*Scorecard!$C$12+B35*Scorecard!$C$13+C35*Scorecard!$C$14+D35*Scorecard!$C$15+E35*Scorecard!$C$16+F35*Scorecard!$C$17</f>
        <v>4.23922937051733</v>
      </c>
      <c r="H35" s="47" t="n">
        <f aca="false">A35*Scorecard!$D$12+B35*Scorecard!$D$13+C35*Scorecard!$D$14+D35*Scorecard!$D$15+E35*Scorecard!$D$16+F35*Scorecard!$D$17</f>
        <v>3.30057779815141</v>
      </c>
      <c r="I35" s="47" t="n">
        <f aca="false">A35*Scorecard!$E$12+B35*Scorecard!$E$13+C35*Scorecard!$E$14+D35*Scorecard!$E$15+E35*Scorecard!$E$16+F35*Scorecard!$E$17</f>
        <v>4.07935964472817</v>
      </c>
      <c r="J35" s="0" t="str">
        <f aca="false">IF(AND(G35&gt;=H35,G35&gt;=I35),"Distribution",IF(I35&gt;=H35,"Prof. services","Manufacturing"))</f>
        <v>Distribution</v>
      </c>
      <c r="L35" s="46" t="n">
        <v>0.273727</v>
      </c>
      <c r="M35" s="46" t="n">
        <v>0.112708</v>
      </c>
      <c r="N35" s="46" t="n">
        <v>0.155188</v>
      </c>
      <c r="O35" s="46" t="n">
        <v>0.146344</v>
      </c>
      <c r="P35" s="46" t="n">
        <v>0.187769</v>
      </c>
      <c r="Q35" s="46" t="n">
        <v>0.124265</v>
      </c>
      <c r="R35" s="47" t="n">
        <f aca="false">L35*Scorecard!$C$12+M35*Scorecard!$C$13+N35*Scorecard!$C$14+O35*Scorecard!$C$15+P35*Scorecard!$C$16+Q35*Scorecard!$C$17</f>
        <v>3.51781349638774</v>
      </c>
      <c r="S35" s="47" t="n">
        <f aca="false">L35*Scorecard!$D$12+M35*Scorecard!$D$13+N35*Scorecard!$D$14+O35*Scorecard!$D$15+P35*Scorecard!$D$16+Q35*Scorecard!$D$17</f>
        <v>3.0572441853807</v>
      </c>
      <c r="T35" s="47" t="n">
        <f aca="false">L35*Scorecard!$E$12+M35*Scorecard!$E$13+N35*Scorecard!$E$14+O35*Scorecard!$E$15+P35*Scorecard!$E$16+Q35*Scorecard!$E$17</f>
        <v>3.99072599760354</v>
      </c>
      <c r="U35" s="0" t="str">
        <f aca="false">IF(AND(R35&gt;=S35,R35&gt;=T35),"Distribution",IF(T35&gt;=S35,"Prof. services","Manufacturing"))</f>
        <v>Prof. services</v>
      </c>
    </row>
    <row r="36" customFormat="false" ht="15" hidden="false" customHeight="false" outlineLevel="0" collapsed="false">
      <c r="A36" s="46" t="n">
        <v>0.202724</v>
      </c>
      <c r="B36" s="46" t="n">
        <v>0.122206</v>
      </c>
      <c r="C36" s="46" t="n">
        <v>0.352447</v>
      </c>
      <c r="D36" s="46" t="n">
        <v>0.150841</v>
      </c>
      <c r="E36" s="46" t="n">
        <v>0.020257</v>
      </c>
      <c r="F36" s="46" t="n">
        <v>0.151524</v>
      </c>
      <c r="G36" s="47" t="n">
        <f aca="false">A36*Scorecard!$C$12+B36*Scorecard!$C$13+C36*Scorecard!$C$14+D36*Scorecard!$C$15+E36*Scorecard!$C$16+F36*Scorecard!$C$17</f>
        <v>3.60508890895932</v>
      </c>
      <c r="H36" s="47" t="n">
        <f aca="false">A36*Scorecard!$D$12+B36*Scorecard!$D$13+C36*Scorecard!$D$14+D36*Scorecard!$D$15+E36*Scorecard!$D$16+F36*Scorecard!$D$17</f>
        <v>2.90456078271253</v>
      </c>
      <c r="I36" s="47" t="n">
        <f aca="false">A36*Scorecard!$E$12+B36*Scorecard!$E$13+C36*Scorecard!$E$14+D36*Scorecard!$E$15+E36*Scorecard!$E$16+F36*Scorecard!$E$17</f>
        <v>4.39271383764708</v>
      </c>
      <c r="J36" s="0" t="str">
        <f aca="false">IF(AND(G36&gt;=H36,G36&gt;=I36),"Distribution",IF(I36&gt;=H36,"Prof. services","Manufacturing"))</f>
        <v>Prof. services</v>
      </c>
      <c r="L36" s="46" t="n">
        <v>0.19017</v>
      </c>
      <c r="M36" s="46" t="n">
        <v>0.24046</v>
      </c>
      <c r="N36" s="46" t="n">
        <v>0.150877</v>
      </c>
      <c r="O36" s="46" t="n">
        <v>0.221391</v>
      </c>
      <c r="P36" s="46" t="n">
        <v>0.086851</v>
      </c>
      <c r="Q36" s="46" t="n">
        <v>0.110251</v>
      </c>
      <c r="R36" s="47" t="n">
        <f aca="false">L36*Scorecard!$C$12+M36*Scorecard!$C$13+N36*Scorecard!$C$14+O36*Scorecard!$C$15+P36*Scorecard!$C$16+Q36*Scorecard!$C$17</f>
        <v>3.89904028799152</v>
      </c>
      <c r="S36" s="47" t="n">
        <f aca="false">L36*Scorecard!$D$12+M36*Scorecard!$D$13+N36*Scorecard!$D$14+O36*Scorecard!$D$15+P36*Scorecard!$D$16+Q36*Scorecard!$D$17</f>
        <v>2.88455084413507</v>
      </c>
      <c r="T36" s="47" t="n">
        <f aca="false">L36*Scorecard!$E$12+M36*Scorecard!$E$13+N36*Scorecard!$E$14+O36*Scorecard!$E$15+P36*Scorecard!$E$16+Q36*Scorecard!$E$17</f>
        <v>3.83674958737886</v>
      </c>
      <c r="U36" s="0" t="str">
        <f aca="false">IF(AND(R36&gt;=S36,R36&gt;=T36),"Distribution",IF(T36&gt;=S36,"Prof. services","Manufacturing"))</f>
        <v>Distribution</v>
      </c>
    </row>
    <row r="37" customFormat="false" ht="15" hidden="false" customHeight="false" outlineLevel="0" collapsed="false">
      <c r="A37" s="46" t="n">
        <v>0.112277</v>
      </c>
      <c r="B37" s="46" t="n">
        <v>0.022582</v>
      </c>
      <c r="C37" s="46" t="n">
        <v>0.053712</v>
      </c>
      <c r="D37" s="46" t="n">
        <v>0.681778</v>
      </c>
      <c r="E37" s="46" t="n">
        <v>0.079029</v>
      </c>
      <c r="F37" s="46" t="n">
        <v>0.050621</v>
      </c>
      <c r="G37" s="47" t="n">
        <f aca="false">A37*Scorecard!$C$12+B37*Scorecard!$C$13+C37*Scorecard!$C$14+D37*Scorecard!$C$15+E37*Scorecard!$C$16+F37*Scorecard!$C$17</f>
        <v>4.40101379882118</v>
      </c>
      <c r="H37" s="47" t="n">
        <f aca="false">A37*Scorecard!$D$12+B37*Scorecard!$D$13+C37*Scorecard!$D$14+D37*Scorecard!$D$15+E37*Scorecard!$D$16+F37*Scorecard!$D$17</f>
        <v>3.77993162778185</v>
      </c>
      <c r="I37" s="47" t="n">
        <f aca="false">A37*Scorecard!$E$12+B37*Scorecard!$E$13+C37*Scorecard!$E$14+D37*Scorecard!$E$15+E37*Scorecard!$E$16+F37*Scorecard!$E$17</f>
        <v>4.12911274406511</v>
      </c>
      <c r="J37" s="0" t="str">
        <f aca="false">IF(AND(G37&gt;=H37,G37&gt;=I37),"Distribution",IF(I37&gt;=H37,"Prof. services","Manufacturing"))</f>
        <v>Distribution</v>
      </c>
      <c r="L37" s="46" t="n">
        <v>0.166671</v>
      </c>
      <c r="M37" s="46" t="n">
        <v>0.189662</v>
      </c>
      <c r="N37" s="46" t="n">
        <v>0.201967</v>
      </c>
      <c r="O37" s="46" t="n">
        <v>0.116409</v>
      </c>
      <c r="P37" s="46" t="n">
        <v>0.249612</v>
      </c>
      <c r="Q37" s="46" t="n">
        <v>0.075678</v>
      </c>
      <c r="R37" s="47" t="n">
        <f aca="false">L37*Scorecard!$C$12+M37*Scorecard!$C$13+N37*Scorecard!$C$14+O37*Scorecard!$C$15+P37*Scorecard!$C$16+Q37*Scorecard!$C$17</f>
        <v>3.85470082311003</v>
      </c>
      <c r="S37" s="47" t="n">
        <f aca="false">L37*Scorecard!$D$12+M37*Scorecard!$D$13+N37*Scorecard!$D$14+O37*Scorecard!$D$15+P37*Scorecard!$D$16+Q37*Scorecard!$D$17</f>
        <v>2.92985518193024</v>
      </c>
      <c r="T37" s="47" t="n">
        <f aca="false">L37*Scorecard!$E$12+M37*Scorecard!$E$13+N37*Scorecard!$E$14+O37*Scorecard!$E$15+P37*Scorecard!$E$16+Q37*Scorecard!$E$17</f>
        <v>3.65382922698034</v>
      </c>
      <c r="U37" s="0" t="str">
        <f aca="false">IF(AND(R37&gt;=S37,R37&gt;=T37),"Distribution",IF(T37&gt;=S37,"Prof. services","Manufacturing"))</f>
        <v>Distribution</v>
      </c>
    </row>
    <row r="38" customFormat="false" ht="15" hidden="false" customHeight="false" outlineLevel="0" collapsed="false">
      <c r="A38" s="46" t="n">
        <v>0.104639</v>
      </c>
      <c r="B38" s="46" t="n">
        <v>0.487106</v>
      </c>
      <c r="C38" s="46" t="n">
        <v>0.25655</v>
      </c>
      <c r="D38" s="46" t="n">
        <v>0.046583</v>
      </c>
      <c r="E38" s="46" t="n">
        <v>0.001915</v>
      </c>
      <c r="F38" s="46" t="n">
        <v>0.103206</v>
      </c>
      <c r="G38" s="47" t="n">
        <f aca="false">A38*Scorecard!$C$12+B38*Scorecard!$C$13+C38*Scorecard!$C$14+D38*Scorecard!$C$15+E38*Scorecard!$C$16+F38*Scorecard!$C$17</f>
        <v>4.13892130774647</v>
      </c>
      <c r="H38" s="47" t="n">
        <f aca="false">A38*Scorecard!$D$12+B38*Scorecard!$D$13+C38*Scorecard!$D$14+D38*Scorecard!$D$15+E38*Scorecard!$D$16+F38*Scorecard!$D$17</f>
        <v>2.23772484303422</v>
      </c>
      <c r="I38" s="47" t="n">
        <f aca="false">A38*Scorecard!$E$12+B38*Scorecard!$E$13+C38*Scorecard!$E$14+D38*Scorecard!$E$15+E38*Scorecard!$E$16+F38*Scorecard!$E$17</f>
        <v>3.50363113773872</v>
      </c>
      <c r="J38" s="0" t="str">
        <f aca="false">IF(AND(G38&gt;=H38,G38&gt;=I38),"Distribution",IF(I38&gt;=H38,"Prof. services","Manufacturing"))</f>
        <v>Distribution</v>
      </c>
      <c r="L38" s="46" t="n">
        <v>0.151465</v>
      </c>
      <c r="M38" s="46" t="n">
        <v>0.192069</v>
      </c>
      <c r="N38" s="46" t="n">
        <v>0.371378</v>
      </c>
      <c r="O38" s="46" t="n">
        <v>0.14989</v>
      </c>
      <c r="P38" s="46" t="n">
        <v>0.116682</v>
      </c>
      <c r="Q38" s="46" t="n">
        <v>0.018516</v>
      </c>
      <c r="R38" s="47" t="n">
        <f aca="false">L38*Scorecard!$C$12+M38*Scorecard!$C$13+N38*Scorecard!$C$14+O38*Scorecard!$C$15+P38*Scorecard!$C$16+Q38*Scorecard!$C$17</f>
        <v>4.03228783996233</v>
      </c>
      <c r="S38" s="47" t="n">
        <f aca="false">L38*Scorecard!$D$12+M38*Scorecard!$D$13+N38*Scorecard!$D$14+O38*Scorecard!$D$15+P38*Scorecard!$D$16+Q38*Scorecard!$D$17</f>
        <v>2.9963929455023</v>
      </c>
      <c r="T38" s="47" t="n">
        <f aca="false">L38*Scorecard!$E$12+M38*Scorecard!$E$13+N38*Scorecard!$E$14+O38*Scorecard!$E$15+P38*Scorecard!$E$16+Q38*Scorecard!$E$17</f>
        <v>4.00198726324348</v>
      </c>
      <c r="U38" s="0" t="str">
        <f aca="false">IF(AND(R38&gt;=S38,R38&gt;=T38),"Distribution",IF(T38&gt;=S38,"Prof. services","Manufacturing"))</f>
        <v>Distribution</v>
      </c>
    </row>
    <row r="39" customFormat="false" ht="15" hidden="false" customHeight="false" outlineLevel="0" collapsed="false">
      <c r="A39" s="46" t="n">
        <v>0.021841</v>
      </c>
      <c r="B39" s="46" t="n">
        <v>0.299786</v>
      </c>
      <c r="C39" s="46" t="n">
        <v>0.015456</v>
      </c>
      <c r="D39" s="46" t="n">
        <v>0.099217</v>
      </c>
      <c r="E39" s="46" t="n">
        <v>0.147544</v>
      </c>
      <c r="F39" s="46" t="n">
        <v>0.416157</v>
      </c>
      <c r="G39" s="47" t="n">
        <f aca="false">A39*Scorecard!$C$12+B39*Scorecard!$C$13+C39*Scorecard!$C$14+D39*Scorecard!$C$15+E39*Scorecard!$C$16+F39*Scorecard!$C$17</f>
        <v>3.52737888852618</v>
      </c>
      <c r="H39" s="47" t="n">
        <f aca="false">A39*Scorecard!$D$12+B39*Scorecard!$D$13+C39*Scorecard!$D$14+D39*Scorecard!$D$15+E39*Scorecard!$D$16+F39*Scorecard!$D$17</f>
        <v>2.1042541834905</v>
      </c>
      <c r="I39" s="47" t="n">
        <f aca="false">A39*Scorecard!$E$12+B39*Scorecard!$E$13+C39*Scorecard!$E$14+D39*Scorecard!$E$15+E39*Scorecard!$E$16+F39*Scorecard!$E$17</f>
        <v>3.45348047468553</v>
      </c>
      <c r="J39" s="0" t="str">
        <f aca="false">IF(AND(G39&gt;=H39,G39&gt;=I39),"Distribution",IF(I39&gt;=H39,"Prof. services","Manufacturing"))</f>
        <v>Distribution</v>
      </c>
      <c r="L39" s="46" t="n">
        <v>0.206277</v>
      </c>
      <c r="M39" s="46" t="n">
        <v>0.165917</v>
      </c>
      <c r="N39" s="46" t="n">
        <v>0.19199</v>
      </c>
      <c r="O39" s="46" t="n">
        <v>0.130281</v>
      </c>
      <c r="P39" s="46" t="n">
        <v>0.21058</v>
      </c>
      <c r="Q39" s="46" t="n">
        <v>0.094956</v>
      </c>
      <c r="R39" s="47" t="n">
        <f aca="false">L39*Scorecard!$C$12+M39*Scorecard!$C$13+N39*Scorecard!$C$14+O39*Scorecard!$C$15+P39*Scorecard!$C$16+Q39*Scorecard!$C$17</f>
        <v>3.7349884582901</v>
      </c>
      <c r="S39" s="47" t="n">
        <f aca="false">L39*Scorecard!$D$12+M39*Scorecard!$D$13+N39*Scorecard!$D$14+O39*Scorecard!$D$15+P39*Scorecard!$D$16+Q39*Scorecard!$D$17</f>
        <v>2.96579531224909</v>
      </c>
      <c r="T39" s="47" t="n">
        <f aca="false">L39*Scorecard!$E$12+M39*Scorecard!$E$13+N39*Scorecard!$E$14+O39*Scorecard!$E$15+P39*Scorecard!$E$16+Q39*Scorecard!$E$17</f>
        <v>3.80497092388656</v>
      </c>
      <c r="U39" s="0" t="str">
        <f aca="false">IF(AND(R39&gt;=S39,R39&gt;=T39),"Distribution",IF(T39&gt;=S39,"Prof. services","Manufacturing"))</f>
        <v>Prof. services</v>
      </c>
    </row>
    <row r="40" customFormat="false" ht="15" hidden="false" customHeight="false" outlineLevel="0" collapsed="false">
      <c r="A40" s="46" t="n">
        <v>0.055745</v>
      </c>
      <c r="B40" s="46" t="n">
        <v>0.333109</v>
      </c>
      <c r="C40" s="46" t="n">
        <v>0.146554</v>
      </c>
      <c r="D40" s="46" t="n">
        <v>0.332004</v>
      </c>
      <c r="E40" s="46" t="n">
        <v>0.068728</v>
      </c>
      <c r="F40" s="46" t="n">
        <v>0.063861</v>
      </c>
      <c r="G40" s="47" t="n">
        <f aca="false">A40*Scorecard!$C$12+B40*Scorecard!$C$13+C40*Scorecard!$C$14+D40*Scorecard!$C$15+E40*Scorecard!$C$16+F40*Scorecard!$C$17</f>
        <v>4.43705320502228</v>
      </c>
      <c r="H40" s="47" t="n">
        <f aca="false">A40*Scorecard!$D$12+B40*Scorecard!$D$13+C40*Scorecard!$D$14+D40*Scorecard!$D$15+E40*Scorecard!$D$16+F40*Scorecard!$D$17</f>
        <v>2.84828736635819</v>
      </c>
      <c r="I40" s="47" t="n">
        <f aca="false">A40*Scorecard!$E$12+B40*Scorecard!$E$13+C40*Scorecard!$E$14+D40*Scorecard!$E$15+E40*Scorecard!$E$16+F40*Scorecard!$E$17</f>
        <v>3.5493970052108</v>
      </c>
      <c r="J40" s="0" t="str">
        <f aca="false">IF(AND(G40&gt;=H40,G40&gt;=I40),"Distribution",IF(I40&gt;=H40,"Prof. services","Manufacturing"))</f>
        <v>Distribution</v>
      </c>
      <c r="L40" s="46" t="n">
        <v>0.144551</v>
      </c>
      <c r="M40" s="46" t="n">
        <v>0.302467</v>
      </c>
      <c r="N40" s="46" t="n">
        <v>0.12344</v>
      </c>
      <c r="O40" s="46" t="n">
        <v>0.158336</v>
      </c>
      <c r="P40" s="46" t="n">
        <v>0.146559</v>
      </c>
      <c r="Q40" s="46" t="n">
        <v>0.124648</v>
      </c>
      <c r="R40" s="47" t="n">
        <f aca="false">L40*Scorecard!$C$12+M40*Scorecard!$C$13+N40*Scorecard!$C$14+O40*Scorecard!$C$15+P40*Scorecard!$C$16+Q40*Scorecard!$C$17</f>
        <v>3.95131713856267</v>
      </c>
      <c r="S40" s="47" t="n">
        <f aca="false">L40*Scorecard!$D$12+M40*Scorecard!$D$13+N40*Scorecard!$D$14+O40*Scorecard!$D$15+P40*Scorecard!$D$16+Q40*Scorecard!$D$17</f>
        <v>2.68665972749251</v>
      </c>
      <c r="T40" s="47" t="n">
        <f aca="false">L40*Scorecard!$E$12+M40*Scorecard!$E$13+N40*Scorecard!$E$14+O40*Scorecard!$E$15+P40*Scorecard!$E$16+Q40*Scorecard!$E$17</f>
        <v>3.54473522536362</v>
      </c>
      <c r="U40" s="0" t="str">
        <f aca="false">IF(AND(R40&gt;=S40,R40&gt;=T40),"Distribution",IF(T40&gt;=S40,"Prof. services","Manufacturing"))</f>
        <v>Distribution</v>
      </c>
    </row>
    <row r="41" customFormat="false" ht="15" hidden="false" customHeight="false" outlineLevel="0" collapsed="false">
      <c r="A41" s="46" t="n">
        <v>0.048154</v>
      </c>
      <c r="B41" s="46" t="n">
        <v>0.198865</v>
      </c>
      <c r="C41" s="46" t="n">
        <v>0.123755</v>
      </c>
      <c r="D41" s="46" t="n">
        <v>0.16499</v>
      </c>
      <c r="E41" s="46" t="n">
        <v>0.244382</v>
      </c>
      <c r="F41" s="46" t="n">
        <v>0.219854</v>
      </c>
      <c r="G41" s="47" t="n">
        <f aca="false">A41*Scorecard!$C$12+B41*Scorecard!$C$13+C41*Scorecard!$C$14+D41*Scorecard!$C$15+E41*Scorecard!$C$16+F41*Scorecard!$C$17</f>
        <v>3.8374691132773</v>
      </c>
      <c r="H41" s="47" t="n">
        <f aca="false">A41*Scorecard!$D$12+B41*Scorecard!$D$13+C41*Scorecard!$D$14+D41*Scorecard!$D$15+E41*Scorecard!$D$16+F41*Scorecard!$D$17</f>
        <v>2.67599020075206</v>
      </c>
      <c r="I41" s="47" t="n">
        <f aca="false">A41*Scorecard!$E$12+B41*Scorecard!$E$13+C41*Scorecard!$E$14+D41*Scorecard!$E$15+E41*Scorecard!$E$16+F41*Scorecard!$E$17</f>
        <v>3.52862050185709</v>
      </c>
      <c r="J41" s="0" t="str">
        <f aca="false">IF(AND(G41&gt;=H41,G41&gt;=I41),"Distribution",IF(I41&gt;=H41,"Prof. services","Manufacturing"))</f>
        <v>Distribution</v>
      </c>
      <c r="L41" s="46" t="n">
        <v>0.239563</v>
      </c>
      <c r="M41" s="46" t="n">
        <v>0.398196</v>
      </c>
      <c r="N41" s="46" t="n">
        <v>0.157947</v>
      </c>
      <c r="O41" s="46" t="n">
        <v>0.08143</v>
      </c>
      <c r="P41" s="46" t="n">
        <v>0.077607</v>
      </c>
      <c r="Q41" s="46" t="n">
        <v>0.045257</v>
      </c>
      <c r="R41" s="47" t="n">
        <f aca="false">L41*Scorecard!$C$12+M41*Scorecard!$C$13+N41*Scorecard!$C$14+O41*Scorecard!$C$15+P41*Scorecard!$C$16+Q41*Scorecard!$C$17</f>
        <v>3.95789518359948</v>
      </c>
      <c r="S41" s="47" t="n">
        <f aca="false">L41*Scorecard!$D$12+M41*Scorecard!$D$13+N41*Scorecard!$D$14+O41*Scorecard!$D$15+P41*Scorecard!$D$16+Q41*Scorecard!$D$17</f>
        <v>2.61280034104002</v>
      </c>
      <c r="T41" s="47" t="n">
        <f aca="false">L41*Scorecard!$E$12+M41*Scorecard!$E$13+N41*Scorecard!$E$14+O41*Scorecard!$E$15+P41*Scorecard!$E$16+Q41*Scorecard!$E$17</f>
        <v>3.55730554255045</v>
      </c>
      <c r="U41" s="0" t="str">
        <f aca="false">IF(AND(R41&gt;=S41,R41&gt;=T41),"Distribution",IF(T41&gt;=S41,"Prof. services","Manufacturing"))</f>
        <v>Distribution</v>
      </c>
    </row>
    <row r="42" customFormat="false" ht="15" hidden="false" customHeight="false" outlineLevel="0" collapsed="false">
      <c r="A42" s="46" t="n">
        <v>0.182665</v>
      </c>
      <c r="B42" s="46" t="n">
        <v>0.24443</v>
      </c>
      <c r="C42" s="46" t="n">
        <v>0.006018</v>
      </c>
      <c r="D42" s="46" t="n">
        <v>0.262987</v>
      </c>
      <c r="E42" s="46" t="n">
        <v>0.227245</v>
      </c>
      <c r="F42" s="46" t="n">
        <v>0.076656</v>
      </c>
      <c r="G42" s="47" t="n">
        <f aca="false">A42*Scorecard!$C$12+B42*Scorecard!$C$13+C42*Scorecard!$C$14+D42*Scorecard!$C$15+E42*Scorecard!$C$16+F42*Scorecard!$C$17</f>
        <v>4.0253093950201</v>
      </c>
      <c r="H42" s="47" t="n">
        <f aca="false">A42*Scorecard!$D$12+B42*Scorecard!$D$13+C42*Scorecard!$D$14+D42*Scorecard!$D$15+E42*Scorecard!$D$16+F42*Scorecard!$D$17</f>
        <v>3.01898118803973</v>
      </c>
      <c r="I42" s="47" t="n">
        <f aca="false">A42*Scorecard!$E$12+B42*Scorecard!$E$13+C42*Scorecard!$E$14+D42*Scorecard!$E$15+E42*Scorecard!$E$16+F42*Scorecard!$E$17</f>
        <v>3.43298233504344</v>
      </c>
      <c r="J42" s="0" t="str">
        <f aca="false">IF(AND(G42&gt;=H42,G42&gt;=I42),"Distribution",IF(I42&gt;=H42,"Prof. services","Manufacturing"))</f>
        <v>Distribution</v>
      </c>
      <c r="L42" s="46" t="n">
        <v>0.2321</v>
      </c>
      <c r="M42" s="46" t="n">
        <v>0.076292</v>
      </c>
      <c r="N42" s="46" t="n">
        <v>0.115924</v>
      </c>
      <c r="O42" s="46" t="n">
        <v>0.175438</v>
      </c>
      <c r="P42" s="46" t="n">
        <v>0.23322</v>
      </c>
      <c r="Q42" s="46" t="n">
        <v>0.167026</v>
      </c>
      <c r="R42" s="47" t="n">
        <f aca="false">L42*Scorecard!$C$12+M42*Scorecard!$C$13+N42*Scorecard!$C$14+O42*Scorecard!$C$15+P42*Scorecard!$C$16+Q42*Scorecard!$C$17</f>
        <v>3.49989469002909</v>
      </c>
      <c r="S42" s="47" t="n">
        <f aca="false">L42*Scorecard!$D$12+M42*Scorecard!$D$13+N42*Scorecard!$D$14+O42*Scorecard!$D$15+P42*Scorecard!$D$16+Q42*Scorecard!$D$17</f>
        <v>3.06909424459725</v>
      </c>
      <c r="T42" s="47" t="n">
        <f aca="false">L42*Scorecard!$E$12+M42*Scorecard!$E$13+N42*Scorecard!$E$14+O42*Scorecard!$E$15+P42*Scorecard!$E$16+Q42*Scorecard!$E$17</f>
        <v>3.92853585052403</v>
      </c>
      <c r="U42" s="0" t="str">
        <f aca="false">IF(AND(R42&gt;=S42,R42&gt;=T42),"Distribution",IF(T42&gt;=S42,"Prof. services","Manufacturing"))</f>
        <v>Prof. services</v>
      </c>
    </row>
    <row r="43" customFormat="false" ht="15" hidden="false" customHeight="false" outlineLevel="0" collapsed="false">
      <c r="A43" s="46" t="n">
        <v>0.031116</v>
      </c>
      <c r="B43" s="46" t="n">
        <v>0.092236</v>
      </c>
      <c r="C43" s="46" t="n">
        <v>0.26293</v>
      </c>
      <c r="D43" s="46" t="n">
        <v>0.042305</v>
      </c>
      <c r="E43" s="46" t="n">
        <v>0.186037</v>
      </c>
      <c r="F43" s="46" t="n">
        <v>0.385376</v>
      </c>
      <c r="G43" s="47" t="n">
        <f aca="false">A43*Scorecard!$C$12+B43*Scorecard!$C$13+C43*Scorecard!$C$14+D43*Scorecard!$C$15+E43*Scorecard!$C$16+F43*Scorecard!$C$17</f>
        <v>3.30777975625569</v>
      </c>
      <c r="H43" s="47" t="n">
        <f aca="false">A43*Scorecard!$D$12+B43*Scorecard!$D$13+C43*Scorecard!$D$14+D43*Scorecard!$D$15+E43*Scorecard!$D$16+F43*Scorecard!$D$17</f>
        <v>2.41502956707618</v>
      </c>
      <c r="I43" s="47" t="n">
        <f aca="false">A43*Scorecard!$E$12+B43*Scorecard!$E$13+C43*Scorecard!$E$14+D43*Scorecard!$E$15+E43*Scorecard!$E$16+F43*Scorecard!$E$17</f>
        <v>4.01061832547704</v>
      </c>
      <c r="J43" s="0" t="str">
        <f aca="false">IF(AND(G43&gt;=H43,G43&gt;=I43),"Distribution",IF(I43&gt;=H43,"Prof. services","Manufacturing"))</f>
        <v>Prof. services</v>
      </c>
      <c r="L43" s="46" t="n">
        <v>0.176012</v>
      </c>
      <c r="M43" s="46" t="n">
        <v>0.232073</v>
      </c>
      <c r="N43" s="46" t="n">
        <v>0.26379</v>
      </c>
      <c r="O43" s="46" t="n">
        <v>0.102562</v>
      </c>
      <c r="P43" s="46" t="n">
        <v>0.199069</v>
      </c>
      <c r="Q43" s="46" t="n">
        <v>0.026495</v>
      </c>
      <c r="R43" s="47" t="n">
        <f aca="false">L43*Scorecard!$C$12+M43*Scorecard!$C$13+N43*Scorecard!$C$14+O43*Scorecard!$C$15+P43*Scorecard!$C$16+Q43*Scorecard!$C$17</f>
        <v>3.96482488989832</v>
      </c>
      <c r="S43" s="47" t="n">
        <f aca="false">L43*Scorecard!$D$12+M43*Scorecard!$D$13+N43*Scorecard!$D$14+O43*Scorecard!$D$15+P43*Scorecard!$D$16+Q43*Scorecard!$D$17</f>
        <v>2.91326935058964</v>
      </c>
      <c r="T43" s="47" t="n">
        <f aca="false">L43*Scorecard!$E$12+M43*Scorecard!$E$13+N43*Scorecard!$E$14+O43*Scorecard!$E$15+P43*Scorecard!$E$16+Q43*Scorecard!$E$17</f>
        <v>3.70283008249955</v>
      </c>
      <c r="U43" s="0" t="str">
        <f aca="false">IF(AND(R43&gt;=S43,R43&gt;=T43),"Distribution",IF(T43&gt;=S43,"Prof. services","Manufacturing"))</f>
        <v>Distribution</v>
      </c>
    </row>
    <row r="44" customFormat="false" ht="15" hidden="false" customHeight="false" outlineLevel="0" collapsed="false">
      <c r="A44" s="46" t="n">
        <v>0.054619</v>
      </c>
      <c r="B44" s="46" t="n">
        <v>0.58927</v>
      </c>
      <c r="C44" s="46" t="n">
        <v>0.008271</v>
      </c>
      <c r="D44" s="46" t="n">
        <v>0.005093</v>
      </c>
      <c r="E44" s="46" t="n">
        <v>0.254361</v>
      </c>
      <c r="F44" s="46" t="n">
        <v>0.088387</v>
      </c>
      <c r="G44" s="47" t="n">
        <f aca="false">A44*Scorecard!$C$12+B44*Scorecard!$C$13+C44*Scorecard!$C$14+D44*Scorecard!$C$15+E44*Scorecard!$C$16+F44*Scorecard!$C$17</f>
        <v>4.31927802108013</v>
      </c>
      <c r="H44" s="47" t="n">
        <f aca="false">A44*Scorecard!$D$12+B44*Scorecard!$D$13+C44*Scorecard!$D$14+D44*Scorecard!$D$15+E44*Scorecard!$D$16+F44*Scorecard!$D$17</f>
        <v>2.10968844456882</v>
      </c>
      <c r="I44" s="47" t="n">
        <f aca="false">A44*Scorecard!$E$12+B44*Scorecard!$E$13+C44*Scorecard!$E$14+D44*Scorecard!$E$15+E44*Scorecard!$E$16+F44*Scorecard!$E$17</f>
        <v>2.57876084459406</v>
      </c>
      <c r="J44" s="0" t="str">
        <f aca="false">IF(AND(G44&gt;=H44,G44&gt;=I44),"Distribution",IF(I44&gt;=H44,"Prof. services","Manufacturing"))</f>
        <v>Distribution</v>
      </c>
      <c r="L44" s="46" t="n">
        <v>0.145079</v>
      </c>
      <c r="M44" s="46" t="n">
        <v>0.224689</v>
      </c>
      <c r="N44" s="46" t="n">
        <v>0.118657</v>
      </c>
      <c r="O44" s="46" t="n">
        <v>0.250369</v>
      </c>
      <c r="P44" s="46" t="n">
        <v>0.146506</v>
      </c>
      <c r="Q44" s="46" t="n">
        <v>0.1147</v>
      </c>
      <c r="R44" s="47" t="n">
        <f aca="false">L44*Scorecard!$C$12+M44*Scorecard!$C$13+N44*Scorecard!$C$14+O44*Scorecard!$C$15+P44*Scorecard!$C$16+Q44*Scorecard!$C$17</f>
        <v>3.98451373103288</v>
      </c>
      <c r="S44" s="47" t="n">
        <f aca="false">L44*Scorecard!$D$12+M44*Scorecard!$D$13+N44*Scorecard!$D$14+O44*Scorecard!$D$15+P44*Scorecard!$D$16+Q44*Scorecard!$D$17</f>
        <v>2.92519595533548</v>
      </c>
      <c r="T44" s="47" t="n">
        <f aca="false">L44*Scorecard!$E$12+M44*Scorecard!$E$13+N44*Scorecard!$E$14+O44*Scorecard!$E$15+P44*Scorecard!$E$16+Q44*Scorecard!$E$17</f>
        <v>3.69657356543963</v>
      </c>
      <c r="U44" s="0" t="str">
        <f aca="false">IF(AND(R44&gt;=S44,R44&gt;=T44),"Distribution",IF(T44&gt;=S44,"Prof. services","Manufacturing"))</f>
        <v>Distribution</v>
      </c>
    </row>
    <row r="45" customFormat="false" ht="15" hidden="false" customHeight="false" outlineLevel="0" collapsed="false">
      <c r="A45" s="46" t="n">
        <v>0.067477</v>
      </c>
      <c r="B45" s="46" t="n">
        <v>0.218134</v>
      </c>
      <c r="C45" s="46" t="n">
        <v>0.275566</v>
      </c>
      <c r="D45" s="46" t="n">
        <v>0.091775</v>
      </c>
      <c r="E45" s="46" t="n">
        <v>0.234543</v>
      </c>
      <c r="F45" s="46" t="n">
        <v>0.112505</v>
      </c>
      <c r="G45" s="47" t="n">
        <f aca="false">A45*Scorecard!$C$12+B45*Scorecard!$C$13+C45*Scorecard!$C$14+D45*Scorecard!$C$15+E45*Scorecard!$C$16+F45*Scorecard!$C$17</f>
        <v>3.96343943771259</v>
      </c>
      <c r="H45" s="47" t="n">
        <f aca="false">A45*Scorecard!$D$12+B45*Scorecard!$D$13+C45*Scorecard!$D$14+D45*Scorecard!$D$15+E45*Scorecard!$D$16+F45*Scorecard!$D$17</f>
        <v>2.73281831688662</v>
      </c>
      <c r="I45" s="47" t="n">
        <f aca="false">A45*Scorecard!$E$12+B45*Scorecard!$E$13+C45*Scorecard!$E$14+D45*Scorecard!$E$15+E45*Scorecard!$E$16+F45*Scorecard!$E$17</f>
        <v>3.61432230654084</v>
      </c>
      <c r="J45" s="0" t="str">
        <f aca="false">IF(AND(G45&gt;=H45,G45&gt;=I45),"Distribution",IF(I45&gt;=H45,"Prof. services","Manufacturing"))</f>
        <v>Distribution</v>
      </c>
      <c r="L45" s="46" t="n">
        <v>0.055162</v>
      </c>
      <c r="M45" s="46" t="n">
        <v>0.252015</v>
      </c>
      <c r="N45" s="46" t="n">
        <v>0.22512</v>
      </c>
      <c r="O45" s="46" t="n">
        <v>0.131476</v>
      </c>
      <c r="P45" s="46" t="n">
        <v>0.247801</v>
      </c>
      <c r="Q45" s="46" t="n">
        <v>0.088427</v>
      </c>
      <c r="R45" s="47" t="n">
        <f aca="false">L45*Scorecard!$C$12+M45*Scorecard!$C$13+N45*Scorecard!$C$14+O45*Scorecard!$C$15+P45*Scorecard!$C$16+Q45*Scorecard!$C$17</f>
        <v>4.10734861333643</v>
      </c>
      <c r="S45" s="47" t="n">
        <f aca="false">L45*Scorecard!$D$12+M45*Scorecard!$D$13+N45*Scorecard!$D$14+O45*Scorecard!$D$15+P45*Scorecard!$D$16+Q45*Scorecard!$D$17</f>
        <v>2.76032705218244</v>
      </c>
      <c r="T45" s="47" t="n">
        <f aca="false">L45*Scorecard!$E$12+M45*Scorecard!$E$13+N45*Scorecard!$E$14+O45*Scorecard!$E$15+P45*Scorecard!$E$16+Q45*Scorecard!$E$17</f>
        <v>3.46039819973386</v>
      </c>
      <c r="U45" s="0" t="str">
        <f aca="false">IF(AND(R45&gt;=S45,R45&gt;=T45),"Distribution",IF(T45&gt;=S45,"Prof. services","Manufacturing"))</f>
        <v>Distribution</v>
      </c>
    </row>
    <row r="46" customFormat="false" ht="15" hidden="false" customHeight="false" outlineLevel="0" collapsed="false">
      <c r="A46" s="46" t="n">
        <v>0.069317</v>
      </c>
      <c r="B46" s="46" t="n">
        <v>0.03363</v>
      </c>
      <c r="C46" s="46" t="n">
        <v>0.190311</v>
      </c>
      <c r="D46" s="46" t="n">
        <v>0.295935</v>
      </c>
      <c r="E46" s="46" t="n">
        <v>0.369059</v>
      </c>
      <c r="F46" s="46" t="n">
        <v>0.041747</v>
      </c>
      <c r="G46" s="47" t="n">
        <f aca="false">A46*Scorecard!$C$12+B46*Scorecard!$C$13+C46*Scorecard!$C$14+D46*Scorecard!$C$15+E46*Scorecard!$C$16+F46*Scorecard!$C$17</f>
        <v>4.12129541147241</v>
      </c>
      <c r="H46" s="47" t="n">
        <f aca="false">A46*Scorecard!$D$12+B46*Scorecard!$D$13+C46*Scorecard!$D$14+D46*Scorecard!$D$15+E46*Scorecard!$D$16+F46*Scorecard!$D$17</f>
        <v>3.3982912909207</v>
      </c>
      <c r="I46" s="47" t="n">
        <f aca="false">A46*Scorecard!$E$12+B46*Scorecard!$E$13+C46*Scorecard!$E$14+D46*Scorecard!$E$15+E46*Scorecard!$E$16+F46*Scorecard!$E$17</f>
        <v>3.65088912624021</v>
      </c>
      <c r="J46" s="0" t="str">
        <f aca="false">IF(AND(G46&gt;=H46,G46&gt;=I46),"Distribution",IF(I46&gt;=H46,"Prof. services","Manufacturing"))</f>
        <v>Distribution</v>
      </c>
      <c r="L46" s="46" t="n">
        <v>0.166709</v>
      </c>
      <c r="M46" s="46" t="n">
        <v>0.201796</v>
      </c>
      <c r="N46" s="46" t="n">
        <v>0.272432</v>
      </c>
      <c r="O46" s="46" t="n">
        <v>0.207773</v>
      </c>
      <c r="P46" s="46" t="n">
        <v>0.101921</v>
      </c>
      <c r="Q46" s="46" t="n">
        <v>0.04937</v>
      </c>
      <c r="R46" s="47" t="n">
        <f aca="false">L46*Scorecard!$C$12+M46*Scorecard!$C$13+N46*Scorecard!$C$14+O46*Scorecard!$C$15+P46*Scorecard!$C$16+Q46*Scorecard!$C$17</f>
        <v>4.01075442256812</v>
      </c>
      <c r="S46" s="47" t="n">
        <f aca="false">L46*Scorecard!$D$12+M46*Scorecard!$D$13+N46*Scorecard!$D$14+O46*Scorecard!$D$15+P46*Scorecard!$D$16+Q46*Scorecard!$D$17</f>
        <v>3.00767151993471</v>
      </c>
      <c r="T46" s="47" t="n">
        <f aca="false">L46*Scorecard!$E$12+M46*Scorecard!$E$13+N46*Scorecard!$E$14+O46*Scorecard!$E$15+P46*Scorecard!$E$16+Q46*Scorecard!$E$17</f>
        <v>3.94957328384783</v>
      </c>
      <c r="U46" s="0" t="str">
        <f aca="false">IF(AND(R46&gt;=S46,R46&gt;=T46),"Distribution",IF(T46&gt;=S46,"Prof. services","Manufacturing"))</f>
        <v>Distribution</v>
      </c>
    </row>
    <row r="47" customFormat="false" ht="15" hidden="false" customHeight="false" outlineLevel="0" collapsed="false">
      <c r="A47" s="46" t="n">
        <v>0.263593</v>
      </c>
      <c r="B47" s="46" t="n">
        <v>0.1319</v>
      </c>
      <c r="C47" s="46" t="n">
        <v>0.439903</v>
      </c>
      <c r="D47" s="46" t="n">
        <v>0.056716</v>
      </c>
      <c r="E47" s="46" t="n">
        <v>0.015147</v>
      </c>
      <c r="F47" s="46" t="n">
        <v>0.092742</v>
      </c>
      <c r="G47" s="47" t="n">
        <f aca="false">A47*Scorecard!$C$12+B47*Scorecard!$C$13+C47*Scorecard!$C$14+D47*Scorecard!$C$15+E47*Scorecard!$C$16+F47*Scorecard!$C$17</f>
        <v>3.5286648409084</v>
      </c>
      <c r="H47" s="47" t="n">
        <f aca="false">A47*Scorecard!$D$12+B47*Scorecard!$D$13+C47*Scorecard!$D$14+D47*Scorecard!$D$15+E47*Scorecard!$D$16+F47*Scorecard!$D$17</f>
        <v>2.90772972040891</v>
      </c>
      <c r="I47" s="47" t="n">
        <f aca="false">A47*Scorecard!$E$12+B47*Scorecard!$E$13+C47*Scorecard!$E$14+D47*Scorecard!$E$15+E47*Scorecard!$E$16+F47*Scorecard!$E$17</f>
        <v>4.48654368090208</v>
      </c>
      <c r="J47" s="0" t="str">
        <f aca="false">IF(AND(G47&gt;=H47,G47&gt;=I47),"Distribution",IF(I47&gt;=H47,"Prof. services","Manufacturing"))</f>
        <v>Prof. services</v>
      </c>
      <c r="L47" s="46" t="n">
        <v>0.360159</v>
      </c>
      <c r="M47" s="46" t="n">
        <v>0.167328</v>
      </c>
      <c r="N47" s="46" t="n">
        <v>0.258621</v>
      </c>
      <c r="O47" s="46" t="n">
        <v>0.060397</v>
      </c>
      <c r="P47" s="46" t="n">
        <v>0.047563</v>
      </c>
      <c r="Q47" s="46" t="n">
        <v>0.105933</v>
      </c>
      <c r="R47" s="47" t="n">
        <f aca="false">L47*Scorecard!$C$12+M47*Scorecard!$C$13+N47*Scorecard!$C$14+O47*Scorecard!$C$15+P47*Scorecard!$C$16+Q47*Scorecard!$C$17</f>
        <v>3.36757166378366</v>
      </c>
      <c r="S47" s="47" t="n">
        <f aca="false">L47*Scorecard!$D$12+M47*Scorecard!$D$13+N47*Scorecard!$D$14+O47*Scorecard!$D$15+P47*Scorecard!$D$16+Q47*Scorecard!$D$17</f>
        <v>2.91361891215887</v>
      </c>
      <c r="T47" s="47" t="n">
        <f aca="false">L47*Scorecard!$E$12+M47*Scorecard!$E$13+N47*Scorecard!$E$14+O47*Scorecard!$E$15+P47*Scorecard!$E$16+Q47*Scorecard!$E$17</f>
        <v>4.28855228876484</v>
      </c>
      <c r="U47" s="0" t="str">
        <f aca="false">IF(AND(R47&gt;=S47,R47&gt;=T47),"Distribution",IF(T47&gt;=S47,"Prof. services","Manufacturing"))</f>
        <v>Prof. services</v>
      </c>
    </row>
    <row r="48" customFormat="false" ht="15" hidden="false" customHeight="false" outlineLevel="0" collapsed="false">
      <c r="A48" s="46" t="n">
        <v>0.01559</v>
      </c>
      <c r="B48" s="46" t="n">
        <v>0.10394</v>
      </c>
      <c r="C48" s="46" t="n">
        <v>0.107642</v>
      </c>
      <c r="D48" s="46" t="n">
        <v>0.025017</v>
      </c>
      <c r="E48" s="46" t="n">
        <v>0.68114</v>
      </c>
      <c r="F48" s="46" t="n">
        <v>0.066671</v>
      </c>
      <c r="G48" s="47" t="n">
        <f aca="false">A48*Scorecard!$C$12+B48*Scorecard!$C$13+C48*Scorecard!$C$14+D48*Scorecard!$C$15+E48*Scorecard!$C$16+F48*Scorecard!$C$17</f>
        <v>3.96755277767149</v>
      </c>
      <c r="H48" s="47" t="n">
        <f aca="false">A48*Scorecard!$D$12+B48*Scorecard!$D$13+C48*Scorecard!$D$14+D48*Scorecard!$D$15+E48*Scorecard!$D$16+F48*Scorecard!$D$17</f>
        <v>3.01028468757315</v>
      </c>
      <c r="I48" s="47" t="n">
        <f aca="false">A48*Scorecard!$E$12+B48*Scorecard!$E$13+C48*Scorecard!$E$14+D48*Scorecard!$E$15+E48*Scorecard!$E$16+F48*Scorecard!$E$17</f>
        <v>2.8304911441579</v>
      </c>
      <c r="J48" s="0" t="str">
        <f aca="false">IF(AND(G48&gt;=H48,G48&gt;=I48),"Distribution",IF(I48&gt;=H48,"Prof. services","Manufacturing"))</f>
        <v>Distribution</v>
      </c>
      <c r="L48" s="46" t="n">
        <v>0.176127</v>
      </c>
      <c r="M48" s="46" t="n">
        <v>0.261561</v>
      </c>
      <c r="N48" s="46" t="n">
        <v>0.140671</v>
      </c>
      <c r="O48" s="46" t="n">
        <v>0.164997</v>
      </c>
      <c r="P48" s="46" t="n">
        <v>0.197605</v>
      </c>
      <c r="Q48" s="46" t="n">
        <v>0.059039</v>
      </c>
      <c r="R48" s="47" t="n">
        <f aca="false">L48*Scorecard!$C$12+M48*Scorecard!$C$13+N48*Scorecard!$C$14+O48*Scorecard!$C$15+P48*Scorecard!$C$16+Q48*Scorecard!$C$17</f>
        <v>3.99144888825831</v>
      </c>
      <c r="S48" s="47" t="n">
        <f aca="false">L48*Scorecard!$D$12+M48*Scorecard!$D$13+N48*Scorecard!$D$14+O48*Scorecard!$D$15+P48*Scorecard!$D$16+Q48*Scorecard!$D$17</f>
        <v>2.89205409372448</v>
      </c>
      <c r="T48" s="47" t="n">
        <f aca="false">L48*Scorecard!$E$12+M48*Scorecard!$E$13+N48*Scorecard!$E$14+O48*Scorecard!$E$15+P48*Scorecard!$E$16+Q48*Scorecard!$E$17</f>
        <v>3.55347298096835</v>
      </c>
      <c r="U48" s="0" t="str">
        <f aca="false">IF(AND(R48&gt;=S48,R48&gt;=T48),"Distribution",IF(T48&gt;=S48,"Prof. services","Manufacturing"))</f>
        <v>Distribution</v>
      </c>
    </row>
    <row r="49" customFormat="false" ht="15" hidden="false" customHeight="false" outlineLevel="0" collapsed="false">
      <c r="A49" s="46" t="n">
        <v>0.563054</v>
      </c>
      <c r="B49" s="46" t="n">
        <v>0.094435</v>
      </c>
      <c r="C49" s="46" t="n">
        <v>0.239364</v>
      </c>
      <c r="D49" s="46" t="n">
        <v>0.042458</v>
      </c>
      <c r="E49" s="46" t="n">
        <v>0.055442</v>
      </c>
      <c r="F49" s="46" t="n">
        <v>0.005246</v>
      </c>
      <c r="G49" s="47" t="n">
        <f aca="false">A49*Scorecard!$C$12+B49*Scorecard!$C$13+C49*Scorecard!$C$14+D49*Scorecard!$C$15+E49*Scorecard!$C$16+F49*Scorecard!$C$17</f>
        <v>3.11289177030436</v>
      </c>
      <c r="H49" s="47" t="n">
        <f aca="false">A49*Scorecard!$D$12+B49*Scorecard!$D$13+C49*Scorecard!$D$14+D49*Scorecard!$D$15+E49*Scorecard!$D$16+F49*Scorecard!$D$17</f>
        <v>3.28993746034135</v>
      </c>
      <c r="I49" s="47" t="n">
        <f aca="false">A49*Scorecard!$E$12+B49*Scorecard!$E$13+C49*Scorecard!$E$14+D49*Scorecard!$E$15+E49*Scorecard!$E$16+F49*Scorecard!$E$17</f>
        <v>4.54248035068186</v>
      </c>
      <c r="J49" s="0" t="str">
        <f aca="false">IF(AND(G49&gt;=H49,G49&gt;=I49),"Distribution",IF(I49&gt;=H49,"Prof. services","Manufacturing"))</f>
        <v>Prof. services</v>
      </c>
      <c r="L49" s="46" t="n">
        <v>0.167336</v>
      </c>
      <c r="M49" s="46" t="n">
        <v>0.117221</v>
      </c>
      <c r="N49" s="46" t="n">
        <v>0.262543</v>
      </c>
      <c r="O49" s="46" t="n">
        <v>0.183467</v>
      </c>
      <c r="P49" s="46" t="n">
        <v>0.189896</v>
      </c>
      <c r="Q49" s="46" t="n">
        <v>0.079537</v>
      </c>
      <c r="R49" s="47" t="n">
        <f aca="false">L49*Scorecard!$C$12+M49*Scorecard!$C$13+N49*Scorecard!$C$14+O49*Scorecard!$C$15+P49*Scorecard!$C$16+Q49*Scorecard!$C$17</f>
        <v>3.84040681362649</v>
      </c>
      <c r="S49" s="47" t="n">
        <f aca="false">L49*Scorecard!$D$12+M49*Scorecard!$D$13+N49*Scorecard!$D$14+O49*Scorecard!$D$15+P49*Scorecard!$D$16+Q49*Scorecard!$D$17</f>
        <v>3.09096680215577</v>
      </c>
      <c r="T49" s="47" t="n">
        <f aca="false">L49*Scorecard!$E$12+M49*Scorecard!$E$13+N49*Scorecard!$E$14+O49*Scorecard!$E$15+P49*Scorecard!$E$16+Q49*Scorecard!$E$17</f>
        <v>3.96340473606115</v>
      </c>
      <c r="U49" s="0" t="str">
        <f aca="false">IF(AND(R49&gt;=S49,R49&gt;=T49),"Distribution",IF(T49&gt;=S49,"Prof. services","Manufacturing"))</f>
        <v>Prof. services</v>
      </c>
    </row>
    <row r="50" customFormat="false" ht="15" hidden="false" customHeight="false" outlineLevel="0" collapsed="false">
      <c r="A50" s="46" t="n">
        <v>0.243089</v>
      </c>
      <c r="B50" s="46" t="n">
        <v>0.053461</v>
      </c>
      <c r="C50" s="46" t="n">
        <v>0.104231</v>
      </c>
      <c r="D50" s="46" t="n">
        <v>0.130764</v>
      </c>
      <c r="E50" s="46" t="n">
        <v>0.027059</v>
      </c>
      <c r="F50" s="46" t="n">
        <v>0.441396</v>
      </c>
      <c r="G50" s="47" t="n">
        <f aca="false">A50*Scorecard!$C$12+B50*Scorecard!$C$13+C50*Scorecard!$C$14+D50*Scorecard!$C$15+E50*Scorecard!$C$16+F50*Scorecard!$C$17</f>
        <v>2.86386933331531</v>
      </c>
      <c r="H50" s="47" t="n">
        <f aca="false">A50*Scorecard!$D$12+B50*Scorecard!$D$13+C50*Scorecard!$D$14+D50*Scorecard!$D$15+E50*Scorecard!$D$16+F50*Scorecard!$D$17</f>
        <v>2.57863059951841</v>
      </c>
      <c r="I50" s="47" t="n">
        <f aca="false">A50*Scorecard!$E$12+B50*Scorecard!$E$13+C50*Scorecard!$E$14+D50*Scorecard!$E$15+E50*Scorecard!$E$16+F50*Scorecard!$E$17</f>
        <v>4.44410859472696</v>
      </c>
      <c r="J50" s="0" t="str">
        <f aca="false">IF(AND(G50&gt;=H50,G50&gt;=I50),"Distribution",IF(I50&gt;=H50,"Prof. services","Manufacturing"))</f>
        <v>Prof. services</v>
      </c>
      <c r="L50" s="46" t="n">
        <v>0.225949</v>
      </c>
      <c r="M50" s="46" t="n">
        <v>0.048256</v>
      </c>
      <c r="N50" s="46" t="n">
        <v>0.171295</v>
      </c>
      <c r="O50" s="46" t="n">
        <v>0.267839</v>
      </c>
      <c r="P50" s="46" t="n">
        <v>0.134469</v>
      </c>
      <c r="Q50" s="46" t="n">
        <v>0.152193</v>
      </c>
      <c r="R50" s="47" t="n">
        <f aca="false">L50*Scorecard!$C$12+M50*Scorecard!$C$13+N50*Scorecard!$C$14+O50*Scorecard!$C$15+P50*Scorecard!$C$16+Q50*Scorecard!$C$17</f>
        <v>3.60500157774831</v>
      </c>
      <c r="S50" s="47" t="n">
        <f aca="false">L50*Scorecard!$D$12+M50*Scorecard!$D$13+N50*Scorecard!$D$14+O50*Scorecard!$D$15+P50*Scorecard!$D$16+Q50*Scorecard!$D$17</f>
        <v>3.2034160022267</v>
      </c>
      <c r="T50" s="47" t="n">
        <f aca="false">L50*Scorecard!$E$12+M50*Scorecard!$E$13+N50*Scorecard!$E$14+O50*Scorecard!$E$15+P50*Scorecard!$E$16+Q50*Scorecard!$E$17</f>
        <v>4.20267627449007</v>
      </c>
      <c r="U50" s="0" t="str">
        <f aca="false">IF(AND(R50&gt;=S50,R50&gt;=T50),"Distribution",IF(T50&gt;=S50,"Prof. services","Manufacturing"))</f>
        <v>Prof. services</v>
      </c>
    </row>
    <row r="51" customFormat="false" ht="15" hidden="false" customHeight="false" outlineLevel="0" collapsed="false">
      <c r="A51" s="46" t="n">
        <v>0.325439</v>
      </c>
      <c r="B51" s="46" t="n">
        <v>0.044874</v>
      </c>
      <c r="C51" s="46" t="n">
        <v>0.064323</v>
      </c>
      <c r="D51" s="46" t="n">
        <v>0.295487</v>
      </c>
      <c r="E51" s="46" t="n">
        <v>0.075603</v>
      </c>
      <c r="F51" s="46" t="n">
        <v>0.194275</v>
      </c>
      <c r="G51" s="47" t="n">
        <f aca="false">A51*Scorecard!$C$12+B51*Scorecard!$C$13+C51*Scorecard!$C$14+D51*Scorecard!$C$15+E51*Scorecard!$C$16+F51*Scorecard!$C$17</f>
        <v>3.36602015892451</v>
      </c>
      <c r="H51" s="47" t="n">
        <f aca="false">A51*Scorecard!$D$12+B51*Scorecard!$D$13+C51*Scorecard!$D$14+D51*Scorecard!$D$15+E51*Scorecard!$D$16+F51*Scorecard!$D$17</f>
        <v>3.2234718800278</v>
      </c>
      <c r="I51" s="47" t="n">
        <f aca="false">A51*Scorecard!$E$12+B51*Scorecard!$E$13+C51*Scorecard!$E$14+D51*Scorecard!$E$15+E51*Scorecard!$E$16+F51*Scorecard!$E$17</f>
        <v>4.32522583189372</v>
      </c>
      <c r="J51" s="0" t="str">
        <f aca="false">IF(AND(G51&gt;=H51,G51&gt;=I51),"Distribution",IF(I51&gt;=H51,"Prof. services","Manufacturing"))</f>
        <v>Prof. services</v>
      </c>
      <c r="L51" s="46" t="n">
        <v>0.172421</v>
      </c>
      <c r="M51" s="46" t="n">
        <v>0.315177</v>
      </c>
      <c r="N51" s="46" t="n">
        <v>0.133815</v>
      </c>
      <c r="O51" s="46" t="n">
        <v>0.171023</v>
      </c>
      <c r="P51" s="46" t="n">
        <v>0.102309</v>
      </c>
      <c r="Q51" s="46" t="n">
        <v>0.105255</v>
      </c>
      <c r="R51" s="47" t="n">
        <f aca="false">L51*Scorecard!$C$12+M51*Scorecard!$C$13+N51*Scorecard!$C$14+O51*Scorecard!$C$15+P51*Scorecard!$C$16+Q51*Scorecard!$C$17</f>
        <v>3.96532974110946</v>
      </c>
      <c r="S51" s="47" t="n">
        <f aca="false">L51*Scorecard!$D$12+M51*Scorecard!$D$13+N51*Scorecard!$D$14+O51*Scorecard!$D$15+P51*Scorecard!$D$16+Q51*Scorecard!$D$17</f>
        <v>2.71501498789137</v>
      </c>
      <c r="T51" s="47" t="n">
        <f aca="false">L51*Scorecard!$E$12+M51*Scorecard!$E$13+N51*Scorecard!$E$14+O51*Scorecard!$E$15+P51*Scorecard!$E$16+Q51*Scorecard!$E$17</f>
        <v>3.62527307455977</v>
      </c>
      <c r="U51" s="0" t="str">
        <f aca="false">IF(AND(R51&gt;=S51,R51&gt;=T51),"Distribution",IF(T51&gt;=S51,"Prof. services","Manufacturing"))</f>
        <v>Distribution</v>
      </c>
    </row>
    <row r="52" customFormat="false" ht="15" hidden="false" customHeight="false" outlineLevel="0" collapsed="false">
      <c r="A52" s="46" t="n">
        <v>0.197775</v>
      </c>
      <c r="B52" s="46" t="n">
        <v>0.011041</v>
      </c>
      <c r="C52" s="46" t="n">
        <v>0.095489</v>
      </c>
      <c r="D52" s="46" t="n">
        <v>0.417691</v>
      </c>
      <c r="E52" s="46" t="n">
        <v>0.019828</v>
      </c>
      <c r="F52" s="46" t="n">
        <v>0.258177</v>
      </c>
      <c r="G52" s="47" t="n">
        <f aca="false">A52*Scorecard!$C$12+B52*Scorecard!$C$13+C52*Scorecard!$C$14+D52*Scorecard!$C$15+E52*Scorecard!$C$16+F52*Scorecard!$C$17</f>
        <v>3.55638417953685</v>
      </c>
      <c r="H52" s="47" t="n">
        <f aca="false">A52*Scorecard!$D$12+B52*Scorecard!$D$13+C52*Scorecard!$D$14+D52*Scorecard!$D$15+E52*Scorecard!$D$16+F52*Scorecard!$D$17</f>
        <v>3.21695066214903</v>
      </c>
      <c r="I52" s="47" t="n">
        <f aca="false">A52*Scorecard!$E$12+B52*Scorecard!$E$13+C52*Scorecard!$E$14+D52*Scorecard!$E$15+E52*Scorecard!$E$16+F52*Scorecard!$E$17</f>
        <v>4.43714884810362</v>
      </c>
      <c r="J52" s="0" t="str">
        <f aca="false">IF(AND(G52&gt;=H52,G52&gt;=I52),"Distribution",IF(I52&gt;=H52,"Prof. services","Manufacturing"))</f>
        <v>Prof. services</v>
      </c>
      <c r="L52" s="46" t="n">
        <v>0.162868</v>
      </c>
      <c r="M52" s="46" t="n">
        <v>0.204859</v>
      </c>
      <c r="N52" s="46" t="n">
        <v>0.172712</v>
      </c>
      <c r="O52" s="46" t="n">
        <v>0.206053</v>
      </c>
      <c r="P52" s="46" t="n">
        <v>0.188981</v>
      </c>
      <c r="Q52" s="46" t="n">
        <v>0.064528</v>
      </c>
      <c r="R52" s="47" t="n">
        <f aca="false">L52*Scorecard!$C$12+M52*Scorecard!$C$13+N52*Scorecard!$C$14+O52*Scorecard!$C$15+P52*Scorecard!$C$16+Q52*Scorecard!$C$17</f>
        <v>3.9886952773445</v>
      </c>
      <c r="S52" s="47" t="n">
        <f aca="false">L52*Scorecard!$D$12+M52*Scorecard!$D$13+N52*Scorecard!$D$14+O52*Scorecard!$D$15+P52*Scorecard!$D$16+Q52*Scorecard!$D$17</f>
        <v>3.00482863903883</v>
      </c>
      <c r="T52" s="47" t="n">
        <f aca="false">L52*Scorecard!$E$12+M52*Scorecard!$E$13+N52*Scorecard!$E$14+O52*Scorecard!$E$15+P52*Scorecard!$E$16+Q52*Scorecard!$E$17</f>
        <v>3.70246408957706</v>
      </c>
      <c r="U52" s="0" t="str">
        <f aca="false">IF(AND(R52&gt;=S52,R52&gt;=T52),"Distribution",IF(T52&gt;=S52,"Prof. services","Manufacturing"))</f>
        <v>Distribution</v>
      </c>
    </row>
    <row r="53" customFormat="false" ht="15" hidden="false" customHeight="false" outlineLevel="0" collapsed="false">
      <c r="A53" s="46" t="n">
        <v>0.007673</v>
      </c>
      <c r="B53" s="46" t="n">
        <v>0.407173</v>
      </c>
      <c r="C53" s="46" t="n">
        <v>0.038647</v>
      </c>
      <c r="D53" s="46" t="n">
        <v>0.037262</v>
      </c>
      <c r="E53" s="46" t="n">
        <v>0.165737</v>
      </c>
      <c r="F53" s="46" t="n">
        <v>0.343508</v>
      </c>
      <c r="G53" s="47" t="n">
        <f aca="false">A53*Scorecard!$C$12+B53*Scorecard!$C$13+C53*Scorecard!$C$14+D53*Scorecard!$C$15+E53*Scorecard!$C$16+F53*Scorecard!$C$17</f>
        <v>3.74360749057559</v>
      </c>
      <c r="H53" s="47" t="n">
        <f aca="false">A53*Scorecard!$D$12+B53*Scorecard!$D$13+C53*Scorecard!$D$14+D53*Scorecard!$D$15+E53*Scorecard!$D$16+F53*Scorecard!$D$17</f>
        <v>1.97702059626006</v>
      </c>
      <c r="I53" s="47" t="n">
        <f aca="false">A53*Scorecard!$E$12+B53*Scorecard!$E$13+C53*Scorecard!$E$14+D53*Scorecard!$E$15+E53*Scorecard!$E$16+F53*Scorecard!$E$17</f>
        <v>3.18427213811132</v>
      </c>
      <c r="J53" s="0" t="str">
        <f aca="false">IF(AND(G53&gt;=H53,G53&gt;=I53),"Distribution",IF(I53&gt;=H53,"Prof. services","Manufacturing"))</f>
        <v>Distribution</v>
      </c>
      <c r="L53" s="46" t="n">
        <v>0.180524</v>
      </c>
      <c r="M53" s="46" t="n">
        <v>0.165017</v>
      </c>
      <c r="N53" s="46" t="n">
        <v>0.15145</v>
      </c>
      <c r="O53" s="46" t="n">
        <v>0.250951</v>
      </c>
      <c r="P53" s="46" t="n">
        <v>0.110784</v>
      </c>
      <c r="Q53" s="46" t="n">
        <v>0.141274</v>
      </c>
      <c r="R53" s="47" t="n">
        <f aca="false">L53*Scorecard!$C$12+M53*Scorecard!$C$13+N53*Scorecard!$C$14+O53*Scorecard!$C$15+P53*Scorecard!$C$16+Q53*Scorecard!$C$17</f>
        <v>3.80847422555283</v>
      </c>
      <c r="S53" s="47" t="n">
        <f aca="false">L53*Scorecard!$D$12+M53*Scorecard!$D$13+N53*Scorecard!$D$14+O53*Scorecard!$D$15+P53*Scorecard!$D$16+Q53*Scorecard!$D$17</f>
        <v>2.98708232207461</v>
      </c>
      <c r="T53" s="47" t="n">
        <f aca="false">L53*Scorecard!$E$12+M53*Scorecard!$E$13+N53*Scorecard!$E$14+O53*Scorecard!$E$15+P53*Scorecard!$E$16+Q53*Scorecard!$E$17</f>
        <v>3.9496508038852</v>
      </c>
      <c r="U53" s="0" t="str">
        <f aca="false">IF(AND(R53&gt;=S53,R53&gt;=T53),"Distribution",IF(T53&gt;=S53,"Prof. services","Manufacturing"))</f>
        <v>Prof. services</v>
      </c>
    </row>
    <row r="54" customFormat="false" ht="15" hidden="false" customHeight="false" outlineLevel="0" collapsed="false">
      <c r="A54" s="46" t="n">
        <v>0.364225</v>
      </c>
      <c r="B54" s="46" t="n">
        <v>0.157873</v>
      </c>
      <c r="C54" s="46" t="n">
        <v>0.197394</v>
      </c>
      <c r="D54" s="46" t="n">
        <v>0.125324</v>
      </c>
      <c r="E54" s="46" t="n">
        <v>0.021999</v>
      </c>
      <c r="F54" s="46" t="n">
        <v>0.133185</v>
      </c>
      <c r="G54" s="47" t="n">
        <f aca="false">A54*Scorecard!$C$12+B54*Scorecard!$C$13+C54*Scorecard!$C$14+D54*Scorecard!$C$15+E54*Scorecard!$C$16+F54*Scorecard!$C$17</f>
        <v>3.36121680579856</v>
      </c>
      <c r="H54" s="47" t="n">
        <f aca="false">A54*Scorecard!$D$12+B54*Scorecard!$D$13+C54*Scorecard!$D$14+D54*Scorecard!$D$15+E54*Scorecard!$D$16+F54*Scorecard!$D$17</f>
        <v>2.95625651414747</v>
      </c>
      <c r="I54" s="47" t="n">
        <f aca="false">A54*Scorecard!$E$12+B54*Scorecard!$E$13+C54*Scorecard!$E$14+D54*Scorecard!$E$15+E54*Scorecard!$E$16+F54*Scorecard!$E$17</f>
        <v>4.31600882217748</v>
      </c>
      <c r="J54" s="0" t="str">
        <f aca="false">IF(AND(G54&gt;=H54,G54&gt;=I54),"Distribution",IF(I54&gt;=H54,"Prof. services","Manufacturing"))</f>
        <v>Prof. services</v>
      </c>
      <c r="L54" s="46" t="n">
        <v>0.154728</v>
      </c>
      <c r="M54" s="46" t="n">
        <v>0.280171</v>
      </c>
      <c r="N54" s="46" t="n">
        <v>0.382138</v>
      </c>
      <c r="O54" s="46" t="n">
        <v>0.023537</v>
      </c>
      <c r="P54" s="46" t="n">
        <v>0.093113</v>
      </c>
      <c r="Q54" s="46" t="n">
        <v>0.066312</v>
      </c>
      <c r="R54" s="47" t="n">
        <f aca="false">L54*Scorecard!$C$12+M54*Scorecard!$C$13+N54*Scorecard!$C$14+O54*Scorecard!$C$15+P54*Scorecard!$C$16+Q54*Scorecard!$C$17</f>
        <v>3.89256739342879</v>
      </c>
      <c r="S54" s="47" t="n">
        <f aca="false">L54*Scorecard!$D$12+M54*Scorecard!$D$13+N54*Scorecard!$D$14+O54*Scorecard!$D$15+P54*Scorecard!$D$16+Q54*Scorecard!$D$17</f>
        <v>2.64048226913933</v>
      </c>
      <c r="T54" s="47" t="n">
        <f aca="false">L54*Scorecard!$E$12+M54*Scorecard!$E$13+N54*Scorecard!$E$14+O54*Scorecard!$E$15+P54*Scorecard!$E$16+Q54*Scorecard!$E$17</f>
        <v>3.8932070934445</v>
      </c>
      <c r="U54" s="0" t="str">
        <f aca="false">IF(AND(R54&gt;=S54,R54&gt;=T54),"Distribution",IF(T54&gt;=S54,"Prof. services","Manufacturing"))</f>
        <v>Prof. services</v>
      </c>
    </row>
    <row r="55" customFormat="false" ht="15" hidden="false" customHeight="false" outlineLevel="0" collapsed="false">
      <c r="A55" s="46" t="n">
        <v>0.042864</v>
      </c>
      <c r="B55" s="46" t="n">
        <v>0.25407</v>
      </c>
      <c r="C55" s="46" t="n">
        <v>0.197073</v>
      </c>
      <c r="D55" s="46" t="n">
        <v>0.091842</v>
      </c>
      <c r="E55" s="46" t="n">
        <v>0.182403</v>
      </c>
      <c r="F55" s="46" t="n">
        <v>0.231748</v>
      </c>
      <c r="G55" s="47" t="n">
        <f aca="false">A55*Scorecard!$C$12+B55*Scorecard!$C$13+C55*Scorecard!$C$14+D55*Scorecard!$C$15+E55*Scorecard!$C$16+F55*Scorecard!$C$17</f>
        <v>3.80526018871783</v>
      </c>
      <c r="H55" s="47" t="n">
        <f aca="false">A55*Scorecard!$D$12+B55*Scorecard!$D$13+C55*Scorecard!$D$14+D55*Scorecard!$D$15+E55*Scorecard!$D$16+F55*Scorecard!$D$17</f>
        <v>2.46645327689178</v>
      </c>
      <c r="I55" s="47" t="n">
        <f aca="false">A55*Scorecard!$E$12+B55*Scorecard!$E$13+C55*Scorecard!$E$14+D55*Scorecard!$E$15+E55*Scorecard!$E$16+F55*Scorecard!$E$17</f>
        <v>3.59034768813675</v>
      </c>
      <c r="J55" s="0" t="str">
        <f aca="false">IF(AND(G55&gt;=H55,G55&gt;=I55),"Distribution",IF(I55&gt;=H55,"Prof. services","Manufacturing"))</f>
        <v>Distribution</v>
      </c>
      <c r="L55" s="46" t="n">
        <v>0.173063</v>
      </c>
      <c r="M55" s="46" t="n">
        <v>0.168697</v>
      </c>
      <c r="N55" s="46" t="n">
        <v>0.105387</v>
      </c>
      <c r="O55" s="46" t="n">
        <v>0.310756</v>
      </c>
      <c r="P55" s="46" t="n">
        <v>0.124684</v>
      </c>
      <c r="Q55" s="46" t="n">
        <v>0.117413</v>
      </c>
      <c r="R55" s="47" t="n">
        <f aca="false">L55*Scorecard!$C$12+M55*Scorecard!$C$13+N55*Scorecard!$C$14+O55*Scorecard!$C$15+P55*Scorecard!$C$16+Q55*Scorecard!$C$17</f>
        <v>3.93311113195392</v>
      </c>
      <c r="S55" s="47" t="n">
        <f aca="false">L55*Scorecard!$D$12+M55*Scorecard!$D$13+N55*Scorecard!$D$14+O55*Scorecard!$D$15+P55*Scorecard!$D$16+Q55*Scorecard!$D$17</f>
        <v>3.08628784230303</v>
      </c>
      <c r="T55" s="47" t="n">
        <f aca="false">L55*Scorecard!$E$12+M55*Scorecard!$E$13+N55*Scorecard!$E$14+O55*Scorecard!$E$15+P55*Scorecard!$E$16+Q55*Scorecard!$E$17</f>
        <v>3.86394208891414</v>
      </c>
      <c r="U55" s="0" t="str">
        <f aca="false">IF(AND(R55&gt;=S55,R55&gt;=T55),"Distribution",IF(T55&gt;=S55,"Prof. services","Manufacturing"))</f>
        <v>Distribution</v>
      </c>
    </row>
    <row r="56" customFormat="false" ht="15" hidden="false" customHeight="false" outlineLevel="0" collapsed="false">
      <c r="A56" s="46" t="n">
        <v>0.092662</v>
      </c>
      <c r="B56" s="46" t="n">
        <v>0.167189</v>
      </c>
      <c r="C56" s="46" t="n">
        <v>0.169047</v>
      </c>
      <c r="D56" s="46" t="n">
        <v>0.044958</v>
      </c>
      <c r="E56" s="46" t="n">
        <v>0.115828</v>
      </c>
      <c r="F56" s="46" t="n">
        <v>0.410316</v>
      </c>
      <c r="G56" s="47" t="n">
        <f aca="false">A56*Scorecard!$C$12+B56*Scorecard!$C$13+C56*Scorecard!$C$14+D56*Scorecard!$C$15+E56*Scorecard!$C$16+F56*Scorecard!$C$17</f>
        <v>3.22472207855009</v>
      </c>
      <c r="H56" s="47" t="n">
        <f aca="false">A56*Scorecard!$D$12+B56*Scorecard!$D$13+C56*Scorecard!$D$14+D56*Scorecard!$D$15+E56*Scorecard!$D$16+F56*Scorecard!$D$17</f>
        <v>2.28543733817789</v>
      </c>
      <c r="I56" s="47" t="n">
        <f aca="false">A56*Scorecard!$E$12+B56*Scorecard!$E$13+C56*Scorecard!$E$14+D56*Scorecard!$E$15+E56*Scorecard!$E$16+F56*Scorecard!$E$17</f>
        <v>3.96762079719602</v>
      </c>
      <c r="J56" s="0" t="str">
        <f aca="false">IF(AND(G56&gt;=H56,G56&gt;=I56),"Distribution",IF(I56&gt;=H56,"Prof. services","Manufacturing"))</f>
        <v>Prof. services</v>
      </c>
      <c r="L56" s="46" t="n">
        <v>0.22697</v>
      </c>
      <c r="M56" s="46" t="n">
        <v>0.09409</v>
      </c>
      <c r="N56" s="46" t="n">
        <v>0.16009</v>
      </c>
      <c r="O56" s="46" t="n">
        <v>0.192447</v>
      </c>
      <c r="P56" s="46" t="n">
        <v>0.254105</v>
      </c>
      <c r="Q56" s="46" t="n">
        <v>0.072298</v>
      </c>
      <c r="R56" s="47" t="n">
        <f aca="false">L56*Scorecard!$C$12+M56*Scorecard!$C$13+N56*Scorecard!$C$14+O56*Scorecard!$C$15+P56*Scorecard!$C$16+Q56*Scorecard!$C$17</f>
        <v>3.73339176318787</v>
      </c>
      <c r="S56" s="47" t="n">
        <f aca="false">L56*Scorecard!$D$12+M56*Scorecard!$D$13+N56*Scorecard!$D$14+O56*Scorecard!$D$15+P56*Scorecard!$D$16+Q56*Scorecard!$D$17</f>
        <v>3.20773477976909</v>
      </c>
      <c r="T56" s="47" t="n">
        <f aca="false">L56*Scorecard!$E$12+M56*Scorecard!$E$13+N56*Scorecard!$E$14+O56*Scorecard!$E$15+P56*Scorecard!$E$16+Q56*Scorecard!$E$17</f>
        <v>3.85480916151472</v>
      </c>
      <c r="U56" s="0" t="str">
        <f aca="false">IF(AND(R56&gt;=S56,R56&gt;=T56),"Distribution",IF(T56&gt;=S56,"Prof. services","Manufacturing"))</f>
        <v>Prof. services</v>
      </c>
    </row>
    <row r="57" customFormat="false" ht="15" hidden="false" customHeight="false" outlineLevel="0" collapsed="false">
      <c r="A57" s="46" t="n">
        <v>0.275388</v>
      </c>
      <c r="B57" s="46" t="n">
        <v>0.132251</v>
      </c>
      <c r="C57" s="46" t="n">
        <v>0.138245</v>
      </c>
      <c r="D57" s="46" t="n">
        <v>0.091679</v>
      </c>
      <c r="E57" s="46" t="n">
        <v>0.268826</v>
      </c>
      <c r="F57" s="46" t="n">
        <v>0.093611</v>
      </c>
      <c r="G57" s="47" t="n">
        <f aca="false">A57*Scorecard!$C$12+B57*Scorecard!$C$13+C57*Scorecard!$C$14+D57*Scorecard!$C$15+E57*Scorecard!$C$16+F57*Scorecard!$C$17</f>
        <v>3.54100567270027</v>
      </c>
      <c r="H57" s="47" t="n">
        <f aca="false">A57*Scorecard!$D$12+B57*Scorecard!$D$13+C57*Scorecard!$D$14+D57*Scorecard!$D$15+E57*Scorecard!$D$16+F57*Scorecard!$D$17</f>
        <v>3.03872182008279</v>
      </c>
      <c r="I57" s="47" t="n">
        <f aca="false">A57*Scorecard!$E$12+B57*Scorecard!$E$13+C57*Scorecard!$E$14+D57*Scorecard!$E$15+E57*Scorecard!$E$16+F57*Scorecard!$E$17</f>
        <v>3.77939230321033</v>
      </c>
      <c r="J57" s="0" t="str">
        <f aca="false">IF(AND(G57&gt;=H57,G57&gt;=I57),"Distribution",IF(I57&gt;=H57,"Prof. services","Manufacturing"))</f>
        <v>Prof. services</v>
      </c>
      <c r="L57" s="46" t="n">
        <v>0.159655</v>
      </c>
      <c r="M57" s="46" t="n">
        <v>0.226816</v>
      </c>
      <c r="N57" s="46" t="n">
        <v>0.248888</v>
      </c>
      <c r="O57" s="46" t="n">
        <v>0.1759</v>
      </c>
      <c r="P57" s="46" t="n">
        <v>0.137259</v>
      </c>
      <c r="Q57" s="46" t="n">
        <v>0.051481</v>
      </c>
      <c r="R57" s="47" t="n">
        <f aca="false">L57*Scorecard!$C$12+M57*Scorecard!$C$13+N57*Scorecard!$C$14+O57*Scorecard!$C$15+P57*Scorecard!$C$16+Q57*Scorecard!$C$17</f>
        <v>4.01236872316499</v>
      </c>
      <c r="S57" s="47" t="n">
        <f aca="false">L57*Scorecard!$D$12+M57*Scorecard!$D$13+N57*Scorecard!$D$14+O57*Scorecard!$D$15+P57*Scorecard!$D$16+Q57*Scorecard!$D$17</f>
        <v>2.93716627274289</v>
      </c>
      <c r="T57" s="47" t="n">
        <f aca="false">L57*Scorecard!$E$12+M57*Scorecard!$E$13+N57*Scorecard!$E$14+O57*Scorecard!$E$15+P57*Scorecard!$E$16+Q57*Scorecard!$E$17</f>
        <v>3.80896823078478</v>
      </c>
      <c r="U57" s="0" t="str">
        <f aca="false">IF(AND(R57&gt;=S57,R57&gt;=T57),"Distribution",IF(T57&gt;=S57,"Prof. services","Manufacturing"))</f>
        <v>Distribution</v>
      </c>
    </row>
    <row r="58" customFormat="false" ht="15" hidden="false" customHeight="false" outlineLevel="0" collapsed="false">
      <c r="A58" s="46" t="n">
        <v>0.11727</v>
      </c>
      <c r="B58" s="46" t="n">
        <v>0.078343</v>
      </c>
      <c r="C58" s="46" t="n">
        <v>0.073468</v>
      </c>
      <c r="D58" s="46" t="n">
        <v>0.351657</v>
      </c>
      <c r="E58" s="46" t="n">
        <v>0.262508</v>
      </c>
      <c r="F58" s="46" t="n">
        <v>0.116753</v>
      </c>
      <c r="G58" s="47" t="n">
        <f aca="false">A58*Scorecard!$C$12+B58*Scorecard!$C$13+C58*Scorecard!$C$14+D58*Scorecard!$C$15+E58*Scorecard!$C$16+F58*Scorecard!$C$17</f>
        <v>3.98540232761617</v>
      </c>
      <c r="H58" s="47" t="n">
        <f aca="false">A58*Scorecard!$D$12+B58*Scorecard!$D$13+C58*Scorecard!$D$14+D58*Scorecard!$D$15+E58*Scorecard!$D$16+F58*Scorecard!$D$17</f>
        <v>3.27933237908643</v>
      </c>
      <c r="I58" s="47" t="n">
        <f aca="false">A58*Scorecard!$E$12+B58*Scorecard!$E$13+C58*Scorecard!$E$14+D58*Scorecard!$E$15+E58*Scorecard!$E$16+F58*Scorecard!$E$17</f>
        <v>3.72236853228603</v>
      </c>
      <c r="J58" s="0" t="str">
        <f aca="false">IF(AND(G58&gt;=H58,G58&gt;=I58),"Distribution",IF(I58&gt;=H58,"Prof. services","Manufacturing"))</f>
        <v>Distribution</v>
      </c>
      <c r="L58" s="46" t="n">
        <v>0.12346</v>
      </c>
      <c r="M58" s="46" t="n">
        <v>0.1581</v>
      </c>
      <c r="N58" s="46" t="n">
        <v>0.269243</v>
      </c>
      <c r="O58" s="46" t="n">
        <v>0.245191</v>
      </c>
      <c r="P58" s="46" t="n">
        <v>0.157277</v>
      </c>
      <c r="Q58" s="46" t="n">
        <v>0.046728</v>
      </c>
      <c r="R58" s="47" t="n">
        <f aca="false">L58*Scorecard!$C$12+M58*Scorecard!$C$13+N58*Scorecard!$C$14+O58*Scorecard!$C$15+P58*Scorecard!$C$16+Q58*Scorecard!$C$17</f>
        <v>4.08760123934077</v>
      </c>
      <c r="S58" s="47" t="n">
        <f aca="false">L58*Scorecard!$D$12+M58*Scorecard!$D$13+N58*Scorecard!$D$14+O58*Scorecard!$D$15+P58*Scorecard!$D$16+Q58*Scorecard!$D$17</f>
        <v>3.110416835021</v>
      </c>
      <c r="T58" s="47" t="n">
        <f aca="false">L58*Scorecard!$E$12+M58*Scorecard!$E$13+N58*Scorecard!$E$14+O58*Scorecard!$E$15+P58*Scorecard!$E$16+Q58*Scorecard!$E$17</f>
        <v>3.89764263448471</v>
      </c>
      <c r="U58" s="0" t="str">
        <f aca="false">IF(AND(R58&gt;=S58,R58&gt;=T58),"Distribution",IF(T58&gt;=S58,"Prof. services","Manufacturing"))</f>
        <v>Distribution</v>
      </c>
    </row>
    <row r="59" customFormat="false" ht="15" hidden="false" customHeight="false" outlineLevel="0" collapsed="false">
      <c r="A59" s="46" t="n">
        <v>0.273176</v>
      </c>
      <c r="B59" s="46" t="n">
        <v>0.033885</v>
      </c>
      <c r="C59" s="46" t="n">
        <v>0.106143</v>
      </c>
      <c r="D59" s="46" t="n">
        <v>0.298318</v>
      </c>
      <c r="E59" s="46" t="n">
        <v>0.23427</v>
      </c>
      <c r="F59" s="46" t="n">
        <v>0.054208</v>
      </c>
      <c r="G59" s="47" t="n">
        <f aca="false">A59*Scorecard!$C$12+B59*Scorecard!$C$13+C59*Scorecard!$C$14+D59*Scorecard!$C$15+E59*Scorecard!$C$16+F59*Scorecard!$C$17</f>
        <v>3.73206630424553</v>
      </c>
      <c r="H59" s="47" t="n">
        <f aca="false">A59*Scorecard!$D$12+B59*Scorecard!$D$13+C59*Scorecard!$D$14+D59*Scorecard!$D$15+E59*Scorecard!$D$16+F59*Scorecard!$D$17</f>
        <v>3.47170789786944</v>
      </c>
      <c r="I59" s="47" t="n">
        <f aca="false">A59*Scorecard!$E$12+B59*Scorecard!$E$13+C59*Scorecard!$E$14+D59*Scorecard!$E$15+E59*Scorecard!$E$16+F59*Scorecard!$E$17</f>
        <v>4.00137575949034</v>
      </c>
      <c r="J59" s="0" t="str">
        <f aca="false">IF(AND(G59&gt;=H59,G59&gt;=I59),"Distribution",IF(I59&gt;=H59,"Prof. services","Manufacturing"))</f>
        <v>Prof. services</v>
      </c>
      <c r="L59" s="46" t="n">
        <v>0.155267</v>
      </c>
      <c r="M59" s="46" t="n">
        <v>0.073708</v>
      </c>
      <c r="N59" s="46" t="n">
        <v>0.334407</v>
      </c>
      <c r="O59" s="46" t="n">
        <v>0.102108</v>
      </c>
      <c r="P59" s="46" t="n">
        <v>0.171497</v>
      </c>
      <c r="Q59" s="46" t="n">
        <v>0.163012</v>
      </c>
      <c r="R59" s="47" t="n">
        <f aca="false">L59*Scorecard!$C$12+M59*Scorecard!$C$13+N59*Scorecard!$C$14+O59*Scorecard!$C$15+P59*Scorecard!$C$16+Q59*Scorecard!$C$17</f>
        <v>3.57030518574213</v>
      </c>
      <c r="S59" s="47" t="n">
        <f aca="false">L59*Scorecard!$D$12+M59*Scorecard!$D$13+N59*Scorecard!$D$14+O59*Scorecard!$D$15+P59*Scorecard!$D$16+Q59*Scorecard!$D$17</f>
        <v>2.92277470700614</v>
      </c>
      <c r="T59" s="47" t="n">
        <f aca="false">L59*Scorecard!$E$12+M59*Scorecard!$E$13+N59*Scorecard!$E$14+O59*Scorecard!$E$15+P59*Scorecard!$E$16+Q59*Scorecard!$E$17</f>
        <v>4.16385883034523</v>
      </c>
      <c r="U59" s="0" t="str">
        <f aca="false">IF(AND(R59&gt;=S59,R59&gt;=T59),"Distribution",IF(T59&gt;=S59,"Prof. services","Manufacturing"))</f>
        <v>Prof. services</v>
      </c>
    </row>
    <row r="60" customFormat="false" ht="15" hidden="false" customHeight="false" outlineLevel="0" collapsed="false">
      <c r="A60" s="46" t="n">
        <v>0.45026</v>
      </c>
      <c r="B60" s="46" t="n">
        <v>0.005564</v>
      </c>
      <c r="C60" s="46" t="n">
        <v>0.161406</v>
      </c>
      <c r="D60" s="46" t="n">
        <v>0.013979</v>
      </c>
      <c r="E60" s="46" t="n">
        <v>0.356239</v>
      </c>
      <c r="F60" s="46" t="n">
        <v>0.012552</v>
      </c>
      <c r="G60" s="47" t="n">
        <f aca="false">A60*Scorecard!$C$12+B60*Scorecard!$C$13+C60*Scorecard!$C$14+D60*Scorecard!$C$15+E60*Scorecard!$C$16+F60*Scorecard!$C$17</f>
        <v>3.1839645788561</v>
      </c>
      <c r="H60" s="47" t="n">
        <f aca="false">A60*Scorecard!$D$12+B60*Scorecard!$D$13+C60*Scorecard!$D$14+D60*Scorecard!$D$15+E60*Scorecard!$D$16+F60*Scorecard!$D$17</f>
        <v>3.40516824260867</v>
      </c>
      <c r="I60" s="47" t="n">
        <f aca="false">A60*Scorecard!$E$12+B60*Scorecard!$E$13+C60*Scorecard!$E$14+D60*Scorecard!$E$15+E60*Scorecard!$E$16+F60*Scorecard!$E$17</f>
        <v>4.01606866153141</v>
      </c>
      <c r="J60" s="0" t="str">
        <f aca="false">IF(AND(G60&gt;=H60,G60&gt;=I60),"Distribution",IF(I60&gt;=H60,"Prof. services","Manufacturing"))</f>
        <v>Prof. services</v>
      </c>
      <c r="L60" s="46" t="n">
        <v>0.276903</v>
      </c>
      <c r="M60" s="46" t="n">
        <v>0.200674</v>
      </c>
      <c r="N60" s="46" t="n">
        <v>0.121079</v>
      </c>
      <c r="O60" s="46" t="n">
        <v>0.135622</v>
      </c>
      <c r="P60" s="46" t="n">
        <v>0.221138</v>
      </c>
      <c r="Q60" s="46" t="n">
        <v>0.044584</v>
      </c>
      <c r="R60" s="47" t="n">
        <f aca="false">L60*Scorecard!$C$12+M60*Scorecard!$C$13+N60*Scorecard!$C$14+O60*Scorecard!$C$15+P60*Scorecard!$C$16+Q60*Scorecard!$C$17</f>
        <v>3.7486986510949</v>
      </c>
      <c r="S60" s="47" t="n">
        <f aca="false">L60*Scorecard!$D$12+M60*Scorecard!$D$13+N60*Scorecard!$D$14+O60*Scorecard!$D$15+P60*Scorecard!$D$16+Q60*Scorecard!$D$17</f>
        <v>3.0455342181665</v>
      </c>
      <c r="T60" s="47" t="n">
        <f aca="false">L60*Scorecard!$E$12+M60*Scorecard!$E$13+N60*Scorecard!$E$14+O60*Scorecard!$E$15+P60*Scorecard!$E$16+Q60*Scorecard!$E$17</f>
        <v>3.69758597401215</v>
      </c>
      <c r="U60" s="0" t="str">
        <f aca="false">IF(AND(R60&gt;=S60,R60&gt;=T60),"Distribution",IF(T60&gt;=S60,"Prof. services","Manufacturing"))</f>
        <v>Distribution</v>
      </c>
    </row>
    <row r="61" customFormat="false" ht="15" hidden="false" customHeight="false" outlineLevel="0" collapsed="false">
      <c r="A61" s="46" t="n">
        <v>0.17231</v>
      </c>
      <c r="B61" s="46" t="n">
        <v>0.020108</v>
      </c>
      <c r="C61" s="46" t="n">
        <v>0.504222</v>
      </c>
      <c r="D61" s="46" t="n">
        <v>0.064196</v>
      </c>
      <c r="E61" s="46" t="n">
        <v>0.130403</v>
      </c>
      <c r="F61" s="46" t="n">
        <v>0.10876</v>
      </c>
      <c r="G61" s="47" t="n">
        <f aca="false">A61*Scorecard!$C$12+B61*Scorecard!$C$13+C61*Scorecard!$C$14+D61*Scorecard!$C$15+E61*Scorecard!$C$16+F61*Scorecard!$C$17</f>
        <v>3.55661954269243</v>
      </c>
      <c r="H61" s="47" t="n">
        <f aca="false">A61*Scorecard!$D$12+B61*Scorecard!$D$13+C61*Scorecard!$D$14+D61*Scorecard!$D$15+E61*Scorecard!$D$16+F61*Scorecard!$D$17</f>
        <v>3.03827765957323</v>
      </c>
      <c r="I61" s="47" t="n">
        <f aca="false">A61*Scorecard!$E$12+B61*Scorecard!$E$13+C61*Scorecard!$E$14+D61*Scorecard!$E$15+E61*Scorecard!$E$16+F61*Scorecard!$E$17</f>
        <v>4.48639057440877</v>
      </c>
      <c r="J61" s="0" t="str">
        <f aca="false">IF(AND(G61&gt;=H61,G61&gt;=I61),"Distribution",IF(I61&gt;=H61,"Prof. services","Manufacturing"))</f>
        <v>Prof. services</v>
      </c>
      <c r="L61" s="46" t="n">
        <v>0.116512</v>
      </c>
      <c r="M61" s="46" t="n">
        <v>0.156034</v>
      </c>
      <c r="N61" s="46" t="n">
        <v>0.272881</v>
      </c>
      <c r="O61" s="46" t="n">
        <v>0.139001</v>
      </c>
      <c r="P61" s="46" t="n">
        <v>0.160954</v>
      </c>
      <c r="Q61" s="46" t="n">
        <v>0.154617</v>
      </c>
      <c r="R61" s="47" t="n">
        <f aca="false">L61*Scorecard!$C$12+M61*Scorecard!$C$13+N61*Scorecard!$C$14+O61*Scorecard!$C$15+P61*Scorecard!$C$16+Q61*Scorecard!$C$17</f>
        <v>3.77607373842598</v>
      </c>
      <c r="S61" s="47" t="n">
        <f aca="false">L61*Scorecard!$D$12+M61*Scorecard!$D$13+N61*Scorecard!$D$14+O61*Scorecard!$D$15+P61*Scorecard!$D$16+Q61*Scorecard!$D$17</f>
        <v>2.82539066005217</v>
      </c>
      <c r="T61" s="47" t="n">
        <f aca="false">L61*Scorecard!$E$12+M61*Scorecard!$E$13+N61*Scorecard!$E$14+O61*Scorecard!$E$15+P61*Scorecard!$E$16+Q61*Scorecard!$E$17</f>
        <v>3.92859689696078</v>
      </c>
      <c r="U61" s="0" t="str">
        <f aca="false">IF(AND(R61&gt;=S61,R61&gt;=T61),"Distribution",IF(T61&gt;=S61,"Prof. services","Manufacturing"))</f>
        <v>Prof. services</v>
      </c>
    </row>
    <row r="62" customFormat="false" ht="15" hidden="false" customHeight="false" outlineLevel="0" collapsed="false">
      <c r="A62" s="46" t="n">
        <v>0.06083</v>
      </c>
      <c r="B62" s="46" t="n">
        <v>0.130945</v>
      </c>
      <c r="C62" s="46" t="n">
        <v>0.067198</v>
      </c>
      <c r="D62" s="46" t="n">
        <v>0.248864</v>
      </c>
      <c r="E62" s="46" t="n">
        <v>0.005543</v>
      </c>
      <c r="F62" s="46" t="n">
        <v>0.486619</v>
      </c>
      <c r="G62" s="47" t="n">
        <f aca="false">A62*Scorecard!$C$12+B62*Scorecard!$C$13+C62*Scorecard!$C$14+D62*Scorecard!$C$15+E62*Scorecard!$C$16+F62*Scorecard!$C$17</f>
        <v>3.29707213250526</v>
      </c>
      <c r="H62" s="47" t="n">
        <f aca="false">A62*Scorecard!$D$12+B62*Scorecard!$D$13+C62*Scorecard!$D$14+D62*Scorecard!$D$15+E62*Scorecard!$D$16+F62*Scorecard!$D$17</f>
        <v>2.40364387306013</v>
      </c>
      <c r="I62" s="47" t="n">
        <f aca="false">A62*Scorecard!$E$12+B62*Scorecard!$E$13+C62*Scorecard!$E$14+D62*Scorecard!$E$15+E62*Scorecard!$E$16+F62*Scorecard!$E$17</f>
        <v>4.15733749106742</v>
      </c>
      <c r="J62" s="0" t="str">
        <f aca="false">IF(AND(G62&gt;=H62,G62&gt;=I62),"Distribution",IF(I62&gt;=H62,"Prof. services","Manufacturing"))</f>
        <v>Prof. services</v>
      </c>
      <c r="L62" s="46" t="n">
        <v>0.126475</v>
      </c>
      <c r="M62" s="46" t="n">
        <v>0.175683</v>
      </c>
      <c r="N62" s="46" t="n">
        <v>0.148219</v>
      </c>
      <c r="O62" s="46" t="n">
        <v>0.280503</v>
      </c>
      <c r="P62" s="46" t="n">
        <v>0.198866</v>
      </c>
      <c r="Q62" s="46" t="n">
        <v>0.070254</v>
      </c>
      <c r="R62" s="47" t="n">
        <f aca="false">L62*Scorecard!$C$12+M62*Scorecard!$C$13+N62*Scorecard!$C$14+O62*Scorecard!$C$15+P62*Scorecard!$C$16+Q62*Scorecard!$C$17</f>
        <v>4.08802119634395</v>
      </c>
      <c r="S62" s="47" t="n">
        <f aca="false">L62*Scorecard!$D$12+M62*Scorecard!$D$13+N62*Scorecard!$D$14+O62*Scorecard!$D$15+P62*Scorecard!$D$16+Q62*Scorecard!$D$17</f>
        <v>3.10547189754732</v>
      </c>
      <c r="T62" s="47" t="n">
        <f aca="false">L62*Scorecard!$E$12+M62*Scorecard!$E$13+N62*Scorecard!$E$14+O62*Scorecard!$E$15+P62*Scorecard!$E$16+Q62*Scorecard!$E$17</f>
        <v>3.69490224013838</v>
      </c>
      <c r="U62" s="0" t="str">
        <f aca="false">IF(AND(R62&gt;=S62,R62&gt;=T62),"Distribution",IF(T62&gt;=S62,"Prof. services","Manufacturing"))</f>
        <v>Distribution</v>
      </c>
    </row>
    <row r="63" customFormat="false" ht="15" hidden="false" customHeight="false" outlineLevel="0" collapsed="false">
      <c r="A63" s="46" t="n">
        <v>0.137137</v>
      </c>
      <c r="B63" s="46" t="n">
        <v>0.048842</v>
      </c>
      <c r="C63" s="46" t="n">
        <v>0.097167</v>
      </c>
      <c r="D63" s="46" t="n">
        <v>0.205918</v>
      </c>
      <c r="E63" s="46" t="n">
        <v>0.165128</v>
      </c>
      <c r="F63" s="46" t="n">
        <v>0.345807</v>
      </c>
      <c r="G63" s="47" t="n">
        <f aca="false">A63*Scorecard!$C$12+B63*Scorecard!$C$13+C63*Scorecard!$C$14+D63*Scorecard!$C$15+E63*Scorecard!$C$16+F63*Scorecard!$C$17</f>
        <v>3.31629344429349</v>
      </c>
      <c r="H63" s="47" t="n">
        <f aca="false">A63*Scorecard!$D$12+B63*Scorecard!$D$13+C63*Scorecard!$D$14+D63*Scorecard!$D$15+E63*Scorecard!$D$16+F63*Scorecard!$D$17</f>
        <v>2.7919820993553</v>
      </c>
      <c r="I63" s="47" t="n">
        <f aca="false">A63*Scorecard!$E$12+B63*Scorecard!$E$13+C63*Scorecard!$E$14+D63*Scorecard!$E$15+E63*Scorecard!$E$16+F63*Scorecard!$E$17</f>
        <v>4.07417597572006</v>
      </c>
      <c r="J63" s="0" t="str">
        <f aca="false">IF(AND(G63&gt;=H63,G63&gt;=I63),"Distribution",IF(I63&gt;=H63,"Prof. services","Manufacturing"))</f>
        <v>Prof. services</v>
      </c>
      <c r="L63" s="46" t="n">
        <v>0.128083</v>
      </c>
      <c r="M63" s="46" t="n">
        <v>0.299948</v>
      </c>
      <c r="N63" s="46" t="n">
        <v>0.289704</v>
      </c>
      <c r="O63" s="46" t="n">
        <v>0.139956</v>
      </c>
      <c r="P63" s="46" t="n">
        <v>0.111294</v>
      </c>
      <c r="Q63" s="46" t="n">
        <v>0.031015</v>
      </c>
      <c r="R63" s="47" t="n">
        <f aca="false">L63*Scorecard!$C$12+M63*Scorecard!$C$13+N63*Scorecard!$C$14+O63*Scorecard!$C$15+P63*Scorecard!$C$16+Q63*Scorecard!$C$17</f>
        <v>4.14732277341231</v>
      </c>
      <c r="S63" s="47" t="n">
        <f aca="false">L63*Scorecard!$D$12+M63*Scorecard!$D$13+N63*Scorecard!$D$14+O63*Scorecard!$D$15+P63*Scorecard!$D$16+Q63*Scorecard!$D$17</f>
        <v>2.78697688477872</v>
      </c>
      <c r="T63" s="47" t="n">
        <f aca="false">L63*Scorecard!$E$12+M63*Scorecard!$E$13+N63*Scorecard!$E$14+O63*Scorecard!$E$15+P63*Scorecard!$E$16+Q63*Scorecard!$E$17</f>
        <v>3.70819398387512</v>
      </c>
      <c r="U63" s="0" t="str">
        <f aca="false">IF(AND(R63&gt;=S63,R63&gt;=T63),"Distribution",IF(T63&gt;=S63,"Prof. services","Manufacturing"))</f>
        <v>Distribution</v>
      </c>
    </row>
    <row r="64" customFormat="false" ht="15" hidden="false" customHeight="false" outlineLevel="0" collapsed="false">
      <c r="A64" s="46" t="n">
        <v>0.371447</v>
      </c>
      <c r="B64" s="46" t="n">
        <v>0.154333</v>
      </c>
      <c r="C64" s="46" t="n">
        <v>0.256961</v>
      </c>
      <c r="D64" s="46" t="n">
        <v>0.109713</v>
      </c>
      <c r="E64" s="46" t="n">
        <v>0.018773</v>
      </c>
      <c r="F64" s="46" t="n">
        <v>0.088773</v>
      </c>
      <c r="G64" s="47" t="n">
        <f aca="false">A64*Scorecard!$C$12+B64*Scorecard!$C$13+C64*Scorecard!$C$14+D64*Scorecard!$C$15+E64*Scorecard!$C$16+F64*Scorecard!$C$17</f>
        <v>3.41789010280585</v>
      </c>
      <c r="H64" s="47" t="n">
        <f aca="false">A64*Scorecard!$D$12+B64*Scorecard!$D$13+C64*Scorecard!$D$14+D64*Scorecard!$D$15+E64*Scorecard!$D$16+F64*Scorecard!$D$17</f>
        <v>3.01381127673285</v>
      </c>
      <c r="I64" s="47" t="n">
        <f aca="false">A64*Scorecard!$E$12+B64*Scorecard!$E$13+C64*Scorecard!$E$14+D64*Scorecard!$E$15+E64*Scorecard!$E$16+F64*Scorecard!$E$17</f>
        <v>4.37004614353052</v>
      </c>
      <c r="J64" s="0" t="str">
        <f aca="false">IF(AND(G64&gt;=H64,G64&gt;=I64),"Distribution",IF(I64&gt;=H64,"Prof. services","Manufacturing"))</f>
        <v>Prof. services</v>
      </c>
      <c r="L64" s="46" t="n">
        <v>0.1788</v>
      </c>
      <c r="M64" s="46" t="n">
        <v>0.142485</v>
      </c>
      <c r="N64" s="46" t="n">
        <v>0.394766</v>
      </c>
      <c r="O64" s="46" t="n">
        <v>0.098949</v>
      </c>
      <c r="P64" s="46" t="n">
        <v>0.153894</v>
      </c>
      <c r="Q64" s="46" t="n">
        <v>0.031106</v>
      </c>
      <c r="R64" s="47" t="n">
        <f aca="false">L64*Scorecard!$C$12+M64*Scorecard!$C$13+N64*Scorecard!$C$14+O64*Scorecard!$C$15+P64*Scorecard!$C$16+Q64*Scorecard!$C$17</f>
        <v>3.85737945013874</v>
      </c>
      <c r="S64" s="47" t="n">
        <f aca="false">L64*Scorecard!$D$12+M64*Scorecard!$D$13+N64*Scorecard!$D$14+O64*Scorecard!$D$15+P64*Scorecard!$D$16+Q64*Scorecard!$D$17</f>
        <v>3.0234223379779</v>
      </c>
      <c r="T64" s="47" t="n">
        <f aca="false">L64*Scorecard!$E$12+M64*Scorecard!$E$13+N64*Scorecard!$E$14+O64*Scorecard!$E$15+P64*Scorecard!$E$16+Q64*Scorecard!$E$17</f>
        <v>4.08162445523091</v>
      </c>
      <c r="U64" s="0" t="str">
        <f aca="false">IF(AND(R64&gt;=S64,R64&gt;=T64),"Distribution",IF(T64&gt;=S64,"Prof. services","Manufacturing"))</f>
        <v>Prof. services</v>
      </c>
    </row>
    <row r="65" customFormat="false" ht="15" hidden="false" customHeight="false" outlineLevel="0" collapsed="false">
      <c r="A65" s="46" t="n">
        <v>0.047609</v>
      </c>
      <c r="B65" s="46" t="n">
        <v>0.319302</v>
      </c>
      <c r="C65" s="46" t="n">
        <v>0.037066</v>
      </c>
      <c r="D65" s="46" t="n">
        <v>0.206313</v>
      </c>
      <c r="E65" s="46" t="n">
        <v>0.368034</v>
      </c>
      <c r="F65" s="46" t="n">
        <v>0.021676</v>
      </c>
      <c r="G65" s="47" t="n">
        <f aca="false">A65*Scorecard!$C$12+B65*Scorecard!$C$13+C65*Scorecard!$C$14+D65*Scorecard!$C$15+E65*Scorecard!$C$16+F65*Scorecard!$C$17</f>
        <v>4.39656612104953</v>
      </c>
      <c r="H65" s="47" t="n">
        <f aca="false">A65*Scorecard!$D$12+B65*Scorecard!$D$13+C65*Scorecard!$D$14+D65*Scorecard!$D$15+E65*Scorecard!$D$16+F65*Scorecard!$D$17</f>
        <v>2.88117556298319</v>
      </c>
      <c r="I65" s="47" t="n">
        <f aca="false">A65*Scorecard!$E$12+B65*Scorecard!$E$13+C65*Scorecard!$E$14+D65*Scorecard!$E$15+E65*Scorecard!$E$16+F65*Scorecard!$E$17</f>
        <v>2.91710222688384</v>
      </c>
      <c r="J65" s="0" t="str">
        <f aca="false">IF(AND(G65&gt;=H65,G65&gt;=I65),"Distribution",IF(I65&gt;=H65,"Prof. services","Manufacturing"))</f>
        <v>Distribution</v>
      </c>
      <c r="L65" s="46" t="n">
        <v>0.111408</v>
      </c>
      <c r="M65" s="46" t="n">
        <v>0.297069</v>
      </c>
      <c r="N65" s="46" t="n">
        <v>0.255269</v>
      </c>
      <c r="O65" s="46" t="n">
        <v>0.167464</v>
      </c>
      <c r="P65" s="46" t="n">
        <v>0.13608</v>
      </c>
      <c r="Q65" s="46" t="n">
        <v>0.03271</v>
      </c>
      <c r="R65" s="47" t="n">
        <f aca="false">L65*Scorecard!$C$12+M65*Scorecard!$C$13+N65*Scorecard!$C$14+O65*Scorecard!$C$15+P65*Scorecard!$C$16+Q65*Scorecard!$C$17</f>
        <v>4.19857701121397</v>
      </c>
      <c r="S65" s="47" t="n">
        <f aca="false">L65*Scorecard!$D$12+M65*Scorecard!$D$13+N65*Scorecard!$D$14+O65*Scorecard!$D$15+P65*Scorecard!$D$16+Q65*Scorecard!$D$17</f>
        <v>2.81784750760987</v>
      </c>
      <c r="T65" s="47" t="n">
        <f aca="false">L65*Scorecard!$E$12+M65*Scorecard!$E$13+N65*Scorecard!$E$14+O65*Scorecard!$E$15+P65*Scorecard!$E$16+Q65*Scorecard!$E$17</f>
        <v>3.62653564531101</v>
      </c>
      <c r="U65" s="0" t="str">
        <f aca="false">IF(AND(R65&gt;=S65,R65&gt;=T65),"Distribution",IF(T65&gt;=S65,"Prof. services","Manufacturing"))</f>
        <v>Distribution</v>
      </c>
    </row>
    <row r="66" customFormat="false" ht="15" hidden="false" customHeight="false" outlineLevel="0" collapsed="false">
      <c r="A66" s="46" t="n">
        <v>0.174645</v>
      </c>
      <c r="B66" s="46" t="n">
        <v>0.47985</v>
      </c>
      <c r="C66" s="46" t="n">
        <v>0.094923</v>
      </c>
      <c r="D66" s="46" t="n">
        <v>0.090538</v>
      </c>
      <c r="E66" s="46" t="n">
        <v>0.122158</v>
      </c>
      <c r="F66" s="46" t="n">
        <v>0.037886</v>
      </c>
      <c r="G66" s="47" t="n">
        <f aca="false">A66*Scorecard!$C$12+B66*Scorecard!$C$13+C66*Scorecard!$C$14+D66*Scorecard!$C$15+E66*Scorecard!$C$16+F66*Scorecard!$C$17</f>
        <v>4.18025250939307</v>
      </c>
      <c r="H66" s="47" t="n">
        <f aca="false">A66*Scorecard!$D$12+B66*Scorecard!$D$13+C66*Scorecard!$D$14+D66*Scorecard!$D$15+E66*Scorecard!$D$16+F66*Scorecard!$D$17</f>
        <v>2.48380662893069</v>
      </c>
      <c r="I66" s="47" t="n">
        <f aca="false">A66*Scorecard!$E$12+B66*Scorecard!$E$13+C66*Scorecard!$E$14+D66*Scorecard!$E$15+E66*Scorecard!$E$16+F66*Scorecard!$E$17</f>
        <v>3.19977186720594</v>
      </c>
      <c r="J66" s="0" t="str">
        <f aca="false">IF(AND(G66&gt;=H66,G66&gt;=I66),"Distribution",IF(I66&gt;=H66,"Prof. services","Manufacturing"))</f>
        <v>Distribution</v>
      </c>
      <c r="L66" s="46" t="n">
        <v>0.137613</v>
      </c>
      <c r="M66" s="46" t="n">
        <v>0.16073</v>
      </c>
      <c r="N66" s="46" t="n">
        <v>0.221702</v>
      </c>
      <c r="O66" s="46" t="n">
        <v>0.203705</v>
      </c>
      <c r="P66" s="46" t="n">
        <v>0.178254</v>
      </c>
      <c r="Q66" s="46" t="n">
        <v>0.097995</v>
      </c>
      <c r="R66" s="47" t="n">
        <f aca="false">L66*Scorecard!$C$12+M66*Scorecard!$C$13+N66*Scorecard!$C$14+O66*Scorecard!$C$15+P66*Scorecard!$C$16+Q66*Scorecard!$C$17</f>
        <v>3.92073563750527</v>
      </c>
      <c r="S66" s="47" t="n">
        <f aca="false">L66*Scorecard!$D$12+M66*Scorecard!$D$13+N66*Scorecard!$D$14+O66*Scorecard!$D$15+P66*Scorecard!$D$16+Q66*Scorecard!$D$17</f>
        <v>2.99788388188343</v>
      </c>
      <c r="T66" s="47" t="n">
        <f aca="false">L66*Scorecard!$E$12+M66*Scorecard!$E$13+N66*Scorecard!$E$14+O66*Scorecard!$E$15+P66*Scorecard!$E$16+Q66*Scorecard!$E$17</f>
        <v>3.84318539452607</v>
      </c>
      <c r="U66" s="0" t="str">
        <f aca="false">IF(AND(R66&gt;=S66,R66&gt;=T66),"Distribution",IF(T66&gt;=S66,"Prof. services","Manufacturing"))</f>
        <v>Distribution</v>
      </c>
    </row>
    <row r="67" customFormat="false" ht="15" hidden="false" customHeight="false" outlineLevel="0" collapsed="false">
      <c r="A67" s="46" t="n">
        <v>0.022668</v>
      </c>
      <c r="B67" s="46" t="n">
        <v>0.391089</v>
      </c>
      <c r="C67" s="46" t="n">
        <v>0.302215</v>
      </c>
      <c r="D67" s="46" t="n">
        <v>0.074119</v>
      </c>
      <c r="E67" s="46" t="n">
        <v>0.040718</v>
      </c>
      <c r="F67" s="46" t="n">
        <v>0.169191</v>
      </c>
      <c r="G67" s="47" t="n">
        <f aca="false">A67*Scorecard!$C$12+B67*Scorecard!$C$13+C67*Scorecard!$C$14+D67*Scorecard!$C$15+E67*Scorecard!$C$16+F67*Scorecard!$C$17</f>
        <v>4.08602327673236</v>
      </c>
      <c r="H67" s="47" t="n">
        <f aca="false">A67*Scorecard!$D$12+B67*Scorecard!$D$13+C67*Scorecard!$D$14+D67*Scorecard!$D$15+E67*Scorecard!$D$16+F67*Scorecard!$D$17</f>
        <v>2.27353732658062</v>
      </c>
      <c r="I67" s="47" t="n">
        <f aca="false">A67*Scorecard!$E$12+B67*Scorecard!$E$13+C67*Scorecard!$E$14+D67*Scorecard!$E$15+E67*Scorecard!$E$16+F67*Scorecard!$E$17</f>
        <v>3.62025719977583</v>
      </c>
      <c r="J67" s="0" t="str">
        <f aca="false">IF(AND(G67&gt;=H67,G67&gt;=I67),"Distribution",IF(I67&gt;=H67,"Prof. services","Manufacturing"))</f>
        <v>Distribution</v>
      </c>
      <c r="L67" s="46" t="n">
        <v>0.172635</v>
      </c>
      <c r="M67" s="46" t="n">
        <v>0.187259</v>
      </c>
      <c r="N67" s="46" t="n">
        <v>0.133528</v>
      </c>
      <c r="O67" s="46" t="n">
        <v>0.13265</v>
      </c>
      <c r="P67" s="46" t="n">
        <v>0.116632</v>
      </c>
      <c r="Q67" s="46" t="n">
        <v>0.257295</v>
      </c>
      <c r="R67" s="47" t="n">
        <f aca="false">L67*Scorecard!$C$12+M67*Scorecard!$C$13+N67*Scorecard!$C$14+O67*Scorecard!$C$15+P67*Scorecard!$C$16+Q67*Scorecard!$C$17</f>
        <v>3.49456953805762</v>
      </c>
      <c r="S67" s="47" t="n">
        <f aca="false">L67*Scorecard!$D$12+M67*Scorecard!$D$13+N67*Scorecard!$D$14+O67*Scorecard!$D$15+P67*Scorecard!$D$16+Q67*Scorecard!$D$17</f>
        <v>2.63945068806272</v>
      </c>
      <c r="T67" s="47" t="n">
        <f aca="false">L67*Scorecard!$E$12+M67*Scorecard!$E$13+N67*Scorecard!$E$14+O67*Scorecard!$E$15+P67*Scorecard!$E$16+Q67*Scorecard!$E$17</f>
        <v>3.91096841183093</v>
      </c>
      <c r="U67" s="0" t="str">
        <f aca="false">IF(AND(R67&gt;=S67,R67&gt;=T67),"Distribution",IF(T67&gt;=S67,"Prof. services","Manufacturing"))</f>
        <v>Prof. services</v>
      </c>
    </row>
    <row r="68" customFormat="false" ht="15" hidden="false" customHeight="false" outlineLevel="0" collapsed="false">
      <c r="A68" s="46" t="n">
        <v>0.457199</v>
      </c>
      <c r="B68" s="46" t="n">
        <v>0.2279</v>
      </c>
      <c r="C68" s="46" t="n">
        <v>0.051114</v>
      </c>
      <c r="D68" s="46" t="n">
        <v>0.069638</v>
      </c>
      <c r="E68" s="46" t="n">
        <v>0.115198</v>
      </c>
      <c r="F68" s="46" t="n">
        <v>0.078952</v>
      </c>
      <c r="G68" s="47" t="n">
        <f aca="false">A68*Scorecard!$C$12+B68*Scorecard!$C$13+C68*Scorecard!$C$14+D68*Scorecard!$C$15+E68*Scorecard!$C$16+F68*Scorecard!$C$17</f>
        <v>3.31667327989923</v>
      </c>
      <c r="H68" s="47" t="n">
        <f aca="false">A68*Scorecard!$D$12+B68*Scorecard!$D$13+C68*Scorecard!$D$14+D68*Scorecard!$D$15+E68*Scorecard!$D$16+F68*Scorecard!$D$17</f>
        <v>2.96051416140176</v>
      </c>
      <c r="I68" s="47" t="n">
        <f aca="false">A68*Scorecard!$E$12+B68*Scorecard!$E$13+C68*Scorecard!$E$14+D68*Scorecard!$E$15+E68*Scorecard!$E$16+F68*Scorecard!$E$17</f>
        <v>3.93977824324217</v>
      </c>
      <c r="J68" s="0" t="str">
        <f aca="false">IF(AND(G68&gt;=H68,G68&gt;=I68),"Distribution",IF(I68&gt;=H68,"Prof. services","Manufacturing"))</f>
        <v>Prof. services</v>
      </c>
      <c r="L68" s="46" t="n">
        <v>0.237806</v>
      </c>
      <c r="M68" s="46" t="n">
        <v>0.080255</v>
      </c>
      <c r="N68" s="46" t="n">
        <v>0.178799</v>
      </c>
      <c r="O68" s="46" t="n">
        <v>0.138819</v>
      </c>
      <c r="P68" s="46" t="n">
        <v>0.237808</v>
      </c>
      <c r="Q68" s="46" t="n">
        <v>0.126514</v>
      </c>
      <c r="R68" s="47" t="n">
        <f aca="false">L68*Scorecard!$C$12+M68*Scorecard!$C$13+N68*Scorecard!$C$14+O68*Scorecard!$C$15+P68*Scorecard!$C$16+Q68*Scorecard!$C$17</f>
        <v>3.53799580865601</v>
      </c>
      <c r="S68" s="47" t="n">
        <f aca="false">L68*Scorecard!$D$12+M68*Scorecard!$D$13+N68*Scorecard!$D$14+O68*Scorecard!$D$15+P68*Scorecard!$D$16+Q68*Scorecard!$D$17</f>
        <v>3.08682353752873</v>
      </c>
      <c r="T68" s="47" t="n">
        <f aca="false">L68*Scorecard!$E$12+M68*Scorecard!$E$13+N68*Scorecard!$E$14+O68*Scorecard!$E$15+P68*Scorecard!$E$16+Q68*Scorecard!$E$17</f>
        <v>3.95577567699045</v>
      </c>
      <c r="U68" s="0" t="str">
        <f aca="false">IF(AND(R68&gt;=S68,R68&gt;=T68),"Distribution",IF(T68&gt;=S68,"Prof. services","Manufacturing"))</f>
        <v>Prof. services</v>
      </c>
    </row>
    <row r="69" customFormat="false" ht="15" hidden="false" customHeight="false" outlineLevel="0" collapsed="false">
      <c r="A69" s="46" t="n">
        <v>0.049085</v>
      </c>
      <c r="B69" s="46" t="n">
        <v>0.048643</v>
      </c>
      <c r="C69" s="46" t="n">
        <v>0.164051</v>
      </c>
      <c r="D69" s="46" t="n">
        <v>0.529066</v>
      </c>
      <c r="E69" s="46" t="n">
        <v>0.029032</v>
      </c>
      <c r="F69" s="46" t="n">
        <v>0.180123</v>
      </c>
      <c r="G69" s="47" t="n">
        <f aca="false">A69*Scorecard!$C$12+B69*Scorecard!$C$13+C69*Scorecard!$C$14+D69*Scorecard!$C$15+E69*Scorecard!$C$16+F69*Scorecard!$C$17</f>
        <v>4.12910930000034</v>
      </c>
      <c r="H69" s="47" t="n">
        <f aca="false">A69*Scorecard!$D$12+B69*Scorecard!$D$13+C69*Scorecard!$D$14+D69*Scorecard!$D$15+E69*Scorecard!$D$16+F69*Scorecard!$D$17</f>
        <v>3.31137123196921</v>
      </c>
      <c r="I69" s="47" t="n">
        <f aca="false">A69*Scorecard!$E$12+B69*Scorecard!$E$13+C69*Scorecard!$E$14+D69*Scorecard!$E$15+E69*Scorecard!$E$16+F69*Scorecard!$E$17</f>
        <v>4.25040178519393</v>
      </c>
      <c r="J69" s="0" t="str">
        <f aca="false">IF(AND(G69&gt;=H69,G69&gt;=I69),"Distribution",IF(I69&gt;=H69,"Prof. services","Manufacturing"))</f>
        <v>Prof. services</v>
      </c>
      <c r="L69" s="46" t="n">
        <v>0.168364</v>
      </c>
      <c r="M69" s="46" t="n">
        <v>0.248316</v>
      </c>
      <c r="N69" s="46" t="n">
        <v>0.284081</v>
      </c>
      <c r="O69" s="46" t="n">
        <v>0.151347</v>
      </c>
      <c r="P69" s="46" t="n">
        <v>0.091021</v>
      </c>
      <c r="Q69" s="46" t="n">
        <v>0.05687</v>
      </c>
      <c r="R69" s="47" t="n">
        <f aca="false">L69*Scorecard!$C$12+M69*Scorecard!$C$13+N69*Scorecard!$C$14+O69*Scorecard!$C$15+P69*Scorecard!$C$16+Q69*Scorecard!$C$17</f>
        <v>3.98286139896621</v>
      </c>
      <c r="S69" s="47" t="n">
        <f aca="false">L69*Scorecard!$D$12+M69*Scorecard!$D$13+N69*Scorecard!$D$14+O69*Scorecard!$D$15+P69*Scorecard!$D$16+Q69*Scorecard!$D$17</f>
        <v>2.85872772082862</v>
      </c>
      <c r="T69" s="47" t="n">
        <f aca="false">L69*Scorecard!$E$12+M69*Scorecard!$E$13+N69*Scorecard!$E$14+O69*Scorecard!$E$15+P69*Scorecard!$E$16+Q69*Scorecard!$E$17</f>
        <v>3.88827353292923</v>
      </c>
      <c r="U69" s="0" t="str">
        <f aca="false">IF(AND(R69&gt;=S69,R69&gt;=T69),"Distribution",IF(T69&gt;=S69,"Prof. services","Manufacturing"))</f>
        <v>Distribution</v>
      </c>
    </row>
    <row r="70" customFormat="false" ht="15" hidden="false" customHeight="false" outlineLevel="0" collapsed="false">
      <c r="A70" s="46" t="n">
        <v>0.272699</v>
      </c>
      <c r="B70" s="46" t="n">
        <v>0.001323</v>
      </c>
      <c r="C70" s="46" t="n">
        <v>0.057005</v>
      </c>
      <c r="D70" s="46" t="n">
        <v>0.140048</v>
      </c>
      <c r="E70" s="46" t="n">
        <v>0.236203</v>
      </c>
      <c r="F70" s="46" t="n">
        <v>0.292721</v>
      </c>
      <c r="G70" s="47" t="n">
        <f aca="false">A70*Scorecard!$C$12+B70*Scorecard!$C$13+C70*Scorecard!$C$14+D70*Scorecard!$C$15+E70*Scorecard!$C$16+F70*Scorecard!$C$17</f>
        <v>3.06506291104801</v>
      </c>
      <c r="H70" s="47" t="n">
        <f aca="false">A70*Scorecard!$D$12+B70*Scorecard!$D$13+C70*Scorecard!$D$14+D70*Scorecard!$D$15+E70*Scorecard!$D$16+F70*Scorecard!$D$17</f>
        <v>2.97992040696258</v>
      </c>
      <c r="I70" s="47" t="n">
        <f aca="false">A70*Scorecard!$E$12+B70*Scorecard!$E$13+C70*Scorecard!$E$14+D70*Scorecard!$E$15+E70*Scorecard!$E$16+F70*Scorecard!$E$17</f>
        <v>4.10289074410038</v>
      </c>
      <c r="J70" s="0" t="str">
        <f aca="false">IF(AND(G70&gt;=H70,G70&gt;=I70),"Distribution",IF(I70&gt;=H70,"Prof. services","Manufacturing"))</f>
        <v>Prof. services</v>
      </c>
      <c r="L70" s="46" t="n">
        <v>0.043987</v>
      </c>
      <c r="M70" s="46" t="n">
        <v>0.380404</v>
      </c>
      <c r="N70" s="46" t="n">
        <v>0.207421</v>
      </c>
      <c r="O70" s="46" t="n">
        <v>0.172143</v>
      </c>
      <c r="P70" s="46" t="n">
        <v>0.140329</v>
      </c>
      <c r="Q70" s="46" t="n">
        <v>0.055717</v>
      </c>
      <c r="R70" s="47" t="n">
        <f aca="false">L70*Scorecard!$C$12+M70*Scorecard!$C$13+N70*Scorecard!$C$14+O70*Scorecard!$C$15+P70*Scorecard!$C$16+Q70*Scorecard!$C$17</f>
        <v>4.36193977270276</v>
      </c>
      <c r="S70" s="47" t="n">
        <f aca="false">L70*Scorecard!$D$12+M70*Scorecard!$D$13+N70*Scorecard!$D$14+O70*Scorecard!$D$15+P70*Scorecard!$D$16+Q70*Scorecard!$D$17</f>
        <v>2.62055206405511</v>
      </c>
      <c r="T70" s="47" t="n">
        <f aca="false">L70*Scorecard!$E$12+M70*Scorecard!$E$13+N70*Scorecard!$E$14+O70*Scorecard!$E$15+P70*Scorecard!$E$16+Q70*Scorecard!$E$17</f>
        <v>3.36015826299173</v>
      </c>
      <c r="U70" s="0" t="str">
        <f aca="false">IF(AND(R70&gt;=S70,R70&gt;=T70),"Distribution",IF(T70&gt;=S70,"Prof. services","Manufacturing"))</f>
        <v>Distribution</v>
      </c>
    </row>
    <row r="71" customFormat="false" ht="15" hidden="false" customHeight="false" outlineLevel="0" collapsed="false">
      <c r="A71" s="46" t="n">
        <v>0.148509</v>
      </c>
      <c r="B71" s="46" t="n">
        <v>0.031385</v>
      </c>
      <c r="C71" s="46" t="n">
        <v>0.151785</v>
      </c>
      <c r="D71" s="46" t="n">
        <v>0.35967</v>
      </c>
      <c r="E71" s="46" t="n">
        <v>0.117728</v>
      </c>
      <c r="F71" s="46" t="n">
        <v>0.190923</v>
      </c>
      <c r="G71" s="47" t="n">
        <f aca="false">A71*Scorecard!$C$12+B71*Scorecard!$C$13+C71*Scorecard!$C$14+D71*Scorecard!$C$15+E71*Scorecard!$C$16+F71*Scorecard!$C$17</f>
        <v>3.74189068211775</v>
      </c>
      <c r="H71" s="47" t="n">
        <f aca="false">A71*Scorecard!$D$12+B71*Scorecard!$D$13+C71*Scorecard!$D$14+D71*Scorecard!$D$15+E71*Scorecard!$D$16+F71*Scorecard!$D$17</f>
        <v>3.22021550195681</v>
      </c>
      <c r="I71" s="47" t="n">
        <f aca="false">A71*Scorecard!$E$12+B71*Scorecard!$E$13+C71*Scorecard!$E$14+D71*Scorecard!$E$15+E71*Scorecard!$E$16+F71*Scorecard!$E$17</f>
        <v>4.19970238740733</v>
      </c>
      <c r="J71" s="0" t="str">
        <f aca="false">IF(AND(G71&gt;=H71,G71&gt;=I71),"Distribution",IF(I71&gt;=H71,"Prof. services","Manufacturing"))</f>
        <v>Prof. services</v>
      </c>
      <c r="L71" s="46" t="n">
        <v>0.327236</v>
      </c>
      <c r="M71" s="46" t="n">
        <v>0.143712</v>
      </c>
      <c r="N71" s="46" t="n">
        <v>0.259933</v>
      </c>
      <c r="O71" s="46" t="n">
        <v>0.091816</v>
      </c>
      <c r="P71" s="46" t="n">
        <v>0.078515</v>
      </c>
      <c r="Q71" s="46" t="n">
        <v>0.098788</v>
      </c>
      <c r="R71" s="47" t="n">
        <f aca="false">L71*Scorecard!$C$12+M71*Scorecard!$C$13+N71*Scorecard!$C$14+O71*Scorecard!$C$15+P71*Scorecard!$C$16+Q71*Scorecard!$C$17</f>
        <v>3.44892253329755</v>
      </c>
      <c r="S71" s="47" t="n">
        <f aca="false">L71*Scorecard!$D$12+M71*Scorecard!$D$13+N71*Scorecard!$D$14+O71*Scorecard!$D$15+P71*Scorecard!$D$16+Q71*Scorecard!$D$17</f>
        <v>2.98472308045955</v>
      </c>
      <c r="T71" s="47" t="n">
        <f aca="false">L71*Scorecard!$E$12+M71*Scorecard!$E$13+N71*Scorecard!$E$14+O71*Scorecard!$E$15+P71*Scorecard!$E$16+Q71*Scorecard!$E$17</f>
        <v>4.25122817753415</v>
      </c>
      <c r="U71" s="0" t="str">
        <f aca="false">IF(AND(R71&gt;=S71,R71&gt;=T71),"Distribution",IF(T71&gt;=S71,"Prof. services","Manufacturing"))</f>
        <v>Prof. services</v>
      </c>
    </row>
    <row r="72" customFormat="false" ht="15" hidden="false" customHeight="false" outlineLevel="0" collapsed="false">
      <c r="A72" s="46" t="n">
        <v>0.33381</v>
      </c>
      <c r="B72" s="46" t="n">
        <v>0.004134</v>
      </c>
      <c r="C72" s="46" t="n">
        <v>0.417928</v>
      </c>
      <c r="D72" s="46" t="n">
        <v>0.004974</v>
      </c>
      <c r="E72" s="46" t="n">
        <v>0.225262</v>
      </c>
      <c r="F72" s="46" t="n">
        <v>0.013892</v>
      </c>
      <c r="G72" s="47" t="n">
        <f aca="false">A72*Scorecard!$C$12+B72*Scorecard!$C$13+C72*Scorecard!$C$14+D72*Scorecard!$C$15+E72*Scorecard!$C$16+F72*Scorecard!$C$17</f>
        <v>3.38046123954594</v>
      </c>
      <c r="H72" s="47" t="n">
        <f aca="false">A72*Scorecard!$D$12+B72*Scorecard!$D$13+C72*Scorecard!$D$14+D72*Scorecard!$D$15+E72*Scorecard!$D$16+F72*Scorecard!$D$17</f>
        <v>3.27430017896853</v>
      </c>
      <c r="I72" s="47" t="n">
        <f aca="false">A72*Scorecard!$E$12+B72*Scorecard!$E$13+C72*Scorecard!$E$14+D72*Scorecard!$E$15+E72*Scorecard!$E$16+F72*Scorecard!$E$17</f>
        <v>4.37630993885981</v>
      </c>
      <c r="J72" s="0" t="str">
        <f aca="false">IF(AND(G72&gt;=H72,G72&gt;=I72),"Distribution",IF(I72&gt;=H72,"Prof. services","Manufacturing"))</f>
        <v>Prof. services</v>
      </c>
      <c r="L72" s="46" t="n">
        <v>0.248008</v>
      </c>
      <c r="M72" s="46" t="n">
        <v>0.254549</v>
      </c>
      <c r="N72" s="46" t="n">
        <v>0.153027</v>
      </c>
      <c r="O72" s="46" t="n">
        <v>0.169315</v>
      </c>
      <c r="P72" s="46" t="n">
        <v>0.093</v>
      </c>
      <c r="Q72" s="46" t="n">
        <v>0.0821</v>
      </c>
      <c r="R72" s="47" t="n">
        <f aca="false">L72*Scorecard!$C$12+M72*Scorecard!$C$13+N72*Scorecard!$C$14+O72*Scorecard!$C$15+P72*Scorecard!$C$16+Q72*Scorecard!$C$17</f>
        <v>3.8132420631656</v>
      </c>
      <c r="S72" s="47" t="n">
        <f aca="false">L72*Scorecard!$D$12+M72*Scorecard!$D$13+N72*Scorecard!$D$14+O72*Scorecard!$D$15+P72*Scorecard!$D$16+Q72*Scorecard!$D$17</f>
        <v>2.88559590781969</v>
      </c>
      <c r="T72" s="47" t="n">
        <f aca="false">L72*Scorecard!$E$12+M72*Scorecard!$E$13+N72*Scorecard!$E$14+O72*Scorecard!$E$15+P72*Scorecard!$E$16+Q72*Scorecard!$E$17</f>
        <v>3.83743839554029</v>
      </c>
      <c r="U72" s="0" t="str">
        <f aca="false">IF(AND(R72&gt;=S72,R72&gt;=T72),"Distribution",IF(T72&gt;=S72,"Prof. services","Manufacturing"))</f>
        <v>Prof. services</v>
      </c>
    </row>
    <row r="73" customFormat="false" ht="15" hidden="false" customHeight="false" outlineLevel="0" collapsed="false">
      <c r="A73" s="46" t="n">
        <v>0.034196</v>
      </c>
      <c r="B73" s="46" t="n">
        <v>0.062409</v>
      </c>
      <c r="C73" s="46" t="n">
        <v>0.232419</v>
      </c>
      <c r="D73" s="46" t="n">
        <v>0.023059</v>
      </c>
      <c r="E73" s="46" t="n">
        <v>0.415189</v>
      </c>
      <c r="F73" s="46" t="n">
        <v>0.232728</v>
      </c>
      <c r="G73" s="47" t="n">
        <f aca="false">A73*Scorecard!$C$12+B73*Scorecard!$C$13+C73*Scorecard!$C$14+D73*Scorecard!$C$15+E73*Scorecard!$C$16+F73*Scorecard!$C$17</f>
        <v>3.5584587123319</v>
      </c>
      <c r="H73" s="47" t="n">
        <f aca="false">A73*Scorecard!$D$12+B73*Scorecard!$D$13+C73*Scorecard!$D$14+D73*Scorecard!$D$15+E73*Scorecard!$D$16+F73*Scorecard!$D$17</f>
        <v>2.74491048279037</v>
      </c>
      <c r="I73" s="47" t="n">
        <f aca="false">A73*Scorecard!$E$12+B73*Scorecard!$E$13+C73*Scorecard!$E$14+D73*Scorecard!$E$15+E73*Scorecard!$E$16+F73*Scorecard!$E$17</f>
        <v>3.57772800901437</v>
      </c>
      <c r="J73" s="0" t="str">
        <f aca="false">IF(AND(G73&gt;=H73,G73&gt;=I73),"Distribution",IF(I73&gt;=H73,"Prof. services","Manufacturing"))</f>
        <v>Prof. services</v>
      </c>
      <c r="L73" s="46" t="n">
        <v>0.189821</v>
      </c>
      <c r="M73" s="46" t="n">
        <v>0.177921</v>
      </c>
      <c r="N73" s="46" t="n">
        <v>0.224101</v>
      </c>
      <c r="O73" s="46" t="n">
        <v>0.088621</v>
      </c>
      <c r="P73" s="46" t="n">
        <v>0.241879</v>
      </c>
      <c r="Q73" s="46" t="n">
        <v>0.077657</v>
      </c>
      <c r="R73" s="47" t="n">
        <f aca="false">L73*Scorecard!$C$12+M73*Scorecard!$C$13+N73*Scorecard!$C$14+O73*Scorecard!$C$15+P73*Scorecard!$C$16+Q73*Scorecard!$C$17</f>
        <v>3.7695474929686</v>
      </c>
      <c r="S73" s="47" t="n">
        <f aca="false">L73*Scorecard!$D$12+M73*Scorecard!$D$13+N73*Scorecard!$D$14+O73*Scorecard!$D$15+P73*Scorecard!$D$16+Q73*Scorecard!$D$17</f>
        <v>2.92505845734409</v>
      </c>
      <c r="T73" s="47" t="n">
        <f aca="false">L73*Scorecard!$E$12+M73*Scorecard!$E$13+N73*Scorecard!$E$14+O73*Scorecard!$E$15+P73*Scorecard!$E$16+Q73*Scorecard!$E$17</f>
        <v>3.73045603782221</v>
      </c>
      <c r="U73" s="0" t="str">
        <f aca="false">IF(AND(R73&gt;=S73,R73&gt;=T73),"Distribution",IF(T73&gt;=S73,"Prof. services","Manufacturing"))</f>
        <v>Distribution</v>
      </c>
    </row>
    <row r="74" customFormat="false" ht="15" hidden="false" customHeight="false" outlineLevel="0" collapsed="false">
      <c r="A74" s="46" t="n">
        <v>0.010212</v>
      </c>
      <c r="B74" s="46" t="n">
        <v>0.001152</v>
      </c>
      <c r="C74" s="46" t="n">
        <v>0.021888</v>
      </c>
      <c r="D74" s="46" t="n">
        <v>0.125649</v>
      </c>
      <c r="E74" s="46" t="n">
        <v>0.795308</v>
      </c>
      <c r="F74" s="46" t="n">
        <v>0.045791</v>
      </c>
      <c r="G74" s="47" t="n">
        <f aca="false">A74*Scorecard!$C$12+B74*Scorecard!$C$13+C74*Scorecard!$C$14+D74*Scorecard!$C$15+E74*Scorecard!$C$16+F74*Scorecard!$C$17</f>
        <v>4.01683725436699</v>
      </c>
      <c r="H74" s="47" t="n">
        <f aca="false">A74*Scorecard!$D$12+B74*Scorecard!$D$13+C74*Scorecard!$D$14+D74*Scorecard!$D$15+E74*Scorecard!$D$16+F74*Scorecard!$D$17</f>
        <v>3.34688899598165</v>
      </c>
      <c r="I74" s="47" t="n">
        <f aca="false">A74*Scorecard!$E$12+B74*Scorecard!$E$13+C74*Scorecard!$E$14+D74*Scorecard!$E$15+E74*Scorecard!$E$16+F74*Scorecard!$E$17</f>
        <v>2.74794177933199</v>
      </c>
      <c r="J74" s="0" t="str">
        <f aca="false">IF(AND(G74&gt;=H74,G74&gt;=I74),"Distribution",IF(I74&gt;=H74,"Prof. services","Manufacturing"))</f>
        <v>Distribution</v>
      </c>
      <c r="L74" s="46" t="n">
        <v>0.352868</v>
      </c>
      <c r="M74" s="46" t="n">
        <v>0.166392</v>
      </c>
      <c r="N74" s="46" t="n">
        <v>0.20676</v>
      </c>
      <c r="O74" s="46" t="n">
        <v>0.10278</v>
      </c>
      <c r="P74" s="46" t="n">
        <v>0.100777</v>
      </c>
      <c r="Q74" s="46" t="n">
        <v>0.070424</v>
      </c>
      <c r="R74" s="47" t="n">
        <f aca="false">L74*Scorecard!$C$12+M74*Scorecard!$C$13+N74*Scorecard!$C$14+O74*Scorecard!$C$15+P74*Scorecard!$C$16+Q74*Scorecard!$C$17</f>
        <v>3.49316056776039</v>
      </c>
      <c r="S74" s="47" t="n">
        <f aca="false">L74*Scorecard!$D$12+M74*Scorecard!$D$13+N74*Scorecard!$D$14+O74*Scorecard!$D$15+P74*Scorecard!$D$16+Q74*Scorecard!$D$17</f>
        <v>3.03027359300221</v>
      </c>
      <c r="T74" s="47" t="n">
        <f aca="false">L74*Scorecard!$E$12+M74*Scorecard!$E$13+N74*Scorecard!$E$14+O74*Scorecard!$E$15+P74*Scorecard!$E$16+Q74*Scorecard!$E$17</f>
        <v>4.13166682366554</v>
      </c>
      <c r="U74" s="0" t="str">
        <f aca="false">IF(AND(R74&gt;=S74,R74&gt;=T74),"Distribution",IF(T74&gt;=S74,"Prof. services","Manufacturing"))</f>
        <v>Prof. services</v>
      </c>
    </row>
    <row r="75" customFormat="false" ht="15" hidden="false" customHeight="false" outlineLevel="0" collapsed="false">
      <c r="A75" s="46" t="n">
        <v>0.147138</v>
      </c>
      <c r="B75" s="46" t="n">
        <v>0.008831</v>
      </c>
      <c r="C75" s="46" t="n">
        <v>0.164378</v>
      </c>
      <c r="D75" s="46" t="n">
        <v>0.209303</v>
      </c>
      <c r="E75" s="46" t="n">
        <v>0.233396</v>
      </c>
      <c r="F75" s="46" t="n">
        <v>0.236954</v>
      </c>
      <c r="G75" s="47" t="n">
        <f aca="false">A75*Scorecard!$C$12+B75*Scorecard!$C$13+C75*Scorecard!$C$14+D75*Scorecard!$C$15+E75*Scorecard!$C$16+F75*Scorecard!$C$17</f>
        <v>3.47937550166954</v>
      </c>
      <c r="H75" s="47" t="n">
        <f aca="false">A75*Scorecard!$D$12+B75*Scorecard!$D$13+C75*Scorecard!$D$14+D75*Scorecard!$D$15+E75*Scorecard!$D$16+F75*Scorecard!$D$17</f>
        <v>3.04860195705095</v>
      </c>
      <c r="I75" s="47" t="n">
        <f aca="false">A75*Scorecard!$E$12+B75*Scorecard!$E$13+C75*Scorecard!$E$14+D75*Scorecard!$E$15+E75*Scorecard!$E$16+F75*Scorecard!$E$17</f>
        <v>4.05878512194685</v>
      </c>
      <c r="J75" s="0" t="str">
        <f aca="false">IF(AND(G75&gt;=H75,G75&gt;=I75),"Distribution",IF(I75&gt;=H75,"Prof. services","Manufacturing"))</f>
        <v>Prof. services</v>
      </c>
      <c r="L75" s="46" t="n">
        <v>0.15377</v>
      </c>
      <c r="M75" s="46" t="n">
        <v>0.140299</v>
      </c>
      <c r="N75" s="46" t="n">
        <v>0.228429</v>
      </c>
      <c r="O75" s="46" t="n">
        <v>0.22043</v>
      </c>
      <c r="P75" s="46" t="n">
        <v>0.225822</v>
      </c>
      <c r="Q75" s="46" t="n">
        <v>0.03125</v>
      </c>
      <c r="R75" s="47" t="n">
        <f aca="false">L75*Scorecard!$C$12+M75*Scorecard!$C$13+N75*Scorecard!$C$14+O75*Scorecard!$C$15+P75*Scorecard!$C$16+Q75*Scorecard!$C$17</f>
        <v>4.0214408070908</v>
      </c>
      <c r="S75" s="47" t="n">
        <f aca="false">L75*Scorecard!$D$12+M75*Scorecard!$D$13+N75*Scorecard!$D$14+O75*Scorecard!$D$15+P75*Scorecard!$D$16+Q75*Scorecard!$D$17</f>
        <v>3.17456139367922</v>
      </c>
      <c r="T75" s="47" t="n">
        <f aca="false">L75*Scorecard!$E$12+M75*Scorecard!$E$13+N75*Scorecard!$E$14+O75*Scorecard!$E$15+P75*Scorecard!$E$16+Q75*Scorecard!$E$17</f>
        <v>3.79448576755498</v>
      </c>
      <c r="U75" s="0" t="str">
        <f aca="false">IF(AND(R75&gt;=S75,R75&gt;=T75),"Distribution",IF(T75&gt;=S75,"Prof. services","Manufacturing"))</f>
        <v>Distribution</v>
      </c>
    </row>
    <row r="76" customFormat="false" ht="15" hidden="false" customHeight="false" outlineLevel="0" collapsed="false">
      <c r="A76" s="46" t="n">
        <v>0.289048</v>
      </c>
      <c r="B76" s="46" t="n">
        <v>0.014895</v>
      </c>
      <c r="C76" s="46" t="n">
        <v>0.14476</v>
      </c>
      <c r="D76" s="46" t="n">
        <v>0.076647</v>
      </c>
      <c r="E76" s="46" t="n">
        <v>0.082291</v>
      </c>
      <c r="F76" s="46" t="n">
        <v>0.392358</v>
      </c>
      <c r="G76" s="47" t="n">
        <f aca="false">A76*Scorecard!$C$12+B76*Scorecard!$C$13+C76*Scorecard!$C$14+D76*Scorecard!$C$15+E76*Scorecard!$C$16+F76*Scorecard!$C$17</f>
        <v>2.78653147789543</v>
      </c>
      <c r="H76" s="47" t="n">
        <f aca="false">A76*Scorecard!$D$12+B76*Scorecard!$D$13+C76*Scorecard!$D$14+D76*Scorecard!$D$15+E76*Scorecard!$D$16+F76*Scorecard!$D$17</f>
        <v>2.69619301582812</v>
      </c>
      <c r="I76" s="47" t="n">
        <f aca="false">A76*Scorecard!$E$12+B76*Scorecard!$E$13+C76*Scorecard!$E$14+D76*Scorecard!$E$15+E76*Scorecard!$E$16+F76*Scorecard!$E$17</f>
        <v>4.47747301570763</v>
      </c>
      <c r="J76" s="0" t="str">
        <f aca="false">IF(AND(G76&gt;=H76,G76&gt;=I76),"Distribution",IF(I76&gt;=H76,"Prof. services","Manufacturing"))</f>
        <v>Prof. services</v>
      </c>
      <c r="L76" s="46" t="n">
        <v>0.178861</v>
      </c>
      <c r="M76" s="46" t="n">
        <v>0.171514</v>
      </c>
      <c r="N76" s="46" t="n">
        <v>0.339085</v>
      </c>
      <c r="O76" s="46" t="n">
        <v>0.131711</v>
      </c>
      <c r="P76" s="46" t="n">
        <v>0.143381</v>
      </c>
      <c r="Q76" s="46" t="n">
        <v>0.035448</v>
      </c>
      <c r="R76" s="47" t="n">
        <f aca="false">L76*Scorecard!$C$12+M76*Scorecard!$C$13+N76*Scorecard!$C$14+O76*Scorecard!$C$15+P76*Scorecard!$C$16+Q76*Scorecard!$C$17</f>
        <v>3.91037664926882</v>
      </c>
      <c r="S76" s="47" t="n">
        <f aca="false">L76*Scorecard!$D$12+M76*Scorecard!$D$13+N76*Scorecard!$D$14+O76*Scorecard!$D$15+P76*Scorecard!$D$16+Q76*Scorecard!$D$17</f>
        <v>3.00779935130929</v>
      </c>
      <c r="T76" s="47" t="n">
        <f aca="false">L76*Scorecard!$E$12+M76*Scorecard!$E$13+N76*Scorecard!$E$14+O76*Scorecard!$E$15+P76*Scorecard!$E$16+Q76*Scorecard!$E$17</f>
        <v>3.99662727143127</v>
      </c>
      <c r="U76" s="0" t="str">
        <f aca="false">IF(AND(R76&gt;=S76,R76&gt;=T76),"Distribution",IF(T76&gt;=S76,"Prof. services","Manufacturing"))</f>
        <v>Prof. services</v>
      </c>
    </row>
    <row r="77" customFormat="false" ht="15" hidden="false" customHeight="false" outlineLevel="0" collapsed="false">
      <c r="A77" s="46" t="n">
        <v>0.334101</v>
      </c>
      <c r="B77" s="46" t="n">
        <v>0.181288</v>
      </c>
      <c r="C77" s="46" t="n">
        <v>0.038999</v>
      </c>
      <c r="D77" s="46" t="n">
        <v>0.170908</v>
      </c>
      <c r="E77" s="46" t="n">
        <v>0.04456</v>
      </c>
      <c r="F77" s="46" t="n">
        <v>0.230144</v>
      </c>
      <c r="G77" s="47" t="n">
        <f aca="false">A77*Scorecard!$C$12+B77*Scorecard!$C$13+C77*Scorecard!$C$14+D77*Scorecard!$C$15+E77*Scorecard!$C$16+F77*Scorecard!$C$17</f>
        <v>3.29052143539599</v>
      </c>
      <c r="H77" s="47" t="n">
        <f aca="false">A77*Scorecard!$D$12+B77*Scorecard!$D$13+C77*Scorecard!$D$14+D77*Scorecard!$D$15+E77*Scorecard!$D$16+F77*Scorecard!$D$17</f>
        <v>2.81606392132587</v>
      </c>
      <c r="I77" s="47" t="n">
        <f aca="false">A77*Scorecard!$E$12+B77*Scorecard!$E$13+C77*Scorecard!$E$14+D77*Scorecard!$E$15+E77*Scorecard!$E$16+F77*Scorecard!$E$17</f>
        <v>4.10193157518456</v>
      </c>
      <c r="J77" s="0" t="str">
        <f aca="false">IF(AND(G77&gt;=H77,G77&gt;=I77),"Distribution",IF(I77&gt;=H77,"Prof. services","Manufacturing"))</f>
        <v>Prof. services</v>
      </c>
      <c r="L77" s="46" t="n">
        <v>0.155662</v>
      </c>
      <c r="M77" s="46" t="n">
        <v>0.113124</v>
      </c>
      <c r="N77" s="46" t="n">
        <v>0.228608</v>
      </c>
      <c r="O77" s="46" t="n">
        <v>0.301985</v>
      </c>
      <c r="P77" s="46" t="n">
        <v>0.109716</v>
      </c>
      <c r="Q77" s="46" t="n">
        <v>0.090904</v>
      </c>
      <c r="R77" s="47" t="n">
        <f aca="false">L77*Scorecard!$C$12+M77*Scorecard!$C$13+N77*Scorecard!$C$14+O77*Scorecard!$C$15+P77*Scorecard!$C$16+Q77*Scorecard!$C$17</f>
        <v>3.95310318010904</v>
      </c>
      <c r="S77" s="47" t="n">
        <f aca="false">L77*Scorecard!$D$12+M77*Scorecard!$D$13+N77*Scorecard!$D$14+O77*Scorecard!$D$15+P77*Scorecard!$D$16+Q77*Scorecard!$D$17</f>
        <v>3.18282630840725</v>
      </c>
      <c r="T77" s="47" t="n">
        <f aca="false">L77*Scorecard!$E$12+M77*Scorecard!$E$13+N77*Scorecard!$E$14+O77*Scorecard!$E$15+P77*Scorecard!$E$16+Q77*Scorecard!$E$17</f>
        <v>4.0842428708176</v>
      </c>
      <c r="U77" s="0" t="str">
        <f aca="false">IF(AND(R77&gt;=S77,R77&gt;=T77),"Distribution",IF(T77&gt;=S77,"Prof. services","Manufacturing"))</f>
        <v>Prof. services</v>
      </c>
    </row>
    <row r="78" customFormat="false" ht="15" hidden="false" customHeight="false" outlineLevel="0" collapsed="false">
      <c r="A78" s="46" t="n">
        <v>0.05601</v>
      </c>
      <c r="B78" s="46" t="n">
        <v>0.342722</v>
      </c>
      <c r="C78" s="46" t="n">
        <v>0.1376</v>
      </c>
      <c r="D78" s="46" t="n">
        <v>0.027357</v>
      </c>
      <c r="E78" s="46" t="n">
        <v>0.399559</v>
      </c>
      <c r="F78" s="46" t="n">
        <v>0.036752</v>
      </c>
      <c r="G78" s="47" t="n">
        <f aca="false">A78*Scorecard!$C$12+B78*Scorecard!$C$13+C78*Scorecard!$C$14+D78*Scorecard!$C$15+E78*Scorecard!$C$16+F78*Scorecard!$C$17</f>
        <v>4.19575620124313</v>
      </c>
      <c r="H78" s="47" t="n">
        <f aca="false">A78*Scorecard!$D$12+B78*Scorecard!$D$13+C78*Scorecard!$D$14+D78*Scorecard!$D$15+E78*Scorecard!$D$16+F78*Scorecard!$D$17</f>
        <v>2.63229886696107</v>
      </c>
      <c r="I78" s="47" t="n">
        <f aca="false">A78*Scorecard!$E$12+B78*Scorecard!$E$13+C78*Scorecard!$E$14+D78*Scorecard!$E$15+E78*Scorecard!$E$16+F78*Scorecard!$E$17</f>
        <v>2.90773878515359</v>
      </c>
      <c r="J78" s="0" t="str">
        <f aca="false">IF(AND(G78&gt;=H78,G78&gt;=I78),"Distribution",IF(I78&gt;=H78,"Prof. services","Manufacturing"))</f>
        <v>Distribution</v>
      </c>
      <c r="L78" s="46" t="n">
        <v>0.102551</v>
      </c>
      <c r="M78" s="46" t="n">
        <v>0.116273</v>
      </c>
      <c r="N78" s="46" t="n">
        <v>0.157283</v>
      </c>
      <c r="O78" s="46" t="n">
        <v>0.250944</v>
      </c>
      <c r="P78" s="46" t="n">
        <v>0.201251</v>
      </c>
      <c r="Q78" s="46" t="n">
        <v>0.171698</v>
      </c>
      <c r="R78" s="47" t="n">
        <f aca="false">L78*Scorecard!$C$12+M78*Scorecard!$C$13+N78*Scorecard!$C$14+O78*Scorecard!$C$15+P78*Scorecard!$C$16+Q78*Scorecard!$C$17</f>
        <v>3.83922773752337</v>
      </c>
      <c r="S78" s="47" t="n">
        <f aca="false">L78*Scorecard!$D$12+M78*Scorecard!$D$13+N78*Scorecard!$D$14+O78*Scorecard!$D$15+P78*Scorecard!$D$16+Q78*Scorecard!$D$17</f>
        <v>2.99325373532143</v>
      </c>
      <c r="T78" s="47" t="n">
        <f aca="false">L78*Scorecard!$E$12+M78*Scorecard!$E$13+N78*Scorecard!$E$14+O78*Scorecard!$E$15+P78*Scorecard!$E$16+Q78*Scorecard!$E$17</f>
        <v>3.83336696076714</v>
      </c>
      <c r="U78" s="0" t="str">
        <f aca="false">IF(AND(R78&gt;=S78,R78&gt;=T78),"Distribution",IF(T78&gt;=S78,"Prof. services","Manufacturing"))</f>
        <v>Distribution</v>
      </c>
    </row>
    <row r="79" customFormat="false" ht="15" hidden="false" customHeight="false" outlineLevel="0" collapsed="false">
      <c r="A79" s="46" t="n">
        <v>0.56172</v>
      </c>
      <c r="B79" s="46" t="n">
        <v>0.086612</v>
      </c>
      <c r="C79" s="46" t="n">
        <v>0.046683</v>
      </c>
      <c r="D79" s="46" t="n">
        <v>0.026218</v>
      </c>
      <c r="E79" s="46" t="n">
        <v>0.095894</v>
      </c>
      <c r="F79" s="46" t="n">
        <v>0.182872</v>
      </c>
      <c r="G79" s="47" t="n">
        <f aca="false">A79*Scorecard!$C$12+B79*Scorecard!$C$13+C79*Scorecard!$C$14+D79*Scorecard!$C$15+E79*Scorecard!$C$16+F79*Scorecard!$C$17</f>
        <v>2.73597798932849</v>
      </c>
      <c r="H79" s="47" t="n">
        <f aca="false">A79*Scorecard!$D$12+B79*Scorecard!$D$13+C79*Scorecard!$D$14+D79*Scorecard!$D$15+E79*Scorecard!$D$16+F79*Scorecard!$D$17</f>
        <v>3.02904353380988</v>
      </c>
      <c r="I79" s="47" t="n">
        <f aca="false">A79*Scorecard!$E$12+B79*Scorecard!$E$13+C79*Scorecard!$E$14+D79*Scorecard!$E$15+E79*Scorecard!$E$16+F79*Scorecard!$E$17</f>
        <v>4.38186592144575</v>
      </c>
      <c r="J79" s="0" t="str">
        <f aca="false">IF(AND(G79&gt;=H79,G79&gt;=I79),"Distribution",IF(I79&gt;=H79,"Prof. services","Manufacturing"))</f>
        <v>Prof. services</v>
      </c>
      <c r="L79" s="46" t="n">
        <v>0.336649</v>
      </c>
      <c r="M79" s="46" t="n">
        <v>0.211972</v>
      </c>
      <c r="N79" s="46" t="n">
        <v>0.200045</v>
      </c>
      <c r="O79" s="46" t="n">
        <v>0.116864</v>
      </c>
      <c r="P79" s="46" t="n">
        <v>0.039647</v>
      </c>
      <c r="Q79" s="46" t="n">
        <v>0.094823</v>
      </c>
      <c r="R79" s="47" t="n">
        <f aca="false">L79*Scorecard!$C$12+M79*Scorecard!$C$13+N79*Scorecard!$C$14+O79*Scorecard!$C$15+P79*Scorecard!$C$16+Q79*Scorecard!$C$17</f>
        <v>3.53321699905905</v>
      </c>
      <c r="S79" s="47" t="n">
        <f aca="false">L79*Scorecard!$D$12+M79*Scorecard!$D$13+N79*Scorecard!$D$14+O79*Scorecard!$D$15+P79*Scorecard!$D$16+Q79*Scorecard!$D$17</f>
        <v>2.91047052822105</v>
      </c>
      <c r="T79" s="47" t="n">
        <f aca="false">L79*Scorecard!$E$12+M79*Scorecard!$E$13+N79*Scorecard!$E$14+O79*Scorecard!$E$15+P79*Scorecard!$E$16+Q79*Scorecard!$E$17</f>
        <v>4.13963370582462</v>
      </c>
      <c r="U79" s="0" t="str">
        <f aca="false">IF(AND(R79&gt;=S79,R79&gt;=T79),"Distribution",IF(T79&gt;=S79,"Prof. services","Manufacturing"))</f>
        <v>Prof. services</v>
      </c>
    </row>
    <row r="80" customFormat="false" ht="15" hidden="false" customHeight="false" outlineLevel="0" collapsed="false">
      <c r="A80" s="46" t="n">
        <v>0.16134</v>
      </c>
      <c r="B80" s="46" t="n">
        <v>0.079847</v>
      </c>
      <c r="C80" s="46" t="n">
        <v>0.307716</v>
      </c>
      <c r="D80" s="46" t="n">
        <v>0.140939</v>
      </c>
      <c r="E80" s="46" t="n">
        <v>0.016208</v>
      </c>
      <c r="F80" s="46" t="n">
        <v>0.29395</v>
      </c>
      <c r="G80" s="47" t="n">
        <f aca="false">A80*Scorecard!$C$12+B80*Scorecard!$C$13+C80*Scorecard!$C$14+D80*Scorecard!$C$15+E80*Scorecard!$C$16+F80*Scorecard!$C$17</f>
        <v>3.34247169913526</v>
      </c>
      <c r="H80" s="47" t="n">
        <f aca="false">A80*Scorecard!$D$12+B80*Scorecard!$D$13+C80*Scorecard!$D$14+D80*Scorecard!$D$15+E80*Scorecard!$D$16+F80*Scorecard!$D$17</f>
        <v>2.7143569347956</v>
      </c>
      <c r="I80" s="47" t="n">
        <f aca="false">A80*Scorecard!$E$12+B80*Scorecard!$E$13+C80*Scorecard!$E$14+D80*Scorecard!$E$15+E80*Scorecard!$E$16+F80*Scorecard!$E$17</f>
        <v>4.46238716378152</v>
      </c>
      <c r="J80" s="0" t="str">
        <f aca="false">IF(AND(G80&gt;=H80,G80&gt;=I80),"Distribution",IF(I80&gt;=H80,"Prof. services","Manufacturing"))</f>
        <v>Prof. services</v>
      </c>
      <c r="L80" s="46" t="n">
        <v>0.226132</v>
      </c>
      <c r="M80" s="46" t="n">
        <v>0.225073</v>
      </c>
      <c r="N80" s="46" t="n">
        <v>0.308651</v>
      </c>
      <c r="O80" s="46" t="n">
        <v>0.105334</v>
      </c>
      <c r="P80" s="46" t="n">
        <v>0.050456</v>
      </c>
      <c r="Q80" s="46" t="n">
        <v>0.084355</v>
      </c>
      <c r="R80" s="47" t="n">
        <f aca="false">L80*Scorecard!$C$12+M80*Scorecard!$C$13+N80*Scorecard!$C$14+O80*Scorecard!$C$15+P80*Scorecard!$C$16+Q80*Scorecard!$C$17</f>
        <v>3.75466017513856</v>
      </c>
      <c r="S80" s="47" t="n">
        <f aca="false">L80*Scorecard!$D$12+M80*Scorecard!$D$13+N80*Scorecard!$D$14+O80*Scorecard!$D$15+P80*Scorecard!$D$16+Q80*Scorecard!$D$17</f>
        <v>2.82376439803528</v>
      </c>
      <c r="T80" s="47" t="n">
        <f aca="false">L80*Scorecard!$E$12+M80*Scorecard!$E$13+N80*Scorecard!$E$14+O80*Scorecard!$E$15+P80*Scorecard!$E$16+Q80*Scorecard!$E$17</f>
        <v>4.08801344223249</v>
      </c>
      <c r="U80" s="0" t="str">
        <f aca="false">IF(AND(R80&gt;=S80,R80&gt;=T80),"Distribution",IF(T80&gt;=S80,"Prof. services","Manufacturing"))</f>
        <v>Prof. services</v>
      </c>
    </row>
    <row r="81" customFormat="false" ht="15" hidden="false" customHeight="false" outlineLevel="0" collapsed="false">
      <c r="A81" s="46" t="n">
        <v>0.068918</v>
      </c>
      <c r="B81" s="46" t="n">
        <v>0.580224</v>
      </c>
      <c r="C81" s="46" t="n">
        <v>0.052942</v>
      </c>
      <c r="D81" s="46" t="n">
        <v>0.089739</v>
      </c>
      <c r="E81" s="46" t="n">
        <v>0.195602</v>
      </c>
      <c r="F81" s="46" t="n">
        <v>0.012574</v>
      </c>
      <c r="G81" s="47" t="n">
        <f aca="false">A81*Scorecard!$C$12+B81*Scorecard!$C$13+C81*Scorecard!$C$14+D81*Scorecard!$C$15+E81*Scorecard!$C$16+F81*Scorecard!$C$17</f>
        <v>4.52075761716254</v>
      </c>
      <c r="H81" s="47" t="n">
        <f aca="false">A81*Scorecard!$D$12+B81*Scorecard!$D$13+C81*Scorecard!$D$14+D81*Scorecard!$D$15+E81*Scorecard!$D$16+F81*Scorecard!$D$17</f>
        <v>2.3248285616701</v>
      </c>
      <c r="I81" s="47" t="n">
        <f aca="false">A81*Scorecard!$E$12+B81*Scorecard!$E$13+C81*Scorecard!$E$14+D81*Scorecard!$E$15+E81*Scorecard!$E$16+F81*Scorecard!$E$17</f>
        <v>2.72860585283417</v>
      </c>
      <c r="J81" s="0" t="str">
        <f aca="false">IF(AND(G81&gt;=H81,G81&gt;=I81),"Distribution",IF(I81&gt;=H81,"Prof. services","Manufacturing"))</f>
        <v>Distribution</v>
      </c>
      <c r="L81" s="46" t="n">
        <v>0.354549</v>
      </c>
      <c r="M81" s="46" t="n">
        <v>0.314203</v>
      </c>
      <c r="N81" s="46" t="n">
        <v>0.140659</v>
      </c>
      <c r="O81" s="46" t="n">
        <v>0.069827</v>
      </c>
      <c r="P81" s="46" t="n">
        <v>0.068813</v>
      </c>
      <c r="Q81" s="46" t="n">
        <v>0.051949</v>
      </c>
      <c r="R81" s="47" t="n">
        <f aca="false">L81*Scorecard!$C$12+M81*Scorecard!$C$13+N81*Scorecard!$C$14+O81*Scorecard!$C$15+P81*Scorecard!$C$16+Q81*Scorecard!$C$17</f>
        <v>3.6419387437877</v>
      </c>
      <c r="S81" s="47" t="n">
        <f aca="false">L81*Scorecard!$D$12+M81*Scorecard!$D$13+N81*Scorecard!$D$14+O81*Scorecard!$D$15+P81*Scorecard!$D$16+Q81*Scorecard!$D$17</f>
        <v>2.78842645227377</v>
      </c>
      <c r="T81" s="47" t="n">
        <f aca="false">L81*Scorecard!$E$12+M81*Scorecard!$E$13+N81*Scorecard!$E$14+O81*Scorecard!$E$15+P81*Scorecard!$E$16+Q81*Scorecard!$E$17</f>
        <v>3.8286382620602</v>
      </c>
      <c r="U81" s="0" t="str">
        <f aca="false">IF(AND(R81&gt;=S81,R81&gt;=T81),"Distribution",IF(T81&gt;=S81,"Prof. services","Manufacturing"))</f>
        <v>Prof. services</v>
      </c>
    </row>
    <row r="82" customFormat="false" ht="15" hidden="false" customHeight="false" outlineLevel="0" collapsed="false">
      <c r="A82" s="46" t="n">
        <v>0.761881</v>
      </c>
      <c r="B82" s="46" t="n">
        <v>0.129762</v>
      </c>
      <c r="C82" s="46" t="n">
        <v>0.074997</v>
      </c>
      <c r="D82" s="46" t="n">
        <v>0.017559</v>
      </c>
      <c r="E82" s="46" t="n">
        <v>0.007368</v>
      </c>
      <c r="F82" s="46" t="n">
        <v>0.008432</v>
      </c>
      <c r="G82" s="47" t="n">
        <f aca="false">A82*Scorecard!$C$12+B82*Scorecard!$C$13+C82*Scorecard!$C$14+D82*Scorecard!$C$15+E82*Scorecard!$C$16+F82*Scorecard!$C$17</f>
        <v>2.75905633483867</v>
      </c>
      <c r="H82" s="47" t="n">
        <f aca="false">A82*Scorecard!$D$12+B82*Scorecard!$D$13+C82*Scorecard!$D$14+D82*Scorecard!$D$15+E82*Scorecard!$D$16+F82*Scorecard!$D$17</f>
        <v>3.31861877547216</v>
      </c>
      <c r="I82" s="47" t="n">
        <f aca="false">A82*Scorecard!$E$12+B82*Scorecard!$E$13+C82*Scorecard!$E$14+D82*Scorecard!$E$15+E82*Scorecard!$E$16+F82*Scorecard!$E$17</f>
        <v>4.58831162178007</v>
      </c>
      <c r="J82" s="0" t="str">
        <f aca="false">IF(AND(G82&gt;=H82,G82&gt;=I82),"Distribution",IF(I82&gt;=H82,"Prof. services","Manufacturing"))</f>
        <v>Prof. services</v>
      </c>
      <c r="L82" s="46" t="n">
        <v>0.174218</v>
      </c>
      <c r="M82" s="46" t="n">
        <v>0.19477</v>
      </c>
      <c r="N82" s="46" t="n">
        <v>0.289955</v>
      </c>
      <c r="O82" s="46" t="n">
        <v>0.138002</v>
      </c>
      <c r="P82" s="46" t="n">
        <v>0.167372</v>
      </c>
      <c r="Q82" s="46" t="n">
        <v>0.035684</v>
      </c>
      <c r="R82" s="47" t="n">
        <f aca="false">L82*Scorecard!$C$12+M82*Scorecard!$C$13+N82*Scorecard!$C$14+O82*Scorecard!$C$15+P82*Scorecard!$C$16+Q82*Scorecard!$C$17</f>
        <v>3.9478131154825</v>
      </c>
      <c r="S82" s="47" t="n">
        <f aca="false">L82*Scorecard!$D$12+M82*Scorecard!$D$13+N82*Scorecard!$D$14+O82*Scorecard!$D$15+P82*Scorecard!$D$16+Q82*Scorecard!$D$17</f>
        <v>2.98475384009763</v>
      </c>
      <c r="T82" s="47" t="n">
        <f aca="false">L82*Scorecard!$E$12+M82*Scorecard!$E$13+N82*Scorecard!$E$14+O82*Scorecard!$E$15+P82*Scorecard!$E$16+Q82*Scorecard!$E$17</f>
        <v>3.86040502524912</v>
      </c>
      <c r="U82" s="0" t="str">
        <f aca="false">IF(AND(R82&gt;=S82,R82&gt;=T82),"Distribution",IF(T82&gt;=S82,"Prof. services","Manufacturing"))</f>
        <v>Distribution</v>
      </c>
    </row>
    <row r="83" customFormat="false" ht="15" hidden="false" customHeight="false" outlineLevel="0" collapsed="false">
      <c r="A83" s="46" t="n">
        <v>0.060334</v>
      </c>
      <c r="B83" s="46" t="n">
        <v>0.057774</v>
      </c>
      <c r="C83" s="46" t="n">
        <v>0.16148</v>
      </c>
      <c r="D83" s="46" t="n">
        <v>0.362341</v>
      </c>
      <c r="E83" s="46" t="n">
        <v>0.185532</v>
      </c>
      <c r="F83" s="46" t="n">
        <v>0.172539</v>
      </c>
      <c r="G83" s="47" t="n">
        <f aca="false">A83*Scorecard!$C$12+B83*Scorecard!$C$13+C83*Scorecard!$C$14+D83*Scorecard!$C$15+E83*Scorecard!$C$16+F83*Scorecard!$C$17</f>
        <v>3.9664349395787</v>
      </c>
      <c r="H83" s="47" t="n">
        <f aca="false">A83*Scorecard!$D$12+B83*Scorecard!$D$13+C83*Scorecard!$D$14+D83*Scorecard!$D$15+E83*Scorecard!$D$16+F83*Scorecard!$D$17</f>
        <v>3.17563103990515</v>
      </c>
      <c r="I83" s="47" t="n">
        <f aca="false">A83*Scorecard!$E$12+B83*Scorecard!$E$13+C83*Scorecard!$E$14+D83*Scorecard!$E$15+E83*Scorecard!$E$16+F83*Scorecard!$E$17</f>
        <v>3.94996717967434</v>
      </c>
      <c r="J83" s="0" t="str">
        <f aca="false">IF(AND(G83&gt;=H83,G83&gt;=I83),"Distribution",IF(I83&gt;=H83,"Prof. services","Manufacturing"))</f>
        <v>Distribution</v>
      </c>
      <c r="L83" s="46" t="n">
        <v>0.226009</v>
      </c>
      <c r="M83" s="46" t="n">
        <v>0.221619</v>
      </c>
      <c r="N83" s="46" t="n">
        <v>0.144785</v>
      </c>
      <c r="O83" s="46" t="n">
        <v>0.193123</v>
      </c>
      <c r="P83" s="46" t="n">
        <v>0.101281</v>
      </c>
      <c r="Q83" s="46" t="n">
        <v>0.113184</v>
      </c>
      <c r="R83" s="47" t="n">
        <f aca="false">L83*Scorecard!$C$12+M83*Scorecard!$C$13+N83*Scorecard!$C$14+O83*Scorecard!$C$15+P83*Scorecard!$C$16+Q83*Scorecard!$C$17</f>
        <v>3.78155857689266</v>
      </c>
      <c r="S83" s="47" t="n">
        <f aca="false">L83*Scorecard!$D$12+M83*Scorecard!$D$13+N83*Scorecard!$D$14+O83*Scorecard!$D$15+P83*Scorecard!$D$16+Q83*Scorecard!$D$17</f>
        <v>2.90419393966075</v>
      </c>
      <c r="T83" s="47" t="n">
        <f aca="false">L83*Scorecard!$E$12+M83*Scorecard!$E$13+N83*Scorecard!$E$14+O83*Scorecard!$E$15+P83*Scorecard!$E$16+Q83*Scorecard!$E$17</f>
        <v>3.87461596348956</v>
      </c>
      <c r="U83" s="0" t="str">
        <f aca="false">IF(AND(R83&gt;=S83,R83&gt;=T83),"Distribution",IF(T83&gt;=S83,"Prof. services","Manufacturing"))</f>
        <v>Prof. services</v>
      </c>
    </row>
    <row r="84" customFormat="false" ht="15" hidden="false" customHeight="false" outlineLevel="0" collapsed="false">
      <c r="A84" s="46" t="n">
        <v>0.190706</v>
      </c>
      <c r="B84" s="46" t="n">
        <v>0.333322</v>
      </c>
      <c r="C84" s="46" t="n">
        <v>0.275682</v>
      </c>
      <c r="D84" s="46" t="n">
        <v>0.018488</v>
      </c>
      <c r="E84" s="46" t="n">
        <v>0.092529</v>
      </c>
      <c r="F84" s="46" t="n">
        <v>0.089274</v>
      </c>
      <c r="G84" s="47" t="n">
        <f aca="false">A84*Scorecard!$C$12+B84*Scorecard!$C$13+C84*Scorecard!$C$14+D84*Scorecard!$C$15+E84*Scorecard!$C$16+F84*Scorecard!$C$17</f>
        <v>3.82999248034764</v>
      </c>
      <c r="H84" s="47" t="n">
        <f aca="false">A84*Scorecard!$D$12+B84*Scorecard!$D$13+C84*Scorecard!$D$14+D84*Scorecard!$D$15+E84*Scorecard!$D$16+F84*Scorecard!$D$17</f>
        <v>2.54399114860841</v>
      </c>
      <c r="I84" s="47" t="n">
        <f aca="false">A84*Scorecard!$E$12+B84*Scorecard!$E$13+C84*Scorecard!$E$14+D84*Scorecard!$E$15+E84*Scorecard!$E$16+F84*Scorecard!$E$17</f>
        <v>3.73467348082697</v>
      </c>
      <c r="J84" s="0" t="str">
        <f aca="false">IF(AND(G84&gt;=H84,G84&gt;=I84),"Distribution",IF(I84&gt;=H84,"Prof. services","Manufacturing"))</f>
        <v>Distribution</v>
      </c>
      <c r="L84" s="46" t="n">
        <v>0.213095</v>
      </c>
      <c r="M84" s="46" t="n">
        <v>0.351731</v>
      </c>
      <c r="N84" s="46" t="n">
        <v>0.139604</v>
      </c>
      <c r="O84" s="46" t="n">
        <v>0.15622</v>
      </c>
      <c r="P84" s="46" t="n">
        <v>0.107938</v>
      </c>
      <c r="Q84" s="46" t="n">
        <v>0.031412</v>
      </c>
      <c r="R84" s="47" t="n">
        <f aca="false">L84*Scorecard!$C$12+M84*Scorecard!$C$13+N84*Scorecard!$C$14+O84*Scorecard!$C$15+P84*Scorecard!$C$16+Q84*Scorecard!$C$17</f>
        <v>4.06155296105881</v>
      </c>
      <c r="S84" s="47" t="n">
        <f aca="false">L84*Scorecard!$D$12+M84*Scorecard!$D$13+N84*Scorecard!$D$14+O84*Scorecard!$D$15+P84*Scorecard!$D$16+Q84*Scorecard!$D$17</f>
        <v>2.78251880392032</v>
      </c>
      <c r="T84" s="47" t="n">
        <f aca="false">L84*Scorecard!$E$12+M84*Scorecard!$E$13+N84*Scorecard!$E$14+O84*Scorecard!$E$15+P84*Scorecard!$E$16+Q84*Scorecard!$E$17</f>
        <v>3.55444335688884</v>
      </c>
      <c r="U84" s="0" t="str">
        <f aca="false">IF(AND(R84&gt;=S84,R84&gt;=T84),"Distribution",IF(T84&gt;=S84,"Prof. services","Manufacturing"))</f>
        <v>Distribution</v>
      </c>
    </row>
    <row r="85" customFormat="false" ht="15" hidden="false" customHeight="false" outlineLevel="0" collapsed="false">
      <c r="A85" s="46" t="n">
        <v>0.020521</v>
      </c>
      <c r="B85" s="46" t="n">
        <v>0.12213</v>
      </c>
      <c r="C85" s="46" t="n">
        <v>0.015837</v>
      </c>
      <c r="D85" s="46" t="n">
        <v>0.40164</v>
      </c>
      <c r="E85" s="46" t="n">
        <v>0.411108</v>
      </c>
      <c r="F85" s="46" t="n">
        <v>0.028765</v>
      </c>
      <c r="G85" s="47" t="n">
        <f aca="false">A85*Scorecard!$C$12+B85*Scorecard!$C$13+C85*Scorecard!$C$14+D85*Scorecard!$C$15+E85*Scorecard!$C$16+F85*Scorecard!$C$17</f>
        <v>4.42930590735065</v>
      </c>
      <c r="H85" s="47" t="n">
        <f aca="false">A85*Scorecard!$D$12+B85*Scorecard!$D$13+C85*Scorecard!$D$14+D85*Scorecard!$D$15+E85*Scorecard!$D$16+F85*Scorecard!$D$17</f>
        <v>3.38908425607394</v>
      </c>
      <c r="I85" s="47" t="n">
        <f aca="false">A85*Scorecard!$E$12+B85*Scorecard!$E$13+C85*Scorecard!$E$14+D85*Scorecard!$E$15+E85*Scorecard!$E$16+F85*Scorecard!$E$17</f>
        <v>3.20241223696896</v>
      </c>
      <c r="J85" s="0" t="str">
        <f aca="false">IF(AND(G85&gt;=H85,G85&gt;=I85),"Distribution",IF(I85&gt;=H85,"Prof. services","Manufacturing"))</f>
        <v>Distribution</v>
      </c>
      <c r="L85" s="46" t="n">
        <v>0.275991</v>
      </c>
      <c r="M85" s="46" t="n">
        <v>0.169518</v>
      </c>
      <c r="N85" s="46" t="n">
        <v>0.191893</v>
      </c>
      <c r="O85" s="46" t="n">
        <v>0.237759</v>
      </c>
      <c r="P85" s="46" t="n">
        <v>0.093526</v>
      </c>
      <c r="Q85" s="46" t="n">
        <v>0.031314</v>
      </c>
      <c r="R85" s="47" t="n">
        <f aca="false">L85*Scorecard!$C$12+M85*Scorecard!$C$13+N85*Scorecard!$C$14+O85*Scorecard!$C$15+P85*Scorecard!$C$16+Q85*Scorecard!$C$17</f>
        <v>3.8478652641009</v>
      </c>
      <c r="S85" s="47" t="n">
        <f aca="false">L85*Scorecard!$D$12+M85*Scorecard!$D$13+N85*Scorecard!$D$14+O85*Scorecard!$D$15+P85*Scorecard!$D$16+Q85*Scorecard!$D$17</f>
        <v>3.187305679755</v>
      </c>
      <c r="T85" s="47" t="n">
        <f aca="false">L85*Scorecard!$E$12+M85*Scorecard!$E$13+N85*Scorecard!$E$14+O85*Scorecard!$E$15+P85*Scorecard!$E$16+Q85*Scorecard!$E$17</f>
        <v>4.04874117521448</v>
      </c>
      <c r="U85" s="0" t="str">
        <f aca="false">IF(AND(R85&gt;=S85,R85&gt;=T85),"Distribution",IF(T85&gt;=S85,"Prof. services","Manufacturing"))</f>
        <v>Prof. services</v>
      </c>
    </row>
    <row r="86" customFormat="false" ht="15" hidden="false" customHeight="false" outlineLevel="0" collapsed="false">
      <c r="A86" s="46" t="n">
        <v>0.014076</v>
      </c>
      <c r="B86" s="46" t="n">
        <v>0.511218</v>
      </c>
      <c r="C86" s="46" t="n">
        <v>0.051242</v>
      </c>
      <c r="D86" s="46" t="n">
        <v>0.115081</v>
      </c>
      <c r="E86" s="46" t="n">
        <v>0.10041</v>
      </c>
      <c r="F86" s="46" t="n">
        <v>0.207973</v>
      </c>
      <c r="G86" s="47" t="n">
        <f aca="false">A86*Scorecard!$C$12+B86*Scorecard!$C$13+C86*Scorecard!$C$14+D86*Scorecard!$C$15+E86*Scorecard!$C$16+F86*Scorecard!$C$17</f>
        <v>4.1850159992626</v>
      </c>
      <c r="H86" s="47" t="n">
        <f aca="false">A86*Scorecard!$D$12+B86*Scorecard!$D$13+C86*Scorecard!$D$14+D86*Scorecard!$D$15+E86*Scorecard!$D$16+F86*Scorecard!$D$17</f>
        <v>2.09669165070191</v>
      </c>
      <c r="I86" s="47" t="n">
        <f aca="false">A86*Scorecard!$E$12+B86*Scorecard!$E$13+C86*Scorecard!$E$14+D86*Scorecard!$E$15+E86*Scorecard!$E$16+F86*Scorecard!$E$17</f>
        <v>3.06200636196221</v>
      </c>
      <c r="J86" s="0" t="str">
        <f aca="false">IF(AND(G86&gt;=H86,G86&gt;=I86),"Distribution",IF(I86&gt;=H86,"Prof. services","Manufacturing"))</f>
        <v>Distribution</v>
      </c>
      <c r="L86" s="46" t="n">
        <v>0.114906</v>
      </c>
      <c r="M86" s="46" t="n">
        <v>0.090998</v>
      </c>
      <c r="N86" s="46" t="n">
        <v>0.259312</v>
      </c>
      <c r="O86" s="46" t="n">
        <v>0.286325</v>
      </c>
      <c r="P86" s="46" t="n">
        <v>0.130435</v>
      </c>
      <c r="Q86" s="46" t="n">
        <v>0.118024</v>
      </c>
      <c r="R86" s="47" t="n">
        <f aca="false">L86*Scorecard!$C$12+M86*Scorecard!$C$13+N86*Scorecard!$C$14+O86*Scorecard!$C$15+P86*Scorecard!$C$16+Q86*Scorecard!$C$17</f>
        <v>3.9344425613291</v>
      </c>
      <c r="S86" s="47" t="n">
        <f aca="false">L86*Scorecard!$D$12+M86*Scorecard!$D$13+N86*Scorecard!$D$14+O86*Scorecard!$D$15+P86*Scorecard!$D$16+Q86*Scorecard!$D$17</f>
        <v>3.13721681383522</v>
      </c>
      <c r="T86" s="47" t="n">
        <f aca="false">L86*Scorecard!$E$12+M86*Scorecard!$E$13+N86*Scorecard!$E$14+O86*Scorecard!$E$15+P86*Scorecard!$E$16+Q86*Scorecard!$E$17</f>
        <v>4.09215248742932</v>
      </c>
      <c r="U86" s="0" t="str">
        <f aca="false">IF(AND(R86&gt;=S86,R86&gt;=T86),"Distribution",IF(T86&gt;=S86,"Prof. services","Manufacturing"))</f>
        <v>Prof. services</v>
      </c>
    </row>
    <row r="87" customFormat="false" ht="15" hidden="false" customHeight="false" outlineLevel="0" collapsed="false">
      <c r="A87" s="46" t="n">
        <v>0.182146</v>
      </c>
      <c r="B87" s="46" t="n">
        <v>0.402144</v>
      </c>
      <c r="C87" s="46" t="n">
        <v>0.033126</v>
      </c>
      <c r="D87" s="46" t="n">
        <v>0.181454</v>
      </c>
      <c r="E87" s="46" t="n">
        <v>0.075519</v>
      </c>
      <c r="F87" s="46" t="n">
        <v>0.125611</v>
      </c>
      <c r="G87" s="47" t="n">
        <f aca="false">A87*Scorecard!$C$12+B87*Scorecard!$C$13+C87*Scorecard!$C$14+D87*Scorecard!$C$15+E87*Scorecard!$C$16+F87*Scorecard!$C$17</f>
        <v>4.00451060242154</v>
      </c>
      <c r="H87" s="47" t="n">
        <f aca="false">A87*Scorecard!$D$12+B87*Scorecard!$D$13+C87*Scorecard!$D$14+D87*Scorecard!$D$15+E87*Scorecard!$D$16+F87*Scorecard!$D$17</f>
        <v>2.56351254133827</v>
      </c>
      <c r="I87" s="47" t="n">
        <f aca="false">A87*Scorecard!$E$12+B87*Scorecard!$E$13+C87*Scorecard!$E$14+D87*Scorecard!$E$15+E87*Scorecard!$E$16+F87*Scorecard!$E$17</f>
        <v>3.42773468715695</v>
      </c>
      <c r="J87" s="0" t="str">
        <f aca="false">IF(AND(G87&gt;=H87,G87&gt;=I87),"Distribution",IF(I87&gt;=H87,"Prof. services","Manufacturing"))</f>
        <v>Distribution</v>
      </c>
      <c r="L87" s="46" t="n">
        <v>0.218521</v>
      </c>
      <c r="M87" s="46" t="n">
        <v>0.285968</v>
      </c>
      <c r="N87" s="46" t="n">
        <v>0.306056</v>
      </c>
      <c r="O87" s="46" t="n">
        <v>0.038056</v>
      </c>
      <c r="P87" s="46" t="n">
        <v>0.080782</v>
      </c>
      <c r="Q87" s="46" t="n">
        <v>0.070617</v>
      </c>
      <c r="R87" s="47" t="n">
        <f aca="false">L87*Scorecard!$C$12+M87*Scorecard!$C$13+N87*Scorecard!$C$14+O87*Scorecard!$C$15+P87*Scorecard!$C$16+Q87*Scorecard!$C$17</f>
        <v>3.78944908367879</v>
      </c>
      <c r="S87" s="47" t="n">
        <f aca="false">L87*Scorecard!$D$12+M87*Scorecard!$D$13+N87*Scorecard!$D$14+O87*Scorecard!$D$15+P87*Scorecard!$D$16+Q87*Scorecard!$D$17</f>
        <v>2.68016232547236</v>
      </c>
      <c r="T87" s="47" t="n">
        <f aca="false">L87*Scorecard!$E$12+M87*Scorecard!$E$13+N87*Scorecard!$E$14+O87*Scorecard!$E$15+P87*Scorecard!$E$16+Q87*Scorecard!$E$17</f>
        <v>3.89513619595076</v>
      </c>
      <c r="U87" s="0" t="str">
        <f aca="false">IF(AND(R87&gt;=S87,R87&gt;=T87),"Distribution",IF(T87&gt;=S87,"Prof. services","Manufacturing"))</f>
        <v>Prof. services</v>
      </c>
    </row>
    <row r="88" customFormat="false" ht="15" hidden="false" customHeight="false" outlineLevel="0" collapsed="false">
      <c r="A88" s="46" t="n">
        <v>0.616653</v>
      </c>
      <c r="B88" s="46" t="n">
        <v>0.080517</v>
      </c>
      <c r="C88" s="46" t="n">
        <v>0.175429</v>
      </c>
      <c r="D88" s="46" t="n">
        <v>0.095252</v>
      </c>
      <c r="E88" s="46" t="n">
        <v>0.029227</v>
      </c>
      <c r="F88" s="46" t="n">
        <v>0.002922</v>
      </c>
      <c r="G88" s="47" t="n">
        <f aca="false">A88*Scorecard!$C$12+B88*Scorecard!$C$13+C88*Scorecard!$C$14+D88*Scorecard!$C$15+E88*Scorecard!$C$16+F88*Scorecard!$C$17</f>
        <v>3.05994080593068</v>
      </c>
      <c r="H88" s="47" t="n">
        <f aca="false">A88*Scorecard!$D$12+B88*Scorecard!$D$13+C88*Scorecard!$D$14+D88*Scorecard!$D$15+E88*Scorecard!$D$16+F88*Scorecard!$D$17</f>
        <v>3.40210035027038</v>
      </c>
      <c r="I88" s="47" t="n">
        <f aca="false">A88*Scorecard!$E$12+B88*Scorecard!$E$13+C88*Scorecard!$E$14+D88*Scorecard!$E$15+E88*Scorecard!$E$16+F88*Scorecard!$E$17</f>
        <v>4.60944648154819</v>
      </c>
      <c r="J88" s="0" t="str">
        <f aca="false">IF(AND(G88&gt;=H88,G88&gt;=I88),"Distribution",IF(I88&gt;=H88,"Prof. services","Manufacturing"))</f>
        <v>Prof. services</v>
      </c>
      <c r="L88" s="46" t="n">
        <v>0.156025</v>
      </c>
      <c r="M88" s="46" t="n">
        <v>0.189777</v>
      </c>
      <c r="N88" s="46" t="n">
        <v>0.252896</v>
      </c>
      <c r="O88" s="46" t="n">
        <v>0.042039</v>
      </c>
      <c r="P88" s="46" t="n">
        <v>0.188921</v>
      </c>
      <c r="Q88" s="46" t="n">
        <v>0.170342</v>
      </c>
      <c r="R88" s="47" t="n">
        <f aca="false">L88*Scorecard!$C$12+M88*Scorecard!$C$13+N88*Scorecard!$C$14+O88*Scorecard!$C$15+P88*Scorecard!$C$16+Q88*Scorecard!$C$17</f>
        <v>3.61028477493231</v>
      </c>
      <c r="S88" s="47" t="n">
        <f aca="false">L88*Scorecard!$D$12+M88*Scorecard!$D$13+N88*Scorecard!$D$14+O88*Scorecard!$D$15+P88*Scorecard!$D$16+Q88*Scorecard!$D$17</f>
        <v>2.67433325353301</v>
      </c>
      <c r="T88" s="47" t="n">
        <f aca="false">L88*Scorecard!$E$12+M88*Scorecard!$E$13+N88*Scorecard!$E$14+O88*Scorecard!$E$15+P88*Scorecard!$E$16+Q88*Scorecard!$E$17</f>
        <v>3.8301793213687</v>
      </c>
      <c r="U88" s="0" t="str">
        <f aca="false">IF(AND(R88&gt;=S88,R88&gt;=T88),"Distribution",IF(T88&gt;=S88,"Prof. services","Manufacturing"))</f>
        <v>Prof. services</v>
      </c>
    </row>
    <row r="89" customFormat="false" ht="15" hidden="false" customHeight="false" outlineLevel="0" collapsed="false">
      <c r="A89" s="46" t="n">
        <v>0.41593</v>
      </c>
      <c r="B89" s="46" t="n">
        <v>0.025501</v>
      </c>
      <c r="C89" s="46" t="n">
        <v>0.052333</v>
      </c>
      <c r="D89" s="46" t="n">
        <v>0.24348</v>
      </c>
      <c r="E89" s="46" t="n">
        <v>0.09958</v>
      </c>
      <c r="F89" s="46" t="n">
        <v>0.163176</v>
      </c>
      <c r="G89" s="47" t="n">
        <f aca="false">A89*Scorecard!$C$12+B89*Scorecard!$C$13+C89*Scorecard!$C$14+D89*Scorecard!$C$15+E89*Scorecard!$C$16+F89*Scorecard!$C$17</f>
        <v>3.19394906843516</v>
      </c>
      <c r="H89" s="47" t="n">
        <f aca="false">A89*Scorecard!$D$12+B89*Scorecard!$D$13+C89*Scorecard!$D$14+D89*Scorecard!$D$15+E89*Scorecard!$D$16+F89*Scorecard!$D$17</f>
        <v>3.30675692503414</v>
      </c>
      <c r="I89" s="47" t="n">
        <f aca="false">A89*Scorecard!$E$12+B89*Scorecard!$E$13+C89*Scorecard!$E$14+D89*Scorecard!$E$15+E89*Scorecard!$E$16+F89*Scorecard!$E$17</f>
        <v>4.3760125405499</v>
      </c>
      <c r="J89" s="0" t="str">
        <f aca="false">IF(AND(G89&gt;=H89,G89&gt;=I89),"Distribution",IF(I89&gt;=H89,"Prof. services","Manufacturing"))</f>
        <v>Prof. services</v>
      </c>
      <c r="L89" s="46" t="n">
        <v>0.203584</v>
      </c>
      <c r="M89" s="46" t="n">
        <v>0.062974</v>
      </c>
      <c r="N89" s="46" t="n">
        <v>0.172779</v>
      </c>
      <c r="O89" s="46" t="n">
        <v>0.172203</v>
      </c>
      <c r="P89" s="46" t="n">
        <v>0.234719</v>
      </c>
      <c r="Q89" s="46" t="n">
        <v>0.153741</v>
      </c>
      <c r="R89" s="47" t="n">
        <f aca="false">L89*Scorecard!$C$12+M89*Scorecard!$C$13+N89*Scorecard!$C$14+O89*Scorecard!$C$15+P89*Scorecard!$C$16+Q89*Scorecard!$C$17</f>
        <v>3.56124089669489</v>
      </c>
      <c r="S89" s="47" t="n">
        <f aca="false">L89*Scorecard!$D$12+M89*Scorecard!$D$13+N89*Scorecard!$D$14+O89*Scorecard!$D$15+P89*Scorecard!$D$16+Q89*Scorecard!$D$17</f>
        <v>3.08693056982823</v>
      </c>
      <c r="T89" s="47" t="n">
        <f aca="false">L89*Scorecard!$E$12+M89*Scorecard!$E$13+N89*Scorecard!$E$14+O89*Scorecard!$E$15+P89*Scorecard!$E$16+Q89*Scorecard!$E$17</f>
        <v>3.97218219535432</v>
      </c>
      <c r="U89" s="0" t="str">
        <f aca="false">IF(AND(R89&gt;=S89,R89&gt;=T89),"Distribution",IF(T89&gt;=S89,"Prof. services","Manufacturing"))</f>
        <v>Prof. services</v>
      </c>
    </row>
    <row r="90" customFormat="false" ht="15" hidden="false" customHeight="false" outlineLevel="0" collapsed="false">
      <c r="A90" s="46" t="n">
        <v>0.078118</v>
      </c>
      <c r="B90" s="46" t="n">
        <v>0.003016</v>
      </c>
      <c r="C90" s="46" t="n">
        <v>0.275473</v>
      </c>
      <c r="D90" s="46" t="n">
        <v>0.506361</v>
      </c>
      <c r="E90" s="46" t="n">
        <v>0.085463</v>
      </c>
      <c r="F90" s="46" t="n">
        <v>0.051568</v>
      </c>
      <c r="G90" s="47" t="n">
        <f aca="false">A90*Scorecard!$C$12+B90*Scorecard!$C$13+C90*Scorecard!$C$14+D90*Scorecard!$C$15+E90*Scorecard!$C$16+F90*Scorecard!$C$17</f>
        <v>4.26562348596162</v>
      </c>
      <c r="H90" s="47" t="n">
        <f aca="false">A90*Scorecard!$D$12+B90*Scorecard!$D$13+C90*Scorecard!$D$14+D90*Scorecard!$D$15+E90*Scorecard!$D$16+F90*Scorecard!$D$17</f>
        <v>3.58439076151181</v>
      </c>
      <c r="I90" s="47" t="n">
        <f aca="false">A90*Scorecard!$E$12+B90*Scorecard!$E$13+C90*Scorecard!$E$14+D90*Scorecard!$E$15+E90*Scorecard!$E$16+F90*Scorecard!$E$17</f>
        <v>4.31437492780203</v>
      </c>
      <c r="J90" s="0" t="str">
        <f aca="false">IF(AND(G90&gt;=H90,G90&gt;=I90),"Distribution",IF(I90&gt;=H90,"Prof. services","Manufacturing"))</f>
        <v>Prof. services</v>
      </c>
      <c r="L90" s="46" t="n">
        <v>0.21591</v>
      </c>
      <c r="M90" s="46" t="n">
        <v>0.169409</v>
      </c>
      <c r="N90" s="46" t="n">
        <v>0.220089</v>
      </c>
      <c r="O90" s="46" t="n">
        <v>0.062739</v>
      </c>
      <c r="P90" s="46" t="n">
        <v>0.124427</v>
      </c>
      <c r="Q90" s="46" t="n">
        <v>0.207425</v>
      </c>
      <c r="R90" s="47" t="n">
        <f aca="false">L90*Scorecard!$C$12+M90*Scorecard!$C$13+N90*Scorecard!$C$14+O90*Scorecard!$C$15+P90*Scorecard!$C$16+Q90*Scorecard!$C$17</f>
        <v>3.42865292091418</v>
      </c>
      <c r="S90" s="47" t="n">
        <f aca="false">L90*Scorecard!$D$12+M90*Scorecard!$D$13+N90*Scorecard!$D$14+O90*Scorecard!$D$15+P90*Scorecard!$D$16+Q90*Scorecard!$D$17</f>
        <v>2.6913003150548</v>
      </c>
      <c r="T90" s="47" t="n">
        <f aca="false">L90*Scorecard!$E$12+M90*Scorecard!$E$13+N90*Scorecard!$E$14+O90*Scorecard!$E$15+P90*Scorecard!$E$16+Q90*Scorecard!$E$17</f>
        <v>4.02488387064881</v>
      </c>
      <c r="U90" s="0" t="str">
        <f aca="false">IF(AND(R90&gt;=S90,R90&gt;=T90),"Distribution",IF(T90&gt;=S90,"Prof. services","Manufacturing"))</f>
        <v>Prof. services</v>
      </c>
    </row>
    <row r="91" customFormat="false" ht="15" hidden="false" customHeight="false" outlineLevel="0" collapsed="false">
      <c r="A91" s="46" t="n">
        <v>0.276726</v>
      </c>
      <c r="B91" s="46" t="n">
        <v>0.065339</v>
      </c>
      <c r="C91" s="46" t="n">
        <v>0.11863</v>
      </c>
      <c r="D91" s="46" t="n">
        <v>0.252124</v>
      </c>
      <c r="E91" s="46" t="n">
        <v>0.052495</v>
      </c>
      <c r="F91" s="46" t="n">
        <v>0.234686</v>
      </c>
      <c r="G91" s="47" t="n">
        <f aca="false">A91*Scorecard!$C$12+B91*Scorecard!$C$13+C91*Scorecard!$C$14+D91*Scorecard!$C$15+E91*Scorecard!$C$16+F91*Scorecard!$C$17</f>
        <v>3.34998025361909</v>
      </c>
      <c r="H91" s="47" t="n">
        <f aca="false">A91*Scorecard!$D$12+B91*Scorecard!$D$13+C91*Scorecard!$D$14+D91*Scorecard!$D$15+E91*Scorecard!$D$16+F91*Scorecard!$D$17</f>
        <v>3.04205558664135</v>
      </c>
      <c r="I91" s="47" t="n">
        <f aca="false">A91*Scorecard!$E$12+B91*Scorecard!$E$13+C91*Scorecard!$E$14+D91*Scorecard!$E$15+E91*Scorecard!$E$16+F91*Scorecard!$E$17</f>
        <v>4.3440344532323</v>
      </c>
      <c r="J91" s="0" t="str">
        <f aca="false">IF(AND(G91&gt;=H91,G91&gt;=I91),"Distribution",IF(I91&gt;=H91,"Prof. services","Manufacturing"))</f>
        <v>Prof. services</v>
      </c>
      <c r="L91" s="46" t="n">
        <v>0.191433</v>
      </c>
      <c r="M91" s="46" t="n">
        <v>0.227919</v>
      </c>
      <c r="N91" s="46" t="n">
        <v>0.105171</v>
      </c>
      <c r="O91" s="46" t="n">
        <v>0.228858</v>
      </c>
      <c r="P91" s="46" t="n">
        <v>0.134018</v>
      </c>
      <c r="Q91" s="46" t="n">
        <v>0.112601</v>
      </c>
      <c r="R91" s="47" t="n">
        <f aca="false">L91*Scorecard!$C$12+M91*Scorecard!$C$13+N91*Scorecard!$C$14+O91*Scorecard!$C$15+P91*Scorecard!$C$16+Q91*Scorecard!$C$17</f>
        <v>3.88699286997992</v>
      </c>
      <c r="S91" s="47" t="n">
        <f aca="false">L91*Scorecard!$D$12+M91*Scorecard!$D$13+N91*Scorecard!$D$14+O91*Scorecard!$D$15+P91*Scorecard!$D$16+Q91*Scorecard!$D$17</f>
        <v>2.92505062375231</v>
      </c>
      <c r="T91" s="47" t="n">
        <f aca="false">L91*Scorecard!$E$12+M91*Scorecard!$E$13+N91*Scorecard!$E$14+O91*Scorecard!$E$15+P91*Scorecard!$E$16+Q91*Scorecard!$E$17</f>
        <v>3.73961707531401</v>
      </c>
      <c r="U91" s="0" t="str">
        <f aca="false">IF(AND(R91&gt;=S91,R91&gt;=T91),"Distribution",IF(T91&gt;=S91,"Prof. services","Manufacturing"))</f>
        <v>Distribution</v>
      </c>
    </row>
    <row r="92" customFormat="false" ht="15" hidden="false" customHeight="false" outlineLevel="0" collapsed="false">
      <c r="A92" s="46" t="n">
        <v>0.251342</v>
      </c>
      <c r="B92" s="46" t="n">
        <v>0.225645</v>
      </c>
      <c r="C92" s="46" t="n">
        <v>0.388144</v>
      </c>
      <c r="D92" s="46" t="n">
        <v>0.003214</v>
      </c>
      <c r="E92" s="46" t="n">
        <v>0.082071</v>
      </c>
      <c r="F92" s="46" t="n">
        <v>0.049584</v>
      </c>
      <c r="G92" s="47" t="n">
        <f aca="false">A92*Scorecard!$C$12+B92*Scorecard!$C$13+C92*Scorecard!$C$14+D92*Scorecard!$C$15+E92*Scorecard!$C$16+F92*Scorecard!$C$17</f>
        <v>3.67727181561953</v>
      </c>
      <c r="H92" s="47" t="n">
        <f aca="false">A92*Scorecard!$D$12+B92*Scorecard!$D$13+C92*Scorecard!$D$14+D92*Scorecard!$D$15+E92*Scorecard!$D$16+F92*Scorecard!$D$17</f>
        <v>2.78403178262238</v>
      </c>
      <c r="I92" s="47" t="n">
        <f aca="false">A92*Scorecard!$E$12+B92*Scorecard!$E$13+C92*Scorecard!$E$14+D92*Scorecard!$E$15+E92*Scorecard!$E$16+F92*Scorecard!$E$17</f>
        <v>4.10480350018853</v>
      </c>
      <c r="J92" s="0" t="str">
        <f aca="false">IF(AND(G92&gt;=H92,G92&gt;=I92),"Distribution",IF(I92&gt;=H92,"Prof. services","Manufacturing"))</f>
        <v>Prof. services</v>
      </c>
      <c r="L92" s="46" t="n">
        <v>0.247425</v>
      </c>
      <c r="M92" s="46" t="n">
        <v>0.29111</v>
      </c>
      <c r="N92" s="46" t="n">
        <v>0.213002</v>
      </c>
      <c r="O92" s="46" t="n">
        <v>0.136989</v>
      </c>
      <c r="P92" s="46" t="n">
        <v>0.077937</v>
      </c>
      <c r="Q92" s="46" t="n">
        <v>0.033537</v>
      </c>
      <c r="R92" s="47" t="n">
        <f aca="false">L92*Scorecard!$C$12+M92*Scorecard!$C$13+N92*Scorecard!$C$14+O92*Scorecard!$C$15+P92*Scorecard!$C$16+Q92*Scorecard!$C$17</f>
        <v>3.91565647147974</v>
      </c>
      <c r="S92" s="47" t="n">
        <f aca="false">L92*Scorecard!$D$12+M92*Scorecard!$D$13+N92*Scorecard!$D$14+O92*Scorecard!$D$15+P92*Scorecard!$D$16+Q92*Scorecard!$D$17</f>
        <v>2.86073726465895</v>
      </c>
      <c r="T92" s="47" t="n">
        <f aca="false">L92*Scorecard!$E$12+M92*Scorecard!$E$13+N92*Scorecard!$E$14+O92*Scorecard!$E$15+P92*Scorecard!$E$16+Q92*Scorecard!$E$17</f>
        <v>3.82377951141381</v>
      </c>
      <c r="U92" s="0" t="str">
        <f aca="false">IF(AND(R92&gt;=S92,R92&gt;=T92),"Distribution",IF(T92&gt;=S92,"Prof. services","Manufacturing"))</f>
        <v>Distribution</v>
      </c>
    </row>
    <row r="93" customFormat="false" ht="15" hidden="false" customHeight="false" outlineLevel="0" collapsed="false">
      <c r="A93" s="46" t="n">
        <v>0.130493</v>
      </c>
      <c r="B93" s="46" t="n">
        <v>0.167649</v>
      </c>
      <c r="C93" s="46" t="n">
        <v>0.102223</v>
      </c>
      <c r="D93" s="46" t="n">
        <v>0.236755</v>
      </c>
      <c r="E93" s="46" t="n">
        <v>0.140146</v>
      </c>
      <c r="F93" s="46" t="n">
        <v>0.222734</v>
      </c>
      <c r="G93" s="47" t="n">
        <f aca="false">A93*Scorecard!$C$12+B93*Scorecard!$C$13+C93*Scorecard!$C$14+D93*Scorecard!$C$15+E93*Scorecard!$C$16+F93*Scorecard!$C$17</f>
        <v>3.72404673904337</v>
      </c>
      <c r="H93" s="47" t="n">
        <f aca="false">A93*Scorecard!$D$12+B93*Scorecard!$D$13+C93*Scorecard!$D$14+D93*Scorecard!$D$15+E93*Scorecard!$D$16+F93*Scorecard!$D$17</f>
        <v>2.8212472140723</v>
      </c>
      <c r="I93" s="47" t="n">
        <f aca="false">A93*Scorecard!$E$12+B93*Scorecard!$E$13+C93*Scorecard!$E$14+D93*Scorecard!$E$15+E93*Scorecard!$E$16+F93*Scorecard!$E$17</f>
        <v>3.83491988162768</v>
      </c>
      <c r="J93" s="0" t="str">
        <f aca="false">IF(AND(G93&gt;=H93,G93&gt;=I93),"Distribution",IF(I93&gt;=H93,"Prof. services","Manufacturing"))</f>
        <v>Prof. services</v>
      </c>
      <c r="L93" s="46" t="n">
        <v>0.213646</v>
      </c>
      <c r="M93" s="46" t="n">
        <v>0.230333</v>
      </c>
      <c r="N93" s="46" t="n">
        <v>0.245882</v>
      </c>
      <c r="O93" s="46" t="n">
        <v>0.096264</v>
      </c>
      <c r="P93" s="46" t="n">
        <v>0.11127</v>
      </c>
      <c r="Q93" s="46" t="n">
        <v>0.102606</v>
      </c>
      <c r="R93" s="47" t="n">
        <f aca="false">L93*Scorecard!$C$12+M93*Scorecard!$C$13+N93*Scorecard!$C$14+O93*Scorecard!$C$15+P93*Scorecard!$C$16+Q93*Scorecard!$C$17</f>
        <v>3.73682315320102</v>
      </c>
      <c r="S93" s="47" t="n">
        <f aca="false">L93*Scorecard!$D$12+M93*Scorecard!$D$13+N93*Scorecard!$D$14+O93*Scorecard!$D$15+P93*Scorecard!$D$16+Q93*Scorecard!$D$17</f>
        <v>2.79001653979821</v>
      </c>
      <c r="T93" s="47" t="n">
        <f aca="false">L93*Scorecard!$E$12+M93*Scorecard!$E$13+N93*Scorecard!$E$14+O93*Scorecard!$E$15+P93*Scorecard!$E$16+Q93*Scorecard!$E$17</f>
        <v>3.90917320509361</v>
      </c>
      <c r="U93" s="0" t="str">
        <f aca="false">IF(AND(R93&gt;=S93,R93&gt;=T93),"Distribution",IF(T93&gt;=S93,"Prof. services","Manufacturing"))</f>
        <v>Prof. services</v>
      </c>
    </row>
    <row r="94" customFormat="false" ht="15" hidden="false" customHeight="false" outlineLevel="0" collapsed="false">
      <c r="A94" s="46" t="n">
        <v>0.134046</v>
      </c>
      <c r="B94" s="46" t="n">
        <v>0.055826</v>
      </c>
      <c r="C94" s="46" t="n">
        <v>0.199825</v>
      </c>
      <c r="D94" s="46" t="n">
        <v>0.242172</v>
      </c>
      <c r="E94" s="46" t="n">
        <v>0.320829</v>
      </c>
      <c r="F94" s="46" t="n">
        <v>0.047303</v>
      </c>
      <c r="G94" s="47" t="n">
        <f aca="false">A94*Scorecard!$C$12+B94*Scorecard!$C$13+C94*Scorecard!$C$14+D94*Scorecard!$C$15+E94*Scorecard!$C$16+F94*Scorecard!$C$17</f>
        <v>3.96211128837415</v>
      </c>
      <c r="H94" s="47" t="n">
        <f aca="false">A94*Scorecard!$D$12+B94*Scorecard!$D$13+C94*Scorecard!$D$14+D94*Scorecard!$D$15+E94*Scorecard!$D$16+F94*Scorecard!$D$17</f>
        <v>3.32108880090567</v>
      </c>
      <c r="I94" s="47" t="n">
        <f aca="false">A94*Scorecard!$E$12+B94*Scorecard!$E$13+C94*Scorecard!$E$14+D94*Scorecard!$E$15+E94*Scorecard!$E$16+F94*Scorecard!$E$17</f>
        <v>3.7578478588907</v>
      </c>
      <c r="J94" s="0" t="str">
        <f aca="false">IF(AND(G94&gt;=H94,G94&gt;=I94),"Distribution",IF(I94&gt;=H94,"Prof. services","Manufacturing"))</f>
        <v>Distribution</v>
      </c>
      <c r="L94" s="46" t="n">
        <v>0.121587</v>
      </c>
      <c r="M94" s="46" t="n">
        <v>0.360259</v>
      </c>
      <c r="N94" s="46" t="n">
        <v>0.114422</v>
      </c>
      <c r="O94" s="46" t="n">
        <v>0.131097</v>
      </c>
      <c r="P94" s="46" t="n">
        <v>0.158105</v>
      </c>
      <c r="Q94" s="46" t="n">
        <v>0.114529</v>
      </c>
      <c r="R94" s="47" t="n">
        <f aca="false">L94*Scorecard!$C$12+M94*Scorecard!$C$13+N94*Scorecard!$C$14+O94*Scorecard!$C$15+P94*Scorecard!$C$16+Q94*Scorecard!$C$17</f>
        <v>4.04343566605156</v>
      </c>
      <c r="S94" s="47" t="n">
        <f aca="false">L94*Scorecard!$D$12+M94*Scorecard!$D$13+N94*Scorecard!$D$14+O94*Scorecard!$D$15+P94*Scorecard!$D$16+Q94*Scorecard!$D$17</f>
        <v>2.5722331496923</v>
      </c>
      <c r="T94" s="47" t="n">
        <f aca="false">L94*Scorecard!$E$12+M94*Scorecard!$E$13+N94*Scorecard!$E$14+O94*Scorecard!$E$15+P94*Scorecard!$E$16+Q94*Scorecard!$E$17</f>
        <v>3.37557823773978</v>
      </c>
      <c r="U94" s="0" t="str">
        <f aca="false">IF(AND(R94&gt;=S94,R94&gt;=T94),"Distribution",IF(T94&gt;=S94,"Prof. services","Manufacturing"))</f>
        <v>Distribution</v>
      </c>
    </row>
    <row r="95" customFormat="false" ht="15" hidden="false" customHeight="false" outlineLevel="0" collapsed="false">
      <c r="A95" s="46" t="n">
        <v>0.234503</v>
      </c>
      <c r="B95" s="46" t="n">
        <v>0.324325</v>
      </c>
      <c r="C95" s="46" t="n">
        <v>0.011267</v>
      </c>
      <c r="D95" s="46" t="n">
        <v>0.134816</v>
      </c>
      <c r="E95" s="46" t="n">
        <v>0.224732</v>
      </c>
      <c r="F95" s="46" t="n">
        <v>0.070357</v>
      </c>
      <c r="G95" s="47" t="n">
        <f aca="false">A95*Scorecard!$C$12+B95*Scorecard!$C$13+C95*Scorecard!$C$14+D95*Scorecard!$C$15+E95*Scorecard!$C$16+F95*Scorecard!$C$17</f>
        <v>3.89631825575999</v>
      </c>
      <c r="H95" s="47" t="n">
        <f aca="false">A95*Scorecard!$D$12+B95*Scorecard!$D$13+C95*Scorecard!$D$14+D95*Scorecard!$D$15+E95*Scorecard!$D$16+F95*Scorecard!$D$17</f>
        <v>2.79353198056438</v>
      </c>
      <c r="I95" s="47" t="n">
        <f aca="false">A95*Scorecard!$E$12+B95*Scorecard!$E$13+C95*Scorecard!$E$14+D95*Scorecard!$E$15+E95*Scorecard!$E$16+F95*Scorecard!$E$17</f>
        <v>3.32021992639661</v>
      </c>
      <c r="J95" s="0" t="str">
        <f aca="false">IF(AND(G95&gt;=H95,G95&gt;=I95),"Distribution",IF(I95&gt;=H95,"Prof. services","Manufacturing"))</f>
        <v>Distribution</v>
      </c>
      <c r="L95" s="46" t="n">
        <v>0.142443</v>
      </c>
      <c r="M95" s="46" t="n">
        <v>0.216718</v>
      </c>
      <c r="N95" s="46" t="n">
        <v>0.205816</v>
      </c>
      <c r="O95" s="46" t="n">
        <v>0.168615</v>
      </c>
      <c r="P95" s="46" t="n">
        <v>0.135292</v>
      </c>
      <c r="Q95" s="46" t="n">
        <v>0.131117</v>
      </c>
      <c r="R95" s="47" t="n">
        <f aca="false">L95*Scorecard!$C$12+M95*Scorecard!$C$13+N95*Scorecard!$C$14+O95*Scorecard!$C$15+P95*Scorecard!$C$16+Q95*Scorecard!$C$17</f>
        <v>3.86670356862479</v>
      </c>
      <c r="S95" s="47" t="n">
        <f aca="false">L95*Scorecard!$D$12+M95*Scorecard!$D$13+N95*Scorecard!$D$14+O95*Scorecard!$D$15+P95*Scorecard!$D$16+Q95*Scorecard!$D$17</f>
        <v>2.8124169379471</v>
      </c>
      <c r="T95" s="47" t="n">
        <f aca="false">L95*Scorecard!$E$12+M95*Scorecard!$E$13+N95*Scorecard!$E$14+O95*Scorecard!$E$15+P95*Scorecard!$E$16+Q95*Scorecard!$E$17</f>
        <v>3.80953270387177</v>
      </c>
      <c r="U95" s="0" t="str">
        <f aca="false">IF(AND(R95&gt;=S95,R95&gt;=T95),"Distribution",IF(T95&gt;=S95,"Prof. services","Manufacturing"))</f>
        <v>Distribution</v>
      </c>
    </row>
    <row r="96" customFormat="false" ht="15" hidden="false" customHeight="false" outlineLevel="0" collapsed="false">
      <c r="A96" s="46" t="n">
        <v>0.227786</v>
      </c>
      <c r="B96" s="46" t="n">
        <v>0.160475</v>
      </c>
      <c r="C96" s="46" t="n">
        <v>0.02351</v>
      </c>
      <c r="D96" s="46" t="n">
        <v>0.073942</v>
      </c>
      <c r="E96" s="46" t="n">
        <v>0.415428</v>
      </c>
      <c r="F96" s="46" t="n">
        <v>0.098858</v>
      </c>
      <c r="G96" s="47" t="n">
        <f aca="false">A96*Scorecard!$C$12+B96*Scorecard!$C$13+C96*Scorecard!$C$14+D96*Scorecard!$C$15+E96*Scorecard!$C$16+F96*Scorecard!$C$17</f>
        <v>3.62667895155091</v>
      </c>
      <c r="H96" s="47" t="n">
        <f aca="false">A96*Scorecard!$D$12+B96*Scorecard!$D$13+C96*Scorecard!$D$14+D96*Scorecard!$D$15+E96*Scorecard!$D$16+F96*Scorecard!$D$17</f>
        <v>2.98537483503397</v>
      </c>
      <c r="I96" s="47" t="n">
        <f aca="false">A96*Scorecard!$E$12+B96*Scorecard!$E$13+C96*Scorecard!$E$14+D96*Scorecard!$E$15+E96*Scorecard!$E$16+F96*Scorecard!$E$17</f>
        <v>3.31949073024685</v>
      </c>
      <c r="J96" s="0" t="str">
        <f aca="false">IF(AND(G96&gt;=H96,G96&gt;=I96),"Distribution",IF(I96&gt;=H96,"Prof. services","Manufacturing"))</f>
        <v>Distribution</v>
      </c>
      <c r="L96" s="46" t="n">
        <v>0.213299</v>
      </c>
      <c r="M96" s="46" t="n">
        <v>0.107877</v>
      </c>
      <c r="N96" s="46" t="n">
        <v>0.210687</v>
      </c>
      <c r="O96" s="46" t="n">
        <v>0.16607</v>
      </c>
      <c r="P96" s="46" t="n">
        <v>0.202009</v>
      </c>
      <c r="Q96" s="46" t="n">
        <v>0.100058</v>
      </c>
      <c r="R96" s="47" t="n">
        <f aca="false">L96*Scorecard!$C$12+M96*Scorecard!$C$13+N96*Scorecard!$C$14+O96*Scorecard!$C$15+P96*Scorecard!$C$16+Q96*Scorecard!$C$17</f>
        <v>3.68988975814957</v>
      </c>
      <c r="S96" s="47" t="n">
        <f aca="false">L96*Scorecard!$D$12+M96*Scorecard!$D$13+N96*Scorecard!$D$14+O96*Scorecard!$D$15+P96*Scorecard!$D$16+Q96*Scorecard!$D$17</f>
        <v>3.08846966423853</v>
      </c>
      <c r="T96" s="47" t="n">
        <f aca="false">L96*Scorecard!$E$12+M96*Scorecard!$E$13+N96*Scorecard!$E$14+O96*Scorecard!$E$15+P96*Scorecard!$E$16+Q96*Scorecard!$E$17</f>
        <v>3.96225436657233</v>
      </c>
      <c r="U96" s="0" t="str">
        <f aca="false">IF(AND(R96&gt;=S96,R96&gt;=T96),"Distribution",IF(T96&gt;=S96,"Prof. services","Manufacturing"))</f>
        <v>Prof. services</v>
      </c>
    </row>
    <row r="97" customFormat="false" ht="15" hidden="false" customHeight="false" outlineLevel="0" collapsed="false">
      <c r="A97" s="46" t="n">
        <v>0.258664</v>
      </c>
      <c r="B97" s="46" t="n">
        <v>0.450023</v>
      </c>
      <c r="C97" s="46" t="n">
        <v>0.107856</v>
      </c>
      <c r="D97" s="46" t="n">
        <v>0.017657</v>
      </c>
      <c r="E97" s="46" t="n">
        <v>0.04513</v>
      </c>
      <c r="F97" s="46" t="n">
        <v>0.120671</v>
      </c>
      <c r="G97" s="47" t="n">
        <f aca="false">A97*Scorecard!$C$12+B97*Scorecard!$C$13+C97*Scorecard!$C$14+D97*Scorecard!$C$15+E97*Scorecard!$C$16+F97*Scorecard!$C$17</f>
        <v>3.76074311120071</v>
      </c>
      <c r="H97" s="47" t="n">
        <f aca="false">A97*Scorecard!$D$12+B97*Scorecard!$D$13+C97*Scorecard!$D$14+D97*Scorecard!$D$15+E97*Scorecard!$D$16+F97*Scorecard!$D$17</f>
        <v>2.34985514006117</v>
      </c>
      <c r="I97" s="47" t="n">
        <f aca="false">A97*Scorecard!$E$12+B97*Scorecard!$E$13+C97*Scorecard!$E$14+D97*Scorecard!$E$15+E97*Scorecard!$E$16+F97*Scorecard!$E$17</f>
        <v>3.51048299718243</v>
      </c>
      <c r="J97" s="0" t="str">
        <f aca="false">IF(AND(G97&gt;=H97,G97&gt;=I97),"Distribution",IF(I97&gt;=H97,"Prof. services","Manufacturing"))</f>
        <v>Distribution</v>
      </c>
      <c r="L97" s="46" t="n">
        <v>0.311711</v>
      </c>
      <c r="M97" s="46" t="n">
        <v>0.153957</v>
      </c>
      <c r="N97" s="46" t="n">
        <v>0.128807</v>
      </c>
      <c r="O97" s="46" t="n">
        <v>0.21604</v>
      </c>
      <c r="P97" s="46" t="n">
        <v>0.111077</v>
      </c>
      <c r="Q97" s="46" t="n">
        <v>0.078408</v>
      </c>
      <c r="R97" s="47" t="n">
        <f aca="false">L97*Scorecard!$C$12+M97*Scorecard!$C$13+N97*Scorecard!$C$14+O97*Scorecard!$C$15+P97*Scorecard!$C$16+Q97*Scorecard!$C$17</f>
        <v>3.65209675469909</v>
      </c>
      <c r="S97" s="47" t="n">
        <f aca="false">L97*Scorecard!$D$12+M97*Scorecard!$D$13+N97*Scorecard!$D$14+O97*Scorecard!$D$15+P97*Scorecard!$D$16+Q97*Scorecard!$D$17</f>
        <v>3.1443211087924</v>
      </c>
      <c r="T97" s="47" t="n">
        <f aca="false">L97*Scorecard!$E$12+M97*Scorecard!$E$13+N97*Scorecard!$E$14+O97*Scorecard!$E$15+P97*Scorecard!$E$16+Q97*Scorecard!$E$17</f>
        <v>4.04128821559567</v>
      </c>
      <c r="U97" s="0" t="str">
        <f aca="false">IF(AND(R97&gt;=S97,R97&gt;=T97),"Distribution",IF(T97&gt;=S97,"Prof. services","Manufacturing"))</f>
        <v>Prof. services</v>
      </c>
    </row>
    <row r="98" customFormat="false" ht="15" hidden="false" customHeight="false" outlineLevel="0" collapsed="false">
      <c r="A98" s="46" t="n">
        <v>0.07188</v>
      </c>
      <c r="B98" s="46" t="n">
        <v>0.099369</v>
      </c>
      <c r="C98" s="46" t="n">
        <v>0.161532</v>
      </c>
      <c r="D98" s="46" t="n">
        <v>0.186232</v>
      </c>
      <c r="E98" s="46" t="n">
        <v>0.130607</v>
      </c>
      <c r="F98" s="46" t="n">
        <v>0.350379</v>
      </c>
      <c r="G98" s="47" t="n">
        <f aca="false">A98*Scorecard!$C$12+B98*Scorecard!$C$13+C98*Scorecard!$C$14+D98*Scorecard!$C$15+E98*Scorecard!$C$16+F98*Scorecard!$C$17</f>
        <v>3.45545397492155</v>
      </c>
      <c r="H98" s="47" t="n">
        <f aca="false">A98*Scorecard!$D$12+B98*Scorecard!$D$13+C98*Scorecard!$D$14+D98*Scorecard!$D$15+E98*Scorecard!$D$16+F98*Scorecard!$D$17</f>
        <v>2.63188119701763</v>
      </c>
      <c r="I98" s="47" t="n">
        <f aca="false">A98*Scorecard!$E$12+B98*Scorecard!$E$13+C98*Scorecard!$E$14+D98*Scorecard!$E$15+E98*Scorecard!$E$16+F98*Scorecard!$E$17</f>
        <v>4.03510648965909</v>
      </c>
      <c r="J98" s="0" t="str">
        <f aca="false">IF(AND(G98&gt;=H98,G98&gt;=I98),"Distribution",IF(I98&gt;=H98,"Prof. services","Manufacturing"))</f>
        <v>Prof. services</v>
      </c>
      <c r="L98" s="46" t="n">
        <v>0.215633</v>
      </c>
      <c r="M98" s="46" t="n">
        <v>0.208294</v>
      </c>
      <c r="N98" s="46" t="n">
        <v>0.239359</v>
      </c>
      <c r="O98" s="46" t="n">
        <v>0.191805</v>
      </c>
      <c r="P98" s="46" t="n">
        <v>0.102805</v>
      </c>
      <c r="Q98" s="46" t="n">
        <v>0.042104</v>
      </c>
      <c r="R98" s="47" t="n">
        <f aca="false">L98*Scorecard!$C$12+M98*Scorecard!$C$13+N98*Scorecard!$C$14+O98*Scorecard!$C$15+P98*Scorecard!$C$16+Q98*Scorecard!$C$17</f>
        <v>3.92774852486447</v>
      </c>
      <c r="S98" s="47" t="n">
        <f aca="false">L98*Scorecard!$D$12+M98*Scorecard!$D$13+N98*Scorecard!$D$14+O98*Scorecard!$D$15+P98*Scorecard!$D$16+Q98*Scorecard!$D$17</f>
        <v>3.02294016327405</v>
      </c>
      <c r="T98" s="47" t="n">
        <f aca="false">L98*Scorecard!$E$12+M98*Scorecard!$E$13+N98*Scorecard!$E$14+O98*Scorecard!$E$15+P98*Scorecard!$E$16+Q98*Scorecard!$E$17</f>
        <v>3.945505870126</v>
      </c>
      <c r="U98" s="0" t="str">
        <f aca="false">IF(AND(R98&gt;=S98,R98&gt;=T98),"Distribution",IF(T98&gt;=S98,"Prof. services","Manufacturing"))</f>
        <v>Prof. services</v>
      </c>
    </row>
    <row r="99" customFormat="false" ht="15" hidden="false" customHeight="false" outlineLevel="0" collapsed="false">
      <c r="A99" s="46" t="n">
        <v>0.432022</v>
      </c>
      <c r="B99" s="46" t="n">
        <v>0.155963</v>
      </c>
      <c r="C99" s="46" t="n">
        <v>0.232634</v>
      </c>
      <c r="D99" s="46" t="n">
        <v>0.061561</v>
      </c>
      <c r="E99" s="46" t="n">
        <v>0.017237</v>
      </c>
      <c r="F99" s="46" t="n">
        <v>0.100584</v>
      </c>
      <c r="G99" s="47" t="n">
        <f aca="false">A99*Scorecard!$C$12+B99*Scorecard!$C$13+C99*Scorecard!$C$14+D99*Scorecard!$C$15+E99*Scorecard!$C$16+F99*Scorecard!$C$17</f>
        <v>3.23871423894765</v>
      </c>
      <c r="H99" s="47" t="n">
        <f aca="false">A99*Scorecard!$D$12+B99*Scorecard!$D$13+C99*Scorecard!$D$14+D99*Scorecard!$D$15+E99*Scorecard!$D$16+F99*Scorecard!$D$17</f>
        <v>2.97740916447873</v>
      </c>
      <c r="I99" s="47" t="n">
        <f aca="false">A99*Scorecard!$E$12+B99*Scorecard!$E$13+C99*Scorecard!$E$14+D99*Scorecard!$E$15+E99*Scorecard!$E$16+F99*Scorecard!$E$17</f>
        <v>4.40380419881322</v>
      </c>
      <c r="J99" s="0" t="str">
        <f aca="false">IF(AND(G99&gt;=H99,G99&gt;=I99),"Distribution",IF(I99&gt;=H99,"Prof. services","Manufacturing"))</f>
        <v>Prof. services</v>
      </c>
      <c r="L99" s="46" t="n">
        <v>0.111335</v>
      </c>
      <c r="M99" s="46" t="n">
        <v>0.2803</v>
      </c>
      <c r="N99" s="46" t="n">
        <v>0.159165</v>
      </c>
      <c r="O99" s="46" t="n">
        <v>0.185888</v>
      </c>
      <c r="P99" s="46" t="n">
        <v>0.178453</v>
      </c>
      <c r="Q99" s="46" t="n">
        <v>0.084859</v>
      </c>
      <c r="R99" s="47" t="n">
        <f aca="false">L99*Scorecard!$C$12+M99*Scorecard!$C$13+N99*Scorecard!$C$14+O99*Scorecard!$C$15+P99*Scorecard!$C$16+Q99*Scorecard!$C$17</f>
        <v>4.09606541225502</v>
      </c>
      <c r="S99" s="47" t="n">
        <f aca="false">L99*Scorecard!$D$12+M99*Scorecard!$D$13+N99*Scorecard!$D$14+O99*Scorecard!$D$15+P99*Scorecard!$D$16+Q99*Scorecard!$D$17</f>
        <v>2.80019880457176</v>
      </c>
      <c r="T99" s="47" t="n">
        <f aca="false">L99*Scorecard!$E$12+M99*Scorecard!$E$13+N99*Scorecard!$E$14+O99*Scorecard!$E$15+P99*Scorecard!$E$16+Q99*Scorecard!$E$17</f>
        <v>3.5202867734308</v>
      </c>
      <c r="U99" s="0" t="str">
        <f aca="false">IF(AND(R99&gt;=S99,R99&gt;=T99),"Distribution",IF(T99&gt;=S99,"Prof. services","Manufacturing"))</f>
        <v>Distribution</v>
      </c>
    </row>
    <row r="100" customFormat="false" ht="15" hidden="false" customHeight="false" outlineLevel="0" collapsed="false">
      <c r="A100" s="46" t="n">
        <v>0.538027</v>
      </c>
      <c r="B100" s="46" t="n">
        <v>0.033237</v>
      </c>
      <c r="C100" s="46" t="n">
        <v>0.09099</v>
      </c>
      <c r="D100" s="46" t="n">
        <v>0.207328</v>
      </c>
      <c r="E100" s="46" t="n">
        <v>0.119288</v>
      </c>
      <c r="F100" s="46" t="n">
        <v>0.01113</v>
      </c>
      <c r="G100" s="47" t="n">
        <f aca="false">A100*Scorecard!$C$12+B100*Scorecard!$C$13+C100*Scorecard!$C$14+D100*Scorecard!$C$15+E100*Scorecard!$C$16+F100*Scorecard!$C$17</f>
        <v>3.24984872721363</v>
      </c>
      <c r="H100" s="47" t="n">
        <f aca="false">A100*Scorecard!$D$12+B100*Scorecard!$D$13+C100*Scorecard!$D$14+D100*Scorecard!$D$15+E100*Scorecard!$D$16+F100*Scorecard!$D$17</f>
        <v>3.56858352111924</v>
      </c>
      <c r="I100" s="47" t="n">
        <f aca="false">A100*Scorecard!$E$12+B100*Scorecard!$E$13+C100*Scorecard!$E$14+D100*Scorecard!$E$15+E100*Scorecard!$E$16+F100*Scorecard!$E$17</f>
        <v>4.40745441472213</v>
      </c>
      <c r="J100" s="0" t="str">
        <f aca="false">IF(AND(G100&gt;=H100,G100&gt;=I100),"Distribution",IF(I100&gt;=H100,"Prof. services","Manufacturing"))</f>
        <v>Prof. services</v>
      </c>
      <c r="L100" s="46" t="n">
        <v>0.164599</v>
      </c>
      <c r="M100" s="46" t="n">
        <v>0.321257</v>
      </c>
      <c r="N100" s="46" t="n">
        <v>0.240739</v>
      </c>
      <c r="O100" s="46" t="n">
        <v>0.094505</v>
      </c>
      <c r="P100" s="46" t="n">
        <v>0.141</v>
      </c>
      <c r="Q100" s="46" t="n">
        <v>0.0379</v>
      </c>
      <c r="R100" s="47" t="n">
        <f aca="false">L100*Scorecard!$C$12+M100*Scorecard!$C$13+N100*Scorecard!$C$14+O100*Scorecard!$C$15+P100*Scorecard!$C$16+Q100*Scorecard!$C$17</f>
        <v>4.04368145265876</v>
      </c>
      <c r="S100" s="47" t="n">
        <f aca="false">L100*Scorecard!$D$12+M100*Scorecard!$D$13+N100*Scorecard!$D$14+O100*Scorecard!$D$15+P100*Scorecard!$D$16+Q100*Scorecard!$D$17</f>
        <v>2.72607119315517</v>
      </c>
      <c r="T100" s="47" t="n">
        <f aca="false">L100*Scorecard!$E$12+M100*Scorecard!$E$13+N100*Scorecard!$E$14+O100*Scorecard!$E$15+P100*Scorecard!$E$16+Q100*Scorecard!$E$17</f>
        <v>3.60225161378394</v>
      </c>
      <c r="U100" s="0" t="str">
        <f aca="false">IF(AND(R100&gt;=S100,R100&gt;=T100),"Distribution",IF(T100&gt;=S100,"Prof. services","Manufacturing"))</f>
        <v>Distribution</v>
      </c>
    </row>
    <row r="101" customFormat="false" ht="15" hidden="false" customHeight="false" outlineLevel="0" collapsed="false">
      <c r="A101" s="46" t="n">
        <v>0.633734</v>
      </c>
      <c r="B101" s="46" t="n">
        <v>0.118517</v>
      </c>
      <c r="C101" s="46" t="n">
        <v>0.044555</v>
      </c>
      <c r="D101" s="46" t="n">
        <v>0.075913</v>
      </c>
      <c r="E101" s="46" t="n">
        <v>0.004494</v>
      </c>
      <c r="F101" s="46" t="n">
        <v>0.122787</v>
      </c>
      <c r="G101" s="47" t="n">
        <f aca="false">A101*Scorecard!$C$12+B101*Scorecard!$C$13+C101*Scorecard!$C$14+D101*Scorecard!$C$15+E101*Scorecard!$C$16+F101*Scorecard!$C$17</f>
        <v>2.80812576233907</v>
      </c>
      <c r="H101" s="47" t="n">
        <f aca="false">A101*Scorecard!$D$12+B101*Scorecard!$D$13+C101*Scorecard!$D$14+D101*Scorecard!$D$15+E101*Scorecard!$D$16+F101*Scorecard!$D$17</f>
        <v>3.14591565644152</v>
      </c>
      <c r="I101" s="47" t="n">
        <f aca="false">A101*Scorecard!$E$12+B101*Scorecard!$E$13+C101*Scorecard!$E$14+D101*Scorecard!$E$15+E101*Scorecard!$E$16+F101*Scorecard!$E$17</f>
        <v>4.52236159351006</v>
      </c>
      <c r="J101" s="0" t="str">
        <f aca="false">IF(AND(G101&gt;=H101,G101&gt;=I101),"Distribution",IF(I101&gt;=H101,"Prof. services","Manufacturing"))</f>
        <v>Prof. services</v>
      </c>
      <c r="L101" s="46" t="n">
        <v>0.171412</v>
      </c>
      <c r="M101" s="46" t="n">
        <v>0.211899</v>
      </c>
      <c r="N101" s="46" t="n">
        <v>0.195712</v>
      </c>
      <c r="O101" s="46" t="n">
        <v>0.135078</v>
      </c>
      <c r="P101" s="46" t="n">
        <v>0.156368</v>
      </c>
      <c r="Q101" s="46" t="n">
        <v>0.129531</v>
      </c>
      <c r="R101" s="47" t="n">
        <f aca="false">L101*Scorecard!$C$12+M101*Scorecard!$C$13+N101*Scorecard!$C$14+O101*Scorecard!$C$15+P101*Scorecard!$C$16+Q101*Scorecard!$C$17</f>
        <v>3.77937095549878</v>
      </c>
      <c r="S101" s="47" t="n">
        <f aca="false">L101*Scorecard!$D$12+M101*Scorecard!$D$13+N101*Scorecard!$D$14+O101*Scorecard!$D$15+P101*Scorecard!$D$16+Q101*Scorecard!$D$17</f>
        <v>2.80936323330628</v>
      </c>
      <c r="T101" s="47" t="n">
        <f aca="false">L101*Scorecard!$E$12+M101*Scorecard!$E$13+N101*Scorecard!$E$14+O101*Scorecard!$E$15+P101*Scorecard!$E$16+Q101*Scorecard!$E$17</f>
        <v>3.79600872791103</v>
      </c>
      <c r="U101" s="0" t="str">
        <f aca="false">IF(AND(R101&gt;=S101,R101&gt;=T101),"Distribution",IF(T101&gt;=S101,"Prof. services","Manufacturing"))</f>
        <v>Prof. services</v>
      </c>
    </row>
    <row r="102" customFormat="false" ht="15" hidden="false" customHeight="false" outlineLevel="0" collapsed="false">
      <c r="A102" s="46" t="n">
        <v>0.242852</v>
      </c>
      <c r="B102" s="46" t="n">
        <v>0.119085</v>
      </c>
      <c r="C102" s="46" t="n">
        <v>0.21911</v>
      </c>
      <c r="D102" s="46" t="n">
        <v>0.099673</v>
      </c>
      <c r="E102" s="46" t="n">
        <v>0.214959</v>
      </c>
      <c r="F102" s="46" t="n">
        <v>0.104321</v>
      </c>
      <c r="G102" s="47" t="n">
        <f aca="false">A102*Scorecard!$C$12+B102*Scorecard!$C$13+C102*Scorecard!$C$14+D102*Scorecard!$C$15+E102*Scorecard!$C$16+F102*Scorecard!$C$17</f>
        <v>3.57297893669516</v>
      </c>
      <c r="H102" s="47" t="n">
        <f aca="false">A102*Scorecard!$D$12+B102*Scorecard!$D$13+C102*Scorecard!$D$14+D102*Scorecard!$D$15+E102*Scorecard!$D$16+F102*Scorecard!$D$17</f>
        <v>3.01222590527979</v>
      </c>
      <c r="I102" s="47" t="n">
        <f aca="false">A102*Scorecard!$E$12+B102*Scorecard!$E$13+C102*Scorecard!$E$14+D102*Scorecard!$E$15+E102*Scorecard!$E$16+F102*Scorecard!$E$17</f>
        <v>3.94886051946189</v>
      </c>
      <c r="J102" s="0" t="str">
        <f aca="false">IF(AND(G102&gt;=H102,G102&gt;=I102),"Distribution",IF(I102&gt;=H102,"Prof. services","Manufacturing"))</f>
        <v>Prof. services</v>
      </c>
      <c r="L102" s="46" t="n">
        <v>0.236429</v>
      </c>
      <c r="M102" s="46" t="n">
        <v>0.249357</v>
      </c>
      <c r="N102" s="46" t="n">
        <v>0.121951</v>
      </c>
      <c r="O102" s="46" t="n">
        <v>0.204389</v>
      </c>
      <c r="P102" s="46" t="n">
        <v>0.123407</v>
      </c>
      <c r="Q102" s="46" t="n">
        <v>0.064467</v>
      </c>
      <c r="R102" s="47" t="n">
        <f aca="false">L102*Scorecard!$C$12+M102*Scorecard!$C$13+N102*Scorecard!$C$14+O102*Scorecard!$C$15+P102*Scorecard!$C$16+Q102*Scorecard!$C$17</f>
        <v>3.89923642829336</v>
      </c>
      <c r="S102" s="47" t="n">
        <f aca="false">L102*Scorecard!$D$12+M102*Scorecard!$D$13+N102*Scorecard!$D$14+O102*Scorecard!$D$15+P102*Scorecard!$D$16+Q102*Scorecard!$D$17</f>
        <v>2.96293188611642</v>
      </c>
      <c r="T102" s="47" t="n">
        <f aca="false">L102*Scorecard!$E$12+M102*Scorecard!$E$13+N102*Scorecard!$E$14+O102*Scorecard!$E$15+P102*Scorecard!$E$16+Q102*Scorecard!$E$17</f>
        <v>3.750786615814</v>
      </c>
      <c r="U102" s="0" t="str">
        <f aca="false">IF(AND(R102&gt;=S102,R102&gt;=T102),"Distribution",IF(T102&gt;=S102,"Prof. services","Manufacturing"))</f>
        <v>Distribution</v>
      </c>
    </row>
    <row r="103" customFormat="false" ht="15" hidden="false" customHeight="false" outlineLevel="0" collapsed="false">
      <c r="A103" s="46" t="n">
        <v>0.089436</v>
      </c>
      <c r="B103" s="46" t="n">
        <v>0.168165</v>
      </c>
      <c r="C103" s="46" t="n">
        <v>0.384175</v>
      </c>
      <c r="D103" s="46" t="n">
        <v>0.047066</v>
      </c>
      <c r="E103" s="46" t="n">
        <v>0.301357</v>
      </c>
      <c r="F103" s="46" t="n">
        <v>0.009801</v>
      </c>
      <c r="G103" s="47" t="n">
        <f aca="false">A103*Scorecard!$C$12+B103*Scorecard!$C$13+C103*Scorecard!$C$14+D103*Scorecard!$C$15+E103*Scorecard!$C$16+F103*Scorecard!$C$17</f>
        <v>4.03464292455598</v>
      </c>
      <c r="H103" s="47" t="n">
        <f aca="false">A103*Scorecard!$D$12+B103*Scorecard!$D$13+C103*Scorecard!$D$14+D103*Scorecard!$D$15+E103*Scorecard!$D$16+F103*Scorecard!$D$17</f>
        <v>2.94689723657229</v>
      </c>
      <c r="I103" s="47" t="n">
        <f aca="false">A103*Scorecard!$E$12+B103*Scorecard!$E$13+C103*Scorecard!$E$14+D103*Scorecard!$E$15+E103*Scorecard!$E$16+F103*Scorecard!$E$17</f>
        <v>3.66856566817711</v>
      </c>
      <c r="J103" s="0" t="str">
        <f aca="false">IF(AND(G103&gt;=H103,G103&gt;=I103),"Distribution",IF(I103&gt;=H103,"Prof. services","Manufacturing"))</f>
        <v>Distribution</v>
      </c>
      <c r="L103" s="46" t="n">
        <v>0.16424</v>
      </c>
      <c r="M103" s="46" t="n">
        <v>0.076228</v>
      </c>
      <c r="N103" s="46" t="n">
        <v>0.303593</v>
      </c>
      <c r="O103" s="46" t="n">
        <v>0.22599</v>
      </c>
      <c r="P103" s="46" t="n">
        <v>0.142889</v>
      </c>
      <c r="Q103" s="46" t="n">
        <v>0.08706</v>
      </c>
      <c r="R103" s="47" t="n">
        <f aca="false">L103*Scorecard!$C$12+M103*Scorecard!$C$13+N103*Scorecard!$C$14+O103*Scorecard!$C$15+P103*Scorecard!$C$16+Q103*Scorecard!$C$17</f>
        <v>3.83246365777845</v>
      </c>
      <c r="S103" s="47" t="n">
        <f aca="false">L103*Scorecard!$D$12+M103*Scorecard!$D$13+N103*Scorecard!$D$14+O103*Scorecard!$D$15+P103*Scorecard!$D$16+Q103*Scorecard!$D$17</f>
        <v>3.17272519333266</v>
      </c>
      <c r="T103" s="47" t="n">
        <f aca="false">L103*Scorecard!$E$12+M103*Scorecard!$E$13+N103*Scorecard!$E$14+O103*Scorecard!$E$15+P103*Scorecard!$E$16+Q103*Scorecard!$E$17</f>
        <v>4.16732965643589</v>
      </c>
      <c r="U103" s="0" t="str">
        <f aca="false">IF(AND(R103&gt;=S103,R103&gt;=T103),"Distribution",IF(T103&gt;=S103,"Prof. services","Manufacturing"))</f>
        <v>Prof. services</v>
      </c>
    </row>
    <row r="104" customFormat="false" ht="15" hidden="false" customHeight="false" outlineLevel="0" collapsed="false">
      <c r="A104" s="46" t="n">
        <v>0.100765</v>
      </c>
      <c r="B104" s="46" t="n">
        <v>0.077918</v>
      </c>
      <c r="C104" s="46" t="n">
        <v>0.095704</v>
      </c>
      <c r="D104" s="46" t="n">
        <v>0.204854</v>
      </c>
      <c r="E104" s="46" t="n">
        <v>0.054773</v>
      </c>
      <c r="F104" s="46" t="n">
        <v>0.465987</v>
      </c>
      <c r="G104" s="47" t="n">
        <f aca="false">A104*Scorecard!$C$12+B104*Scorecard!$C$13+C104*Scorecard!$C$14+D104*Scorecard!$C$15+E104*Scorecard!$C$16+F104*Scorecard!$C$17</f>
        <v>3.16942356299346</v>
      </c>
      <c r="H104" s="47" t="n">
        <f aca="false">A104*Scorecard!$D$12+B104*Scorecard!$D$13+C104*Scorecard!$D$14+D104*Scorecard!$D$15+E104*Scorecard!$D$16+F104*Scorecard!$D$17</f>
        <v>2.50603274457283</v>
      </c>
      <c r="I104" s="47" t="n">
        <f aca="false">A104*Scorecard!$E$12+B104*Scorecard!$E$13+C104*Scorecard!$E$14+D104*Scorecard!$E$15+E104*Scorecard!$E$16+F104*Scorecard!$E$17</f>
        <v>4.22565477913243</v>
      </c>
      <c r="J104" s="0" t="str">
        <f aca="false">IF(AND(G104&gt;=H104,G104&gt;=I104),"Distribution",IF(I104&gt;=H104,"Prof. services","Manufacturing"))</f>
        <v>Prof. services</v>
      </c>
      <c r="L104" s="46" t="n">
        <v>0.208676</v>
      </c>
      <c r="M104" s="46" t="n">
        <v>0.19099</v>
      </c>
      <c r="N104" s="46" t="n">
        <v>0.158391</v>
      </c>
      <c r="O104" s="46" t="n">
        <v>0.091561</v>
      </c>
      <c r="P104" s="46" t="n">
        <v>0.272064</v>
      </c>
      <c r="Q104" s="46" t="n">
        <v>0.078317</v>
      </c>
      <c r="R104" s="47" t="n">
        <f aca="false">L104*Scorecard!$C$12+M104*Scorecard!$C$13+N104*Scorecard!$C$14+O104*Scorecard!$C$15+P104*Scorecard!$C$16+Q104*Scorecard!$C$17</f>
        <v>3.75029322407803</v>
      </c>
      <c r="S104" s="47" t="n">
        <f aca="false">L104*Scorecard!$D$12+M104*Scorecard!$D$13+N104*Scorecard!$D$14+O104*Scorecard!$D$15+P104*Scorecard!$D$16+Q104*Scorecard!$D$17</f>
        <v>2.93036864635841</v>
      </c>
      <c r="T104" s="47" t="n">
        <f aca="false">L104*Scorecard!$E$12+M104*Scorecard!$E$13+N104*Scorecard!$E$14+O104*Scorecard!$E$15+P104*Scorecard!$E$16+Q104*Scorecard!$E$17</f>
        <v>3.60958913509698</v>
      </c>
      <c r="U104" s="0" t="str">
        <f aca="false">IF(AND(R104&gt;=S104,R104&gt;=T104),"Distribution",IF(T104&gt;=S104,"Prof. services","Manufacturing"))</f>
        <v>Distribution</v>
      </c>
    </row>
    <row r="105" customFormat="false" ht="15" hidden="false" customHeight="false" outlineLevel="0" collapsed="false">
      <c r="A105" s="46" t="n">
        <v>0.177155</v>
      </c>
      <c r="B105" s="46" t="n">
        <v>0.326166</v>
      </c>
      <c r="C105" s="46" t="n">
        <v>0.198436</v>
      </c>
      <c r="D105" s="46" t="n">
        <v>0.164449</v>
      </c>
      <c r="E105" s="46" t="n">
        <v>0.128356</v>
      </c>
      <c r="F105" s="46" t="n">
        <v>0.005438</v>
      </c>
      <c r="G105" s="47" t="n">
        <f aca="false">A105*Scorecard!$C$12+B105*Scorecard!$C$13+C105*Scorecard!$C$14+D105*Scorecard!$C$15+E105*Scorecard!$C$16+F105*Scorecard!$C$17</f>
        <v>4.16085747359804</v>
      </c>
      <c r="H105" s="47" t="n">
        <f aca="false">A105*Scorecard!$D$12+B105*Scorecard!$D$13+C105*Scorecard!$D$14+D105*Scorecard!$D$15+E105*Scorecard!$D$16+F105*Scorecard!$D$17</f>
        <v>2.85244501631929</v>
      </c>
      <c r="I105" s="47" t="n">
        <f aca="false">A105*Scorecard!$E$12+B105*Scorecard!$E$13+C105*Scorecard!$E$14+D105*Scorecard!$E$15+E105*Scorecard!$E$16+F105*Scorecard!$E$17</f>
        <v>3.57961821560966</v>
      </c>
      <c r="J105" s="0" t="str">
        <f aca="false">IF(AND(G105&gt;=H105,G105&gt;=I105),"Distribution",IF(I105&gt;=H105,"Prof. services","Manufacturing"))</f>
        <v>Distribution</v>
      </c>
      <c r="L105" s="46" t="n">
        <v>0.200608</v>
      </c>
      <c r="M105" s="46" t="n">
        <v>0.21651</v>
      </c>
      <c r="N105" s="46" t="n">
        <v>0.204655</v>
      </c>
      <c r="O105" s="46" t="n">
        <v>0.169761</v>
      </c>
      <c r="P105" s="46" t="n">
        <v>0.15437</v>
      </c>
      <c r="Q105" s="46" t="n">
        <v>0.054097</v>
      </c>
      <c r="R105" s="47" t="n">
        <f aca="false">L105*Scorecard!$C$12+M105*Scorecard!$C$13+N105*Scorecard!$C$14+O105*Scorecard!$C$15+P105*Scorecard!$C$16+Q105*Scorecard!$C$17</f>
        <v>3.91698373913553</v>
      </c>
      <c r="S105" s="47" t="n">
        <f aca="false">L105*Scorecard!$D$12+M105*Scorecard!$D$13+N105*Scorecard!$D$14+O105*Scorecard!$D$15+P105*Scorecard!$D$16+Q105*Scorecard!$D$17</f>
        <v>2.97436597238536</v>
      </c>
      <c r="T105" s="47" t="n">
        <f aca="false">L105*Scorecard!$E$12+M105*Scorecard!$E$13+N105*Scorecard!$E$14+O105*Scorecard!$E$15+P105*Scorecard!$E$16+Q105*Scorecard!$E$17</f>
        <v>3.79680822976611</v>
      </c>
      <c r="U105" s="0" t="str">
        <f aca="false">IF(AND(R105&gt;=S105,R105&gt;=T105),"Distribution",IF(T105&gt;=S105,"Prof. services","Manufacturing"))</f>
        <v>Distribution</v>
      </c>
    </row>
    <row r="106" customFormat="false" ht="15" hidden="false" customHeight="false" outlineLevel="0" collapsed="false">
      <c r="A106" s="46" t="n">
        <v>0.284644</v>
      </c>
      <c r="B106" s="46" t="n">
        <v>0.075472</v>
      </c>
      <c r="C106" s="46" t="n">
        <v>0.199954</v>
      </c>
      <c r="D106" s="46" t="n">
        <v>0.292976</v>
      </c>
      <c r="E106" s="46" t="n">
        <v>0.112238</v>
      </c>
      <c r="F106" s="46" t="n">
        <v>0.034716</v>
      </c>
      <c r="G106" s="47" t="n">
        <f aca="false">A106*Scorecard!$C$12+B106*Scorecard!$C$13+C106*Scorecard!$C$14+D106*Scorecard!$C$15+E106*Scorecard!$C$16+F106*Scorecard!$C$17</f>
        <v>3.78665274070074</v>
      </c>
      <c r="H106" s="47" t="n">
        <f aca="false">A106*Scorecard!$D$12+B106*Scorecard!$D$13+C106*Scorecard!$D$14+D106*Scorecard!$D$15+E106*Scorecard!$D$16+F106*Scorecard!$D$17</f>
        <v>3.39923745159537</v>
      </c>
      <c r="I106" s="47" t="n">
        <f aca="false">A106*Scorecard!$E$12+B106*Scorecard!$E$13+C106*Scorecard!$E$14+D106*Scorecard!$E$15+E106*Scorecard!$E$16+F106*Scorecard!$E$17</f>
        <v>4.22141869019893</v>
      </c>
      <c r="J106" s="0" t="str">
        <f aca="false">IF(AND(G106&gt;=H106,G106&gt;=I106),"Distribution",IF(I106&gt;=H106,"Prof. services","Manufacturing"))</f>
        <v>Prof. services</v>
      </c>
      <c r="L106" s="46" t="n">
        <v>0.148177</v>
      </c>
      <c r="M106" s="46" t="n">
        <v>0.25868</v>
      </c>
      <c r="N106" s="46" t="n">
        <v>0.135997</v>
      </c>
      <c r="O106" s="46" t="n">
        <v>0.123981</v>
      </c>
      <c r="P106" s="46" t="n">
        <v>0.156736</v>
      </c>
      <c r="Q106" s="46" t="n">
        <v>0.176429</v>
      </c>
      <c r="R106" s="47" t="n">
        <f aca="false">L106*Scorecard!$C$12+M106*Scorecard!$C$13+N106*Scorecard!$C$14+O106*Scorecard!$C$15+P106*Scorecard!$C$16+Q106*Scorecard!$C$17</f>
        <v>3.7630822868524</v>
      </c>
      <c r="S106" s="47" t="n">
        <f aca="false">L106*Scorecard!$D$12+M106*Scorecard!$D$13+N106*Scorecard!$D$14+O106*Scorecard!$D$15+P106*Scorecard!$D$16+Q106*Scorecard!$D$17</f>
        <v>2.64072632370901</v>
      </c>
      <c r="T106" s="47" t="n">
        <f aca="false">L106*Scorecard!$E$12+M106*Scorecard!$E$13+N106*Scorecard!$E$14+O106*Scorecard!$E$15+P106*Scorecard!$E$16+Q106*Scorecard!$E$17</f>
        <v>3.64633140242237</v>
      </c>
      <c r="U106" s="0" t="str">
        <f aca="false">IF(AND(R106&gt;=S106,R106&gt;=T106),"Distribution",IF(T106&gt;=S106,"Prof. services","Manufacturing"))</f>
        <v>Distribution</v>
      </c>
    </row>
    <row r="107" customFormat="false" ht="15" hidden="false" customHeight="false" outlineLevel="0" collapsed="false">
      <c r="A107" s="46" t="n">
        <v>0.067108</v>
      </c>
      <c r="B107" s="46" t="n">
        <v>0.010547</v>
      </c>
      <c r="C107" s="46" t="n">
        <v>0.250815</v>
      </c>
      <c r="D107" s="46" t="n">
        <v>0.124389</v>
      </c>
      <c r="E107" s="46" t="n">
        <v>0.290739</v>
      </c>
      <c r="F107" s="46" t="n">
        <v>0.256402</v>
      </c>
      <c r="G107" s="47" t="n">
        <f aca="false">A107*Scorecard!$C$12+B107*Scorecard!$C$13+C107*Scorecard!$C$14+D107*Scorecard!$C$15+E107*Scorecard!$C$16+F107*Scorecard!$C$17</f>
        <v>3.50133664297489</v>
      </c>
      <c r="H107" s="47" t="n">
        <f aca="false">A107*Scorecard!$D$12+B107*Scorecard!$D$13+C107*Scorecard!$D$14+D107*Scorecard!$D$15+E107*Scorecard!$D$16+F107*Scorecard!$D$17</f>
        <v>2.88480488674256</v>
      </c>
      <c r="I107" s="47" t="n">
        <f aca="false">A107*Scorecard!$E$12+B107*Scorecard!$E$13+C107*Scorecard!$E$14+D107*Scorecard!$E$15+E107*Scorecard!$E$16+F107*Scorecard!$E$17</f>
        <v>3.96219068881701</v>
      </c>
      <c r="J107" s="0" t="str">
        <f aca="false">IF(AND(G107&gt;=H107,G107&gt;=I107),"Distribution",IF(I107&gt;=H107,"Prof. services","Manufacturing"))</f>
        <v>Prof. services</v>
      </c>
      <c r="L107" s="46" t="n">
        <v>0.282497</v>
      </c>
      <c r="M107" s="46" t="n">
        <v>0.127877</v>
      </c>
      <c r="N107" s="46" t="n">
        <v>0.219348</v>
      </c>
      <c r="O107" s="46" t="n">
        <v>0.156614</v>
      </c>
      <c r="P107" s="46" t="n">
        <v>0.121715</v>
      </c>
      <c r="Q107" s="46" t="n">
        <v>0.09195</v>
      </c>
      <c r="R107" s="47" t="n">
        <f aca="false">L107*Scorecard!$C$12+M107*Scorecard!$C$13+N107*Scorecard!$C$14+O107*Scorecard!$C$15+P107*Scorecard!$C$16+Q107*Scorecard!$C$17</f>
        <v>3.59209637131904</v>
      </c>
      <c r="S107" s="47" t="n">
        <f aca="false">L107*Scorecard!$D$12+M107*Scorecard!$D$13+N107*Scorecard!$D$14+O107*Scorecard!$D$15+P107*Scorecard!$D$16+Q107*Scorecard!$D$17</f>
        <v>3.07861197613199</v>
      </c>
      <c r="T107" s="47" t="n">
        <f aca="false">L107*Scorecard!$E$12+M107*Scorecard!$E$13+N107*Scorecard!$E$14+O107*Scorecard!$E$15+P107*Scorecard!$E$16+Q107*Scorecard!$E$17</f>
        <v>4.13082312255413</v>
      </c>
      <c r="U107" s="0" t="str">
        <f aca="false">IF(AND(R107&gt;=S107,R107&gt;=T107),"Distribution",IF(T107&gt;=S107,"Prof. services","Manufacturing"))</f>
        <v>Prof. services</v>
      </c>
    </row>
    <row r="108" customFormat="false" ht="15" hidden="false" customHeight="false" outlineLevel="0" collapsed="false">
      <c r="A108" s="46" t="n">
        <v>0.010879</v>
      </c>
      <c r="B108" s="46" t="n">
        <v>0.467706</v>
      </c>
      <c r="C108" s="46" t="n">
        <v>0.038684</v>
      </c>
      <c r="D108" s="46" t="n">
        <v>0.020254</v>
      </c>
      <c r="E108" s="46" t="n">
        <v>0.301181</v>
      </c>
      <c r="F108" s="46" t="n">
        <v>0.161297</v>
      </c>
      <c r="G108" s="47" t="n">
        <f aca="false">A108*Scorecard!$C$12+B108*Scorecard!$C$13+C108*Scorecard!$C$14+D108*Scorecard!$C$15+E108*Scorecard!$C$16+F108*Scorecard!$C$17</f>
        <v>4.14578764485492</v>
      </c>
      <c r="H108" s="47" t="n">
        <f aca="false">A108*Scorecard!$D$12+B108*Scorecard!$D$13+C108*Scorecard!$D$14+D108*Scorecard!$D$15+E108*Scorecard!$D$16+F108*Scorecard!$D$17</f>
        <v>2.18705650103461</v>
      </c>
      <c r="I108" s="47" t="n">
        <f aca="false">A108*Scorecard!$E$12+B108*Scorecard!$E$13+C108*Scorecard!$E$14+D108*Scorecard!$E$15+E108*Scorecard!$E$16+F108*Scorecard!$E$17</f>
        <v>2.75434751040257</v>
      </c>
      <c r="J108" s="0" t="str">
        <f aca="false">IF(AND(G108&gt;=H108,G108&gt;=I108),"Distribution",IF(I108&gt;=H108,"Prof. services","Manufacturing"))</f>
        <v>Distribution</v>
      </c>
      <c r="L108" s="46" t="n">
        <v>0.151138</v>
      </c>
      <c r="M108" s="46" t="n">
        <v>0.186922</v>
      </c>
      <c r="N108" s="46" t="n">
        <v>0.162498</v>
      </c>
      <c r="O108" s="46" t="n">
        <v>0.154982</v>
      </c>
      <c r="P108" s="46" t="n">
        <v>0.125596</v>
      </c>
      <c r="Q108" s="46" t="n">
        <v>0.218865</v>
      </c>
      <c r="R108" s="47" t="n">
        <f aca="false">L108*Scorecard!$C$12+M108*Scorecard!$C$13+N108*Scorecard!$C$14+O108*Scorecard!$C$15+P108*Scorecard!$C$16+Q108*Scorecard!$C$17</f>
        <v>3.63212744462567</v>
      </c>
      <c r="S108" s="47" t="n">
        <f aca="false">L108*Scorecard!$D$12+M108*Scorecard!$D$13+N108*Scorecard!$D$14+O108*Scorecard!$D$15+P108*Scorecard!$D$16+Q108*Scorecard!$D$17</f>
        <v>2.71224814549837</v>
      </c>
      <c r="T108" s="47" t="n">
        <f aca="false">L108*Scorecard!$E$12+M108*Scorecard!$E$13+N108*Scorecard!$E$14+O108*Scorecard!$E$15+P108*Scorecard!$E$16+Q108*Scorecard!$E$17</f>
        <v>3.88859139506025</v>
      </c>
      <c r="U108" s="0" t="str">
        <f aca="false">IF(AND(R108&gt;=S108,R108&gt;=T108),"Distribution",IF(T108&gt;=S108,"Prof. services","Manufacturing"))</f>
        <v>Prof. services</v>
      </c>
    </row>
    <row r="109" customFormat="false" ht="15" hidden="false" customHeight="false" outlineLevel="0" collapsed="false">
      <c r="A109" s="46" t="n">
        <v>0.240375</v>
      </c>
      <c r="B109" s="46" t="n">
        <v>0.499009</v>
      </c>
      <c r="C109" s="46" t="n">
        <v>0.08394</v>
      </c>
      <c r="D109" s="46" t="n">
        <v>0.140934</v>
      </c>
      <c r="E109" s="46" t="n">
        <v>0.000477</v>
      </c>
      <c r="F109" s="46" t="n">
        <v>0.035266</v>
      </c>
      <c r="G109" s="47" t="n">
        <f aca="false">A109*Scorecard!$C$12+B109*Scorecard!$C$13+C109*Scorecard!$C$14+D109*Scorecard!$C$15+E109*Scorecard!$C$16+F109*Scorecard!$C$17</f>
        <v>4.13673657201958</v>
      </c>
      <c r="H109" s="47" t="n">
        <f aca="false">A109*Scorecard!$D$12+B109*Scorecard!$D$13+C109*Scorecard!$D$14+D109*Scorecard!$D$15+E109*Scorecard!$D$16+F109*Scorecard!$D$17</f>
        <v>2.52017997263242</v>
      </c>
      <c r="I109" s="47" t="n">
        <f aca="false">A109*Scorecard!$E$12+B109*Scorecard!$E$13+C109*Scorecard!$E$14+D109*Scorecard!$E$15+E109*Scorecard!$E$16+F109*Scorecard!$E$17</f>
        <v>3.42835065266123</v>
      </c>
      <c r="J109" s="0" t="str">
        <f aca="false">IF(AND(G109&gt;=H109,G109&gt;=I109),"Distribution",IF(I109&gt;=H109,"Prof. services","Manufacturing"))</f>
        <v>Distribution</v>
      </c>
      <c r="L109" s="46" t="n">
        <v>0.224582</v>
      </c>
      <c r="M109" s="46" t="n">
        <v>0.207317</v>
      </c>
      <c r="N109" s="46" t="n">
        <v>0.194161</v>
      </c>
      <c r="O109" s="46" t="n">
        <v>0.13353</v>
      </c>
      <c r="P109" s="46" t="n">
        <v>0.083315</v>
      </c>
      <c r="Q109" s="46" t="n">
        <v>0.157095</v>
      </c>
      <c r="R109" s="47" t="n">
        <f aca="false">L109*Scorecard!$C$12+M109*Scorecard!$C$13+N109*Scorecard!$C$14+O109*Scorecard!$C$15+P109*Scorecard!$C$16+Q109*Scorecard!$C$17</f>
        <v>3.62240619724306</v>
      </c>
      <c r="S109" s="47" t="n">
        <f aca="false">L109*Scorecard!$D$12+M109*Scorecard!$D$13+N109*Scorecard!$D$14+O109*Scorecard!$D$15+P109*Scorecard!$D$16+Q109*Scorecard!$D$17</f>
        <v>2.78387318929791</v>
      </c>
      <c r="T109" s="47" t="n">
        <f aca="false">L109*Scorecard!$E$12+M109*Scorecard!$E$13+N109*Scorecard!$E$14+O109*Scorecard!$E$15+P109*Scorecard!$E$16+Q109*Scorecard!$E$17</f>
        <v>3.99150462733769</v>
      </c>
      <c r="U109" s="0" t="str">
        <f aca="false">IF(AND(R109&gt;=S109,R109&gt;=T109),"Distribution",IF(T109&gt;=S109,"Prof. services","Manufacturing"))</f>
        <v>Prof. services</v>
      </c>
    </row>
    <row r="110" customFormat="false" ht="15" hidden="false" customHeight="false" outlineLevel="0" collapsed="false">
      <c r="A110" s="46" t="n">
        <v>0.190959</v>
      </c>
      <c r="B110" s="46" t="n">
        <v>0.002129</v>
      </c>
      <c r="C110" s="46" t="n">
        <v>0.178472</v>
      </c>
      <c r="D110" s="46" t="n">
        <v>0.169053</v>
      </c>
      <c r="E110" s="46" t="n">
        <v>0.016572</v>
      </c>
      <c r="F110" s="46" t="n">
        <v>0.442815</v>
      </c>
      <c r="G110" s="47" t="n">
        <f aca="false">A110*Scorecard!$C$12+B110*Scorecard!$C$13+C110*Scorecard!$C$14+D110*Scorecard!$C$15+E110*Scorecard!$C$16+F110*Scorecard!$C$17</f>
        <v>2.94182307673962</v>
      </c>
      <c r="H110" s="47" t="n">
        <f aca="false">A110*Scorecard!$D$12+B110*Scorecard!$D$13+C110*Scorecard!$D$14+D110*Scorecard!$D$15+E110*Scorecard!$D$16+F110*Scorecard!$D$17</f>
        <v>2.65994636853414</v>
      </c>
      <c r="I110" s="47" t="n">
        <f aca="false">A110*Scorecard!$E$12+B110*Scorecard!$E$13+C110*Scorecard!$E$14+D110*Scorecard!$E$15+E110*Scorecard!$E$16+F110*Scorecard!$E$17</f>
        <v>4.58696870517545</v>
      </c>
      <c r="J110" s="0" t="str">
        <f aca="false">IF(AND(G110&gt;=H110,G110&gt;=I110),"Distribution",IF(I110&gt;=H110,"Prof. services","Manufacturing"))</f>
        <v>Prof. services</v>
      </c>
      <c r="L110" s="46" t="n">
        <v>0.193428</v>
      </c>
      <c r="M110" s="46" t="n">
        <v>0.093283</v>
      </c>
      <c r="N110" s="46" t="n">
        <v>0.177492</v>
      </c>
      <c r="O110" s="46" t="n">
        <v>0.232677</v>
      </c>
      <c r="P110" s="46" t="n">
        <v>0.192967</v>
      </c>
      <c r="Q110" s="46" t="n">
        <v>0.110153</v>
      </c>
      <c r="R110" s="47" t="n">
        <f aca="false">L110*Scorecard!$C$12+M110*Scorecard!$C$13+N110*Scorecard!$C$14+O110*Scorecard!$C$15+P110*Scorecard!$C$16+Q110*Scorecard!$C$17</f>
        <v>3.75748084152929</v>
      </c>
      <c r="S110" s="47" t="n">
        <f aca="false">L110*Scorecard!$D$12+M110*Scorecard!$D$13+N110*Scorecard!$D$14+O110*Scorecard!$D$15+P110*Scorecard!$D$16+Q110*Scorecard!$D$17</f>
        <v>3.15620002326643</v>
      </c>
      <c r="T110" s="47" t="n">
        <f aca="false">L110*Scorecard!$E$12+M110*Scorecard!$E$13+N110*Scorecard!$E$14+O110*Scorecard!$E$15+P110*Scorecard!$E$16+Q110*Scorecard!$E$17</f>
        <v>3.96760908290921</v>
      </c>
      <c r="U110" s="0" t="str">
        <f aca="false">IF(AND(R110&gt;=S110,R110&gt;=T110),"Distribution",IF(T110&gt;=S110,"Prof. services","Manufacturing"))</f>
        <v>Prof. services</v>
      </c>
    </row>
    <row r="111" customFormat="false" ht="15" hidden="false" customHeight="false" outlineLevel="0" collapsed="false">
      <c r="A111" s="46" t="n">
        <v>0.163403</v>
      </c>
      <c r="B111" s="46" t="n">
        <v>0.269807</v>
      </c>
      <c r="C111" s="46" t="n">
        <v>0.01871</v>
      </c>
      <c r="D111" s="46" t="n">
        <v>0.157953</v>
      </c>
      <c r="E111" s="46" t="n">
        <v>0.047313</v>
      </c>
      <c r="F111" s="46" t="n">
        <v>0.342814</v>
      </c>
      <c r="G111" s="47" t="n">
        <f aca="false">A111*Scorecard!$C$12+B111*Scorecard!$C$13+C111*Scorecard!$C$14+D111*Scorecard!$C$15+E111*Scorecard!$C$16+F111*Scorecard!$C$17</f>
        <v>3.44800426971488</v>
      </c>
      <c r="H111" s="47" t="n">
        <f aca="false">A111*Scorecard!$D$12+B111*Scorecard!$D$13+C111*Scorecard!$D$14+D111*Scorecard!$D$15+E111*Scorecard!$D$16+F111*Scorecard!$D$17</f>
        <v>2.38735774719237</v>
      </c>
      <c r="I111" s="47" t="n">
        <f aca="false">A111*Scorecard!$E$12+B111*Scorecard!$E$13+C111*Scorecard!$E$14+D111*Scorecard!$E$15+E111*Scorecard!$E$16+F111*Scorecard!$E$17</f>
        <v>3.79454006015011</v>
      </c>
      <c r="J111" s="0" t="str">
        <f aca="false">IF(AND(G111&gt;=H111,G111&gt;=I111),"Distribution",IF(I111&gt;=H111,"Prof. services","Manufacturing"))</f>
        <v>Prof. services</v>
      </c>
      <c r="L111" s="46" t="n">
        <v>0.159542</v>
      </c>
      <c r="M111" s="46" t="n">
        <v>0.158758</v>
      </c>
      <c r="N111" s="46" t="n">
        <v>0.331624</v>
      </c>
      <c r="O111" s="46" t="n">
        <v>0.191361</v>
      </c>
      <c r="P111" s="46" t="n">
        <v>0.063078</v>
      </c>
      <c r="Q111" s="46" t="n">
        <v>0.095637</v>
      </c>
      <c r="R111" s="47" t="n">
        <f aca="false">L111*Scorecard!$C$12+M111*Scorecard!$C$13+N111*Scorecard!$C$14+O111*Scorecard!$C$15+P111*Scorecard!$C$16+Q111*Scorecard!$C$17</f>
        <v>3.87166712477648</v>
      </c>
      <c r="S111" s="47" t="n">
        <f aca="false">L111*Scorecard!$D$12+M111*Scorecard!$D$13+N111*Scorecard!$D$14+O111*Scorecard!$D$15+P111*Scorecard!$D$16+Q111*Scorecard!$D$17</f>
        <v>2.96618711537573</v>
      </c>
      <c r="T111" s="47" t="n">
        <f aca="false">L111*Scorecard!$E$12+M111*Scorecard!$E$13+N111*Scorecard!$E$14+O111*Scorecard!$E$15+P111*Scorecard!$E$16+Q111*Scorecard!$E$17</f>
        <v>4.16749427615689</v>
      </c>
      <c r="U111" s="0" t="str">
        <f aca="false">IF(AND(R111&gt;=S111,R111&gt;=T111),"Distribution",IF(T111&gt;=S111,"Prof. services","Manufacturing"))</f>
        <v>Prof. services</v>
      </c>
    </row>
    <row r="112" customFormat="false" ht="15" hidden="false" customHeight="false" outlineLevel="0" collapsed="false">
      <c r="A112" s="46" t="n">
        <v>0.131468</v>
      </c>
      <c r="B112" s="46" t="n">
        <v>0.190728</v>
      </c>
      <c r="C112" s="46" t="n">
        <v>0.064462</v>
      </c>
      <c r="D112" s="46" t="n">
        <v>0.12729</v>
      </c>
      <c r="E112" s="46" t="n">
        <v>0.275748</v>
      </c>
      <c r="F112" s="46" t="n">
        <v>0.210304</v>
      </c>
      <c r="G112" s="47" t="n">
        <f aca="false">A112*Scorecard!$C$12+B112*Scorecard!$C$13+C112*Scorecard!$C$14+D112*Scorecard!$C$15+E112*Scorecard!$C$16+F112*Scorecard!$C$17</f>
        <v>3.66076572513893</v>
      </c>
      <c r="H112" s="47" t="n">
        <f aca="false">A112*Scorecard!$D$12+B112*Scorecard!$D$13+C112*Scorecard!$D$14+D112*Scorecard!$D$15+E112*Scorecard!$D$16+F112*Scorecard!$D$17</f>
        <v>2.72437409902538</v>
      </c>
      <c r="I112" s="47" t="n">
        <f aca="false">A112*Scorecard!$E$12+B112*Scorecard!$E$13+C112*Scorecard!$E$14+D112*Scorecard!$E$15+E112*Scorecard!$E$16+F112*Scorecard!$E$17</f>
        <v>3.50466453435561</v>
      </c>
      <c r="J112" s="0" t="str">
        <f aca="false">IF(AND(G112&gt;=H112,G112&gt;=I112),"Distribution",IF(I112&gt;=H112,"Prof. services","Manufacturing"))</f>
        <v>Distribution</v>
      </c>
      <c r="L112" s="46" t="n">
        <v>0.257248</v>
      </c>
      <c r="M112" s="46" t="n">
        <v>0.191642</v>
      </c>
      <c r="N112" s="46" t="n">
        <v>0.205184</v>
      </c>
      <c r="O112" s="46" t="n">
        <v>0.084566</v>
      </c>
      <c r="P112" s="46" t="n">
        <v>0.12276</v>
      </c>
      <c r="Q112" s="46" t="n">
        <v>0.1386</v>
      </c>
      <c r="R112" s="47" t="n">
        <f aca="false">L112*Scorecard!$C$12+M112*Scorecard!$C$13+N112*Scorecard!$C$14+O112*Scorecard!$C$15+P112*Scorecard!$C$16+Q112*Scorecard!$C$17</f>
        <v>3.53595793139425</v>
      </c>
      <c r="S112" s="47" t="n">
        <f aca="false">L112*Scorecard!$D$12+M112*Scorecard!$D$13+N112*Scorecard!$D$14+O112*Scorecard!$D$15+P112*Scorecard!$D$16+Q112*Scorecard!$D$17</f>
        <v>2.81318698178866</v>
      </c>
      <c r="T112" s="47" t="n">
        <f aca="false">L112*Scorecard!$E$12+M112*Scorecard!$E$13+N112*Scorecard!$E$14+O112*Scorecard!$E$15+P112*Scorecard!$E$16+Q112*Scorecard!$E$17</f>
        <v>3.9815688007836</v>
      </c>
      <c r="U112" s="0" t="str">
        <f aca="false">IF(AND(R112&gt;=S112,R112&gt;=T112),"Distribution",IF(T112&gt;=S112,"Prof. services","Manufacturing"))</f>
        <v>Prof. services</v>
      </c>
    </row>
    <row r="113" customFormat="false" ht="15" hidden="false" customHeight="false" outlineLevel="0" collapsed="false">
      <c r="A113" s="46" t="n">
        <v>0.004239</v>
      </c>
      <c r="B113" s="46" t="n">
        <v>0.010852</v>
      </c>
      <c r="C113" s="46" t="n">
        <v>0.185377</v>
      </c>
      <c r="D113" s="46" t="n">
        <v>0.456101</v>
      </c>
      <c r="E113" s="46" t="n">
        <v>0.282727</v>
      </c>
      <c r="F113" s="46" t="n">
        <v>0.060704</v>
      </c>
      <c r="G113" s="47" t="n">
        <f aca="false">A113*Scorecard!$C$12+B113*Scorecard!$C$13+C113*Scorecard!$C$14+D113*Scorecard!$C$15+E113*Scorecard!$C$16+F113*Scorecard!$C$17</f>
        <v>4.33791473954775</v>
      </c>
      <c r="H113" s="47" t="n">
        <f aca="false">A113*Scorecard!$D$12+B113*Scorecard!$D$13+C113*Scorecard!$D$14+D113*Scorecard!$D$15+E113*Scorecard!$D$16+F113*Scorecard!$D$17</f>
        <v>3.51769882698091</v>
      </c>
      <c r="I113" s="47" t="n">
        <f aca="false">A113*Scorecard!$E$12+B113*Scorecard!$E$13+C113*Scorecard!$E$14+D113*Scorecard!$E$15+E113*Scorecard!$E$16+F113*Scorecard!$E$17</f>
        <v>3.80325330906727</v>
      </c>
      <c r="J113" s="0" t="str">
        <f aca="false">IF(AND(G113&gt;=H113,G113&gt;=I113),"Distribution",IF(I113&gt;=H113,"Prof. services","Manufacturing"))</f>
        <v>Distribution</v>
      </c>
      <c r="L113" s="46" t="n">
        <v>0.138342</v>
      </c>
      <c r="M113" s="46" t="n">
        <v>0.266184</v>
      </c>
      <c r="N113" s="46" t="n">
        <v>0.170466</v>
      </c>
      <c r="O113" s="46" t="n">
        <v>0.150898</v>
      </c>
      <c r="P113" s="46" t="n">
        <v>0.163973</v>
      </c>
      <c r="Q113" s="46" t="n">
        <v>0.110137</v>
      </c>
      <c r="R113" s="47" t="n">
        <f aca="false">L113*Scorecard!$C$12+M113*Scorecard!$C$13+N113*Scorecard!$C$14+O113*Scorecard!$C$15+P113*Scorecard!$C$16+Q113*Scorecard!$C$17</f>
        <v>3.94779042710903</v>
      </c>
      <c r="S113" s="47" t="n">
        <f aca="false">L113*Scorecard!$D$12+M113*Scorecard!$D$13+N113*Scorecard!$D$14+O113*Scorecard!$D$15+P113*Scorecard!$D$16+Q113*Scorecard!$D$17</f>
        <v>2.75597686567767</v>
      </c>
      <c r="T113" s="47" t="n">
        <f aca="false">L113*Scorecard!$E$12+M113*Scorecard!$E$13+N113*Scorecard!$E$14+O113*Scorecard!$E$15+P113*Scorecard!$E$16+Q113*Scorecard!$E$17</f>
        <v>3.61610068261605</v>
      </c>
      <c r="U113" s="0" t="str">
        <f aca="false">IF(AND(R113&gt;=S113,R113&gt;=T113),"Distribution",IF(T113&gt;=S113,"Prof. services","Manufacturing"))</f>
        <v>Distribution</v>
      </c>
    </row>
    <row r="114" customFormat="false" ht="15" hidden="false" customHeight="false" outlineLevel="0" collapsed="false">
      <c r="A114" s="46" t="n">
        <v>0.232113</v>
      </c>
      <c r="B114" s="46" t="n">
        <v>0.482267</v>
      </c>
      <c r="C114" s="46" t="n">
        <v>0.058689</v>
      </c>
      <c r="D114" s="46" t="n">
        <v>0.093004</v>
      </c>
      <c r="E114" s="46" t="n">
        <v>0.084265</v>
      </c>
      <c r="F114" s="46" t="n">
        <v>0.049662</v>
      </c>
      <c r="G114" s="47" t="n">
        <f aca="false">A114*Scorecard!$C$12+B114*Scorecard!$C$13+C114*Scorecard!$C$14+D114*Scorecard!$C$15+E114*Scorecard!$C$16+F114*Scorecard!$C$17</f>
        <v>4.0581402898437</v>
      </c>
      <c r="H114" s="47" t="n">
        <f aca="false">A114*Scorecard!$D$12+B114*Scorecard!$D$13+C114*Scorecard!$D$14+D114*Scorecard!$D$15+E114*Scorecard!$D$16+F114*Scorecard!$D$17</f>
        <v>2.49069888344032</v>
      </c>
      <c r="I114" s="47" t="n">
        <f aca="false">A114*Scorecard!$E$12+B114*Scorecard!$E$13+C114*Scorecard!$E$14+D114*Scorecard!$E$15+E114*Scorecard!$E$16+F114*Scorecard!$E$17</f>
        <v>3.28592026801526</v>
      </c>
      <c r="J114" s="0" t="str">
        <f aca="false">IF(AND(G114&gt;=H114,G114&gt;=I114),"Distribution",IF(I114&gt;=H114,"Prof. services","Manufacturing"))</f>
        <v>Distribution</v>
      </c>
      <c r="L114" s="46" t="n">
        <v>0.205246</v>
      </c>
      <c r="M114" s="46" t="n">
        <v>0.22037</v>
      </c>
      <c r="N114" s="46" t="n">
        <v>0.122094</v>
      </c>
      <c r="O114" s="46" t="n">
        <v>0.196566</v>
      </c>
      <c r="P114" s="46" t="n">
        <v>0.147422</v>
      </c>
      <c r="Q114" s="46" t="n">
        <v>0.108301</v>
      </c>
      <c r="R114" s="47" t="n">
        <f aca="false">L114*Scorecard!$C$12+M114*Scorecard!$C$13+N114*Scorecard!$C$14+O114*Scorecard!$C$15+P114*Scorecard!$C$16+Q114*Scorecard!$C$17</f>
        <v>3.83088427299316</v>
      </c>
      <c r="S114" s="47" t="n">
        <f aca="false">L114*Scorecard!$D$12+M114*Scorecard!$D$13+N114*Scorecard!$D$14+O114*Scorecard!$D$15+P114*Scorecard!$D$16+Q114*Scorecard!$D$17</f>
        <v>2.91903830301185</v>
      </c>
      <c r="T114" s="47" t="n">
        <f aca="false">L114*Scorecard!$E$12+M114*Scorecard!$E$13+N114*Scorecard!$E$14+O114*Scorecard!$E$15+P114*Scorecard!$E$16+Q114*Scorecard!$E$17</f>
        <v>3.75471843726889</v>
      </c>
      <c r="U114" s="0" t="str">
        <f aca="false">IF(AND(R114&gt;=S114,R114&gt;=T114),"Distribution",IF(T114&gt;=S114,"Prof. services","Manufacturing"))</f>
        <v>Distribution</v>
      </c>
    </row>
    <row r="115" customFormat="false" ht="15" hidden="false" customHeight="false" outlineLevel="0" collapsed="false">
      <c r="A115" s="46" t="n">
        <v>0.119719</v>
      </c>
      <c r="B115" s="46" t="n">
        <v>0.100621</v>
      </c>
      <c r="C115" s="46" t="n">
        <v>0.057032</v>
      </c>
      <c r="D115" s="46" t="n">
        <v>0.016837</v>
      </c>
      <c r="E115" s="46" t="n">
        <v>0.094919</v>
      </c>
      <c r="F115" s="46" t="n">
        <v>0.610873</v>
      </c>
      <c r="G115" s="47" t="n">
        <f aca="false">A115*Scorecard!$C$12+B115*Scorecard!$C$13+C115*Scorecard!$C$14+D115*Scorecard!$C$15+E115*Scorecard!$C$16+F115*Scorecard!$C$17</f>
        <v>2.68022009269105</v>
      </c>
      <c r="H115" s="47" t="n">
        <f aca="false">A115*Scorecard!$D$12+B115*Scorecard!$D$13+C115*Scorecard!$D$14+D115*Scorecard!$D$15+E115*Scorecard!$D$16+F115*Scorecard!$D$17</f>
        <v>2.06287232111785</v>
      </c>
      <c r="I115" s="47" t="n">
        <f aca="false">A115*Scorecard!$E$12+B115*Scorecard!$E$13+C115*Scorecard!$E$14+D115*Scorecard!$E$15+E115*Scorecard!$E$16+F115*Scorecard!$E$17</f>
        <v>4.13803279730782</v>
      </c>
      <c r="J115" s="0" t="str">
        <f aca="false">IF(AND(G115&gt;=H115,G115&gt;=I115),"Distribution",IF(I115&gt;=H115,"Prof. services","Manufacturing"))</f>
        <v>Prof. services</v>
      </c>
      <c r="L115" s="46" t="n">
        <v>0.185341</v>
      </c>
      <c r="M115" s="46" t="n">
        <v>0.21595</v>
      </c>
      <c r="N115" s="46" t="n">
        <v>0.191052</v>
      </c>
      <c r="O115" s="46" t="n">
        <v>0.138372</v>
      </c>
      <c r="P115" s="46" t="n">
        <v>0.175021</v>
      </c>
      <c r="Q115" s="46" t="n">
        <v>0.094263</v>
      </c>
      <c r="R115" s="47" t="n">
        <f aca="false">L115*Scorecard!$C$12+M115*Scorecard!$C$13+N115*Scorecard!$C$14+O115*Scorecard!$C$15+P115*Scorecard!$C$16+Q115*Scorecard!$C$17</f>
        <v>3.83217555685774</v>
      </c>
      <c r="S115" s="47" t="n">
        <f aca="false">L115*Scorecard!$D$12+M115*Scorecard!$D$13+N115*Scorecard!$D$14+O115*Scorecard!$D$15+P115*Scorecard!$D$16+Q115*Scorecard!$D$17</f>
        <v>2.87541339871617</v>
      </c>
      <c r="T115" s="47" t="n">
        <f aca="false">L115*Scorecard!$E$12+M115*Scorecard!$E$13+N115*Scorecard!$E$14+O115*Scorecard!$E$15+P115*Scorecard!$E$16+Q115*Scorecard!$E$17</f>
        <v>3.74949396864042</v>
      </c>
      <c r="U115" s="0" t="str">
        <f aca="false">IF(AND(R115&gt;=S115,R115&gt;=T115),"Distribution",IF(T115&gt;=S115,"Prof. services","Manufacturing"))</f>
        <v>Distribution</v>
      </c>
    </row>
    <row r="116" customFormat="false" ht="15" hidden="false" customHeight="false" outlineLevel="0" collapsed="false">
      <c r="A116" s="46" t="n">
        <v>0.072983</v>
      </c>
      <c r="B116" s="46" t="n">
        <v>0.050712</v>
      </c>
      <c r="C116" s="46" t="n">
        <v>0.292006</v>
      </c>
      <c r="D116" s="46" t="n">
        <v>0.097181</v>
      </c>
      <c r="E116" s="46" t="n">
        <v>0.268848</v>
      </c>
      <c r="F116" s="46" t="n">
        <v>0.21827</v>
      </c>
      <c r="G116" s="47" t="n">
        <f aca="false">A116*Scorecard!$C$12+B116*Scorecard!$C$13+C116*Scorecard!$C$14+D116*Scorecard!$C$15+E116*Scorecard!$C$16+F116*Scorecard!$C$17</f>
        <v>3.5799825591917</v>
      </c>
      <c r="H116" s="47" t="n">
        <f aca="false">A116*Scorecard!$D$12+B116*Scorecard!$D$13+C116*Scorecard!$D$14+D116*Scorecard!$D$15+E116*Scorecard!$D$16+F116*Scorecard!$D$17</f>
        <v>2.84680176572935</v>
      </c>
      <c r="I116" s="47" t="n">
        <f aca="false">A116*Scorecard!$E$12+B116*Scorecard!$E$13+C116*Scorecard!$E$14+D116*Scorecard!$E$15+E116*Scorecard!$E$16+F116*Scorecard!$E$17</f>
        <v>3.94687760348933</v>
      </c>
      <c r="J116" s="0" t="str">
        <f aca="false">IF(AND(G116&gt;=H116,G116&gt;=I116),"Distribution",IF(I116&gt;=H116,"Prof. services","Manufacturing"))</f>
        <v>Prof. services</v>
      </c>
      <c r="L116" s="46" t="n">
        <v>0.253108</v>
      </c>
      <c r="M116" s="46" t="n">
        <v>0.178101</v>
      </c>
      <c r="N116" s="46" t="n">
        <v>0.31836</v>
      </c>
      <c r="O116" s="46" t="n">
        <v>0.08017</v>
      </c>
      <c r="P116" s="46" t="n">
        <v>0.113358</v>
      </c>
      <c r="Q116" s="46" t="n">
        <v>0.056902</v>
      </c>
      <c r="R116" s="47" t="n">
        <f aca="false">L116*Scorecard!$C$12+M116*Scorecard!$C$13+N116*Scorecard!$C$14+O116*Scorecard!$C$15+P116*Scorecard!$C$16+Q116*Scorecard!$C$17</f>
        <v>3.68886499043466</v>
      </c>
      <c r="S116" s="47" t="n">
        <f aca="false">L116*Scorecard!$D$12+M116*Scorecard!$D$13+N116*Scorecard!$D$14+O116*Scorecard!$D$15+P116*Scorecard!$D$16+Q116*Scorecard!$D$17</f>
        <v>2.94509838620102</v>
      </c>
      <c r="T116" s="47" t="n">
        <f aca="false">L116*Scorecard!$E$12+M116*Scorecard!$E$13+N116*Scorecard!$E$14+O116*Scorecard!$E$15+P116*Scorecard!$E$16+Q116*Scorecard!$E$17</f>
        <v>4.09009770296156</v>
      </c>
      <c r="U116" s="0" t="str">
        <f aca="false">IF(AND(R116&gt;=S116,R116&gt;=T116),"Distribution",IF(T116&gt;=S116,"Prof. services","Manufacturing"))</f>
        <v>Prof. services</v>
      </c>
    </row>
    <row r="117" customFormat="false" ht="15" hidden="false" customHeight="false" outlineLevel="0" collapsed="false">
      <c r="A117" s="46" t="n">
        <v>0.147791</v>
      </c>
      <c r="B117" s="46" t="n">
        <v>0.046286</v>
      </c>
      <c r="C117" s="46" t="n">
        <v>0.108637</v>
      </c>
      <c r="D117" s="46" t="n">
        <v>0.369231</v>
      </c>
      <c r="E117" s="46" t="n">
        <v>0.172719</v>
      </c>
      <c r="F117" s="46" t="n">
        <v>0.155336</v>
      </c>
      <c r="G117" s="47" t="n">
        <f aca="false">A117*Scorecard!$C$12+B117*Scorecard!$C$13+C117*Scorecard!$C$14+D117*Scorecard!$C$15+E117*Scorecard!$C$16+F117*Scorecard!$C$17</f>
        <v>3.83881909235713</v>
      </c>
      <c r="H117" s="47" t="n">
        <f aca="false">A117*Scorecard!$D$12+B117*Scorecard!$D$13+C117*Scorecard!$D$14+D117*Scorecard!$D$15+E117*Scorecard!$D$16+F117*Scorecard!$D$17</f>
        <v>3.28015383752971</v>
      </c>
      <c r="I117" s="47" t="n">
        <f aca="false">A117*Scorecard!$E$12+B117*Scorecard!$E$13+C117*Scorecard!$E$14+D117*Scorecard!$E$15+E117*Scorecard!$E$16+F117*Scorecard!$E$17</f>
        <v>4.02001214898039</v>
      </c>
      <c r="J117" s="0" t="str">
        <f aca="false">IF(AND(G117&gt;=H117,G117&gt;=I117),"Distribution",IF(I117&gt;=H117,"Prof. services","Manufacturing"))</f>
        <v>Prof. services</v>
      </c>
      <c r="L117" s="46" t="n">
        <v>0.259802</v>
      </c>
      <c r="M117" s="46" t="n">
        <v>0.156125</v>
      </c>
      <c r="N117" s="46" t="n">
        <v>0.338754</v>
      </c>
      <c r="O117" s="46" t="n">
        <v>0.083394</v>
      </c>
      <c r="P117" s="46" t="n">
        <v>0.116704</v>
      </c>
      <c r="Q117" s="46" t="n">
        <v>0.04522</v>
      </c>
      <c r="R117" s="47" t="n">
        <f aca="false">L117*Scorecard!$C$12+M117*Scorecard!$C$13+N117*Scorecard!$C$14+O117*Scorecard!$C$15+P117*Scorecard!$C$16+Q117*Scorecard!$C$17</f>
        <v>3.68142769497173</v>
      </c>
      <c r="S117" s="47" t="n">
        <f aca="false">L117*Scorecard!$D$12+M117*Scorecard!$D$13+N117*Scorecard!$D$14+O117*Scorecard!$D$15+P117*Scorecard!$D$16+Q117*Scorecard!$D$17</f>
        <v>3.00487669012648</v>
      </c>
      <c r="T117" s="47" t="n">
        <f aca="false">L117*Scorecard!$E$12+M117*Scorecard!$E$13+N117*Scorecard!$E$14+O117*Scorecard!$E$15+P117*Scorecard!$E$16+Q117*Scorecard!$E$17</f>
        <v>4.14751503950983</v>
      </c>
      <c r="U117" s="0" t="str">
        <f aca="false">IF(AND(R117&gt;=S117,R117&gt;=T117),"Distribution",IF(T117&gt;=S117,"Prof. services","Manufacturing"))</f>
        <v>Prof. services</v>
      </c>
    </row>
    <row r="118" customFormat="false" ht="15" hidden="false" customHeight="false" outlineLevel="0" collapsed="false">
      <c r="A118" s="46" t="n">
        <v>0.188541</v>
      </c>
      <c r="B118" s="46" t="n">
        <v>0.363444</v>
      </c>
      <c r="C118" s="46" t="n">
        <v>0.228384</v>
      </c>
      <c r="D118" s="46" t="n">
        <v>0.055939</v>
      </c>
      <c r="E118" s="46" t="n">
        <v>0.110453</v>
      </c>
      <c r="F118" s="46" t="n">
        <v>0.053238</v>
      </c>
      <c r="G118" s="47" t="n">
        <f aca="false">A118*Scorecard!$C$12+B118*Scorecard!$C$13+C118*Scorecard!$C$14+D118*Scorecard!$C$15+E118*Scorecard!$C$16+F118*Scorecard!$C$17</f>
        <v>3.97352651122264</v>
      </c>
      <c r="H118" s="47" t="n">
        <f aca="false">A118*Scorecard!$D$12+B118*Scorecard!$D$13+C118*Scorecard!$D$14+D118*Scorecard!$D$15+E118*Scorecard!$D$16+F118*Scorecard!$D$17</f>
        <v>2.60072536404281</v>
      </c>
      <c r="I118" s="47" t="n">
        <f aca="false">A118*Scorecard!$E$12+B118*Scorecard!$E$13+C118*Scorecard!$E$14+D118*Scorecard!$E$15+E118*Scorecard!$E$16+F118*Scorecard!$E$17</f>
        <v>3.58696079283618</v>
      </c>
      <c r="J118" s="0" t="str">
        <f aca="false">IF(AND(G118&gt;=H118,G118&gt;=I118),"Distribution",IF(I118&gt;=H118,"Prof. services","Manufacturing"))</f>
        <v>Distribution</v>
      </c>
      <c r="L118" s="46" t="n">
        <v>0.176655</v>
      </c>
      <c r="M118" s="46" t="n">
        <v>0.204502</v>
      </c>
      <c r="N118" s="46" t="n">
        <v>0.095454</v>
      </c>
      <c r="O118" s="46" t="n">
        <v>0.117148</v>
      </c>
      <c r="P118" s="46" t="n">
        <v>0.222317</v>
      </c>
      <c r="Q118" s="46" t="n">
        <v>0.183924</v>
      </c>
      <c r="R118" s="47" t="n">
        <f aca="false">L118*Scorecard!$C$12+M118*Scorecard!$C$13+N118*Scorecard!$C$14+O118*Scorecard!$C$15+P118*Scorecard!$C$16+Q118*Scorecard!$C$17</f>
        <v>3.63582048072852</v>
      </c>
      <c r="S118" s="47" t="n">
        <f aca="false">L118*Scorecard!$D$12+M118*Scorecard!$D$13+N118*Scorecard!$D$14+O118*Scorecard!$D$15+P118*Scorecard!$D$16+Q118*Scorecard!$D$17</f>
        <v>2.74356639747387</v>
      </c>
      <c r="T118" s="47" t="n">
        <f aca="false">L118*Scorecard!$E$12+M118*Scorecard!$E$13+N118*Scorecard!$E$14+O118*Scorecard!$E$15+P118*Scorecard!$E$16+Q118*Scorecard!$E$17</f>
        <v>3.62920645205141</v>
      </c>
      <c r="U118" s="0" t="str">
        <f aca="false">IF(AND(R118&gt;=S118,R118&gt;=T118),"Distribution",IF(T118&gt;=S118,"Prof. services","Manufacturing"))</f>
        <v>Distribution</v>
      </c>
    </row>
    <row r="119" customFormat="false" ht="15" hidden="false" customHeight="false" outlineLevel="0" collapsed="false">
      <c r="A119" s="46" t="n">
        <v>0.507621</v>
      </c>
      <c r="B119" s="46" t="n">
        <v>0.046835</v>
      </c>
      <c r="C119" s="46" t="n">
        <v>0.043016</v>
      </c>
      <c r="D119" s="46" t="n">
        <v>0.100131</v>
      </c>
      <c r="E119" s="46" t="n">
        <v>0.220795</v>
      </c>
      <c r="F119" s="46" t="n">
        <v>0.081602</v>
      </c>
      <c r="G119" s="47" t="n">
        <f aca="false">A119*Scorecard!$C$12+B119*Scorecard!$C$13+C119*Scorecard!$C$14+D119*Scorecard!$C$15+E119*Scorecard!$C$16+F119*Scorecard!$C$17</f>
        <v>3.07003696083265</v>
      </c>
      <c r="H119" s="47" t="n">
        <f aca="false">A119*Scorecard!$D$12+B119*Scorecard!$D$13+C119*Scorecard!$D$14+D119*Scorecard!$D$15+E119*Scorecard!$D$16+F119*Scorecard!$D$17</f>
        <v>3.33212024631398</v>
      </c>
      <c r="I119" s="47" t="n">
        <f aca="false">A119*Scorecard!$E$12+B119*Scorecard!$E$13+C119*Scorecard!$E$14+D119*Scorecard!$E$15+E119*Scorecard!$E$16+F119*Scorecard!$E$17</f>
        <v>4.15203571496437</v>
      </c>
      <c r="J119" s="0" t="str">
        <f aca="false">IF(AND(G119&gt;=H119,G119&gt;=I119),"Distribution",IF(I119&gt;=H119,"Prof. services","Manufacturing"))</f>
        <v>Prof. services</v>
      </c>
      <c r="L119" s="46" t="n">
        <v>0.282199</v>
      </c>
      <c r="M119" s="46" t="n">
        <v>0.06979</v>
      </c>
      <c r="N119" s="46" t="n">
        <v>0.218851</v>
      </c>
      <c r="O119" s="46" t="n">
        <v>0.259946</v>
      </c>
      <c r="P119" s="46" t="n">
        <v>0.123858</v>
      </c>
      <c r="Q119" s="46" t="n">
        <v>0.045356</v>
      </c>
      <c r="R119" s="47" t="n">
        <f aca="false">L119*Scorecard!$C$12+M119*Scorecard!$C$13+N119*Scorecard!$C$14+O119*Scorecard!$C$15+P119*Scorecard!$C$16+Q119*Scorecard!$C$17</f>
        <v>3.73106177556881</v>
      </c>
      <c r="S119" s="47" t="n">
        <f aca="false">L119*Scorecard!$D$12+M119*Scorecard!$D$13+N119*Scorecard!$D$14+O119*Scorecard!$D$15+P119*Scorecard!$D$16+Q119*Scorecard!$D$17</f>
        <v>3.35582754768841</v>
      </c>
      <c r="T119" s="47" t="n">
        <f aca="false">L119*Scorecard!$E$12+M119*Scorecard!$E$13+N119*Scorecard!$E$14+O119*Scorecard!$E$15+P119*Scorecard!$E$16+Q119*Scorecard!$E$17</f>
        <v>4.22906055018371</v>
      </c>
      <c r="U119" s="0" t="str">
        <f aca="false">IF(AND(R119&gt;=S119,R119&gt;=T119),"Distribution",IF(T119&gt;=S119,"Prof. services","Manufacturing"))</f>
        <v>Prof. services</v>
      </c>
    </row>
    <row r="120" customFormat="false" ht="15" hidden="false" customHeight="false" outlineLevel="0" collapsed="false">
      <c r="A120" s="46" t="n">
        <v>0.109634</v>
      </c>
      <c r="B120" s="46" t="n">
        <v>0.064662</v>
      </c>
      <c r="C120" s="46" t="n">
        <v>0.427345</v>
      </c>
      <c r="D120" s="46" t="n">
        <v>0.285254</v>
      </c>
      <c r="E120" s="46" t="n">
        <v>0.059936</v>
      </c>
      <c r="F120" s="46" t="n">
        <v>0.05317</v>
      </c>
      <c r="G120" s="47" t="n">
        <f aca="false">A120*Scorecard!$C$12+B120*Scorecard!$C$13+C120*Scorecard!$C$14+D120*Scorecard!$C$15+E120*Scorecard!$C$16+F120*Scorecard!$C$17</f>
        <v>4.04623723651292</v>
      </c>
      <c r="H120" s="47" t="n">
        <f aca="false">A120*Scorecard!$D$12+B120*Scorecard!$D$13+C120*Scorecard!$D$14+D120*Scorecard!$D$15+E120*Scorecard!$D$16+F120*Scorecard!$D$17</f>
        <v>3.24580928761402</v>
      </c>
      <c r="I120" s="47" t="n">
        <f aca="false">A120*Scorecard!$E$12+B120*Scorecard!$E$13+C120*Scorecard!$E$14+D120*Scorecard!$E$15+E120*Scorecard!$E$16+F120*Scorecard!$E$17</f>
        <v>4.38920853209844</v>
      </c>
      <c r="J120" s="0" t="str">
        <f aca="false">IF(AND(G120&gt;=H120,G120&gt;=I120),"Distribution",IF(I120&gt;=H120,"Prof. services","Manufacturing"))</f>
        <v>Prof. services</v>
      </c>
      <c r="L120" s="46" t="n">
        <v>0.281361</v>
      </c>
      <c r="M120" s="46" t="n">
        <v>0.297908</v>
      </c>
      <c r="N120" s="46" t="n">
        <v>0.184391</v>
      </c>
      <c r="O120" s="46" t="n">
        <v>0.074357</v>
      </c>
      <c r="P120" s="46" t="n">
        <v>0.056297</v>
      </c>
      <c r="Q120" s="46" t="n">
        <v>0.105686</v>
      </c>
      <c r="R120" s="47" t="n">
        <f aca="false">L120*Scorecard!$C$12+M120*Scorecard!$C$13+N120*Scorecard!$C$14+O120*Scorecard!$C$15+P120*Scorecard!$C$16+Q120*Scorecard!$C$17</f>
        <v>3.6544391875195</v>
      </c>
      <c r="S120" s="47" t="n">
        <f aca="false">L120*Scorecard!$D$12+M120*Scorecard!$D$13+N120*Scorecard!$D$14+O120*Scorecard!$D$15+P120*Scorecard!$D$16+Q120*Scorecard!$D$17</f>
        <v>2.6850076300979</v>
      </c>
      <c r="T120" s="47" t="n">
        <f aca="false">L120*Scorecard!$E$12+M120*Scorecard!$E$13+N120*Scorecard!$E$14+O120*Scorecard!$E$15+P120*Scorecard!$E$16+Q120*Scorecard!$E$17</f>
        <v>3.87821688046156</v>
      </c>
      <c r="U120" s="0" t="str">
        <f aca="false">IF(AND(R120&gt;=S120,R120&gt;=T120),"Distribution",IF(T120&gt;=S120,"Prof. services","Manufacturing"))</f>
        <v>Prof. services</v>
      </c>
    </row>
    <row r="121" customFormat="false" ht="15" hidden="false" customHeight="false" outlineLevel="0" collapsed="false">
      <c r="A121" s="46" t="n">
        <v>0.015849</v>
      </c>
      <c r="B121" s="46" t="n">
        <v>0.218259</v>
      </c>
      <c r="C121" s="46" t="n">
        <v>0.466796</v>
      </c>
      <c r="D121" s="46" t="n">
        <v>0.08718</v>
      </c>
      <c r="E121" s="46" t="n">
        <v>0.209148</v>
      </c>
      <c r="F121" s="46" t="n">
        <v>0.002768</v>
      </c>
      <c r="G121" s="47" t="n">
        <f aca="false">A121*Scorecard!$C$12+B121*Scorecard!$C$13+C121*Scorecard!$C$14+D121*Scorecard!$C$15+E121*Scorecard!$C$16+F121*Scorecard!$C$17</f>
        <v>4.2713745739779</v>
      </c>
      <c r="H121" s="47" t="n">
        <f aca="false">A121*Scorecard!$D$12+B121*Scorecard!$D$13+C121*Scorecard!$D$14+D121*Scorecard!$D$15+E121*Scorecard!$D$16+F121*Scorecard!$D$17</f>
        <v>2.84934900370249</v>
      </c>
      <c r="I121" s="47" t="n">
        <f aca="false">A121*Scorecard!$E$12+B121*Scorecard!$E$13+C121*Scorecard!$E$14+D121*Scorecard!$E$15+E121*Scorecard!$E$16+F121*Scorecard!$E$17</f>
        <v>3.74039227147387</v>
      </c>
      <c r="J121" s="0" t="str">
        <f aca="false">IF(AND(G121&gt;=H121,G121&gt;=I121),"Distribution",IF(I121&gt;=H121,"Prof. services","Manufacturing"))</f>
        <v>Distribution</v>
      </c>
      <c r="L121" s="46" t="n">
        <v>0.202572</v>
      </c>
      <c r="M121" s="46" t="n">
        <v>0.254887</v>
      </c>
      <c r="N121" s="46" t="n">
        <v>0.244063</v>
      </c>
      <c r="O121" s="46" t="n">
        <v>0.125957</v>
      </c>
      <c r="P121" s="46" t="n">
        <v>0.077557</v>
      </c>
      <c r="Q121" s="46" t="n">
        <v>0.094962</v>
      </c>
      <c r="R121" s="47" t="n">
        <f aca="false">L121*Scorecard!$C$12+M121*Scorecard!$C$13+N121*Scorecard!$C$14+O121*Scorecard!$C$15+P121*Scorecard!$C$16+Q121*Scorecard!$C$17</f>
        <v>3.82627951112699</v>
      </c>
      <c r="S121" s="47" t="n">
        <f aca="false">L121*Scorecard!$D$12+M121*Scorecard!$D$13+N121*Scorecard!$D$14+O121*Scorecard!$D$15+P121*Scorecard!$D$16+Q121*Scorecard!$D$17</f>
        <v>2.78043918923332</v>
      </c>
      <c r="T121" s="47" t="n">
        <f aca="false">L121*Scorecard!$E$12+M121*Scorecard!$E$13+N121*Scorecard!$E$14+O121*Scorecard!$E$15+P121*Scorecard!$E$16+Q121*Scorecard!$E$17</f>
        <v>3.90745428782184</v>
      </c>
      <c r="U121" s="0" t="str">
        <f aca="false">IF(AND(R121&gt;=S121,R121&gt;=T121),"Distribution",IF(T121&gt;=S121,"Prof. services","Manufacturing"))</f>
        <v>Prof. services</v>
      </c>
    </row>
    <row r="122" customFormat="false" ht="15" hidden="false" customHeight="false" outlineLevel="0" collapsed="false">
      <c r="A122" s="46" t="n">
        <v>0.753456</v>
      </c>
      <c r="B122" s="46" t="n">
        <v>0.010829</v>
      </c>
      <c r="C122" s="46" t="n">
        <v>0.154197</v>
      </c>
      <c r="D122" s="46" t="n">
        <v>0.005559</v>
      </c>
      <c r="E122" s="46" t="n">
        <v>0.035052</v>
      </c>
      <c r="F122" s="46" t="n">
        <v>0.040907</v>
      </c>
      <c r="G122" s="47" t="n">
        <f aca="false">A122*Scorecard!$C$12+B122*Scorecard!$C$13+C122*Scorecard!$C$14+D122*Scorecard!$C$15+E122*Scorecard!$C$16+F122*Scorecard!$C$17</f>
        <v>2.57834245498734</v>
      </c>
      <c r="H122" s="47" t="n">
        <f aca="false">A122*Scorecard!$D$12+B122*Scorecard!$D$13+C122*Scorecard!$D$14+D122*Scorecard!$D$15+E122*Scorecard!$D$16+F122*Scorecard!$D$17</f>
        <v>3.43819912684759</v>
      </c>
      <c r="I122" s="47" t="n">
        <f aca="false">A122*Scorecard!$E$12+B122*Scorecard!$E$13+C122*Scorecard!$E$14+D122*Scorecard!$E$15+E122*Scorecard!$E$16+F122*Scorecard!$E$17</f>
        <v>4.85028805145433</v>
      </c>
      <c r="J122" s="0" t="str">
        <f aca="false">IF(AND(G122&gt;=H122,G122&gt;=I122),"Distribution",IF(I122&gt;=H122,"Prof. services","Manufacturing"))</f>
        <v>Prof. services</v>
      </c>
      <c r="L122" s="46" t="n">
        <v>0.228076</v>
      </c>
      <c r="M122" s="46" t="n">
        <v>0.232339</v>
      </c>
      <c r="N122" s="46" t="n">
        <v>0.162322</v>
      </c>
      <c r="O122" s="46" t="n">
        <v>0.272349</v>
      </c>
      <c r="P122" s="46" t="n">
        <v>0.091097</v>
      </c>
      <c r="Q122" s="46" t="n">
        <v>0.013816</v>
      </c>
      <c r="R122" s="47" t="n">
        <f aca="false">L122*Scorecard!$C$12+M122*Scorecard!$C$13+N122*Scorecard!$C$14+O122*Scorecard!$C$15+P122*Scorecard!$C$16+Q122*Scorecard!$C$17</f>
        <v>4.06651194741523</v>
      </c>
      <c r="S122" s="47" t="n">
        <f aca="false">L122*Scorecard!$D$12+M122*Scorecard!$D$13+N122*Scorecard!$D$14+O122*Scorecard!$D$15+P122*Scorecard!$D$16+Q122*Scorecard!$D$17</f>
        <v>3.12683516655644</v>
      </c>
      <c r="T122" s="47" t="n">
        <f aca="false">L122*Scorecard!$E$12+M122*Scorecard!$E$13+N122*Scorecard!$E$14+O122*Scorecard!$E$15+P122*Scorecard!$E$16+Q122*Scorecard!$E$17</f>
        <v>3.85439679752059</v>
      </c>
      <c r="U122" s="0" t="str">
        <f aca="false">IF(AND(R122&gt;=S122,R122&gt;=T122),"Distribution",IF(T122&gt;=S122,"Prof. services","Manufacturing"))</f>
        <v>Distribution</v>
      </c>
    </row>
    <row r="123" customFormat="false" ht="15" hidden="false" customHeight="false" outlineLevel="0" collapsed="false">
      <c r="A123" s="46" t="n">
        <v>0.292144</v>
      </c>
      <c r="B123" s="46" t="n">
        <v>0.01838</v>
      </c>
      <c r="C123" s="46" t="n">
        <v>0.12409</v>
      </c>
      <c r="D123" s="46" t="n">
        <v>0.066933</v>
      </c>
      <c r="E123" s="46" t="n">
        <v>0.033531</v>
      </c>
      <c r="F123" s="46" t="n">
        <v>0.464922</v>
      </c>
      <c r="G123" s="47" t="n">
        <f aca="false">A123*Scorecard!$C$12+B123*Scorecard!$C$13+C123*Scorecard!$C$14+D123*Scorecard!$C$15+E123*Scorecard!$C$16+F123*Scorecard!$C$17</f>
        <v>2.62960563374347</v>
      </c>
      <c r="H123" s="47" t="n">
        <f aca="false">A123*Scorecard!$D$12+B123*Scorecard!$D$13+C123*Scorecard!$D$14+D123*Scorecard!$D$15+E123*Scorecard!$D$16+F123*Scorecard!$D$17</f>
        <v>2.55666542396631</v>
      </c>
      <c r="I123" s="47" t="n">
        <f aca="false">A123*Scorecard!$E$12+B123*Scorecard!$E$13+C123*Scorecard!$E$14+D123*Scorecard!$E$15+E123*Scorecard!$E$16+F123*Scorecard!$E$17</f>
        <v>4.56932109277866</v>
      </c>
      <c r="J123" s="0" t="str">
        <f aca="false">IF(AND(G123&gt;=H123,G123&gt;=I123),"Distribution",IF(I123&gt;=H123,"Prof. services","Manufacturing"))</f>
        <v>Prof. services</v>
      </c>
      <c r="L123" s="46" t="n">
        <v>0.285548</v>
      </c>
      <c r="M123" s="46" t="n">
        <v>0.205362</v>
      </c>
      <c r="N123" s="46" t="n">
        <v>0.165037</v>
      </c>
      <c r="O123" s="46" t="n">
        <v>0.179085</v>
      </c>
      <c r="P123" s="46" t="n">
        <v>0.129457</v>
      </c>
      <c r="Q123" s="46" t="n">
        <v>0.035511</v>
      </c>
      <c r="R123" s="47" t="n">
        <f aca="false">L123*Scorecard!$C$12+M123*Scorecard!$C$13+N123*Scorecard!$C$14+O123*Scorecard!$C$15+P123*Scorecard!$C$16+Q123*Scorecard!$C$17</f>
        <v>3.79943452780882</v>
      </c>
      <c r="S123" s="47" t="n">
        <f aca="false">L123*Scorecard!$D$12+M123*Scorecard!$D$13+N123*Scorecard!$D$14+O123*Scorecard!$D$15+P123*Scorecard!$D$16+Q123*Scorecard!$D$17</f>
        <v>3.07757169265163</v>
      </c>
      <c r="T123" s="47" t="n">
        <f aca="false">L123*Scorecard!$E$12+M123*Scorecard!$E$13+N123*Scorecard!$E$14+O123*Scorecard!$E$15+P123*Scorecard!$E$16+Q123*Scorecard!$E$17</f>
        <v>3.89679411033787</v>
      </c>
      <c r="U123" s="0" t="str">
        <f aca="false">IF(AND(R123&gt;=S123,R123&gt;=T123),"Distribution",IF(T123&gt;=S123,"Prof. services","Manufacturing"))</f>
        <v>Prof. services</v>
      </c>
    </row>
    <row r="124" customFormat="false" ht="15" hidden="false" customHeight="false" outlineLevel="0" collapsed="false">
      <c r="A124" s="46" t="n">
        <v>0.329666</v>
      </c>
      <c r="B124" s="46" t="n">
        <v>0.067181</v>
      </c>
      <c r="C124" s="46" t="n">
        <v>0.392724</v>
      </c>
      <c r="D124" s="46" t="n">
        <v>0.134255</v>
      </c>
      <c r="E124" s="46" t="n">
        <v>0.000757</v>
      </c>
      <c r="F124" s="46" t="n">
        <v>0.075417</v>
      </c>
      <c r="G124" s="47" t="n">
        <f aca="false">A124*Scorecard!$C$12+B124*Scorecard!$C$13+C124*Scorecard!$C$14+D124*Scorecard!$C$15+E124*Scorecard!$C$16+F124*Scorecard!$C$17</f>
        <v>3.45719849864339</v>
      </c>
      <c r="H124" s="47" t="n">
        <f aca="false">A124*Scorecard!$D$12+B124*Scorecard!$D$13+C124*Scorecard!$D$14+D124*Scorecard!$D$15+E124*Scorecard!$D$16+F124*Scorecard!$D$17</f>
        <v>3.15946769975092</v>
      </c>
      <c r="I124" s="47" t="n">
        <f aca="false">A124*Scorecard!$E$12+B124*Scorecard!$E$13+C124*Scorecard!$E$14+D124*Scorecard!$E$15+E124*Scorecard!$E$16+F124*Scorecard!$E$17</f>
        <v>4.65486560926489</v>
      </c>
      <c r="J124" s="0" t="str">
        <f aca="false">IF(AND(G124&gt;=H124,G124&gt;=I124),"Distribution",IF(I124&gt;=H124,"Prof. services","Manufacturing"))</f>
        <v>Prof. services</v>
      </c>
      <c r="L124" s="46" t="n">
        <v>0.141988</v>
      </c>
      <c r="M124" s="46" t="n">
        <v>0.207336</v>
      </c>
      <c r="N124" s="46" t="n">
        <v>0.186112</v>
      </c>
      <c r="O124" s="46" t="n">
        <v>0.262298</v>
      </c>
      <c r="P124" s="46" t="n">
        <v>0.128744</v>
      </c>
      <c r="Q124" s="46" t="n">
        <v>0.073522</v>
      </c>
      <c r="R124" s="47" t="n">
        <f aca="false">L124*Scorecard!$C$12+M124*Scorecard!$C$13+N124*Scorecard!$C$14+O124*Scorecard!$C$15+P124*Scorecard!$C$16+Q124*Scorecard!$C$17</f>
        <v>4.06700957511353</v>
      </c>
      <c r="S124" s="47" t="n">
        <f aca="false">L124*Scorecard!$D$12+M124*Scorecard!$D$13+N124*Scorecard!$D$14+O124*Scorecard!$D$15+P124*Scorecard!$D$16+Q124*Scorecard!$D$17</f>
        <v>3.01885692094836</v>
      </c>
      <c r="T124" s="47" t="n">
        <f aca="false">L124*Scorecard!$E$12+M124*Scorecard!$E$13+N124*Scorecard!$E$14+O124*Scorecard!$E$15+P124*Scorecard!$E$16+Q124*Scorecard!$E$17</f>
        <v>3.80445664057169</v>
      </c>
      <c r="U124" s="0" t="str">
        <f aca="false">IF(AND(R124&gt;=S124,R124&gt;=T124),"Distribution",IF(T124&gt;=S124,"Prof. services","Manufacturing"))</f>
        <v>Distribution</v>
      </c>
    </row>
    <row r="125" customFormat="false" ht="15" hidden="false" customHeight="false" outlineLevel="0" collapsed="false">
      <c r="A125" s="46" t="n">
        <v>0.343626</v>
      </c>
      <c r="B125" s="46" t="n">
        <v>0.000499</v>
      </c>
      <c r="C125" s="46" t="n">
        <v>0.137227</v>
      </c>
      <c r="D125" s="46" t="n">
        <v>0.201391</v>
      </c>
      <c r="E125" s="46" t="n">
        <v>0.085845</v>
      </c>
      <c r="F125" s="46" t="n">
        <v>0.231412</v>
      </c>
      <c r="G125" s="47" t="n">
        <f aca="false">A125*Scorecard!$C$12+B125*Scorecard!$C$13+C125*Scorecard!$C$14+D125*Scorecard!$C$15+E125*Scorecard!$C$16+F125*Scorecard!$C$17</f>
        <v>3.12053429956026</v>
      </c>
      <c r="H125" s="47" t="n">
        <f aca="false">A125*Scorecard!$D$12+B125*Scorecard!$D$13+C125*Scorecard!$D$14+D125*Scorecard!$D$15+E125*Scorecard!$D$16+F125*Scorecard!$D$17</f>
        <v>3.14086834515914</v>
      </c>
      <c r="I125" s="47" t="n">
        <f aca="false">A125*Scorecard!$E$12+B125*Scorecard!$E$13+C125*Scorecard!$E$14+D125*Scorecard!$E$15+E125*Scorecard!$E$16+F125*Scorecard!$E$17</f>
        <v>4.48559841031019</v>
      </c>
      <c r="J125" s="0" t="str">
        <f aca="false">IF(AND(G125&gt;=H125,G125&gt;=I125),"Distribution",IF(I125&gt;=H125,"Prof. services","Manufacturing"))</f>
        <v>Prof. services</v>
      </c>
      <c r="L125" s="46" t="n">
        <v>0.193808</v>
      </c>
      <c r="M125" s="46" t="n">
        <v>0.187123</v>
      </c>
      <c r="N125" s="46" t="n">
        <v>0.189613</v>
      </c>
      <c r="O125" s="46" t="n">
        <v>0.101353</v>
      </c>
      <c r="P125" s="46" t="n">
        <v>0.212255</v>
      </c>
      <c r="Q125" s="46" t="n">
        <v>0.115848</v>
      </c>
      <c r="R125" s="47" t="n">
        <f aca="false">L125*Scorecard!$C$12+M125*Scorecard!$C$13+N125*Scorecard!$C$14+O125*Scorecard!$C$15+P125*Scorecard!$C$16+Q125*Scorecard!$C$17</f>
        <v>3.70792283611012</v>
      </c>
      <c r="S125" s="47" t="n">
        <f aca="false">L125*Scorecard!$D$12+M125*Scorecard!$D$13+N125*Scorecard!$D$14+O125*Scorecard!$D$15+P125*Scorecard!$D$16+Q125*Scorecard!$D$17</f>
        <v>2.86145776683312</v>
      </c>
      <c r="T125" s="47" t="n">
        <f aca="false">L125*Scorecard!$E$12+M125*Scorecard!$E$13+N125*Scorecard!$E$14+O125*Scorecard!$E$15+P125*Scorecard!$E$16+Q125*Scorecard!$E$17</f>
        <v>3.75325416639901</v>
      </c>
      <c r="U125" s="0" t="str">
        <f aca="false">IF(AND(R125&gt;=S125,R125&gt;=T125),"Distribution",IF(T125&gt;=S125,"Prof. services","Manufacturing"))</f>
        <v>Prof. services</v>
      </c>
    </row>
    <row r="126" customFormat="false" ht="15" hidden="false" customHeight="false" outlineLevel="0" collapsed="false">
      <c r="A126" s="46" t="n">
        <v>0.297472</v>
      </c>
      <c r="B126" s="46" t="n">
        <v>0.101889</v>
      </c>
      <c r="C126" s="46" t="n">
        <v>0.095604</v>
      </c>
      <c r="D126" s="46" t="n">
        <v>0.024686</v>
      </c>
      <c r="E126" s="46" t="n">
        <v>0.102828</v>
      </c>
      <c r="F126" s="46" t="n">
        <v>0.377521</v>
      </c>
      <c r="G126" s="47" t="n">
        <f aca="false">A126*Scorecard!$C$12+B126*Scorecard!$C$13+C126*Scorecard!$C$14+D126*Scorecard!$C$15+E126*Scorecard!$C$16+F126*Scorecard!$C$17</f>
        <v>2.83607915776103</v>
      </c>
      <c r="H126" s="47" t="n">
        <f aca="false">A126*Scorecard!$D$12+B126*Scorecard!$D$13+C126*Scorecard!$D$14+D126*Scorecard!$D$15+E126*Scorecard!$D$16+F126*Scorecard!$D$17</f>
        <v>2.54013128604779</v>
      </c>
      <c r="I126" s="47" t="n">
        <f aca="false">A126*Scorecard!$E$12+B126*Scorecard!$E$13+C126*Scorecard!$E$14+D126*Scorecard!$E$15+E126*Scorecard!$E$16+F126*Scorecard!$E$17</f>
        <v>4.22340598703853</v>
      </c>
      <c r="J126" s="0" t="str">
        <f aca="false">IF(AND(G126&gt;=H126,G126&gt;=I126),"Distribution",IF(I126&gt;=H126,"Prof. services","Manufacturing"))</f>
        <v>Prof. services</v>
      </c>
      <c r="L126" s="46" t="n">
        <v>0.168227</v>
      </c>
      <c r="M126" s="46" t="n">
        <v>0.089091</v>
      </c>
      <c r="N126" s="46" t="n">
        <v>0.211262</v>
      </c>
      <c r="O126" s="46" t="n">
        <v>0.166569</v>
      </c>
      <c r="P126" s="46" t="n">
        <v>0.255776</v>
      </c>
      <c r="Q126" s="46" t="n">
        <v>0.109075</v>
      </c>
      <c r="R126" s="47" t="n">
        <f aca="false">L126*Scorecard!$C$12+M126*Scorecard!$C$13+N126*Scorecard!$C$14+O126*Scorecard!$C$15+P126*Scorecard!$C$16+Q126*Scorecard!$C$17</f>
        <v>3.73469900091997</v>
      </c>
      <c r="S126" s="47" t="n">
        <f aca="false">L126*Scorecard!$D$12+M126*Scorecard!$D$13+N126*Scorecard!$D$14+O126*Scorecard!$D$15+P126*Scorecard!$D$16+Q126*Scorecard!$D$17</f>
        <v>3.09186971707475</v>
      </c>
      <c r="T126" s="47" t="n">
        <f aca="false">L126*Scorecard!$E$12+M126*Scorecard!$E$13+N126*Scorecard!$E$14+O126*Scorecard!$E$15+P126*Scorecard!$E$16+Q126*Scorecard!$E$17</f>
        <v>3.8679708784255</v>
      </c>
      <c r="U126" s="0" t="str">
        <f aca="false">IF(AND(R126&gt;=S126,R126&gt;=T126),"Distribution",IF(T126&gt;=S126,"Prof. services","Manufacturing"))</f>
        <v>Prof. services</v>
      </c>
    </row>
    <row r="127" customFormat="false" ht="15" hidden="false" customHeight="false" outlineLevel="0" collapsed="false">
      <c r="A127" s="46" t="n">
        <v>0.086578</v>
      </c>
      <c r="B127" s="46" t="n">
        <v>0.108251</v>
      </c>
      <c r="C127" s="46" t="n">
        <v>0.427141</v>
      </c>
      <c r="D127" s="46" t="n">
        <v>0.059345</v>
      </c>
      <c r="E127" s="46" t="n">
        <v>0.006697</v>
      </c>
      <c r="F127" s="46" t="n">
        <v>0.311988</v>
      </c>
      <c r="G127" s="47" t="n">
        <f aca="false">A127*Scorecard!$C$12+B127*Scorecard!$C$13+C127*Scorecard!$C$14+D127*Scorecard!$C$15+E127*Scorecard!$C$16+F127*Scorecard!$C$17</f>
        <v>3.38777836531383</v>
      </c>
      <c r="H127" s="47" t="n">
        <f aca="false">A127*Scorecard!$D$12+B127*Scorecard!$D$13+C127*Scorecard!$D$14+D127*Scorecard!$D$15+E127*Scorecard!$D$16+F127*Scorecard!$D$17</f>
        <v>2.49765459748777</v>
      </c>
      <c r="I127" s="47" t="n">
        <f aca="false">A127*Scorecard!$E$12+B127*Scorecard!$E$13+C127*Scorecard!$E$14+D127*Scorecard!$E$15+E127*Scorecard!$E$16+F127*Scorecard!$E$17</f>
        <v>4.46525622980051</v>
      </c>
      <c r="J127" s="0" t="str">
        <f aca="false">IF(AND(G127&gt;=H127,G127&gt;=I127),"Distribution",IF(I127&gt;=H127,"Prof. services","Manufacturing"))</f>
        <v>Prof. services</v>
      </c>
      <c r="L127" s="46" t="n">
        <v>0.287188</v>
      </c>
      <c r="M127" s="46" t="n">
        <v>0.112777</v>
      </c>
      <c r="N127" s="46" t="n">
        <v>0.271311</v>
      </c>
      <c r="O127" s="46" t="n">
        <v>0.136978</v>
      </c>
      <c r="P127" s="46" t="n">
        <v>0.129134</v>
      </c>
      <c r="Q127" s="46" t="n">
        <v>0.062613</v>
      </c>
      <c r="R127" s="47" t="n">
        <f aca="false">L127*Scorecard!$C$12+M127*Scorecard!$C$13+N127*Scorecard!$C$14+O127*Scorecard!$C$15+P127*Scorecard!$C$16+Q127*Scorecard!$C$17</f>
        <v>3.60759050442083</v>
      </c>
      <c r="S127" s="47" t="n">
        <f aca="false">L127*Scorecard!$D$12+M127*Scorecard!$D$13+N127*Scorecard!$D$14+O127*Scorecard!$D$15+P127*Scorecard!$D$16+Q127*Scorecard!$D$17</f>
        <v>3.12812279980357</v>
      </c>
      <c r="T127" s="47" t="n">
        <f aca="false">L127*Scorecard!$E$12+M127*Scorecard!$E$13+N127*Scorecard!$E$14+O127*Scorecard!$E$15+P127*Scorecard!$E$16+Q127*Scorecard!$E$17</f>
        <v>4.18554252540912</v>
      </c>
      <c r="U127" s="0" t="str">
        <f aca="false">IF(AND(R127&gt;=S127,R127&gt;=T127),"Distribution",IF(T127&gt;=S127,"Prof. services","Manufacturing"))</f>
        <v>Prof. services</v>
      </c>
    </row>
    <row r="128" customFormat="false" ht="15" hidden="false" customHeight="false" outlineLevel="0" collapsed="false">
      <c r="A128" s="46" t="n">
        <v>0.216633</v>
      </c>
      <c r="B128" s="46" t="n">
        <v>0.044798</v>
      </c>
      <c r="C128" s="46" t="n">
        <v>0.027507</v>
      </c>
      <c r="D128" s="46" t="n">
        <v>0.209365</v>
      </c>
      <c r="E128" s="46" t="n">
        <v>0.491968</v>
      </c>
      <c r="F128" s="46" t="n">
        <v>0.00973</v>
      </c>
      <c r="G128" s="47" t="n">
        <f aca="false">A128*Scorecard!$C$12+B128*Scorecard!$C$13+C128*Scorecard!$C$14+D128*Scorecard!$C$15+E128*Scorecard!$C$16+F128*Scorecard!$C$17</f>
        <v>3.8447645106035</v>
      </c>
      <c r="H128" s="47" t="n">
        <f aca="false">A128*Scorecard!$D$12+B128*Scorecard!$D$13+C128*Scorecard!$D$14+D128*Scorecard!$D$15+E128*Scorecard!$D$16+F128*Scorecard!$D$17</f>
        <v>3.46762171510305</v>
      </c>
      <c r="I128" s="47" t="n">
        <f aca="false">A128*Scorecard!$E$12+B128*Scorecard!$E$13+C128*Scorecard!$E$14+D128*Scorecard!$E$15+E128*Scorecard!$E$16+F128*Scorecard!$E$17</f>
        <v>3.37939870644445</v>
      </c>
      <c r="J128" s="0" t="str">
        <f aca="false">IF(AND(G128&gt;=H128,G128&gt;=I128),"Distribution",IF(I128&gt;=H128,"Prof. services","Manufacturing"))</f>
        <v>Distribution</v>
      </c>
      <c r="L128" s="46" t="n">
        <v>0.147401</v>
      </c>
      <c r="M128" s="46" t="n">
        <v>0.135222</v>
      </c>
      <c r="N128" s="46" t="n">
        <v>0.319945</v>
      </c>
      <c r="O128" s="46" t="n">
        <v>0.114918</v>
      </c>
      <c r="P128" s="46" t="n">
        <v>0.160627</v>
      </c>
      <c r="Q128" s="46" t="n">
        <v>0.121887</v>
      </c>
      <c r="R128" s="47" t="n">
        <f aca="false">L128*Scorecard!$C$12+M128*Scorecard!$C$13+N128*Scorecard!$C$14+O128*Scorecard!$C$15+P128*Scorecard!$C$16+Q128*Scorecard!$C$17</f>
        <v>3.74104209791891</v>
      </c>
      <c r="S128" s="47" t="n">
        <f aca="false">L128*Scorecard!$D$12+M128*Scorecard!$D$13+N128*Scorecard!$D$14+O128*Scorecard!$D$15+P128*Scorecard!$D$16+Q128*Scorecard!$D$17</f>
        <v>2.89814274103527</v>
      </c>
      <c r="T128" s="47" t="n">
        <f aca="false">L128*Scorecard!$E$12+M128*Scorecard!$E$13+N128*Scorecard!$E$14+O128*Scorecard!$E$15+P128*Scorecard!$E$16+Q128*Scorecard!$E$17</f>
        <v>4.02581635753011</v>
      </c>
      <c r="U128" s="0" t="str">
        <f aca="false">IF(AND(R128&gt;=S128,R128&gt;=T128),"Distribution",IF(T128&gt;=S128,"Prof. services","Manufacturing"))</f>
        <v>Prof. services</v>
      </c>
    </row>
    <row r="129" customFormat="false" ht="15" hidden="false" customHeight="false" outlineLevel="0" collapsed="false">
      <c r="A129" s="46" t="n">
        <v>0.021953</v>
      </c>
      <c r="B129" s="46" t="n">
        <v>0.033664</v>
      </c>
      <c r="C129" s="46" t="n">
        <v>0.051243</v>
      </c>
      <c r="D129" s="46" t="n">
        <v>0.300776</v>
      </c>
      <c r="E129" s="46" t="n">
        <v>0.017034</v>
      </c>
      <c r="F129" s="46" t="n">
        <v>0.575331</v>
      </c>
      <c r="G129" s="47" t="n">
        <f aca="false">A129*Scorecard!$C$12+B129*Scorecard!$C$13+C129*Scorecard!$C$14+D129*Scorecard!$C$15+E129*Scorecard!$C$16+F129*Scorecard!$C$17</f>
        <v>3.14426628692895</v>
      </c>
      <c r="H129" s="47" t="n">
        <f aca="false">A129*Scorecard!$D$12+B129*Scorecard!$D$13+C129*Scorecard!$D$14+D129*Scorecard!$D$15+E129*Scorecard!$D$16+F129*Scorecard!$D$17</f>
        <v>2.45484648560758</v>
      </c>
      <c r="I129" s="47" t="n">
        <f aca="false">A129*Scorecard!$E$12+B129*Scorecard!$E$13+C129*Scorecard!$E$14+D129*Scorecard!$E$15+E129*Scorecard!$E$16+F129*Scorecard!$E$17</f>
        <v>4.31869614734474</v>
      </c>
      <c r="J129" s="0" t="str">
        <f aca="false">IF(AND(G129&gt;=H129,G129&gt;=I129),"Distribution",IF(I129&gt;=H129,"Prof. services","Manufacturing"))</f>
        <v>Prof. services</v>
      </c>
      <c r="L129" s="46" t="n">
        <v>0.219327</v>
      </c>
      <c r="M129" s="46" t="n">
        <v>0.179297</v>
      </c>
      <c r="N129" s="46" t="n">
        <v>0.300051</v>
      </c>
      <c r="O129" s="46" t="n">
        <v>0.148383</v>
      </c>
      <c r="P129" s="46" t="n">
        <v>0.089965</v>
      </c>
      <c r="Q129" s="46" t="n">
        <v>0.062977</v>
      </c>
      <c r="R129" s="47" t="n">
        <f aca="false">L129*Scorecard!$C$12+M129*Scorecard!$C$13+N129*Scorecard!$C$14+O129*Scorecard!$C$15+P129*Scorecard!$C$16+Q129*Scorecard!$C$17</f>
        <v>3.80693427218445</v>
      </c>
      <c r="S129" s="47" t="n">
        <f aca="false">L129*Scorecard!$D$12+M129*Scorecard!$D$13+N129*Scorecard!$D$14+O129*Scorecard!$D$15+P129*Scorecard!$D$16+Q129*Scorecard!$D$17</f>
        <v>2.9830481912727</v>
      </c>
      <c r="T129" s="47" t="n">
        <f aca="false">L129*Scorecard!$E$12+M129*Scorecard!$E$13+N129*Scorecard!$E$14+O129*Scorecard!$E$15+P129*Scorecard!$E$16+Q129*Scorecard!$E$17</f>
        <v>4.08898878646603</v>
      </c>
      <c r="U129" s="0" t="str">
        <f aca="false">IF(AND(R129&gt;=S129,R129&gt;=T129),"Distribution",IF(T129&gt;=S129,"Prof. services","Manufacturing"))</f>
        <v>Prof. services</v>
      </c>
    </row>
    <row r="130" customFormat="false" ht="15" hidden="false" customHeight="false" outlineLevel="0" collapsed="false">
      <c r="A130" s="46" t="n">
        <v>0.294721</v>
      </c>
      <c r="B130" s="46" t="n">
        <v>0.5847</v>
      </c>
      <c r="C130" s="46" t="n">
        <v>0.001146</v>
      </c>
      <c r="D130" s="46" t="n">
        <v>0.025331</v>
      </c>
      <c r="E130" s="46" t="n">
        <v>0.085921</v>
      </c>
      <c r="F130" s="46" t="n">
        <v>0.00818</v>
      </c>
      <c r="G130" s="47" t="n">
        <f aca="false">A130*Scorecard!$C$12+B130*Scorecard!$C$13+C130*Scorecard!$C$14+D130*Scorecard!$C$15+E130*Scorecard!$C$16+F130*Scorecard!$C$17</f>
        <v>4.06316499699295</v>
      </c>
      <c r="H130" s="47" t="n">
        <f aca="false">A130*Scorecard!$D$12+B130*Scorecard!$D$13+C130*Scorecard!$D$14+D130*Scorecard!$D$15+E130*Scorecard!$D$16+F130*Scorecard!$D$17</f>
        <v>2.36273334892968</v>
      </c>
      <c r="I130" s="47" t="n">
        <f aca="false">A130*Scorecard!$E$12+B130*Scorecard!$E$13+C130*Scorecard!$E$14+D130*Scorecard!$E$15+E130*Scorecard!$E$16+F130*Scorecard!$E$17</f>
        <v>3.0642523763328</v>
      </c>
      <c r="J130" s="0" t="str">
        <f aca="false">IF(AND(G130&gt;=H130,G130&gt;=I130),"Distribution",IF(I130&gt;=H130,"Prof. services","Manufacturing"))</f>
        <v>Distribution</v>
      </c>
      <c r="L130" s="46" t="n">
        <v>0.097096</v>
      </c>
      <c r="M130" s="46" t="n">
        <v>0.215001</v>
      </c>
      <c r="N130" s="46" t="n">
        <v>0.241081</v>
      </c>
      <c r="O130" s="46" t="n">
        <v>0.190975</v>
      </c>
      <c r="P130" s="46" t="n">
        <v>0.175474</v>
      </c>
      <c r="Q130" s="46" t="n">
        <v>0.080374</v>
      </c>
      <c r="R130" s="47" t="n">
        <f aca="false">L130*Scorecard!$C$12+M130*Scorecard!$C$13+N130*Scorecard!$C$14+O130*Scorecard!$C$15+P130*Scorecard!$C$16+Q130*Scorecard!$C$17</f>
        <v>4.07045781531695</v>
      </c>
      <c r="S130" s="47" t="n">
        <f aca="false">L130*Scorecard!$D$12+M130*Scorecard!$D$13+N130*Scorecard!$D$14+O130*Scorecard!$D$15+P130*Scorecard!$D$16+Q130*Scorecard!$D$17</f>
        <v>2.90043359709386</v>
      </c>
      <c r="T130" s="47" t="n">
        <f aca="false">L130*Scorecard!$E$12+M130*Scorecard!$E$13+N130*Scorecard!$E$14+O130*Scorecard!$E$15+P130*Scorecard!$E$16+Q130*Scorecard!$E$17</f>
        <v>3.71399909299167</v>
      </c>
      <c r="U130" s="0" t="str">
        <f aca="false">IF(AND(R130&gt;=S130,R130&gt;=T130),"Distribution",IF(T130&gt;=S130,"Prof. services","Manufacturing"))</f>
        <v>Distribution</v>
      </c>
    </row>
    <row r="131" customFormat="false" ht="15" hidden="false" customHeight="false" outlineLevel="0" collapsed="false">
      <c r="A131" s="46" t="n">
        <v>0.316994</v>
      </c>
      <c r="B131" s="46" t="n">
        <v>0.258573</v>
      </c>
      <c r="C131" s="46" t="n">
        <v>0.052676</v>
      </c>
      <c r="D131" s="46" t="n">
        <v>0.153925</v>
      </c>
      <c r="E131" s="46" t="n">
        <v>0.159653</v>
      </c>
      <c r="F131" s="46" t="n">
        <v>0.058179</v>
      </c>
      <c r="G131" s="47" t="n">
        <f aca="false">A131*Scorecard!$C$12+B131*Scorecard!$C$13+C131*Scorecard!$C$14+D131*Scorecard!$C$15+E131*Scorecard!$C$16+F131*Scorecard!$C$17</f>
        <v>3.72554627935839</v>
      </c>
      <c r="H131" s="47" t="n">
        <f aca="false">A131*Scorecard!$D$12+B131*Scorecard!$D$13+C131*Scorecard!$D$14+D131*Scorecard!$D$15+E131*Scorecard!$D$16+F131*Scorecard!$D$17</f>
        <v>2.96541058189898</v>
      </c>
      <c r="I131" s="47" t="n">
        <f aca="false">A131*Scorecard!$E$12+B131*Scorecard!$E$13+C131*Scorecard!$E$14+D131*Scorecard!$E$15+E131*Scorecard!$E$16+F131*Scorecard!$E$17</f>
        <v>3.672955541117</v>
      </c>
      <c r="J131" s="0" t="str">
        <f aca="false">IF(AND(G131&gt;=H131,G131&gt;=I131),"Distribution",IF(I131&gt;=H131,"Prof. services","Manufacturing"))</f>
        <v>Distribution</v>
      </c>
      <c r="L131" s="46" t="n">
        <v>0.21929</v>
      </c>
      <c r="M131" s="46" t="n">
        <v>0.219546</v>
      </c>
      <c r="N131" s="46" t="n">
        <v>0.320783</v>
      </c>
      <c r="O131" s="46" t="n">
        <v>0.057827</v>
      </c>
      <c r="P131" s="46" t="n">
        <v>0.12892</v>
      </c>
      <c r="Q131" s="46" t="n">
        <v>0.053634</v>
      </c>
      <c r="R131" s="47" t="n">
        <f aca="false">L131*Scorecard!$C$12+M131*Scorecard!$C$13+N131*Scorecard!$C$14+O131*Scorecard!$C$15+P131*Scorecard!$C$16+Q131*Scorecard!$C$17</f>
        <v>3.77537987271211</v>
      </c>
      <c r="S131" s="47" t="n">
        <f aca="false">L131*Scorecard!$D$12+M131*Scorecard!$D$13+N131*Scorecard!$D$14+O131*Scorecard!$D$15+P131*Scorecard!$D$16+Q131*Scorecard!$D$17</f>
        <v>2.84477806658162</v>
      </c>
      <c r="T131" s="47" t="n">
        <f aca="false">L131*Scorecard!$E$12+M131*Scorecard!$E$13+N131*Scorecard!$E$14+O131*Scorecard!$E$15+P131*Scorecard!$E$16+Q131*Scorecard!$E$17</f>
        <v>3.94973559531131</v>
      </c>
      <c r="U131" s="0" t="str">
        <f aca="false">IF(AND(R131&gt;=S131,R131&gt;=T131),"Distribution",IF(T131&gt;=S131,"Prof. services","Manufacturing"))</f>
        <v>Prof. services</v>
      </c>
    </row>
    <row r="132" customFormat="false" ht="15" hidden="false" customHeight="false" outlineLevel="0" collapsed="false">
      <c r="A132" s="46" t="n">
        <v>0.06721</v>
      </c>
      <c r="B132" s="46" t="n">
        <v>0.275952</v>
      </c>
      <c r="C132" s="46" t="n">
        <v>0.082298</v>
      </c>
      <c r="D132" s="46" t="n">
        <v>0.341389</v>
      </c>
      <c r="E132" s="46" t="n">
        <v>0.139018</v>
      </c>
      <c r="F132" s="46" t="n">
        <v>0.094133</v>
      </c>
      <c r="G132" s="47" t="n">
        <f aca="false">A132*Scorecard!$C$12+B132*Scorecard!$C$13+C132*Scorecard!$C$14+D132*Scorecard!$C$15+E132*Scorecard!$C$16+F132*Scorecard!$C$17</f>
        <v>4.30809604152027</v>
      </c>
      <c r="H132" s="47" t="n">
        <f aca="false">A132*Scorecard!$D$12+B132*Scorecard!$D$13+C132*Scorecard!$D$14+D132*Scorecard!$D$15+E132*Scorecard!$D$16+F132*Scorecard!$D$17</f>
        <v>2.93053679531526</v>
      </c>
      <c r="I132" s="47" t="n">
        <f aca="false">A132*Scorecard!$E$12+B132*Scorecard!$E$13+C132*Scorecard!$E$14+D132*Scorecard!$E$15+E132*Scorecard!$E$16+F132*Scorecard!$E$17</f>
        <v>3.50333113691017</v>
      </c>
      <c r="J132" s="0" t="str">
        <f aca="false">IF(AND(G132&gt;=H132,G132&gt;=I132),"Distribution",IF(I132&gt;=H132,"Prof. services","Manufacturing"))</f>
        <v>Distribution</v>
      </c>
      <c r="L132" s="46" t="n">
        <v>0.344695</v>
      </c>
      <c r="M132" s="46" t="n">
        <v>0.258844</v>
      </c>
      <c r="N132" s="46" t="n">
        <v>0.138078</v>
      </c>
      <c r="O132" s="46" t="n">
        <v>0.059482</v>
      </c>
      <c r="P132" s="46" t="n">
        <v>0.067933</v>
      </c>
      <c r="Q132" s="46" t="n">
        <v>0.130969</v>
      </c>
      <c r="R132" s="47" t="n">
        <f aca="false">L132*Scorecard!$C$12+M132*Scorecard!$C$13+N132*Scorecard!$C$14+O132*Scorecard!$C$15+P132*Scorecard!$C$16+Q132*Scorecard!$C$17</f>
        <v>3.43593608431529</v>
      </c>
      <c r="S132" s="47" t="n">
        <f aca="false">L132*Scorecard!$D$12+M132*Scorecard!$D$13+N132*Scorecard!$D$14+O132*Scorecard!$D$15+P132*Scorecard!$D$16+Q132*Scorecard!$D$17</f>
        <v>2.73421524046401</v>
      </c>
      <c r="T132" s="47" t="n">
        <f aca="false">L132*Scorecard!$E$12+M132*Scorecard!$E$13+N132*Scorecard!$E$14+O132*Scorecard!$E$15+P132*Scorecard!$E$16+Q132*Scorecard!$E$17</f>
        <v>3.95931685868801</v>
      </c>
      <c r="U132" s="0" t="str">
        <f aca="false">IF(AND(R132&gt;=S132,R132&gt;=T132),"Distribution",IF(T132&gt;=S132,"Prof. services","Manufacturing"))</f>
        <v>Prof. services</v>
      </c>
    </row>
    <row r="133" customFormat="false" ht="15" hidden="false" customHeight="false" outlineLevel="0" collapsed="false">
      <c r="A133" s="46" t="n">
        <v>0.356506</v>
      </c>
      <c r="B133" s="46" t="n">
        <v>0.244179</v>
      </c>
      <c r="C133" s="46" t="n">
        <v>0.157257</v>
      </c>
      <c r="D133" s="46" t="n">
        <v>0.007581</v>
      </c>
      <c r="E133" s="46" t="n">
        <v>0.221439</v>
      </c>
      <c r="F133" s="46" t="n">
        <v>0.013037</v>
      </c>
      <c r="G133" s="47" t="n">
        <f aca="false">A133*Scorecard!$C$12+B133*Scorecard!$C$13+C133*Scorecard!$C$14+D133*Scorecard!$C$15+E133*Scorecard!$C$16+F133*Scorecard!$C$17</f>
        <v>3.58396611587898</v>
      </c>
      <c r="H133" s="47" t="n">
        <f aca="false">A133*Scorecard!$D$12+B133*Scorecard!$D$13+C133*Scorecard!$D$14+D133*Scorecard!$D$15+E133*Scorecard!$D$16+F133*Scorecard!$D$17</f>
        <v>2.93200711153572</v>
      </c>
      <c r="I133" s="47" t="n">
        <f aca="false">A133*Scorecard!$E$12+B133*Scorecard!$E$13+C133*Scorecard!$E$14+D133*Scorecard!$E$15+E133*Scorecard!$E$16+F133*Scorecard!$E$17</f>
        <v>3.69447753023235</v>
      </c>
      <c r="J133" s="0" t="str">
        <f aca="false">IF(AND(G133&gt;=H133,G133&gt;=I133),"Distribution",IF(I133&gt;=H133,"Prof. services","Manufacturing"))</f>
        <v>Prof. services</v>
      </c>
      <c r="L133" s="46" t="n">
        <v>0.115067</v>
      </c>
      <c r="M133" s="46" t="n">
        <v>0.230533</v>
      </c>
      <c r="N133" s="46" t="n">
        <v>0.311596</v>
      </c>
      <c r="O133" s="46" t="n">
        <v>0.090236</v>
      </c>
      <c r="P133" s="46" t="n">
        <v>0.16858</v>
      </c>
      <c r="Q133" s="46" t="n">
        <v>0.083988</v>
      </c>
      <c r="R133" s="47" t="n">
        <f aca="false">L133*Scorecard!$C$12+M133*Scorecard!$C$13+N133*Scorecard!$C$14+O133*Scorecard!$C$15+P133*Scorecard!$C$16+Q133*Scorecard!$C$17</f>
        <v>3.94567075903308</v>
      </c>
      <c r="S133" s="47" t="n">
        <f aca="false">L133*Scorecard!$D$12+M133*Scorecard!$D$13+N133*Scorecard!$D$14+O133*Scorecard!$D$15+P133*Scorecard!$D$16+Q133*Scorecard!$D$17</f>
        <v>2.76464914621455</v>
      </c>
      <c r="T133" s="47" t="n">
        <f aca="false">L133*Scorecard!$E$12+M133*Scorecard!$E$13+N133*Scorecard!$E$14+O133*Scorecard!$E$15+P133*Scorecard!$E$16+Q133*Scorecard!$E$17</f>
        <v>3.77011416429825</v>
      </c>
      <c r="U133" s="0" t="str">
        <f aca="false">IF(AND(R133&gt;=S133,R133&gt;=T133),"Distribution",IF(T133&gt;=S133,"Prof. services","Manufacturing"))</f>
        <v>Distribution</v>
      </c>
    </row>
    <row r="134" customFormat="false" ht="15" hidden="false" customHeight="false" outlineLevel="0" collapsed="false">
      <c r="A134" s="46" t="n">
        <v>0.021179</v>
      </c>
      <c r="B134" s="46" t="n">
        <v>0.279794</v>
      </c>
      <c r="C134" s="46" t="n">
        <v>0.209275</v>
      </c>
      <c r="D134" s="46" t="n">
        <v>0.203425</v>
      </c>
      <c r="E134" s="46" t="n">
        <v>0.033878</v>
      </c>
      <c r="F134" s="46" t="n">
        <v>0.252449</v>
      </c>
      <c r="G134" s="47" t="n">
        <f aca="false">A134*Scorecard!$C$12+B134*Scorecard!$C$13+C134*Scorecard!$C$14+D134*Scorecard!$C$15+E134*Scorecard!$C$16+F134*Scorecard!$C$17</f>
        <v>3.94019849796694</v>
      </c>
      <c r="H134" s="47" t="n">
        <f aca="false">A134*Scorecard!$D$12+B134*Scorecard!$D$13+C134*Scorecard!$D$14+D134*Scorecard!$D$15+E134*Scorecard!$D$16+F134*Scorecard!$D$17</f>
        <v>2.4621307375214</v>
      </c>
      <c r="I134" s="47" t="n">
        <f aca="false">A134*Scorecard!$E$12+B134*Scorecard!$E$13+C134*Scorecard!$E$14+D134*Scorecard!$E$15+E134*Scorecard!$E$16+F134*Scorecard!$E$17</f>
        <v>3.80882115561174</v>
      </c>
      <c r="J134" s="0" t="str">
        <f aca="false">IF(AND(G134&gt;=H134,G134&gt;=I134),"Distribution",IF(I134&gt;=H134,"Prof. services","Manufacturing"))</f>
        <v>Distribution</v>
      </c>
      <c r="L134" s="46" t="n">
        <v>0.144789</v>
      </c>
      <c r="M134" s="46" t="n">
        <v>0.134926</v>
      </c>
      <c r="N134" s="46" t="n">
        <v>0.253395</v>
      </c>
      <c r="O134" s="46" t="n">
        <v>0.245624</v>
      </c>
      <c r="P134" s="46" t="n">
        <v>0.11713</v>
      </c>
      <c r="Q134" s="46" t="n">
        <v>0.104136</v>
      </c>
      <c r="R134" s="47" t="n">
        <f aca="false">L134*Scorecard!$C$12+M134*Scorecard!$C$13+N134*Scorecard!$C$14+O134*Scorecard!$C$15+P134*Scorecard!$C$16+Q134*Scorecard!$C$17</f>
        <v>3.91165573516856</v>
      </c>
      <c r="S134" s="47" t="n">
        <f aca="false">L134*Scorecard!$D$12+M134*Scorecard!$D$13+N134*Scorecard!$D$14+O134*Scorecard!$D$15+P134*Scorecard!$D$16+Q134*Scorecard!$D$17</f>
        <v>3.06029983159456</v>
      </c>
      <c r="T134" s="47" t="n">
        <f aca="false">L134*Scorecard!$E$12+M134*Scorecard!$E$13+N134*Scorecard!$E$14+O134*Scorecard!$E$15+P134*Scorecard!$E$16+Q134*Scorecard!$E$17</f>
        <v>4.04227922651422</v>
      </c>
      <c r="U134" s="0" t="str">
        <f aca="false">IF(AND(R134&gt;=S134,R134&gt;=T134),"Distribution",IF(T134&gt;=S134,"Prof. services","Manufacturing"))</f>
        <v>Prof. services</v>
      </c>
    </row>
    <row r="135" customFormat="false" ht="15" hidden="false" customHeight="false" outlineLevel="0" collapsed="false">
      <c r="A135" s="46" t="n">
        <v>0.405572</v>
      </c>
      <c r="B135" s="46" t="n">
        <v>0.015851</v>
      </c>
      <c r="C135" s="46" t="n">
        <v>0.092589</v>
      </c>
      <c r="D135" s="46" t="n">
        <v>0.381594</v>
      </c>
      <c r="E135" s="46" t="n">
        <v>0.06254</v>
      </c>
      <c r="F135" s="46" t="n">
        <v>0.041855</v>
      </c>
      <c r="G135" s="47" t="n">
        <f aca="false">A135*Scorecard!$C$12+B135*Scorecard!$C$13+C135*Scorecard!$C$14+D135*Scorecard!$C$15+E135*Scorecard!$C$16+F135*Scorecard!$C$17</f>
        <v>3.58370361615028</v>
      </c>
      <c r="H135" s="47" t="n">
        <f aca="false">A135*Scorecard!$D$12+B135*Scorecard!$D$13+C135*Scorecard!$D$14+D135*Scorecard!$D$15+E135*Scorecard!$D$16+F135*Scorecard!$D$17</f>
        <v>3.64392391454051</v>
      </c>
      <c r="I135" s="47" t="n">
        <f aca="false">A135*Scorecard!$E$12+B135*Scorecard!$E$13+C135*Scorecard!$E$14+D135*Scorecard!$E$15+E135*Scorecard!$E$16+F135*Scorecard!$E$17</f>
        <v>4.44775271747819</v>
      </c>
      <c r="J135" s="0" t="str">
        <f aca="false">IF(AND(G135&gt;=H135,G135&gt;=I135),"Distribution",IF(I135&gt;=H135,"Prof. services","Manufacturing"))</f>
        <v>Prof. services</v>
      </c>
      <c r="L135" s="46" t="n">
        <v>0.277566</v>
      </c>
      <c r="M135" s="46" t="n">
        <v>0.123437</v>
      </c>
      <c r="N135" s="46" t="n">
        <v>0.243247</v>
      </c>
      <c r="O135" s="46" t="n">
        <v>0.069511</v>
      </c>
      <c r="P135" s="46" t="n">
        <v>0.159313</v>
      </c>
      <c r="Q135" s="46" t="n">
        <v>0.126927</v>
      </c>
      <c r="R135" s="47" t="n">
        <f aca="false">L135*Scorecard!$C$12+M135*Scorecard!$C$13+N135*Scorecard!$C$14+O135*Scorecard!$C$15+P135*Scorecard!$C$16+Q135*Scorecard!$C$17</f>
        <v>3.43947524163988</v>
      </c>
      <c r="S135" s="47" t="n">
        <f aca="false">L135*Scorecard!$D$12+M135*Scorecard!$D$13+N135*Scorecard!$D$14+O135*Scorecard!$D$15+P135*Scorecard!$D$16+Q135*Scorecard!$D$17</f>
        <v>2.94125240457547</v>
      </c>
      <c r="T135" s="47" t="n">
        <f aca="false">L135*Scorecard!$E$12+M135*Scorecard!$E$13+N135*Scorecard!$E$14+O135*Scorecard!$E$15+P135*Scorecard!$E$16+Q135*Scorecard!$E$17</f>
        <v>4.09864940229636</v>
      </c>
      <c r="U135" s="0" t="str">
        <f aca="false">IF(AND(R135&gt;=S135,R135&gt;=T135),"Distribution",IF(T135&gt;=S135,"Prof. services","Manufacturing"))</f>
        <v>Prof. services</v>
      </c>
    </row>
    <row r="136" customFormat="false" ht="15" hidden="false" customHeight="false" outlineLevel="0" collapsed="false">
      <c r="A136" s="46" t="n">
        <v>0.221418</v>
      </c>
      <c r="B136" s="46" t="n">
        <v>0.000924</v>
      </c>
      <c r="C136" s="46" t="n">
        <v>0.005459</v>
      </c>
      <c r="D136" s="46" t="n">
        <v>0.301817</v>
      </c>
      <c r="E136" s="46" t="n">
        <v>0.054112</v>
      </c>
      <c r="F136" s="46" t="n">
        <v>0.416271</v>
      </c>
      <c r="G136" s="47" t="n">
        <f aca="false">A136*Scorecard!$C$12+B136*Scorecard!$C$13+C136*Scorecard!$C$14+D136*Scorecard!$C$15+E136*Scorecard!$C$16+F136*Scorecard!$C$17</f>
        <v>3.07164744236477</v>
      </c>
      <c r="H136" s="47" t="n">
        <f aca="false">A136*Scorecard!$D$12+B136*Scorecard!$D$13+C136*Scorecard!$D$14+D136*Scorecard!$D$15+E136*Scorecard!$D$16+F136*Scorecard!$D$17</f>
        <v>2.88790014665861</v>
      </c>
      <c r="I136" s="47" t="n">
        <f aca="false">A136*Scorecard!$E$12+B136*Scorecard!$E$13+C136*Scorecard!$E$14+D136*Scorecard!$E$15+E136*Scorecard!$E$16+F136*Scorecard!$E$17</f>
        <v>4.39262805547168</v>
      </c>
      <c r="J136" s="0" t="str">
        <f aca="false">IF(AND(G136&gt;=H136,G136&gt;=I136),"Distribution",IF(I136&gt;=H136,"Prof. services","Manufacturing"))</f>
        <v>Prof. services</v>
      </c>
      <c r="L136" s="46" t="n">
        <v>0.19917</v>
      </c>
      <c r="M136" s="46" t="n">
        <v>0.168536</v>
      </c>
      <c r="N136" s="46" t="n">
        <v>0.214652</v>
      </c>
      <c r="O136" s="46" t="n">
        <v>0.072767</v>
      </c>
      <c r="P136" s="46" t="n">
        <v>0.194031</v>
      </c>
      <c r="Q136" s="46" t="n">
        <v>0.150845</v>
      </c>
      <c r="R136" s="47" t="n">
        <f aca="false">L136*Scorecard!$C$12+M136*Scorecard!$C$13+N136*Scorecard!$C$14+O136*Scorecard!$C$15+P136*Scorecard!$C$16+Q136*Scorecard!$C$17</f>
        <v>3.5811081596428</v>
      </c>
      <c r="S136" s="47" t="n">
        <f aca="false">L136*Scorecard!$D$12+M136*Scorecard!$D$13+N136*Scorecard!$D$14+O136*Scorecard!$D$15+P136*Scorecard!$D$16+Q136*Scorecard!$D$17</f>
        <v>2.80123925768017</v>
      </c>
      <c r="T136" s="47" t="n">
        <f aca="false">L136*Scorecard!$E$12+M136*Scorecard!$E$13+N136*Scorecard!$E$14+O136*Scorecard!$E$15+P136*Scorecard!$E$16+Q136*Scorecard!$E$17</f>
        <v>3.86170128954691</v>
      </c>
      <c r="U136" s="0" t="str">
        <f aca="false">IF(AND(R136&gt;=S136,R136&gt;=T136),"Distribution",IF(T136&gt;=S136,"Prof. services","Manufacturing"))</f>
        <v>Prof. services</v>
      </c>
    </row>
    <row r="137" customFormat="false" ht="15" hidden="false" customHeight="false" outlineLevel="0" collapsed="false">
      <c r="A137" s="46" t="n">
        <v>0.320438</v>
      </c>
      <c r="B137" s="46" t="n">
        <v>0.239438</v>
      </c>
      <c r="C137" s="46" t="n">
        <v>0.089154</v>
      </c>
      <c r="D137" s="46" t="n">
        <v>0.035901</v>
      </c>
      <c r="E137" s="46" t="n">
        <v>0.016172</v>
      </c>
      <c r="F137" s="46" t="n">
        <v>0.298896</v>
      </c>
      <c r="G137" s="47" t="n">
        <f aca="false">A137*Scorecard!$C$12+B137*Scorecard!$C$13+C137*Scorecard!$C$14+D137*Scorecard!$C$15+E137*Scorecard!$C$16+F137*Scorecard!$C$17</f>
        <v>3.10075003024361</v>
      </c>
      <c r="H137" s="47" t="n">
        <f aca="false">A137*Scorecard!$D$12+B137*Scorecard!$D$13+C137*Scorecard!$D$14+D137*Scorecard!$D$15+E137*Scorecard!$D$16+F137*Scorecard!$D$17</f>
        <v>2.45087224354256</v>
      </c>
      <c r="I137" s="47" t="n">
        <f aca="false">A137*Scorecard!$E$12+B137*Scorecard!$E$13+C137*Scorecard!$E$14+D137*Scorecard!$E$15+E137*Scorecard!$E$16+F137*Scorecard!$E$17</f>
        <v>4.08888745985956</v>
      </c>
      <c r="J137" s="0" t="str">
        <f aca="false">IF(AND(G137&gt;=H137,G137&gt;=I137),"Distribution",IF(I137&gt;=H137,"Prof. services","Manufacturing"))</f>
        <v>Prof. services</v>
      </c>
      <c r="L137" s="46" t="n">
        <v>0.112462</v>
      </c>
      <c r="M137" s="46" t="n">
        <v>0.136778</v>
      </c>
      <c r="N137" s="46" t="n">
        <v>0.274114</v>
      </c>
      <c r="O137" s="46" t="n">
        <v>0.156308</v>
      </c>
      <c r="P137" s="46" t="n">
        <v>0.168065</v>
      </c>
      <c r="Q137" s="46" t="n">
        <v>0.152273</v>
      </c>
      <c r="R137" s="47" t="n">
        <f aca="false">L137*Scorecard!$C$12+M137*Scorecard!$C$13+N137*Scorecard!$C$14+O137*Scorecard!$C$15+P137*Scorecard!$C$16+Q137*Scorecard!$C$17</f>
        <v>3.7861067961829</v>
      </c>
      <c r="S137" s="47" t="n">
        <f aca="false">L137*Scorecard!$D$12+M137*Scorecard!$D$13+N137*Scorecard!$D$14+O137*Scorecard!$D$15+P137*Scorecard!$D$16+Q137*Scorecard!$D$17</f>
        <v>2.87754336020036</v>
      </c>
      <c r="T137" s="47" t="n">
        <f aca="false">L137*Scorecard!$E$12+M137*Scorecard!$E$13+N137*Scorecard!$E$14+O137*Scorecard!$E$15+P137*Scorecard!$E$16+Q137*Scorecard!$E$17</f>
        <v>3.95171680013381</v>
      </c>
      <c r="U137" s="0" t="str">
        <f aca="false">IF(AND(R137&gt;=S137,R137&gt;=T137),"Distribution",IF(T137&gt;=S137,"Prof. services","Manufacturing"))</f>
        <v>Prof. services</v>
      </c>
    </row>
    <row r="138" customFormat="false" ht="15" hidden="false" customHeight="false" outlineLevel="0" collapsed="false">
      <c r="A138" s="46" t="n">
        <v>0.046419</v>
      </c>
      <c r="B138" s="46" t="n">
        <v>0.090269</v>
      </c>
      <c r="C138" s="46" t="n">
        <v>0.339149</v>
      </c>
      <c r="D138" s="46" t="n">
        <v>0.017449</v>
      </c>
      <c r="E138" s="46" t="n">
        <v>0.477023</v>
      </c>
      <c r="F138" s="46" t="n">
        <v>0.029691</v>
      </c>
      <c r="G138" s="47" t="n">
        <f aca="false">A138*Scorecard!$C$12+B138*Scorecard!$C$13+C138*Scorecard!$C$14+D138*Scorecard!$C$15+E138*Scorecard!$C$16+F138*Scorecard!$C$17</f>
        <v>3.96478113802008</v>
      </c>
      <c r="H138" s="47" t="n">
        <f aca="false">A138*Scorecard!$D$12+B138*Scorecard!$D$13+C138*Scorecard!$D$14+D138*Scorecard!$D$15+E138*Scorecard!$D$16+F138*Scorecard!$D$17</f>
        <v>3.02983892439366</v>
      </c>
      <c r="I138" s="47" t="n">
        <f aca="false">A138*Scorecard!$E$12+B138*Scorecard!$E$13+C138*Scorecard!$E$14+D138*Scorecard!$E$15+E138*Scorecard!$E$16+F138*Scorecard!$E$17</f>
        <v>3.43893131498504</v>
      </c>
      <c r="J138" s="0" t="str">
        <f aca="false">IF(AND(G138&gt;=H138,G138&gt;=I138),"Distribution",IF(I138&gt;=H138,"Prof. services","Manufacturing"))</f>
        <v>Distribution</v>
      </c>
      <c r="L138" s="46" t="n">
        <v>0.207839</v>
      </c>
      <c r="M138" s="46" t="n">
        <v>0.098549</v>
      </c>
      <c r="N138" s="46" t="n">
        <v>0.221573</v>
      </c>
      <c r="O138" s="46" t="n">
        <v>0.074554</v>
      </c>
      <c r="P138" s="46" t="n">
        <v>0.263162</v>
      </c>
      <c r="Q138" s="46" t="n">
        <v>0.134324</v>
      </c>
      <c r="R138" s="47" t="n">
        <f aca="false">L138*Scorecard!$C$12+M138*Scorecard!$C$13+N138*Scorecard!$C$14+O138*Scorecard!$C$15+P138*Scorecard!$C$16+Q138*Scorecard!$C$17</f>
        <v>3.53034583601446</v>
      </c>
      <c r="S138" s="47" t="n">
        <f aca="false">L138*Scorecard!$D$12+M138*Scorecard!$D$13+N138*Scorecard!$D$14+O138*Scorecard!$D$15+P138*Scorecard!$D$16+Q138*Scorecard!$D$17</f>
        <v>2.96191005616482</v>
      </c>
      <c r="T138" s="47" t="n">
        <f aca="false">L138*Scorecard!$E$12+M138*Scorecard!$E$13+N138*Scorecard!$E$14+O138*Scorecard!$E$15+P138*Scorecard!$E$16+Q138*Scorecard!$E$17</f>
        <v>3.88537246631236</v>
      </c>
      <c r="U138" s="0" t="str">
        <f aca="false">IF(AND(R138&gt;=S138,R138&gt;=T138),"Distribution",IF(T138&gt;=S138,"Prof. services","Manufacturing"))</f>
        <v>Prof. services</v>
      </c>
    </row>
    <row r="139" customFormat="false" ht="15" hidden="false" customHeight="false" outlineLevel="0" collapsed="false">
      <c r="A139" s="46" t="n">
        <v>0.023486</v>
      </c>
      <c r="B139" s="46" t="n">
        <v>0.009463</v>
      </c>
      <c r="C139" s="46" t="n">
        <v>0.268599</v>
      </c>
      <c r="D139" s="46" t="n">
        <v>0.41224</v>
      </c>
      <c r="E139" s="46" t="n">
        <v>0.151156</v>
      </c>
      <c r="F139" s="46" t="n">
        <v>0.135055</v>
      </c>
      <c r="G139" s="47" t="n">
        <f aca="false">A139*Scorecard!$C$12+B139*Scorecard!$C$13+C139*Scorecard!$C$14+D139*Scorecard!$C$15+E139*Scorecard!$C$16+F139*Scorecard!$C$17</f>
        <v>4.10931386506688</v>
      </c>
      <c r="H139" s="47" t="n">
        <f aca="false">A139*Scorecard!$D$12+B139*Scorecard!$D$13+C139*Scorecard!$D$14+D139*Scorecard!$D$15+E139*Scorecard!$D$16+F139*Scorecard!$D$17</f>
        <v>3.32633550665701</v>
      </c>
      <c r="I139" s="47" t="n">
        <f aca="false">A139*Scorecard!$E$12+B139*Scorecard!$E$13+C139*Scorecard!$E$14+D139*Scorecard!$E$15+E139*Scorecard!$E$16+F139*Scorecard!$E$17</f>
        <v>4.15758596023626</v>
      </c>
      <c r="J139" s="0" t="str">
        <f aca="false">IF(AND(G139&gt;=H139,G139&gt;=I139),"Distribution",IF(I139&gt;=H139,"Prof. services","Manufacturing"))</f>
        <v>Prof. services</v>
      </c>
      <c r="L139" s="46" t="n">
        <v>0.211113</v>
      </c>
      <c r="M139" s="46" t="n">
        <v>0.152078</v>
      </c>
      <c r="N139" s="46" t="n">
        <v>0.209128</v>
      </c>
      <c r="O139" s="46" t="n">
        <v>0.136849</v>
      </c>
      <c r="P139" s="46" t="n">
        <v>0.260029</v>
      </c>
      <c r="Q139" s="46" t="n">
        <v>0.030804</v>
      </c>
      <c r="R139" s="47" t="n">
        <f aca="false">L139*Scorecard!$C$12+M139*Scorecard!$C$13+N139*Scorecard!$C$14+O139*Scorecard!$C$15+P139*Scorecard!$C$16+Q139*Scorecard!$C$17</f>
        <v>3.84731658932405</v>
      </c>
      <c r="S139" s="47" t="n">
        <f aca="false">L139*Scorecard!$D$12+M139*Scorecard!$D$13+N139*Scorecard!$D$14+O139*Scorecard!$D$15+P139*Scorecard!$D$16+Q139*Scorecard!$D$17</f>
        <v>3.11007648149354</v>
      </c>
      <c r="T139" s="47" t="n">
        <f aca="false">L139*Scorecard!$E$12+M139*Scorecard!$E$13+N139*Scorecard!$E$14+O139*Scorecard!$E$15+P139*Scorecard!$E$16+Q139*Scorecard!$E$17</f>
        <v>3.73948805599382</v>
      </c>
      <c r="U139" s="0" t="str">
        <f aca="false">IF(AND(R139&gt;=S139,R139&gt;=T139),"Distribution",IF(T139&gt;=S139,"Prof. services","Manufacturing"))</f>
        <v>Distribution</v>
      </c>
    </row>
    <row r="140" customFormat="false" ht="15" hidden="false" customHeight="false" outlineLevel="0" collapsed="false">
      <c r="A140" s="46" t="n">
        <v>0.039906</v>
      </c>
      <c r="B140" s="46" t="n">
        <v>0.154802</v>
      </c>
      <c r="C140" s="46" t="n">
        <v>0.162152</v>
      </c>
      <c r="D140" s="46" t="n">
        <v>0.195962</v>
      </c>
      <c r="E140" s="46" t="n">
        <v>0.219812</v>
      </c>
      <c r="F140" s="46" t="n">
        <v>0.227366</v>
      </c>
      <c r="G140" s="47" t="n">
        <f aca="false">A140*Scorecard!$C$12+B140*Scorecard!$C$13+C140*Scorecard!$C$14+D140*Scorecard!$C$15+E140*Scorecard!$C$16+F140*Scorecard!$C$17</f>
        <v>3.82420063090177</v>
      </c>
      <c r="H140" s="47" t="n">
        <f aca="false">A140*Scorecard!$D$12+B140*Scorecard!$D$13+C140*Scorecard!$D$14+D140*Scorecard!$D$15+E140*Scorecard!$D$16+F140*Scorecard!$D$17</f>
        <v>2.75307710606721</v>
      </c>
      <c r="I140" s="47" t="n">
        <f aca="false">A140*Scorecard!$E$12+B140*Scorecard!$E$13+C140*Scorecard!$E$14+D140*Scorecard!$E$15+E140*Scorecard!$E$16+F140*Scorecard!$E$17</f>
        <v>3.69120233841287</v>
      </c>
      <c r="J140" s="0" t="str">
        <f aca="false">IF(AND(G140&gt;=H140,G140&gt;=I140),"Distribution",IF(I140&gt;=H140,"Prof. services","Manufacturing"))</f>
        <v>Distribution</v>
      </c>
      <c r="L140" s="46" t="n">
        <v>0.100925</v>
      </c>
      <c r="M140" s="46" t="n">
        <v>0.253751</v>
      </c>
      <c r="N140" s="46" t="n">
        <v>0.145702</v>
      </c>
      <c r="O140" s="46" t="n">
        <v>0.119692</v>
      </c>
      <c r="P140" s="46" t="n">
        <v>0.214355</v>
      </c>
      <c r="Q140" s="46" t="n">
        <v>0.165574</v>
      </c>
      <c r="R140" s="47" t="n">
        <f aca="false">L140*Scorecard!$C$12+M140*Scorecard!$C$13+N140*Scorecard!$C$14+O140*Scorecard!$C$15+P140*Scorecard!$C$16+Q140*Scorecard!$C$17</f>
        <v>3.8606245607117</v>
      </c>
      <c r="S140" s="47" t="n">
        <f aca="false">L140*Scorecard!$D$12+M140*Scorecard!$D$13+N140*Scorecard!$D$14+O140*Scorecard!$D$15+P140*Scorecard!$D$16+Q140*Scorecard!$D$17</f>
        <v>2.64743320886069</v>
      </c>
      <c r="T140" s="47" t="n">
        <f aca="false">L140*Scorecard!$E$12+M140*Scorecard!$E$13+N140*Scorecard!$E$14+O140*Scorecard!$E$15+P140*Scorecard!$E$16+Q140*Scorecard!$E$17</f>
        <v>3.51586213784762</v>
      </c>
      <c r="U140" s="0" t="str">
        <f aca="false">IF(AND(R140&gt;=S140,R140&gt;=T140),"Distribution",IF(T140&gt;=S140,"Prof. services","Manufacturing"))</f>
        <v>Distribution</v>
      </c>
    </row>
    <row r="141" customFormat="false" ht="15" hidden="false" customHeight="false" outlineLevel="0" collapsed="false">
      <c r="A141" s="46" t="n">
        <v>0.003574</v>
      </c>
      <c r="B141" s="46" t="n">
        <v>0.214411</v>
      </c>
      <c r="C141" s="46" t="n">
        <v>0.178295</v>
      </c>
      <c r="D141" s="46" t="n">
        <v>0.375956</v>
      </c>
      <c r="E141" s="46" t="n">
        <v>0.022986</v>
      </c>
      <c r="F141" s="46" t="n">
        <v>0.204777</v>
      </c>
      <c r="G141" s="47" t="n">
        <f aca="false">A141*Scorecard!$C$12+B141*Scorecard!$C$13+C141*Scorecard!$C$14+D141*Scorecard!$C$15+E141*Scorecard!$C$16+F141*Scorecard!$C$17</f>
        <v>4.1743757490313</v>
      </c>
      <c r="H141" s="47" t="n">
        <f aca="false">A141*Scorecard!$D$12+B141*Scorecard!$D$13+C141*Scorecard!$D$14+D141*Scorecard!$D$15+E141*Scorecard!$D$16+F141*Scorecard!$D$17</f>
        <v>2.81624510920156</v>
      </c>
      <c r="I141" s="47" t="n">
        <f aca="false">A141*Scorecard!$E$12+B141*Scorecard!$E$13+C141*Scorecard!$E$14+D141*Scorecard!$E$15+E141*Scorecard!$E$16+F141*Scorecard!$E$17</f>
        <v>3.90549513550326</v>
      </c>
      <c r="J141" s="0" t="str">
        <f aca="false">IF(AND(G141&gt;=H141,G141&gt;=I141),"Distribution",IF(I141&gt;=H141,"Prof. services","Manufacturing"))</f>
        <v>Distribution</v>
      </c>
      <c r="L141" s="46" t="n">
        <v>0.302504</v>
      </c>
      <c r="M141" s="46" t="n">
        <v>0.248699</v>
      </c>
      <c r="N141" s="46" t="n">
        <v>0.17381</v>
      </c>
      <c r="O141" s="46" t="n">
        <v>0.120832</v>
      </c>
      <c r="P141" s="46" t="n">
        <v>0.114223</v>
      </c>
      <c r="Q141" s="46" t="n">
        <v>0.039932</v>
      </c>
      <c r="R141" s="47" t="n">
        <f aca="false">L141*Scorecard!$C$12+M141*Scorecard!$C$13+N141*Scorecard!$C$14+O141*Scorecard!$C$15+P141*Scorecard!$C$16+Q141*Scorecard!$C$17</f>
        <v>3.74515548599983</v>
      </c>
      <c r="S141" s="47" t="n">
        <f aca="false">L141*Scorecard!$D$12+M141*Scorecard!$D$13+N141*Scorecard!$D$14+O141*Scorecard!$D$15+P141*Scorecard!$D$16+Q141*Scorecard!$D$17</f>
        <v>2.94457746694124</v>
      </c>
      <c r="T141" s="47" t="n">
        <f aca="false">L141*Scorecard!$E$12+M141*Scorecard!$E$13+N141*Scorecard!$E$14+O141*Scorecard!$E$15+P141*Scorecard!$E$16+Q141*Scorecard!$E$17</f>
        <v>3.85928135845129</v>
      </c>
      <c r="U141" s="0" t="str">
        <f aca="false">IF(AND(R141&gt;=S141,R141&gt;=T141),"Distribution",IF(T141&gt;=S141,"Prof. services","Manufacturing"))</f>
        <v>Prof. services</v>
      </c>
    </row>
    <row r="142" customFormat="false" ht="15" hidden="false" customHeight="false" outlineLevel="0" collapsed="false">
      <c r="A142" s="46" t="n">
        <v>0.172106</v>
      </c>
      <c r="B142" s="46" t="n">
        <v>0.176266</v>
      </c>
      <c r="C142" s="46" t="n">
        <v>0.043725</v>
      </c>
      <c r="D142" s="46" t="n">
        <v>0.387911</v>
      </c>
      <c r="E142" s="46" t="n">
        <v>0.19066</v>
      </c>
      <c r="F142" s="46" t="n">
        <v>0.029332</v>
      </c>
      <c r="G142" s="47" t="n">
        <f aca="false">A142*Scorecard!$C$12+B142*Scorecard!$C$13+C142*Scorecard!$C$14+D142*Scorecard!$C$15+E142*Scorecard!$C$16+F142*Scorecard!$C$17</f>
        <v>4.19571974560167</v>
      </c>
      <c r="H142" s="47" t="n">
        <f aca="false">A142*Scorecard!$D$12+B142*Scorecard!$D$13+C142*Scorecard!$D$14+D142*Scorecard!$D$15+E142*Scorecard!$D$16+F142*Scorecard!$D$17</f>
        <v>3.31772591794765</v>
      </c>
      <c r="I142" s="47" t="n">
        <f aca="false">A142*Scorecard!$E$12+B142*Scorecard!$E$13+C142*Scorecard!$E$14+D142*Scorecard!$E$15+E142*Scorecard!$E$16+F142*Scorecard!$E$17</f>
        <v>3.64578819360691</v>
      </c>
      <c r="J142" s="0" t="str">
        <f aca="false">IF(AND(G142&gt;=H142,G142&gt;=I142),"Distribution",IF(I142&gt;=H142,"Prof. services","Manufacturing"))</f>
        <v>Distribution</v>
      </c>
      <c r="L142" s="46" t="n">
        <v>0.132414</v>
      </c>
      <c r="M142" s="46" t="n">
        <v>0.298002</v>
      </c>
      <c r="N142" s="46" t="n">
        <v>0.145843</v>
      </c>
      <c r="O142" s="46" t="n">
        <v>0.077991</v>
      </c>
      <c r="P142" s="46" t="n">
        <v>0.242067</v>
      </c>
      <c r="Q142" s="46" t="n">
        <v>0.103682</v>
      </c>
      <c r="R142" s="47" t="n">
        <f aca="false">L142*Scorecard!$C$12+M142*Scorecard!$C$13+N142*Scorecard!$C$14+O142*Scorecard!$C$15+P142*Scorecard!$C$16+Q142*Scorecard!$C$17</f>
        <v>3.93027791164805</v>
      </c>
      <c r="S142" s="47" t="n">
        <f aca="false">L142*Scorecard!$D$12+M142*Scorecard!$D$13+N142*Scorecard!$D$14+O142*Scorecard!$D$15+P142*Scorecard!$D$16+Q142*Scorecard!$D$17</f>
        <v>2.65561293691125</v>
      </c>
      <c r="T142" s="47" t="n">
        <f aca="false">L142*Scorecard!$E$12+M142*Scorecard!$E$13+N142*Scorecard!$E$14+O142*Scorecard!$E$15+P142*Scorecard!$E$16+Q142*Scorecard!$E$17</f>
        <v>3.38051928523522</v>
      </c>
      <c r="U142" s="0" t="str">
        <f aca="false">IF(AND(R142&gt;=S142,R142&gt;=T142),"Distribution",IF(T142&gt;=S142,"Prof. services","Manufacturing"))</f>
        <v>Distribution</v>
      </c>
    </row>
    <row r="143" customFormat="false" ht="15" hidden="false" customHeight="false" outlineLevel="0" collapsed="false">
      <c r="A143" s="46" t="n">
        <v>0.479175</v>
      </c>
      <c r="B143" s="46" t="n">
        <v>0.059979</v>
      </c>
      <c r="C143" s="46" t="n">
        <v>0.032826</v>
      </c>
      <c r="D143" s="46" t="n">
        <v>0.209157</v>
      </c>
      <c r="E143" s="46" t="n">
        <v>0.119729</v>
      </c>
      <c r="F143" s="46" t="n">
        <v>0.099134</v>
      </c>
      <c r="G143" s="47" t="n">
        <f aca="false">A143*Scorecard!$C$12+B143*Scorecard!$C$13+C143*Scorecard!$C$14+D143*Scorecard!$C$15+E143*Scorecard!$C$16+F143*Scorecard!$C$17</f>
        <v>3.20834616650018</v>
      </c>
      <c r="H143" s="47" t="n">
        <f aca="false">A143*Scorecard!$D$12+B143*Scorecard!$D$13+C143*Scorecard!$D$14+D143*Scorecard!$D$15+E143*Scorecard!$D$16+F143*Scorecard!$D$17</f>
        <v>3.35982741814904</v>
      </c>
      <c r="I143" s="47" t="n">
        <f aca="false">A143*Scorecard!$E$12+B143*Scorecard!$E$13+C143*Scorecard!$E$14+D143*Scorecard!$E$15+E143*Scorecard!$E$16+F143*Scorecard!$E$17</f>
        <v>4.2838486104194</v>
      </c>
      <c r="J143" s="0" t="str">
        <f aca="false">IF(AND(G143&gt;=H143,G143&gt;=I143),"Distribution",IF(I143&gt;=H143,"Prof. services","Manufacturing"))</f>
        <v>Prof. services</v>
      </c>
      <c r="L143" s="46" t="n">
        <v>0.067568</v>
      </c>
      <c r="M143" s="46" t="n">
        <v>0.347403</v>
      </c>
      <c r="N143" s="46" t="n">
        <v>0.332319</v>
      </c>
      <c r="O143" s="46" t="n">
        <v>0.07714</v>
      </c>
      <c r="P143" s="46" t="n">
        <v>0.129869</v>
      </c>
      <c r="Q143" s="46" t="n">
        <v>0.045701</v>
      </c>
      <c r="R143" s="47" t="n">
        <f aca="false">L143*Scorecard!$C$12+M143*Scorecard!$C$13+N143*Scorecard!$C$14+O143*Scorecard!$C$15+P143*Scorecard!$C$16+Q143*Scorecard!$C$17</f>
        <v>4.21151763641485</v>
      </c>
      <c r="S143" s="47" t="n">
        <f aca="false">L143*Scorecard!$D$12+M143*Scorecard!$D$13+N143*Scorecard!$D$14+O143*Scorecard!$D$15+P143*Scorecard!$D$16+Q143*Scorecard!$D$17</f>
        <v>2.58721798678873</v>
      </c>
      <c r="T143" s="47" t="n">
        <f aca="false">L143*Scorecard!$E$12+M143*Scorecard!$E$13+N143*Scorecard!$E$14+O143*Scorecard!$E$15+P143*Scorecard!$E$16+Q143*Scorecard!$E$17</f>
        <v>3.56736389407434</v>
      </c>
      <c r="U143" s="0" t="str">
        <f aca="false">IF(AND(R143&gt;=S143,R143&gt;=T143),"Distribution",IF(T143&gt;=S143,"Prof. services","Manufacturing"))</f>
        <v>Distribution</v>
      </c>
    </row>
    <row r="144" customFormat="false" ht="15" hidden="false" customHeight="false" outlineLevel="0" collapsed="false">
      <c r="A144" s="46" t="n">
        <v>0.012299</v>
      </c>
      <c r="B144" s="46" t="n">
        <v>0.192031</v>
      </c>
      <c r="C144" s="46" t="n">
        <v>0.373202</v>
      </c>
      <c r="D144" s="46" t="n">
        <v>0.117296</v>
      </c>
      <c r="E144" s="46" t="n">
        <v>0.249558</v>
      </c>
      <c r="F144" s="46" t="n">
        <v>0.055613</v>
      </c>
      <c r="G144" s="47" t="n">
        <f aca="false">A144*Scorecard!$C$12+B144*Scorecard!$C$13+C144*Scorecard!$C$14+D144*Scorecard!$C$15+E144*Scorecard!$C$16+F144*Scorecard!$C$17</f>
        <v>4.17595862460434</v>
      </c>
      <c r="H144" s="47" t="n">
        <f aca="false">A144*Scorecard!$D$12+B144*Scorecard!$D$13+C144*Scorecard!$D$14+D144*Scorecard!$D$15+E144*Scorecard!$D$16+F144*Scorecard!$D$17</f>
        <v>2.85543535689528</v>
      </c>
      <c r="I144" s="47" t="n">
        <f aca="false">A144*Scorecard!$E$12+B144*Scorecard!$E$13+C144*Scorecard!$E$14+D144*Scorecard!$E$15+E144*Scorecard!$E$16+F144*Scorecard!$E$17</f>
        <v>3.65645202589788</v>
      </c>
      <c r="J144" s="0" t="str">
        <f aca="false">IF(AND(G144&gt;=H144,G144&gt;=I144),"Distribution",IF(I144&gt;=H144,"Prof. services","Manufacturing"))</f>
        <v>Distribution</v>
      </c>
      <c r="L144" s="46" t="n">
        <v>0.128644</v>
      </c>
      <c r="M144" s="46" t="n">
        <v>0.165567</v>
      </c>
      <c r="N144" s="46" t="n">
        <v>0.251081</v>
      </c>
      <c r="O144" s="46" t="n">
        <v>0.191934</v>
      </c>
      <c r="P144" s="46" t="n">
        <v>0.181113</v>
      </c>
      <c r="Q144" s="46" t="n">
        <v>0.081661</v>
      </c>
      <c r="R144" s="47" t="n">
        <f aca="false">L144*Scorecard!$C$12+M144*Scorecard!$C$13+N144*Scorecard!$C$14+O144*Scorecard!$C$15+P144*Scorecard!$C$16+Q144*Scorecard!$C$17</f>
        <v>3.9626179654119</v>
      </c>
      <c r="S144" s="47" t="n">
        <f aca="false">L144*Scorecard!$D$12+M144*Scorecard!$D$13+N144*Scorecard!$D$14+O144*Scorecard!$D$15+P144*Scorecard!$D$16+Q144*Scorecard!$D$17</f>
        <v>2.9965294763661</v>
      </c>
      <c r="T144" s="47" t="n">
        <f aca="false">L144*Scorecard!$E$12+M144*Scorecard!$E$13+N144*Scorecard!$E$14+O144*Scorecard!$E$15+P144*Scorecard!$E$16+Q144*Scorecard!$E$17</f>
        <v>3.83966343578227</v>
      </c>
      <c r="U144" s="0" t="str">
        <f aca="false">IF(AND(R144&gt;=S144,R144&gt;=T144),"Distribution",IF(T144&gt;=S144,"Prof. services","Manufacturing"))</f>
        <v>Distribution</v>
      </c>
    </row>
    <row r="145" customFormat="false" ht="15" hidden="false" customHeight="false" outlineLevel="0" collapsed="false">
      <c r="A145" s="46" t="n">
        <v>0.032348</v>
      </c>
      <c r="B145" s="46" t="n">
        <v>0.467693</v>
      </c>
      <c r="C145" s="46" t="n">
        <v>0.117953</v>
      </c>
      <c r="D145" s="46" t="n">
        <v>0.154587</v>
      </c>
      <c r="E145" s="46" t="n">
        <v>0.077866</v>
      </c>
      <c r="F145" s="46" t="n">
        <v>0.149553</v>
      </c>
      <c r="G145" s="47" t="n">
        <f aca="false">A145*Scorecard!$C$12+B145*Scorecard!$C$13+C145*Scorecard!$C$14+D145*Scorecard!$C$15+E145*Scorecard!$C$16+F145*Scorecard!$C$17</f>
        <v>4.26494713868618</v>
      </c>
      <c r="H145" s="47" t="n">
        <f aca="false">A145*Scorecard!$D$12+B145*Scorecard!$D$13+C145*Scorecard!$D$14+D145*Scorecard!$D$15+E145*Scorecard!$D$16+F145*Scorecard!$D$17</f>
        <v>2.29994142109373</v>
      </c>
      <c r="I145" s="47" t="n">
        <f aca="false">A145*Scorecard!$E$12+B145*Scorecard!$E$13+C145*Scorecard!$E$14+D145*Scorecard!$E$15+E145*Scorecard!$E$16+F145*Scorecard!$E$17</f>
        <v>3.24347098267706</v>
      </c>
      <c r="J145" s="0" t="str">
        <f aca="false">IF(AND(G145&gt;=H145,G145&gt;=I145),"Distribution",IF(I145&gt;=H145,"Prof. services","Manufacturing"))</f>
        <v>Distribution</v>
      </c>
      <c r="L145" s="46" t="n">
        <v>0.264568</v>
      </c>
      <c r="M145" s="46" t="n">
        <v>0.120402</v>
      </c>
      <c r="N145" s="46" t="n">
        <v>0.222444</v>
      </c>
      <c r="O145" s="46" t="n">
        <v>0.150427</v>
      </c>
      <c r="P145" s="46" t="n">
        <v>0.131368</v>
      </c>
      <c r="Q145" s="46" t="n">
        <v>0.110791</v>
      </c>
      <c r="R145" s="47" t="n">
        <f aca="false">L145*Scorecard!$C$12+M145*Scorecard!$C$13+N145*Scorecard!$C$14+O145*Scorecard!$C$15+P145*Scorecard!$C$16+Q145*Scorecard!$C$17</f>
        <v>3.57302082700395</v>
      </c>
      <c r="S145" s="47" t="n">
        <f aca="false">L145*Scorecard!$D$12+M145*Scorecard!$D$13+N145*Scorecard!$D$14+O145*Scorecard!$D$15+P145*Scorecard!$D$16+Q145*Scorecard!$D$17</f>
        <v>3.04577982275509</v>
      </c>
      <c r="T145" s="47" t="n">
        <f aca="false">L145*Scorecard!$E$12+M145*Scorecard!$E$13+N145*Scorecard!$E$14+O145*Scorecard!$E$15+P145*Scorecard!$E$16+Q145*Scorecard!$E$17</f>
        <v>4.12232295592109</v>
      </c>
      <c r="U145" s="0" t="str">
        <f aca="false">IF(AND(R145&gt;=S145,R145&gt;=T145),"Distribution",IF(T145&gt;=S145,"Prof. services","Manufacturing"))</f>
        <v>Prof. services</v>
      </c>
    </row>
    <row r="146" customFormat="false" ht="15" hidden="false" customHeight="false" outlineLevel="0" collapsed="false">
      <c r="A146" s="46" t="n">
        <v>0.071127</v>
      </c>
      <c r="B146" s="46" t="n">
        <v>0.011528</v>
      </c>
      <c r="C146" s="46" t="n">
        <v>0.405607</v>
      </c>
      <c r="D146" s="46" t="n">
        <v>0.03808</v>
      </c>
      <c r="E146" s="46" t="n">
        <v>0.078194</v>
      </c>
      <c r="F146" s="46" t="n">
        <v>0.395464</v>
      </c>
      <c r="G146" s="47" t="n">
        <f aca="false">A146*Scorecard!$C$12+B146*Scorecard!$C$13+C146*Scorecard!$C$14+D146*Scorecard!$C$15+E146*Scorecard!$C$16+F146*Scorecard!$C$17</f>
        <v>3.13065038566006</v>
      </c>
      <c r="H146" s="47" t="n">
        <f aca="false">A146*Scorecard!$D$12+B146*Scorecard!$D$13+C146*Scorecard!$D$14+D146*Scorecard!$D$15+E146*Scorecard!$D$16+F146*Scorecard!$D$17</f>
        <v>2.50663096447882</v>
      </c>
      <c r="I146" s="47" t="n">
        <f aca="false">A146*Scorecard!$E$12+B146*Scorecard!$E$13+C146*Scorecard!$E$14+D146*Scorecard!$E$15+E146*Scorecard!$E$16+F146*Scorecard!$E$17</f>
        <v>4.52877021205484</v>
      </c>
      <c r="J146" s="0" t="str">
        <f aca="false">IF(AND(G146&gt;=H146,G146&gt;=I146),"Distribution",IF(I146&gt;=H146,"Prof. services","Manufacturing"))</f>
        <v>Prof. services</v>
      </c>
      <c r="L146" s="46" t="n">
        <v>0.103089</v>
      </c>
      <c r="M146" s="46" t="n">
        <v>0.173227</v>
      </c>
      <c r="N146" s="46" t="n">
        <v>0.323482</v>
      </c>
      <c r="O146" s="46" t="n">
        <v>0.192125</v>
      </c>
      <c r="P146" s="46" t="n">
        <v>0.087335</v>
      </c>
      <c r="Q146" s="46" t="n">
        <v>0.120742</v>
      </c>
      <c r="R146" s="47" t="n">
        <f aca="false">L146*Scorecard!$C$12+M146*Scorecard!$C$13+N146*Scorecard!$C$14+O146*Scorecard!$C$15+P146*Scorecard!$C$16+Q146*Scorecard!$C$17</f>
        <v>3.93830632985097</v>
      </c>
      <c r="S146" s="47" t="n">
        <f aca="false">L146*Scorecard!$D$12+M146*Scorecard!$D$13+N146*Scorecard!$D$14+O146*Scorecard!$D$15+P146*Scorecard!$D$16+Q146*Scorecard!$D$17</f>
        <v>2.87849174599799</v>
      </c>
      <c r="T146" s="47" t="n">
        <f aca="false">L146*Scorecard!$E$12+M146*Scorecard!$E$13+N146*Scorecard!$E$14+O146*Scorecard!$E$15+P146*Scorecard!$E$16+Q146*Scorecard!$E$17</f>
        <v>4.04801094696121</v>
      </c>
      <c r="U146" s="0" t="str">
        <f aca="false">IF(AND(R146&gt;=S146,R146&gt;=T146),"Distribution",IF(T146&gt;=S146,"Prof. services","Manufacturing"))</f>
        <v>Prof. services</v>
      </c>
    </row>
    <row r="147" customFormat="false" ht="15" hidden="false" customHeight="false" outlineLevel="0" collapsed="false">
      <c r="A147" s="46" t="n">
        <v>0.195133</v>
      </c>
      <c r="B147" s="46" t="n">
        <v>0.155251</v>
      </c>
      <c r="C147" s="46" t="n">
        <v>0.386761</v>
      </c>
      <c r="D147" s="46" t="n">
        <v>0.03184</v>
      </c>
      <c r="E147" s="46" t="n">
        <v>0.118949</v>
      </c>
      <c r="F147" s="46" t="n">
        <v>0.112067</v>
      </c>
      <c r="G147" s="47" t="n">
        <f aca="false">A147*Scorecard!$C$12+B147*Scorecard!$C$13+C147*Scorecard!$C$14+D147*Scorecard!$C$15+E147*Scorecard!$C$16+F147*Scorecard!$C$17</f>
        <v>3.61171881721433</v>
      </c>
      <c r="H147" s="47" t="n">
        <f aca="false">A147*Scorecard!$D$12+B147*Scorecard!$D$13+C147*Scorecard!$D$14+D147*Scorecard!$D$15+E147*Scorecard!$D$16+F147*Scorecard!$D$17</f>
        <v>2.80427431884415</v>
      </c>
      <c r="I147" s="47" t="n">
        <f aca="false">A147*Scorecard!$E$12+B147*Scorecard!$E$13+C147*Scorecard!$E$14+D147*Scorecard!$E$15+E147*Scorecard!$E$16+F147*Scorecard!$E$17</f>
        <v>4.15372159623314</v>
      </c>
      <c r="J147" s="0" t="str">
        <f aca="false">IF(AND(G147&gt;=H147,G147&gt;=I147),"Distribution",IF(I147&gt;=H147,"Prof. services","Manufacturing"))</f>
        <v>Prof. services</v>
      </c>
      <c r="L147" s="46" t="n">
        <v>0.171563</v>
      </c>
      <c r="M147" s="46" t="n">
        <v>0.328912</v>
      </c>
      <c r="N147" s="46" t="n">
        <v>0.130952</v>
      </c>
      <c r="O147" s="46" t="n">
        <v>0.089328</v>
      </c>
      <c r="P147" s="46" t="n">
        <v>0.188437</v>
      </c>
      <c r="Q147" s="46" t="n">
        <v>0.090809</v>
      </c>
      <c r="R147" s="47" t="n">
        <f aca="false">L147*Scorecard!$C$12+M147*Scorecard!$C$13+N147*Scorecard!$C$14+O147*Scorecard!$C$15+P147*Scorecard!$C$16+Q147*Scorecard!$C$17</f>
        <v>3.92781015334537</v>
      </c>
      <c r="S147" s="47" t="n">
        <f aca="false">L147*Scorecard!$D$12+M147*Scorecard!$D$13+N147*Scorecard!$D$14+O147*Scorecard!$D$15+P147*Scorecard!$D$16+Q147*Scorecard!$D$17</f>
        <v>2.64963981139016</v>
      </c>
      <c r="T147" s="47" t="n">
        <f aca="false">L147*Scorecard!$E$12+M147*Scorecard!$E$13+N147*Scorecard!$E$14+O147*Scorecard!$E$15+P147*Scorecard!$E$16+Q147*Scorecard!$E$17</f>
        <v>3.43161822571501</v>
      </c>
      <c r="U147" s="0" t="str">
        <f aca="false">IF(AND(R147&gt;=S147,R147&gt;=T147),"Distribution",IF(T147&gt;=S147,"Prof. services","Manufacturing"))</f>
        <v>Distribution</v>
      </c>
    </row>
    <row r="148" customFormat="false" ht="15" hidden="false" customHeight="false" outlineLevel="0" collapsed="false">
      <c r="A148" s="46" t="n">
        <v>0.555424</v>
      </c>
      <c r="B148" s="46" t="n">
        <v>0.27446</v>
      </c>
      <c r="C148" s="46" t="n">
        <v>0.035071</v>
      </c>
      <c r="D148" s="46" t="n">
        <v>0.026589</v>
      </c>
      <c r="E148" s="46" t="n">
        <v>0.073635</v>
      </c>
      <c r="F148" s="46" t="n">
        <v>0.034821</v>
      </c>
      <c r="G148" s="47" t="n">
        <f aca="false">A148*Scorecard!$C$12+B148*Scorecard!$C$13+C148*Scorecard!$C$14+D148*Scorecard!$C$15+E148*Scorecard!$C$16+F148*Scorecard!$C$17</f>
        <v>3.23163587911555</v>
      </c>
      <c r="H148" s="47" t="n">
        <f aca="false">A148*Scorecard!$D$12+B148*Scorecard!$D$13+C148*Scorecard!$D$14+D148*Scorecard!$D$15+E148*Scorecard!$D$16+F148*Scorecard!$D$17</f>
        <v>2.95801381070984</v>
      </c>
      <c r="I148" s="47" t="n">
        <f aca="false">A148*Scorecard!$E$12+B148*Scorecard!$E$13+C148*Scorecard!$E$14+D148*Scorecard!$E$15+E148*Scorecard!$E$16+F148*Scorecard!$E$17</f>
        <v>3.97477027171162</v>
      </c>
      <c r="J148" s="0" t="str">
        <f aca="false">IF(AND(G148&gt;=H148,G148&gt;=I148),"Distribution",IF(I148&gt;=H148,"Prof. services","Manufacturing"))</f>
        <v>Prof. services</v>
      </c>
      <c r="L148" s="46" t="n">
        <v>0.159717</v>
      </c>
      <c r="M148" s="46" t="n">
        <v>0.388915</v>
      </c>
      <c r="N148" s="46" t="n">
        <v>0.224659</v>
      </c>
      <c r="O148" s="46" t="n">
        <v>0.108552</v>
      </c>
      <c r="P148" s="46" t="n">
        <v>0.0541</v>
      </c>
      <c r="Q148" s="46" t="n">
        <v>0.064057</v>
      </c>
      <c r="R148" s="47" t="n">
        <f aca="false">L148*Scorecard!$C$12+M148*Scorecard!$C$13+N148*Scorecard!$C$14+O148*Scorecard!$C$15+P148*Scorecard!$C$16+Q148*Scorecard!$C$17</f>
        <v>4.08186012228081</v>
      </c>
      <c r="S148" s="47" t="n">
        <f aca="false">L148*Scorecard!$D$12+M148*Scorecard!$D$13+N148*Scorecard!$D$14+O148*Scorecard!$D$15+P148*Scorecard!$D$16+Q148*Scorecard!$D$17</f>
        <v>2.56935081806412</v>
      </c>
      <c r="T148" s="47" t="n">
        <f aca="false">L148*Scorecard!$E$12+M148*Scorecard!$E$13+N148*Scorecard!$E$14+O148*Scorecard!$E$15+P148*Scorecard!$E$16+Q148*Scorecard!$E$17</f>
        <v>3.61460820218384</v>
      </c>
      <c r="U148" s="0" t="str">
        <f aca="false">IF(AND(R148&gt;=S148,R148&gt;=T148),"Distribution",IF(T148&gt;=S148,"Prof. services","Manufacturing"))</f>
        <v>Distribution</v>
      </c>
    </row>
    <row r="149" customFormat="false" ht="15" hidden="false" customHeight="false" outlineLevel="0" collapsed="false">
      <c r="A149" s="46" t="n">
        <v>0.0785</v>
      </c>
      <c r="B149" s="46" t="n">
        <v>0.018974</v>
      </c>
      <c r="C149" s="46" t="n">
        <v>0.150805</v>
      </c>
      <c r="D149" s="46" t="n">
        <v>0.037473</v>
      </c>
      <c r="E149" s="46" t="n">
        <v>0.04098</v>
      </c>
      <c r="F149" s="46" t="n">
        <v>0.673267</v>
      </c>
      <c r="G149" s="47" t="n">
        <f aca="false">A149*Scorecard!$C$12+B149*Scorecard!$C$13+C149*Scorecard!$C$14+D149*Scorecard!$C$15+E149*Scorecard!$C$16+F149*Scorecard!$C$17</f>
        <v>2.56860788051393</v>
      </c>
      <c r="H149" s="47" t="n">
        <f aca="false">A149*Scorecard!$D$12+B149*Scorecard!$D$13+C149*Scorecard!$D$14+D149*Scorecard!$D$15+E149*Scorecard!$D$16+F149*Scorecard!$D$17</f>
        <v>2.07050987689055</v>
      </c>
      <c r="I149" s="47" t="n">
        <f aca="false">A149*Scorecard!$E$12+B149*Scorecard!$E$13+C149*Scorecard!$E$14+D149*Scorecard!$E$15+E149*Scorecard!$E$16+F149*Scorecard!$E$17</f>
        <v>4.46819680564975</v>
      </c>
      <c r="J149" s="0" t="str">
        <f aca="false">IF(AND(G149&gt;=H149,G149&gt;=I149),"Distribution",IF(I149&gt;=H149,"Prof. services","Manufacturing"))</f>
        <v>Prof. services</v>
      </c>
      <c r="L149" s="46" t="n">
        <v>0.138252</v>
      </c>
      <c r="M149" s="46" t="n">
        <v>0.160122</v>
      </c>
      <c r="N149" s="46" t="n">
        <v>0.162367</v>
      </c>
      <c r="O149" s="46" t="n">
        <v>0.273966</v>
      </c>
      <c r="P149" s="46" t="n">
        <v>0.082088</v>
      </c>
      <c r="Q149" s="46" t="n">
        <v>0.183205</v>
      </c>
      <c r="R149" s="47" t="n">
        <f aca="false">L149*Scorecard!$C$12+M149*Scorecard!$C$13+N149*Scorecard!$C$14+O149*Scorecard!$C$15+P149*Scorecard!$C$16+Q149*Scorecard!$C$17</f>
        <v>3.81882242839251</v>
      </c>
      <c r="S149" s="47" t="n">
        <f aca="false">L149*Scorecard!$D$12+M149*Scorecard!$D$13+N149*Scorecard!$D$14+O149*Scorecard!$D$15+P149*Scorecard!$D$16+Q149*Scorecard!$D$17</f>
        <v>2.92068827557985</v>
      </c>
      <c r="T149" s="47" t="n">
        <f aca="false">L149*Scorecard!$E$12+M149*Scorecard!$E$13+N149*Scorecard!$E$14+O149*Scorecard!$E$15+P149*Scorecard!$E$16+Q149*Scorecard!$E$17</f>
        <v>4.00004596908724</v>
      </c>
      <c r="U149" s="0" t="str">
        <f aca="false">IF(AND(R149&gt;=S149,R149&gt;=T149),"Distribution",IF(T149&gt;=S149,"Prof. services","Manufacturing"))</f>
        <v>Prof. services</v>
      </c>
    </row>
    <row r="150" customFormat="false" ht="15" hidden="false" customHeight="false" outlineLevel="0" collapsed="false">
      <c r="A150" s="46" t="n">
        <v>0.263583</v>
      </c>
      <c r="B150" s="46" t="n">
        <v>0.333342</v>
      </c>
      <c r="C150" s="46" t="n">
        <v>0.010213</v>
      </c>
      <c r="D150" s="46" t="n">
        <v>0.047598</v>
      </c>
      <c r="E150" s="46" t="n">
        <v>0.072863</v>
      </c>
      <c r="F150" s="46" t="n">
        <v>0.272401</v>
      </c>
      <c r="G150" s="47" t="n">
        <f aca="false">A150*Scorecard!$C$12+B150*Scorecard!$C$13+C150*Scorecard!$C$14+D150*Scorecard!$C$15+E150*Scorecard!$C$16+F150*Scorecard!$C$17</f>
        <v>3.36168484105101</v>
      </c>
      <c r="H150" s="47" t="n">
        <f aca="false">A150*Scorecard!$D$12+B150*Scorecard!$D$13+C150*Scorecard!$D$14+D150*Scorecard!$D$15+E150*Scorecard!$D$16+F150*Scorecard!$D$17</f>
        <v>2.34455006361232</v>
      </c>
      <c r="I150" s="47" t="n">
        <f aca="false">A150*Scorecard!$E$12+B150*Scorecard!$E$13+C150*Scorecard!$E$14+D150*Scorecard!$E$15+E150*Scorecard!$E$16+F150*Scorecard!$E$17</f>
        <v>3.67115738528431</v>
      </c>
      <c r="J150" s="0" t="str">
        <f aca="false">IF(AND(G150&gt;=H150,G150&gt;=I150),"Distribution",IF(I150&gt;=H150,"Prof. services","Manufacturing"))</f>
        <v>Prof. services</v>
      </c>
      <c r="L150" s="46" t="n">
        <v>0.21578</v>
      </c>
      <c r="M150" s="46" t="n">
        <v>0.214502</v>
      </c>
      <c r="N150" s="46" t="n">
        <v>0.120735</v>
      </c>
      <c r="O150" s="46" t="n">
        <v>0.188239</v>
      </c>
      <c r="P150" s="46" t="n">
        <v>0.0775</v>
      </c>
      <c r="Q150" s="46" t="n">
        <v>0.183245</v>
      </c>
      <c r="R150" s="47" t="n">
        <f aca="false">L150*Scorecard!$C$12+M150*Scorecard!$C$13+N150*Scorecard!$C$14+O150*Scorecard!$C$15+P150*Scorecard!$C$16+Q150*Scorecard!$C$17</f>
        <v>3.64784792276811</v>
      </c>
      <c r="S150" s="47" t="n">
        <f aca="false">L150*Scorecard!$D$12+M150*Scorecard!$D$13+N150*Scorecard!$D$14+O150*Scorecard!$D$15+P150*Scorecard!$D$16+Q150*Scorecard!$D$17</f>
        <v>2.78944739509585</v>
      </c>
      <c r="T150" s="47" t="n">
        <f aca="false">L150*Scorecard!$E$12+M150*Scorecard!$E$13+N150*Scorecard!$E$14+O150*Scorecard!$E$15+P150*Scorecard!$E$16+Q150*Scorecard!$E$17</f>
        <v>3.92754950551408</v>
      </c>
      <c r="U150" s="0" t="str">
        <f aca="false">IF(AND(R150&gt;=S150,R150&gt;=T150),"Distribution",IF(T150&gt;=S150,"Prof. services","Manufacturing"))</f>
        <v>Prof. services</v>
      </c>
    </row>
    <row r="151" customFormat="false" ht="15" hidden="false" customHeight="false" outlineLevel="0" collapsed="false">
      <c r="A151" s="46" t="n">
        <v>0.104318</v>
      </c>
      <c r="B151" s="46" t="n">
        <v>0.000683</v>
      </c>
      <c r="C151" s="46" t="n">
        <v>0.037104</v>
      </c>
      <c r="D151" s="46" t="n">
        <v>0.185998</v>
      </c>
      <c r="E151" s="46" t="n">
        <v>0.625308</v>
      </c>
      <c r="F151" s="46" t="n">
        <v>0.046589</v>
      </c>
      <c r="G151" s="47" t="n">
        <f aca="false">A151*Scorecard!$C$12+B151*Scorecard!$C$13+C151*Scorecard!$C$14+D151*Scorecard!$C$15+E151*Scorecard!$C$16+F151*Scorecard!$C$17</f>
        <v>3.90572911232424</v>
      </c>
      <c r="H151" s="47" t="n">
        <f aca="false">A151*Scorecard!$D$12+B151*Scorecard!$D$13+C151*Scorecard!$D$14+D151*Scorecard!$D$15+E151*Scorecard!$D$16+F151*Scorecard!$D$17</f>
        <v>3.42175341639058</v>
      </c>
      <c r="I151" s="47" t="n">
        <f aca="false">A151*Scorecard!$E$12+B151*Scorecard!$E$13+C151*Scorecard!$E$14+D151*Scorecard!$E$15+E151*Scorecard!$E$16+F151*Scorecard!$E$17</f>
        <v>3.15177965303812</v>
      </c>
      <c r="J151" s="0" t="str">
        <f aca="false">IF(AND(G151&gt;=H151,G151&gt;=I151),"Distribution",IF(I151&gt;=H151,"Prof. services","Manufacturing"))</f>
        <v>Distribution</v>
      </c>
      <c r="L151" s="46" t="n">
        <v>0.212962</v>
      </c>
      <c r="M151" s="46" t="n">
        <v>0.262876</v>
      </c>
      <c r="N151" s="46" t="n">
        <v>0.143461</v>
      </c>
      <c r="O151" s="46" t="n">
        <v>0.096281</v>
      </c>
      <c r="P151" s="46" t="n">
        <v>0.084991</v>
      </c>
      <c r="Q151" s="46" t="n">
        <v>0.199429</v>
      </c>
      <c r="R151" s="47" t="n">
        <f aca="false">L151*Scorecard!$C$12+M151*Scorecard!$C$13+N151*Scorecard!$C$14+O151*Scorecard!$C$15+P151*Scorecard!$C$16+Q151*Scorecard!$C$17</f>
        <v>3.57696436295552</v>
      </c>
      <c r="S151" s="47" t="n">
        <f aca="false">L151*Scorecard!$D$12+M151*Scorecard!$D$13+N151*Scorecard!$D$14+O151*Scorecard!$D$15+P151*Scorecard!$D$16+Q151*Scorecard!$D$17</f>
        <v>2.58674012926024</v>
      </c>
      <c r="T151" s="47" t="n">
        <f aca="false">L151*Scorecard!$E$12+M151*Scorecard!$E$13+N151*Scorecard!$E$14+O151*Scorecard!$E$15+P151*Scorecard!$E$16+Q151*Scorecard!$E$17</f>
        <v>3.83723958302892</v>
      </c>
      <c r="U151" s="0" t="str">
        <f aca="false">IF(AND(R151&gt;=S151,R151&gt;=T151),"Distribution",IF(T151&gt;=S151,"Prof. services","Manufacturing"))</f>
        <v>Prof. services</v>
      </c>
    </row>
    <row r="152" customFormat="false" ht="15" hidden="false" customHeight="false" outlineLevel="0" collapsed="false">
      <c r="A152" s="46" t="n">
        <v>0.099974</v>
      </c>
      <c r="B152" s="46" t="n">
        <v>0.14852</v>
      </c>
      <c r="C152" s="46" t="n">
        <v>0.099949</v>
      </c>
      <c r="D152" s="46" t="n">
        <v>0.265072</v>
      </c>
      <c r="E152" s="46" t="n">
        <v>0.352886</v>
      </c>
      <c r="F152" s="46" t="n">
        <v>0.033599</v>
      </c>
      <c r="G152" s="47" t="n">
        <f aca="false">A152*Scorecard!$C$12+B152*Scorecard!$C$13+C152*Scorecard!$C$14+D152*Scorecard!$C$15+E152*Scorecard!$C$16+F152*Scorecard!$C$17</f>
        <v>4.16643937427389</v>
      </c>
      <c r="H152" s="47" t="n">
        <f aca="false">A152*Scorecard!$D$12+B152*Scorecard!$D$13+C152*Scorecard!$D$14+D152*Scorecard!$D$15+E152*Scorecard!$D$16+F152*Scorecard!$D$17</f>
        <v>3.21719734337276</v>
      </c>
      <c r="I152" s="47" t="n">
        <f aca="false">A152*Scorecard!$E$12+B152*Scorecard!$E$13+C152*Scorecard!$E$14+D152*Scorecard!$E$15+E152*Scorecard!$E$16+F152*Scorecard!$E$17</f>
        <v>3.39351793909781</v>
      </c>
      <c r="J152" s="0" t="str">
        <f aca="false">IF(AND(G152&gt;=H152,G152&gt;=I152),"Distribution",IF(I152&gt;=H152,"Prof. services","Manufacturing"))</f>
        <v>Distribution</v>
      </c>
      <c r="L152" s="46" t="n">
        <v>0.273924</v>
      </c>
      <c r="M152" s="46" t="n">
        <v>0.126954</v>
      </c>
      <c r="N152" s="46" t="n">
        <v>0.356183</v>
      </c>
      <c r="O152" s="46" t="n">
        <v>0.14384</v>
      </c>
      <c r="P152" s="46" t="n">
        <v>0.036622</v>
      </c>
      <c r="Q152" s="46" t="n">
        <v>0.062476</v>
      </c>
      <c r="R152" s="47" t="n">
        <f aca="false">L152*Scorecard!$C$12+M152*Scorecard!$C$13+N152*Scorecard!$C$14+O152*Scorecard!$C$15+P152*Scorecard!$C$16+Q152*Scorecard!$C$17</f>
        <v>3.65277089357833</v>
      </c>
      <c r="S152" s="47" t="n">
        <f aca="false">L152*Scorecard!$D$12+M152*Scorecard!$D$13+N152*Scorecard!$D$14+O152*Scorecard!$D$15+P152*Scorecard!$D$16+Q152*Scorecard!$D$17</f>
        <v>3.07538747214719</v>
      </c>
      <c r="T152" s="47" t="n">
        <f aca="false">L152*Scorecard!$E$12+M152*Scorecard!$E$13+N152*Scorecard!$E$14+O152*Scorecard!$E$15+P152*Scorecard!$E$16+Q152*Scorecard!$E$17</f>
        <v>4.38579661211359</v>
      </c>
      <c r="U152" s="0" t="str">
        <f aca="false">IF(AND(R152&gt;=S152,R152&gt;=T152),"Distribution",IF(T152&gt;=S152,"Prof. services","Manufacturing"))</f>
        <v>Prof. services</v>
      </c>
    </row>
    <row r="153" customFormat="false" ht="15" hidden="false" customHeight="false" outlineLevel="0" collapsed="false">
      <c r="A153" s="46" t="n">
        <v>0.364939</v>
      </c>
      <c r="B153" s="46" t="n">
        <v>0.051195</v>
      </c>
      <c r="C153" s="46" t="n">
        <v>0.080793</v>
      </c>
      <c r="D153" s="46" t="n">
        <v>0.291769</v>
      </c>
      <c r="E153" s="46" t="n">
        <v>0.169365</v>
      </c>
      <c r="F153" s="46" t="n">
        <v>0.041938</v>
      </c>
      <c r="G153" s="47" t="n">
        <f aca="false">A153*Scorecard!$C$12+B153*Scorecard!$C$13+C153*Scorecard!$C$14+D153*Scorecard!$C$15+E153*Scorecard!$C$16+F153*Scorecard!$C$17</f>
        <v>3.60218859561623</v>
      </c>
      <c r="H153" s="47" t="n">
        <f aca="false">A153*Scorecard!$D$12+B153*Scorecard!$D$13+C153*Scorecard!$D$14+D153*Scorecard!$D$15+E153*Scorecard!$D$16+F153*Scorecard!$D$17</f>
        <v>3.49552512420059</v>
      </c>
      <c r="I153" s="47" t="n">
        <f aca="false">A153*Scorecard!$E$12+B153*Scorecard!$E$13+C153*Scorecard!$E$14+D153*Scorecard!$E$15+E153*Scorecard!$E$16+F153*Scorecard!$E$17</f>
        <v>4.13628358113107</v>
      </c>
      <c r="J153" s="0" t="str">
        <f aca="false">IF(AND(G153&gt;=H153,G153&gt;=I153),"Distribution",IF(I153&gt;=H153,"Prof. services","Manufacturing"))</f>
        <v>Prof. services</v>
      </c>
      <c r="L153" s="46" t="n">
        <v>0.256275</v>
      </c>
      <c r="M153" s="46" t="n">
        <v>0.203693</v>
      </c>
      <c r="N153" s="46" t="n">
        <v>0.219932</v>
      </c>
      <c r="O153" s="46" t="n">
        <v>0.222014</v>
      </c>
      <c r="P153" s="46" t="n">
        <v>0.048275</v>
      </c>
      <c r="Q153" s="46" t="n">
        <v>0.049811</v>
      </c>
      <c r="R153" s="47" t="n">
        <f aca="false">L153*Scorecard!$C$12+M153*Scorecard!$C$13+N153*Scorecard!$C$14+O153*Scorecard!$C$15+P153*Scorecard!$C$16+Q153*Scorecard!$C$17</f>
        <v>3.86478634527017</v>
      </c>
      <c r="S153" s="47" t="n">
        <f aca="false">L153*Scorecard!$D$12+M153*Scorecard!$D$13+N153*Scorecard!$D$14+O153*Scorecard!$D$15+P153*Scorecard!$D$16+Q153*Scorecard!$D$17</f>
        <v>3.06192632401251</v>
      </c>
      <c r="T153" s="47" t="n">
        <f aca="false">L153*Scorecard!$E$12+M153*Scorecard!$E$13+N153*Scorecard!$E$14+O153*Scorecard!$E$15+P153*Scorecard!$E$16+Q153*Scorecard!$E$17</f>
        <v>4.07504488843734</v>
      </c>
      <c r="U153" s="0" t="str">
        <f aca="false">IF(AND(R153&gt;=S153,R153&gt;=T153),"Distribution",IF(T153&gt;=S153,"Prof. services","Manufacturing"))</f>
        <v>Prof. services</v>
      </c>
    </row>
    <row r="154" customFormat="false" ht="15" hidden="false" customHeight="false" outlineLevel="0" collapsed="false">
      <c r="A154" s="46" t="n">
        <v>0.156978</v>
      </c>
      <c r="B154" s="46" t="n">
        <v>0.28105</v>
      </c>
      <c r="C154" s="46" t="n">
        <v>0.274196</v>
      </c>
      <c r="D154" s="46" t="n">
        <v>0.079315</v>
      </c>
      <c r="E154" s="46" t="n">
        <v>0.161922</v>
      </c>
      <c r="F154" s="46" t="n">
        <v>0.046539</v>
      </c>
      <c r="G154" s="47" t="n">
        <f aca="false">A154*Scorecard!$C$12+B154*Scorecard!$C$13+C154*Scorecard!$C$14+D154*Scorecard!$C$15+E154*Scorecard!$C$16+F154*Scorecard!$C$17</f>
        <v>3.98472436134161</v>
      </c>
      <c r="H154" s="47" t="n">
        <f aca="false">A154*Scorecard!$D$12+B154*Scorecard!$D$13+C154*Scorecard!$D$14+D154*Scorecard!$D$15+E154*Scorecard!$D$16+F154*Scorecard!$D$17</f>
        <v>2.75781886683991</v>
      </c>
      <c r="I154" s="47" t="n">
        <f aca="false">A154*Scorecard!$E$12+B154*Scorecard!$E$13+C154*Scorecard!$E$14+D154*Scorecard!$E$15+E154*Scorecard!$E$16+F154*Scorecard!$E$17</f>
        <v>3.67045602716995</v>
      </c>
      <c r="J154" s="0" t="str">
        <f aca="false">IF(AND(G154&gt;=H154,G154&gt;=I154),"Distribution",IF(I154&gt;=H154,"Prof. services","Manufacturing"))</f>
        <v>Distribution</v>
      </c>
      <c r="L154" s="46" t="n">
        <v>0.212384</v>
      </c>
      <c r="M154" s="46" t="n">
        <v>0.316108</v>
      </c>
      <c r="N154" s="46" t="n">
        <v>0.131637</v>
      </c>
      <c r="O154" s="46" t="n">
        <v>0.129458</v>
      </c>
      <c r="P154" s="46" t="n">
        <v>0.151623</v>
      </c>
      <c r="Q154" s="46" t="n">
        <v>0.058791</v>
      </c>
      <c r="R154" s="47" t="n">
        <f aca="false">L154*Scorecard!$C$12+M154*Scorecard!$C$13+N154*Scorecard!$C$14+O154*Scorecard!$C$15+P154*Scorecard!$C$16+Q154*Scorecard!$C$17</f>
        <v>3.94569377119836</v>
      </c>
      <c r="S154" s="47" t="n">
        <f aca="false">L154*Scorecard!$D$12+M154*Scorecard!$D$13+N154*Scorecard!$D$14+O154*Scorecard!$D$15+P154*Scorecard!$D$16+Q154*Scorecard!$D$17</f>
        <v>2.77803472133105</v>
      </c>
      <c r="T154" s="47" t="n">
        <f aca="false">L154*Scorecard!$E$12+M154*Scorecard!$E$13+N154*Scorecard!$E$14+O154*Scorecard!$E$15+P154*Scorecard!$E$16+Q154*Scorecard!$E$17</f>
        <v>3.54907265978588</v>
      </c>
      <c r="U154" s="0" t="str">
        <f aca="false">IF(AND(R154&gt;=S154,R154&gt;=T154),"Distribution",IF(T154&gt;=S154,"Prof. services","Manufacturing"))</f>
        <v>Distribution</v>
      </c>
    </row>
    <row r="155" customFormat="false" ht="15" hidden="false" customHeight="false" outlineLevel="0" collapsed="false">
      <c r="A155" s="46" t="n">
        <v>0.046142</v>
      </c>
      <c r="B155" s="46" t="n">
        <v>0.068385</v>
      </c>
      <c r="C155" s="46" t="n">
        <v>0.500991</v>
      </c>
      <c r="D155" s="46" t="n">
        <v>0.094387</v>
      </c>
      <c r="E155" s="46" t="n">
        <v>0.155223</v>
      </c>
      <c r="F155" s="46" t="n">
        <v>0.134873</v>
      </c>
      <c r="G155" s="47" t="n">
        <f aca="false">A155*Scorecard!$C$12+B155*Scorecard!$C$13+C155*Scorecard!$C$14+D155*Scorecard!$C$15+E155*Scorecard!$C$16+F155*Scorecard!$C$17</f>
        <v>3.80997374197037</v>
      </c>
      <c r="H155" s="47" t="n">
        <f aca="false">A155*Scorecard!$D$12+B155*Scorecard!$D$13+C155*Scorecard!$D$14+D155*Scorecard!$D$15+E155*Scorecard!$D$16+F155*Scorecard!$D$17</f>
        <v>2.88653381061826</v>
      </c>
      <c r="I155" s="47" t="n">
        <f aca="false">A155*Scorecard!$E$12+B155*Scorecard!$E$13+C155*Scorecard!$E$14+D155*Scorecard!$E$15+E155*Scorecard!$E$16+F155*Scorecard!$E$17</f>
        <v>4.24309632086341</v>
      </c>
      <c r="J155" s="0" t="str">
        <f aca="false">IF(AND(G155&gt;=H155,G155&gt;=I155),"Distribution",IF(I155&gt;=H155,"Prof. services","Manufacturing"))</f>
        <v>Prof. services</v>
      </c>
      <c r="L155" s="46" t="n">
        <v>0.18183</v>
      </c>
      <c r="M155" s="46" t="n">
        <v>0.171588</v>
      </c>
      <c r="N155" s="46" t="n">
        <v>0.145754</v>
      </c>
      <c r="O155" s="46" t="n">
        <v>0.190712</v>
      </c>
      <c r="P155" s="46" t="n">
        <v>0.174946</v>
      </c>
      <c r="Q155" s="46" t="n">
        <v>0.135172</v>
      </c>
      <c r="R155" s="47" t="n">
        <f aca="false">L155*Scorecard!$C$12+M155*Scorecard!$C$13+N155*Scorecard!$C$14+O155*Scorecard!$C$15+P155*Scorecard!$C$16+Q155*Scorecard!$C$17</f>
        <v>3.76466740692801</v>
      </c>
      <c r="S155" s="47" t="n">
        <f aca="false">L155*Scorecard!$D$12+M155*Scorecard!$D$13+N155*Scorecard!$D$14+O155*Scorecard!$D$15+P155*Scorecard!$D$16+Q155*Scorecard!$D$17</f>
        <v>2.93889310125223</v>
      </c>
      <c r="T155" s="47" t="n">
        <f aca="false">L155*Scorecard!$E$12+M155*Scorecard!$E$13+N155*Scorecard!$E$14+O155*Scorecard!$E$15+P155*Scorecard!$E$16+Q155*Scorecard!$E$17</f>
        <v>3.81307081381262</v>
      </c>
      <c r="U155" s="0" t="str">
        <f aca="false">IF(AND(R155&gt;=S155,R155&gt;=T155),"Distribution",IF(T155&gt;=S155,"Prof. services","Manufacturing"))</f>
        <v>Prof. services</v>
      </c>
    </row>
    <row r="156" customFormat="false" ht="15" hidden="false" customHeight="false" outlineLevel="0" collapsed="false">
      <c r="A156" s="46" t="n">
        <v>0.161904</v>
      </c>
      <c r="B156" s="46" t="n">
        <v>0.343131</v>
      </c>
      <c r="C156" s="46" t="n">
        <v>0.049868</v>
      </c>
      <c r="D156" s="46" t="n">
        <v>0.15458</v>
      </c>
      <c r="E156" s="46" t="n">
        <v>0.047545</v>
      </c>
      <c r="F156" s="46" t="n">
        <v>0.242971</v>
      </c>
      <c r="G156" s="47" t="n">
        <f aca="false">A156*Scorecard!$C$12+B156*Scorecard!$C$13+C156*Scorecard!$C$14+D156*Scorecard!$C$15+E156*Scorecard!$C$16+F156*Scorecard!$C$17</f>
        <v>3.72033549109207</v>
      </c>
      <c r="H156" s="47" t="n">
        <f aca="false">A156*Scorecard!$D$12+B156*Scorecard!$D$13+C156*Scorecard!$D$14+D156*Scorecard!$D$15+E156*Scorecard!$D$16+F156*Scorecard!$D$17</f>
        <v>2.4222422228466</v>
      </c>
      <c r="I156" s="47" t="n">
        <f aca="false">A156*Scorecard!$E$12+B156*Scorecard!$E$13+C156*Scorecard!$E$14+D156*Scorecard!$E$15+E156*Scorecard!$E$16+F156*Scorecard!$E$17</f>
        <v>3.63580776890254</v>
      </c>
      <c r="J156" s="0" t="str">
        <f aca="false">IF(AND(G156&gt;=H156,G156&gt;=I156),"Distribution",IF(I156&gt;=H156,"Prof. services","Manufacturing"))</f>
        <v>Distribution</v>
      </c>
      <c r="L156" s="46" t="n">
        <v>0.261839</v>
      </c>
      <c r="M156" s="46" t="n">
        <v>0.333272</v>
      </c>
      <c r="N156" s="46" t="n">
        <v>0.093228</v>
      </c>
      <c r="O156" s="46" t="n">
        <v>0.063643</v>
      </c>
      <c r="P156" s="46" t="n">
        <v>0.183508</v>
      </c>
      <c r="Q156" s="46" t="n">
        <v>0.06451</v>
      </c>
      <c r="R156" s="47" t="n">
        <f aca="false">L156*Scorecard!$C$12+M156*Scorecard!$C$13+N156*Scorecard!$C$14+O156*Scorecard!$C$15+P156*Scorecard!$C$16+Q156*Scorecard!$C$17</f>
        <v>3.79658106592214</v>
      </c>
      <c r="S156" s="47" t="n">
        <f aca="false">L156*Scorecard!$D$12+M156*Scorecard!$D$13+N156*Scorecard!$D$14+O156*Scorecard!$D$15+P156*Scorecard!$D$16+Q156*Scorecard!$D$17</f>
        <v>2.71079565560075</v>
      </c>
      <c r="T156" s="47" t="n">
        <f aca="false">L156*Scorecard!$E$12+M156*Scorecard!$E$13+N156*Scorecard!$E$14+O156*Scorecard!$E$15+P156*Scorecard!$E$16+Q156*Scorecard!$E$17</f>
        <v>3.4668389921303</v>
      </c>
      <c r="U156" s="0" t="str">
        <f aca="false">IF(AND(R156&gt;=S156,R156&gt;=T156),"Distribution",IF(T156&gt;=S156,"Prof. services","Manufacturing"))</f>
        <v>Distribution</v>
      </c>
    </row>
    <row r="157" customFormat="false" ht="15" hidden="false" customHeight="false" outlineLevel="0" collapsed="false">
      <c r="A157" s="46" t="n">
        <v>0.066914</v>
      </c>
      <c r="B157" s="46" t="n">
        <v>0.065077</v>
      </c>
      <c r="C157" s="46" t="n">
        <v>0.335481</v>
      </c>
      <c r="D157" s="46" t="n">
        <v>0.038252</v>
      </c>
      <c r="E157" s="46" t="n">
        <v>0.144675</v>
      </c>
      <c r="F157" s="46" t="n">
        <v>0.3496</v>
      </c>
      <c r="G157" s="47" t="n">
        <f aca="false">A157*Scorecard!$C$12+B157*Scorecard!$C$13+C157*Scorecard!$C$14+D157*Scorecard!$C$15+E157*Scorecard!$C$16+F157*Scorecard!$C$17</f>
        <v>3.28367884574152</v>
      </c>
      <c r="H157" s="47" t="n">
        <f aca="false">A157*Scorecard!$D$12+B157*Scorecard!$D$13+C157*Scorecard!$D$14+D157*Scorecard!$D$15+E157*Scorecard!$D$16+F157*Scorecard!$D$17</f>
        <v>2.51462336260574</v>
      </c>
      <c r="I157" s="47" t="n">
        <f aca="false">A157*Scorecard!$E$12+B157*Scorecard!$E$13+C157*Scorecard!$E$14+D157*Scorecard!$E$15+E157*Scorecard!$E$16+F157*Scorecard!$E$17</f>
        <v>4.22028593524156</v>
      </c>
      <c r="J157" s="0" t="str">
        <f aca="false">IF(AND(G157&gt;=H157,G157&gt;=I157),"Distribution",IF(I157&gt;=H157,"Prof. services","Manufacturing"))</f>
        <v>Prof. services</v>
      </c>
      <c r="L157" s="46" t="n">
        <v>0.127708</v>
      </c>
      <c r="M157" s="46" t="n">
        <v>0.119783</v>
      </c>
      <c r="N157" s="46" t="n">
        <v>0.227876</v>
      </c>
      <c r="O157" s="46" t="n">
        <v>0.288994</v>
      </c>
      <c r="P157" s="46" t="n">
        <v>0.179914</v>
      </c>
      <c r="Q157" s="46" t="n">
        <v>0.055725</v>
      </c>
      <c r="R157" s="47" t="n">
        <f aca="false">L157*Scorecard!$C$12+M157*Scorecard!$C$13+N157*Scorecard!$C$14+O157*Scorecard!$C$15+P157*Scorecard!$C$16+Q157*Scorecard!$C$17</f>
        <v>4.06745077876017</v>
      </c>
      <c r="S157" s="47" t="n">
        <f aca="false">L157*Scorecard!$D$12+M157*Scorecard!$D$13+N157*Scorecard!$D$14+O157*Scorecard!$D$15+P157*Scorecard!$D$16+Q157*Scorecard!$D$17</f>
        <v>3.21549806448652</v>
      </c>
      <c r="T157" s="47" t="n">
        <f aca="false">L157*Scorecard!$E$12+M157*Scorecard!$E$13+N157*Scorecard!$E$14+O157*Scorecard!$E$15+P157*Scorecard!$E$16+Q157*Scorecard!$E$17</f>
        <v>3.90635321039972</v>
      </c>
      <c r="U157" s="0" t="str">
        <f aca="false">IF(AND(R157&gt;=S157,R157&gt;=T157),"Distribution",IF(T157&gt;=S157,"Prof. services","Manufacturing"))</f>
        <v>Distribution</v>
      </c>
    </row>
    <row r="158" customFormat="false" ht="15" hidden="false" customHeight="false" outlineLevel="0" collapsed="false">
      <c r="A158" s="46" t="n">
        <v>0.047479</v>
      </c>
      <c r="B158" s="46" t="n">
        <v>0.413834</v>
      </c>
      <c r="C158" s="46" t="n">
        <v>0.122469</v>
      </c>
      <c r="D158" s="46" t="n">
        <v>0.101225</v>
      </c>
      <c r="E158" s="46" t="n">
        <v>0.116511</v>
      </c>
      <c r="F158" s="46" t="n">
        <v>0.198482</v>
      </c>
      <c r="G158" s="47" t="n">
        <f aca="false">A158*Scorecard!$C$12+B158*Scorecard!$C$13+C158*Scorecard!$C$14+D158*Scorecard!$C$15+E158*Scorecard!$C$16+F158*Scorecard!$C$17</f>
        <v>4.03263212290345</v>
      </c>
      <c r="H158" s="47" t="n">
        <f aca="false">A158*Scorecard!$D$12+B158*Scorecard!$D$13+C158*Scorecard!$D$14+D158*Scorecard!$D$15+E158*Scorecard!$D$16+F158*Scorecard!$D$17</f>
        <v>2.26849277381519</v>
      </c>
      <c r="I158" s="47" t="n">
        <f aca="false">A158*Scorecard!$E$12+B158*Scorecard!$E$13+C158*Scorecard!$E$14+D158*Scorecard!$E$15+E158*Scorecard!$E$16+F158*Scorecard!$E$17</f>
        <v>3.31543416713028</v>
      </c>
      <c r="J158" s="0" t="str">
        <f aca="false">IF(AND(G158&gt;=H158,G158&gt;=I158),"Distribution",IF(I158&gt;=H158,"Prof. services","Manufacturing"))</f>
        <v>Distribution</v>
      </c>
      <c r="L158" s="46" t="n">
        <v>0.395626</v>
      </c>
      <c r="M158" s="46" t="n">
        <v>0.152018</v>
      </c>
      <c r="N158" s="46" t="n">
        <v>0.078874</v>
      </c>
      <c r="O158" s="46" t="n">
        <v>0.189727</v>
      </c>
      <c r="P158" s="46" t="n">
        <v>0.082015</v>
      </c>
      <c r="Q158" s="46" t="n">
        <v>0.10174</v>
      </c>
      <c r="R158" s="47" t="n">
        <f aca="false">L158*Scorecard!$C$12+M158*Scorecard!$C$13+N158*Scorecard!$C$14+O158*Scorecard!$C$15+P158*Scorecard!$C$16+Q158*Scorecard!$C$17</f>
        <v>3.42613255798988</v>
      </c>
      <c r="S158" s="47" t="n">
        <f aca="false">L158*Scorecard!$D$12+M158*Scorecard!$D$13+N158*Scorecard!$D$14+O158*Scorecard!$D$15+P158*Scorecard!$D$16+Q158*Scorecard!$D$17</f>
        <v>3.12751518008067</v>
      </c>
      <c r="T158" s="47" t="n">
        <f aca="false">L158*Scorecard!$E$12+M158*Scorecard!$E$13+N158*Scorecard!$E$14+O158*Scorecard!$E$15+P158*Scorecard!$E$16+Q158*Scorecard!$E$17</f>
        <v>4.13469141334345</v>
      </c>
      <c r="U158" s="0" t="str">
        <f aca="false">IF(AND(R158&gt;=S158,R158&gt;=T158),"Distribution",IF(T158&gt;=S158,"Prof. services","Manufacturing"))</f>
        <v>Prof. services</v>
      </c>
    </row>
    <row r="159" customFormat="false" ht="15" hidden="false" customHeight="false" outlineLevel="0" collapsed="false">
      <c r="A159" s="46" t="n">
        <v>0.049268</v>
      </c>
      <c r="B159" s="46" t="n">
        <v>0.192477</v>
      </c>
      <c r="C159" s="46" t="n">
        <v>0.347893</v>
      </c>
      <c r="D159" s="46" t="n">
        <v>0.278488</v>
      </c>
      <c r="E159" s="46" t="n">
        <v>0.098645</v>
      </c>
      <c r="F159" s="46" t="n">
        <v>0.033228</v>
      </c>
      <c r="G159" s="47" t="n">
        <f aca="false">A159*Scorecard!$C$12+B159*Scorecard!$C$13+C159*Scorecard!$C$14+D159*Scorecard!$C$15+E159*Scorecard!$C$16+F159*Scorecard!$C$17</f>
        <v>4.31582189739058</v>
      </c>
      <c r="H159" s="47" t="n">
        <f aca="false">A159*Scorecard!$D$12+B159*Scorecard!$D$13+C159*Scorecard!$D$14+D159*Scorecard!$D$15+E159*Scorecard!$D$16+F159*Scorecard!$D$17</f>
        <v>3.04906141187649</v>
      </c>
      <c r="I159" s="47" t="n">
        <f aca="false">A159*Scorecard!$E$12+B159*Scorecard!$E$13+C159*Scorecard!$E$14+D159*Scorecard!$E$15+E159*Scorecard!$E$16+F159*Scorecard!$E$17</f>
        <v>3.93405794084813</v>
      </c>
      <c r="J159" s="0" t="str">
        <f aca="false">IF(AND(G159&gt;=H159,G159&gt;=I159),"Distribution",IF(I159&gt;=H159,"Prof. services","Manufacturing"))</f>
        <v>Distribution</v>
      </c>
      <c r="L159" s="46" t="n">
        <v>0.182893</v>
      </c>
      <c r="M159" s="46" t="n">
        <v>0.398504</v>
      </c>
      <c r="N159" s="46" t="n">
        <v>0.269129</v>
      </c>
      <c r="O159" s="46" t="n">
        <v>0.049092</v>
      </c>
      <c r="P159" s="46" t="n">
        <v>0.051693</v>
      </c>
      <c r="Q159" s="46" t="n">
        <v>0.048688</v>
      </c>
      <c r="R159" s="47" t="n">
        <f aca="false">L159*Scorecard!$C$12+M159*Scorecard!$C$13+N159*Scorecard!$C$14+O159*Scorecard!$C$15+P159*Scorecard!$C$16+Q159*Scorecard!$C$17</f>
        <v>4.0210059917686</v>
      </c>
      <c r="S159" s="47" t="n">
        <f aca="false">L159*Scorecard!$D$12+M159*Scorecard!$D$13+N159*Scorecard!$D$14+O159*Scorecard!$D$15+P159*Scorecard!$D$16+Q159*Scorecard!$D$17</f>
        <v>2.52368141688114</v>
      </c>
      <c r="T159" s="47" t="n">
        <f aca="false">L159*Scorecard!$E$12+M159*Scorecard!$E$13+N159*Scorecard!$E$14+O159*Scorecard!$E$15+P159*Scorecard!$E$16+Q159*Scorecard!$E$17</f>
        <v>3.65083436414189</v>
      </c>
      <c r="U159" s="0" t="str">
        <f aca="false">IF(AND(R159&gt;=S159,R159&gt;=T159),"Distribution",IF(T159&gt;=S159,"Prof. services","Manufacturing"))</f>
        <v>Distribution</v>
      </c>
    </row>
    <row r="160" customFormat="false" ht="15" hidden="false" customHeight="false" outlineLevel="0" collapsed="false">
      <c r="A160" s="46" t="n">
        <v>0.062371</v>
      </c>
      <c r="B160" s="46" t="n">
        <v>0.30594</v>
      </c>
      <c r="C160" s="46" t="n">
        <v>0.175852</v>
      </c>
      <c r="D160" s="46" t="n">
        <v>0.075124</v>
      </c>
      <c r="E160" s="46" t="n">
        <v>0.006064</v>
      </c>
      <c r="F160" s="46" t="n">
        <v>0.374649</v>
      </c>
      <c r="G160" s="47" t="n">
        <f aca="false">A160*Scorecard!$C$12+B160*Scorecard!$C$13+C160*Scorecard!$C$14+D160*Scorecard!$C$15+E160*Scorecard!$C$16+F160*Scorecard!$C$17</f>
        <v>3.5194973105291</v>
      </c>
      <c r="H160" s="47" t="n">
        <f aca="false">A160*Scorecard!$D$12+B160*Scorecard!$D$13+C160*Scorecard!$D$14+D160*Scorecard!$D$15+E160*Scorecard!$D$16+F160*Scorecard!$D$17</f>
        <v>2.10899702147945</v>
      </c>
      <c r="I160" s="47" t="n">
        <f aca="false">A160*Scorecard!$E$12+B160*Scorecard!$E$13+C160*Scorecard!$E$14+D160*Scorecard!$E$15+E160*Scorecard!$E$16+F160*Scorecard!$E$17</f>
        <v>3.85395220058334</v>
      </c>
      <c r="J160" s="0" t="str">
        <f aca="false">IF(AND(G160&gt;=H160,G160&gt;=I160),"Distribution",IF(I160&gt;=H160,"Prof. services","Manufacturing"))</f>
        <v>Prof. services</v>
      </c>
      <c r="L160" s="46" t="n">
        <v>0.369444</v>
      </c>
      <c r="M160" s="46" t="n">
        <v>0.088039</v>
      </c>
      <c r="N160" s="46" t="n">
        <v>0.139261</v>
      </c>
      <c r="O160" s="46" t="n">
        <v>0.096449</v>
      </c>
      <c r="P160" s="46" t="n">
        <v>0.166677</v>
      </c>
      <c r="Q160" s="46" t="n">
        <v>0.140129</v>
      </c>
      <c r="R160" s="47" t="n">
        <f aca="false">L160*Scorecard!$C$12+M160*Scorecard!$C$13+N160*Scorecard!$C$14+O160*Scorecard!$C$15+P160*Scorecard!$C$16+Q160*Scorecard!$C$17</f>
        <v>3.23922153137057</v>
      </c>
      <c r="S160" s="47" t="n">
        <f aca="false">L160*Scorecard!$D$12+M160*Scorecard!$D$13+N160*Scorecard!$D$14+O160*Scorecard!$D$15+P160*Scorecard!$D$16+Q160*Scorecard!$D$17</f>
        <v>3.06890500454435</v>
      </c>
      <c r="T160" s="47" t="n">
        <f aca="false">L160*Scorecard!$E$12+M160*Scorecard!$E$13+N160*Scorecard!$E$14+O160*Scorecard!$E$15+P160*Scorecard!$E$16+Q160*Scorecard!$E$17</f>
        <v>4.15167391872464</v>
      </c>
      <c r="U160" s="0" t="str">
        <f aca="false">IF(AND(R160&gt;=S160,R160&gt;=T160),"Distribution",IF(T160&gt;=S160,"Prof. services","Manufacturing"))</f>
        <v>Prof. services</v>
      </c>
    </row>
    <row r="161" customFormat="false" ht="15" hidden="false" customHeight="false" outlineLevel="0" collapsed="false">
      <c r="A161" s="46" t="n">
        <v>0.086775</v>
      </c>
      <c r="B161" s="46" t="n">
        <v>0.31272</v>
      </c>
      <c r="C161" s="46" t="n">
        <v>0.164358</v>
      </c>
      <c r="D161" s="46" t="n">
        <v>0.219593</v>
      </c>
      <c r="E161" s="46" t="n">
        <v>0.042279</v>
      </c>
      <c r="F161" s="46" t="n">
        <v>0.174275</v>
      </c>
      <c r="G161" s="47" t="n">
        <f aca="false">A161*Scorecard!$C$12+B161*Scorecard!$C$13+C161*Scorecard!$C$14+D161*Scorecard!$C$15+E161*Scorecard!$C$16+F161*Scorecard!$C$17</f>
        <v>4.02756676250442</v>
      </c>
      <c r="H161" s="47" t="n">
        <f aca="false">A161*Scorecard!$D$12+B161*Scorecard!$D$13+C161*Scorecard!$D$14+D161*Scorecard!$D$15+E161*Scorecard!$D$16+F161*Scorecard!$D$17</f>
        <v>2.59481619741018</v>
      </c>
      <c r="I161" s="47" t="n">
        <f aca="false">A161*Scorecard!$E$12+B161*Scorecard!$E$13+C161*Scorecard!$E$14+D161*Scorecard!$E$15+E161*Scorecard!$E$16+F161*Scorecard!$E$17</f>
        <v>3.71730922825844</v>
      </c>
      <c r="J161" s="0" t="str">
        <f aca="false">IF(AND(G161&gt;=H161,G161&gt;=I161),"Distribution",IF(I161&gt;=H161,"Prof. services","Manufacturing"))</f>
        <v>Distribution</v>
      </c>
      <c r="L161" s="46" t="n">
        <v>0.206381</v>
      </c>
      <c r="M161" s="46" t="n">
        <v>0.181017</v>
      </c>
      <c r="N161" s="46" t="n">
        <v>0.084531</v>
      </c>
      <c r="O161" s="46" t="n">
        <v>0.125036</v>
      </c>
      <c r="P161" s="46" t="n">
        <v>0.216273</v>
      </c>
      <c r="Q161" s="46" t="n">
        <v>0.186762</v>
      </c>
      <c r="R161" s="47" t="n">
        <f aca="false">L161*Scorecard!$C$12+M161*Scorecard!$C$13+N161*Scorecard!$C$14+O161*Scorecard!$C$15+P161*Scorecard!$C$16+Q161*Scorecard!$C$17</f>
        <v>3.56104025680696</v>
      </c>
      <c r="S161" s="47" t="n">
        <f aca="false">L161*Scorecard!$D$12+M161*Scorecard!$D$13+N161*Scorecard!$D$14+O161*Scorecard!$D$15+P161*Scorecard!$D$16+Q161*Scorecard!$D$17</f>
        <v>2.80131271776686</v>
      </c>
      <c r="T161" s="47" t="n">
        <f aca="false">L161*Scorecard!$E$12+M161*Scorecard!$E$13+N161*Scorecard!$E$14+O161*Scorecard!$E$15+P161*Scorecard!$E$16+Q161*Scorecard!$E$17</f>
        <v>3.70484446042786</v>
      </c>
      <c r="U161" s="0" t="str">
        <f aca="false">IF(AND(R161&gt;=S161,R161&gt;=T161),"Distribution",IF(T161&gt;=S161,"Prof. services","Manufacturing"))</f>
        <v>Prof. services</v>
      </c>
    </row>
    <row r="162" customFormat="false" ht="15" hidden="false" customHeight="false" outlineLevel="0" collapsed="false">
      <c r="A162" s="46" t="n">
        <v>0.462875</v>
      </c>
      <c r="B162" s="46" t="n">
        <v>0.111661</v>
      </c>
      <c r="C162" s="46" t="n">
        <v>0.107926</v>
      </c>
      <c r="D162" s="46" t="n">
        <v>0.16386</v>
      </c>
      <c r="E162" s="46" t="n">
        <v>0.08056</v>
      </c>
      <c r="F162" s="46" t="n">
        <v>0.073118</v>
      </c>
      <c r="G162" s="47" t="n">
        <f aca="false">A162*Scorecard!$C$12+B162*Scorecard!$C$13+C162*Scorecard!$C$14+D162*Scorecard!$C$15+E162*Scorecard!$C$16+F162*Scorecard!$C$17</f>
        <v>3.29610339895397</v>
      </c>
      <c r="H162" s="47" t="n">
        <f aca="false">A162*Scorecard!$D$12+B162*Scorecard!$D$13+C162*Scorecard!$D$14+D162*Scorecard!$D$15+E162*Scorecard!$D$16+F162*Scorecard!$D$17</f>
        <v>3.24501567707607</v>
      </c>
      <c r="I162" s="47" t="n">
        <f aca="false">A162*Scorecard!$E$12+B162*Scorecard!$E$13+C162*Scorecard!$E$14+D162*Scorecard!$E$15+E162*Scorecard!$E$16+F162*Scorecard!$E$17</f>
        <v>4.29055445966089</v>
      </c>
      <c r="J162" s="0" t="str">
        <f aca="false">IF(AND(G162&gt;=H162,G162&gt;=I162),"Distribution",IF(I162&gt;=H162,"Prof. services","Manufacturing"))</f>
        <v>Prof. services</v>
      </c>
      <c r="L162" s="46" t="n">
        <v>0.289764</v>
      </c>
      <c r="M162" s="46" t="n">
        <v>0.114554</v>
      </c>
      <c r="N162" s="46" t="n">
        <v>0.291776</v>
      </c>
      <c r="O162" s="46" t="n">
        <v>0.169433</v>
      </c>
      <c r="P162" s="46" t="n">
        <v>0.078336</v>
      </c>
      <c r="Q162" s="46" t="n">
        <v>0.056137</v>
      </c>
      <c r="R162" s="47" t="n">
        <f aca="false">L162*Scorecard!$C$12+M162*Scorecard!$C$13+N162*Scorecard!$C$14+O162*Scorecard!$C$15+P162*Scorecard!$C$16+Q162*Scorecard!$C$17</f>
        <v>3.65013366768458</v>
      </c>
      <c r="S162" s="47" t="n">
        <f aca="false">L162*Scorecard!$D$12+M162*Scorecard!$D$13+N162*Scorecard!$D$14+O162*Scorecard!$D$15+P162*Scorecard!$D$16+Q162*Scorecard!$D$17</f>
        <v>3.15750667145067</v>
      </c>
      <c r="T162" s="47" t="n">
        <f aca="false">L162*Scorecard!$E$12+M162*Scorecard!$E$13+N162*Scorecard!$E$14+O162*Scorecard!$E$15+P162*Scorecard!$E$16+Q162*Scorecard!$E$17</f>
        <v>4.2919981380327</v>
      </c>
      <c r="U162" s="0" t="str">
        <f aca="false">IF(AND(R162&gt;=S162,R162&gt;=T162),"Distribution",IF(T162&gt;=S162,"Prof. services","Manufacturing"))</f>
        <v>Prof. services</v>
      </c>
    </row>
    <row r="163" customFormat="false" ht="15" hidden="false" customHeight="false" outlineLevel="0" collapsed="false">
      <c r="A163" s="46" t="n">
        <v>0.004093</v>
      </c>
      <c r="B163" s="46" t="n">
        <v>0.326561</v>
      </c>
      <c r="C163" s="46" t="n">
        <v>0.252638</v>
      </c>
      <c r="D163" s="46" t="n">
        <v>0.1058</v>
      </c>
      <c r="E163" s="46" t="n">
        <v>0.204919</v>
      </c>
      <c r="F163" s="46" t="n">
        <v>0.105988</v>
      </c>
      <c r="G163" s="47" t="n">
        <f aca="false">A163*Scorecard!$C$12+B163*Scorecard!$C$13+C163*Scorecard!$C$14+D163*Scorecard!$C$15+E163*Scorecard!$C$16+F163*Scorecard!$C$17</f>
        <v>4.21301354162985</v>
      </c>
      <c r="H163" s="47" t="n">
        <f aca="false">A163*Scorecard!$D$12+B163*Scorecard!$D$13+C163*Scorecard!$D$14+D163*Scorecard!$D$15+E163*Scorecard!$D$16+F163*Scorecard!$D$17</f>
        <v>2.54433468206047</v>
      </c>
      <c r="I163" s="47" t="n">
        <f aca="false">A163*Scorecard!$E$12+B163*Scorecard!$E$13+C163*Scorecard!$E$14+D163*Scorecard!$E$15+E163*Scorecard!$E$16+F163*Scorecard!$E$17</f>
        <v>3.3730584561493</v>
      </c>
      <c r="J163" s="0" t="str">
        <f aca="false">IF(AND(G163&gt;=H163,G163&gt;=I163),"Distribution",IF(I163&gt;=H163,"Prof. services","Manufacturing"))</f>
        <v>Distribution</v>
      </c>
      <c r="L163" s="46" t="n">
        <v>0.107321</v>
      </c>
      <c r="M163" s="46" t="n">
        <v>0.210216</v>
      </c>
      <c r="N163" s="46" t="n">
        <v>0.298919</v>
      </c>
      <c r="O163" s="46" t="n">
        <v>0.14939</v>
      </c>
      <c r="P163" s="46" t="n">
        <v>0.163266</v>
      </c>
      <c r="Q163" s="46" t="n">
        <v>0.070888</v>
      </c>
      <c r="R163" s="47" t="n">
        <f aca="false">L163*Scorecard!$C$12+M163*Scorecard!$C$13+N163*Scorecard!$C$14+O163*Scorecard!$C$15+P163*Scorecard!$C$16+Q163*Scorecard!$C$17</f>
        <v>4.02465066949855</v>
      </c>
      <c r="S163" s="47" t="n">
        <f aca="false">L163*Scorecard!$D$12+M163*Scorecard!$D$13+N163*Scorecard!$D$14+O163*Scorecard!$D$15+P163*Scorecard!$D$16+Q163*Scorecard!$D$17</f>
        <v>2.87638616397693</v>
      </c>
      <c r="T163" s="47" t="n">
        <f aca="false">L163*Scorecard!$E$12+M163*Scorecard!$E$13+N163*Scorecard!$E$14+O163*Scorecard!$E$15+P163*Scorecard!$E$16+Q163*Scorecard!$E$17</f>
        <v>3.79981192105062</v>
      </c>
      <c r="U163" s="0" t="str">
        <f aca="false">IF(AND(R163&gt;=S163,R163&gt;=T163),"Distribution",IF(T163&gt;=S163,"Prof. services","Manufacturing"))</f>
        <v>Distribution</v>
      </c>
    </row>
    <row r="164" customFormat="false" ht="15" hidden="false" customHeight="false" outlineLevel="0" collapsed="false">
      <c r="A164" s="46" t="n">
        <v>0.018179</v>
      </c>
      <c r="B164" s="46" t="n">
        <v>0.023174</v>
      </c>
      <c r="C164" s="46" t="n">
        <v>0.494664</v>
      </c>
      <c r="D164" s="46" t="n">
        <v>0.187838</v>
      </c>
      <c r="E164" s="46" t="n">
        <v>0.06621</v>
      </c>
      <c r="F164" s="46" t="n">
        <v>0.209936</v>
      </c>
      <c r="G164" s="47" t="n">
        <f aca="false">A164*Scorecard!$C$12+B164*Scorecard!$C$13+C164*Scorecard!$C$14+D164*Scorecard!$C$15+E164*Scorecard!$C$16+F164*Scorecard!$C$17</f>
        <v>3.75842154074984</v>
      </c>
      <c r="H164" s="47" t="n">
        <f aca="false">A164*Scorecard!$D$12+B164*Scorecard!$D$13+C164*Scorecard!$D$14+D164*Scorecard!$D$15+E164*Scorecard!$D$16+F164*Scorecard!$D$17</f>
        <v>2.90184190487632</v>
      </c>
      <c r="I164" s="47" t="n">
        <f aca="false">A164*Scorecard!$E$12+B164*Scorecard!$E$13+C164*Scorecard!$E$14+D164*Scorecard!$E$15+E164*Scorecard!$E$16+F164*Scorecard!$E$17</f>
        <v>4.49482627657527</v>
      </c>
      <c r="J164" s="0" t="str">
        <f aca="false">IF(AND(G164&gt;=H164,G164&gt;=I164),"Distribution",IF(I164&gt;=H164,"Prof. services","Manufacturing"))</f>
        <v>Prof. services</v>
      </c>
      <c r="L164" s="46" t="n">
        <v>0.159727</v>
      </c>
      <c r="M164" s="46" t="n">
        <v>0.254882</v>
      </c>
      <c r="N164" s="46" t="n">
        <v>0.228277</v>
      </c>
      <c r="O164" s="46" t="n">
        <v>0.09795</v>
      </c>
      <c r="P164" s="46" t="n">
        <v>0.16491</v>
      </c>
      <c r="Q164" s="46" t="n">
        <v>0.094254</v>
      </c>
      <c r="R164" s="47" t="n">
        <f aca="false">L164*Scorecard!$C$12+M164*Scorecard!$C$13+N164*Scorecard!$C$14+O164*Scorecard!$C$15+P164*Scorecard!$C$16+Q164*Scorecard!$C$17</f>
        <v>3.8768131221382</v>
      </c>
      <c r="S164" s="47" t="n">
        <f aca="false">L164*Scorecard!$D$12+M164*Scorecard!$D$13+N164*Scorecard!$D$14+O164*Scorecard!$D$15+P164*Scorecard!$D$16+Q164*Scorecard!$D$17</f>
        <v>2.74990908003179</v>
      </c>
      <c r="T164" s="47" t="n">
        <f aca="false">L164*Scorecard!$E$12+M164*Scorecard!$E$13+N164*Scorecard!$E$14+O164*Scorecard!$E$15+P164*Scorecard!$E$16+Q164*Scorecard!$E$17</f>
        <v>3.69830209649672</v>
      </c>
      <c r="U164" s="0" t="str">
        <f aca="false">IF(AND(R164&gt;=S164,R164&gt;=T164),"Distribution",IF(T164&gt;=S164,"Prof. services","Manufacturing"))</f>
        <v>Distribution</v>
      </c>
    </row>
    <row r="165" customFormat="false" ht="15" hidden="false" customHeight="false" outlineLevel="0" collapsed="false">
      <c r="A165" s="46" t="n">
        <v>0.079788</v>
      </c>
      <c r="B165" s="46" t="n">
        <v>0.169805</v>
      </c>
      <c r="C165" s="46" t="n">
        <v>0.120784</v>
      </c>
      <c r="D165" s="46" t="n">
        <v>0.155167</v>
      </c>
      <c r="E165" s="46" t="n">
        <v>0.000632</v>
      </c>
      <c r="F165" s="46" t="n">
        <v>0.473824</v>
      </c>
      <c r="G165" s="47" t="n">
        <f aca="false">A165*Scorecard!$C$12+B165*Scorecard!$C$13+C165*Scorecard!$C$14+D165*Scorecard!$C$15+E165*Scorecard!$C$16+F165*Scorecard!$C$17</f>
        <v>3.2337044621458</v>
      </c>
      <c r="H165" s="47" t="n">
        <f aca="false">A165*Scorecard!$D$12+B165*Scorecard!$D$13+C165*Scorecard!$D$14+D165*Scorecard!$D$15+E165*Scorecard!$D$16+F165*Scorecard!$D$17</f>
        <v>2.26692861854166</v>
      </c>
      <c r="I165" s="47" t="n">
        <f aca="false">A165*Scorecard!$E$12+B165*Scorecard!$E$13+C165*Scorecard!$E$14+D165*Scorecard!$E$15+E165*Scorecard!$E$16+F165*Scorecard!$E$17</f>
        <v>4.14341102069104</v>
      </c>
      <c r="J165" s="0" t="str">
        <f aca="false">IF(AND(G165&gt;=H165,G165&gt;=I165),"Distribution",IF(I165&gt;=H165,"Prof. services","Manufacturing"))</f>
        <v>Prof. services</v>
      </c>
      <c r="L165" s="46" t="n">
        <v>0.151401</v>
      </c>
      <c r="M165" s="46" t="n">
        <v>0.133625</v>
      </c>
      <c r="N165" s="46" t="n">
        <v>0.202076</v>
      </c>
      <c r="O165" s="46" t="n">
        <v>0.09654</v>
      </c>
      <c r="P165" s="46" t="n">
        <v>0.309142</v>
      </c>
      <c r="Q165" s="46" t="n">
        <v>0.107216</v>
      </c>
      <c r="R165" s="47" t="n">
        <f aca="false">L165*Scorecard!$C$12+M165*Scorecard!$C$13+N165*Scorecard!$C$14+O165*Scorecard!$C$15+P165*Scorecard!$C$16+Q165*Scorecard!$C$17</f>
        <v>3.74320904087503</v>
      </c>
      <c r="S165" s="47" t="n">
        <f aca="false">L165*Scorecard!$D$12+M165*Scorecard!$D$13+N165*Scorecard!$D$14+O165*Scorecard!$D$15+P165*Scorecard!$D$16+Q165*Scorecard!$D$17</f>
        <v>2.95341840785312</v>
      </c>
      <c r="T165" s="47" t="n">
        <f aca="false">L165*Scorecard!$E$12+M165*Scorecard!$E$13+N165*Scorecard!$E$14+O165*Scorecard!$E$15+P165*Scorecard!$E$16+Q165*Scorecard!$E$17</f>
        <v>3.65706615255143</v>
      </c>
      <c r="U165" s="0" t="str">
        <f aca="false">IF(AND(R165&gt;=S165,R165&gt;=T165),"Distribution",IF(T165&gt;=S165,"Prof. services","Manufacturing"))</f>
        <v>Distribution</v>
      </c>
    </row>
    <row r="166" customFormat="false" ht="15" hidden="false" customHeight="false" outlineLevel="0" collapsed="false">
      <c r="A166" s="46" t="n">
        <v>0.025546</v>
      </c>
      <c r="B166" s="46" t="n">
        <v>0.268082</v>
      </c>
      <c r="C166" s="46" t="n">
        <v>0.071032</v>
      </c>
      <c r="D166" s="46" t="n">
        <v>0.116164</v>
      </c>
      <c r="E166" s="46" t="n">
        <v>0.282513</v>
      </c>
      <c r="F166" s="46" t="n">
        <v>0.236663</v>
      </c>
      <c r="G166" s="47" t="n">
        <f aca="false">A166*Scorecard!$C$12+B166*Scorecard!$C$13+C166*Scorecard!$C$14+D166*Scorecard!$C$15+E166*Scorecard!$C$16+F166*Scorecard!$C$17</f>
        <v>3.86493683568929</v>
      </c>
      <c r="H166" s="47" t="n">
        <f aca="false">A166*Scorecard!$D$12+B166*Scorecard!$D$13+C166*Scorecard!$D$14+D166*Scorecard!$D$15+E166*Scorecard!$D$16+F166*Scorecard!$D$17</f>
        <v>2.48813549702943</v>
      </c>
      <c r="I166" s="47" t="n">
        <f aca="false">A166*Scorecard!$E$12+B166*Scorecard!$E$13+C166*Scorecard!$E$14+D166*Scorecard!$E$15+E166*Scorecard!$E$16+F166*Scorecard!$E$17</f>
        <v>3.26030694518178</v>
      </c>
      <c r="J166" s="0" t="str">
        <f aca="false">IF(AND(G166&gt;=H166,G166&gt;=I166),"Distribution",IF(I166&gt;=H166,"Prof. services","Manufacturing"))</f>
        <v>Distribution</v>
      </c>
      <c r="L166" s="46" t="n">
        <v>0.306769</v>
      </c>
      <c r="M166" s="46" t="n">
        <v>0.241864</v>
      </c>
      <c r="N166" s="46" t="n">
        <v>0.219959</v>
      </c>
      <c r="O166" s="46" t="n">
        <v>0.0662</v>
      </c>
      <c r="P166" s="46" t="n">
        <v>0.129676</v>
      </c>
      <c r="Q166" s="46" t="n">
        <v>0.035533</v>
      </c>
      <c r="R166" s="47" t="n">
        <f aca="false">L166*Scorecard!$C$12+M166*Scorecard!$C$13+N166*Scorecard!$C$14+O166*Scorecard!$C$15+P166*Scorecard!$C$16+Q166*Scorecard!$C$17</f>
        <v>3.6848134251768</v>
      </c>
      <c r="S166" s="47" t="n">
        <f aca="false">L166*Scorecard!$D$12+M166*Scorecard!$D$13+N166*Scorecard!$D$14+O166*Scorecard!$D$15+P166*Scorecard!$D$16+Q166*Scorecard!$D$17</f>
        <v>2.90616230440821</v>
      </c>
      <c r="T166" s="47" t="n">
        <f aca="false">L166*Scorecard!$E$12+M166*Scorecard!$E$13+N166*Scorecard!$E$14+O166*Scorecard!$E$15+P166*Scorecard!$E$16+Q166*Scorecard!$E$17</f>
        <v>3.88559882779271</v>
      </c>
      <c r="U166" s="0" t="str">
        <f aca="false">IF(AND(R166&gt;=S166,R166&gt;=T166),"Distribution",IF(T166&gt;=S166,"Prof. services","Manufacturing"))</f>
        <v>Prof. services</v>
      </c>
    </row>
    <row r="167" customFormat="false" ht="15" hidden="false" customHeight="false" outlineLevel="0" collapsed="false">
      <c r="A167" s="46" t="n">
        <v>0.333325</v>
      </c>
      <c r="B167" s="46" t="n">
        <v>0.056111</v>
      </c>
      <c r="C167" s="46" t="n">
        <v>0.346951</v>
      </c>
      <c r="D167" s="46" t="n">
        <v>0.100699</v>
      </c>
      <c r="E167" s="46" t="n">
        <v>0.05748</v>
      </c>
      <c r="F167" s="46" t="n">
        <v>0.105434</v>
      </c>
      <c r="G167" s="47" t="n">
        <f aca="false">A167*Scorecard!$C$12+B167*Scorecard!$C$13+C167*Scorecard!$C$14+D167*Scorecard!$C$15+E167*Scorecard!$C$16+F167*Scorecard!$C$17</f>
        <v>3.34595224646251</v>
      </c>
      <c r="H167" s="47" t="n">
        <f aca="false">A167*Scorecard!$D$12+B167*Scorecard!$D$13+C167*Scorecard!$D$14+D167*Scorecard!$D$15+E167*Scorecard!$D$16+F167*Scorecard!$D$17</f>
        <v>3.11353710015751</v>
      </c>
      <c r="I167" s="47" t="n">
        <f aca="false">A167*Scorecard!$E$12+B167*Scorecard!$E$13+C167*Scorecard!$E$14+D167*Scorecard!$E$15+E167*Scorecard!$E$16+F167*Scorecard!$E$17</f>
        <v>4.54847764624713</v>
      </c>
      <c r="J167" s="0" t="str">
        <f aca="false">IF(AND(G167&gt;=H167,G167&gt;=I167),"Distribution",IF(I167&gt;=H167,"Prof. services","Manufacturing"))</f>
        <v>Prof. services</v>
      </c>
      <c r="L167" s="46" t="n">
        <v>0.099295</v>
      </c>
      <c r="M167" s="46" t="n">
        <v>0.127296</v>
      </c>
      <c r="N167" s="46" t="n">
        <v>0.351237</v>
      </c>
      <c r="O167" s="46" t="n">
        <v>0.275972</v>
      </c>
      <c r="P167" s="46" t="n">
        <v>0.109904</v>
      </c>
      <c r="Q167" s="46" t="n">
        <v>0.036295</v>
      </c>
      <c r="R167" s="47" t="n">
        <f aca="false">L167*Scorecard!$C$12+M167*Scorecard!$C$13+N167*Scorecard!$C$14+O167*Scorecard!$C$15+P167*Scorecard!$C$16+Q167*Scorecard!$C$17</f>
        <v>4.15194158395708</v>
      </c>
      <c r="S167" s="47" t="n">
        <f aca="false">L167*Scorecard!$D$12+M167*Scorecard!$D$13+N167*Scorecard!$D$14+O167*Scorecard!$D$15+P167*Scorecard!$D$16+Q167*Scorecard!$D$17</f>
        <v>3.17618338596065</v>
      </c>
      <c r="T167" s="47" t="n">
        <f aca="false">L167*Scorecard!$E$12+M167*Scorecard!$E$13+N167*Scorecard!$E$14+O167*Scorecard!$E$15+P167*Scorecard!$E$16+Q167*Scorecard!$E$17</f>
        <v>4.09203721080586</v>
      </c>
      <c r="U167" s="0" t="str">
        <f aca="false">IF(AND(R167&gt;=S167,R167&gt;=T167),"Distribution",IF(T167&gt;=S167,"Prof. services","Manufacturing"))</f>
        <v>Distribution</v>
      </c>
    </row>
    <row r="168" customFormat="false" ht="15" hidden="false" customHeight="false" outlineLevel="0" collapsed="false">
      <c r="A168" s="46" t="n">
        <v>0.190165</v>
      </c>
      <c r="B168" s="46" t="n">
        <v>0.065538</v>
      </c>
      <c r="C168" s="46" t="n">
        <v>0.064</v>
      </c>
      <c r="D168" s="46" t="n">
        <v>0.503885</v>
      </c>
      <c r="E168" s="46" t="n">
        <v>0.017495</v>
      </c>
      <c r="F168" s="46" t="n">
        <v>0.158917</v>
      </c>
      <c r="G168" s="47" t="n">
        <f aca="false">A168*Scorecard!$C$12+B168*Scorecard!$C$13+C168*Scorecard!$C$14+D168*Scorecard!$C$15+E168*Scorecard!$C$16+F168*Scorecard!$C$17</f>
        <v>3.90928928806283</v>
      </c>
      <c r="H168" s="47" t="n">
        <f aca="false">A168*Scorecard!$D$12+B168*Scorecard!$D$13+C168*Scorecard!$D$14+D168*Scorecard!$D$15+E168*Scorecard!$D$16+F168*Scorecard!$D$17</f>
        <v>3.37801483483531</v>
      </c>
      <c r="I168" s="47" t="n">
        <f aca="false">A168*Scorecard!$E$12+B168*Scorecard!$E$13+C168*Scorecard!$E$14+D168*Scorecard!$E$15+E168*Scorecard!$E$16+F168*Scorecard!$E$17</f>
        <v>4.26423560671362</v>
      </c>
      <c r="J168" s="0" t="str">
        <f aca="false">IF(AND(G168&gt;=H168,G168&gt;=I168),"Distribution",IF(I168&gt;=H168,"Prof. services","Manufacturing"))</f>
        <v>Prof. services</v>
      </c>
      <c r="L168" s="46" t="n">
        <v>0.141794</v>
      </c>
      <c r="M168" s="46" t="n">
        <v>0.225146</v>
      </c>
      <c r="N168" s="46" t="n">
        <v>0.25237</v>
      </c>
      <c r="O168" s="46" t="n">
        <v>0.137772</v>
      </c>
      <c r="P168" s="46" t="n">
        <v>0.149438</v>
      </c>
      <c r="Q168" s="46" t="n">
        <v>0.09348</v>
      </c>
      <c r="R168" s="47" t="n">
        <f aca="false">L168*Scorecard!$C$12+M168*Scorecard!$C$13+N168*Scorecard!$C$14+O168*Scorecard!$C$15+P168*Scorecard!$C$16+Q168*Scorecard!$C$17</f>
        <v>3.92072677788016</v>
      </c>
      <c r="S168" s="47" t="n">
        <f aca="false">L168*Scorecard!$D$12+M168*Scorecard!$D$13+N168*Scorecard!$D$14+O168*Scorecard!$D$15+P168*Scorecard!$D$16+Q168*Scorecard!$D$17</f>
        <v>2.82480050313096</v>
      </c>
      <c r="T168" s="47" t="n">
        <f aca="false">L168*Scorecard!$E$12+M168*Scorecard!$E$13+N168*Scorecard!$E$14+O168*Scorecard!$E$15+P168*Scorecard!$E$16+Q168*Scorecard!$E$17</f>
        <v>3.79216943281436</v>
      </c>
      <c r="U168" s="0" t="str">
        <f aca="false">IF(AND(R168&gt;=S168,R168&gt;=T168),"Distribution",IF(T168&gt;=S168,"Prof. services","Manufacturing"))</f>
        <v>Distribution</v>
      </c>
    </row>
    <row r="169" customFormat="false" ht="15" hidden="false" customHeight="false" outlineLevel="0" collapsed="false">
      <c r="A169" s="46" t="n">
        <v>0.34838</v>
      </c>
      <c r="B169" s="46" t="n">
        <v>0.043558</v>
      </c>
      <c r="C169" s="46" t="n">
        <v>0.191893</v>
      </c>
      <c r="D169" s="46" t="n">
        <v>0.04241</v>
      </c>
      <c r="E169" s="46" t="n">
        <v>0.356626</v>
      </c>
      <c r="F169" s="46" t="n">
        <v>0.017134</v>
      </c>
      <c r="G169" s="47" t="n">
        <f aca="false">A169*Scorecard!$C$12+B169*Scorecard!$C$13+C169*Scorecard!$C$14+D169*Scorecard!$C$15+E169*Scorecard!$C$16+F169*Scorecard!$C$17</f>
        <v>3.42461503176362</v>
      </c>
      <c r="H169" s="47" t="n">
        <f aca="false">A169*Scorecard!$D$12+B169*Scorecard!$D$13+C169*Scorecard!$D$14+D169*Scorecard!$D$15+E169*Scorecard!$D$16+F169*Scorecard!$D$17</f>
        <v>3.30701433094477</v>
      </c>
      <c r="I169" s="47" t="n">
        <f aca="false">A169*Scorecard!$E$12+B169*Scorecard!$E$13+C169*Scorecard!$E$14+D169*Scorecard!$E$15+E169*Scorecard!$E$16+F169*Scorecard!$E$17</f>
        <v>3.8797304072634</v>
      </c>
      <c r="J169" s="0" t="str">
        <f aca="false">IF(AND(G169&gt;=H169,G169&gt;=I169),"Distribution",IF(I169&gt;=H169,"Prof. services","Manufacturing"))</f>
        <v>Prof. services</v>
      </c>
      <c r="L169" s="46" t="n">
        <v>0.104053</v>
      </c>
      <c r="M169" s="46" t="n">
        <v>0.118447</v>
      </c>
      <c r="N169" s="46" t="n">
        <v>0.420518</v>
      </c>
      <c r="O169" s="46" t="n">
        <v>0.176773</v>
      </c>
      <c r="P169" s="46" t="n">
        <v>0.048291</v>
      </c>
      <c r="Q169" s="46" t="n">
        <v>0.131918</v>
      </c>
      <c r="R169" s="47" t="n">
        <f aca="false">L169*Scorecard!$C$12+M169*Scorecard!$C$13+N169*Scorecard!$C$14+O169*Scorecard!$C$15+P169*Scorecard!$C$16+Q169*Scorecard!$C$17</f>
        <v>3.84408711610339</v>
      </c>
      <c r="S169" s="47" t="n">
        <f aca="false">L169*Scorecard!$D$12+M169*Scorecard!$D$13+N169*Scorecard!$D$14+O169*Scorecard!$D$15+P169*Scorecard!$D$16+Q169*Scorecard!$D$17</f>
        <v>2.9138026310029</v>
      </c>
      <c r="T169" s="47" t="n">
        <f aca="false">L169*Scorecard!$E$12+M169*Scorecard!$E$13+N169*Scorecard!$E$14+O169*Scorecard!$E$15+P169*Scorecard!$E$16+Q169*Scorecard!$E$17</f>
        <v>4.31689754502082</v>
      </c>
      <c r="U169" s="0" t="str">
        <f aca="false">IF(AND(R169&gt;=S169,R169&gt;=T169),"Distribution",IF(T169&gt;=S169,"Prof. services","Manufacturing"))</f>
        <v>Prof. services</v>
      </c>
    </row>
    <row r="170" customFormat="false" ht="15" hidden="false" customHeight="false" outlineLevel="0" collapsed="false">
      <c r="A170" s="46" t="n">
        <v>0.102607</v>
      </c>
      <c r="B170" s="46" t="n">
        <v>0.139326</v>
      </c>
      <c r="C170" s="46" t="n">
        <v>0.264967</v>
      </c>
      <c r="D170" s="46" t="n">
        <v>0.166102</v>
      </c>
      <c r="E170" s="46" t="n">
        <v>0.297349</v>
      </c>
      <c r="F170" s="46" t="n">
        <v>0.029649</v>
      </c>
      <c r="G170" s="47" t="n">
        <f aca="false">A170*Scorecard!$C$12+B170*Scorecard!$C$13+C170*Scorecard!$C$14+D170*Scorecard!$C$15+E170*Scorecard!$C$16+F170*Scorecard!$C$17</f>
        <v>4.06143593672475</v>
      </c>
      <c r="H170" s="47" t="n">
        <f aca="false">A170*Scorecard!$D$12+B170*Scorecard!$D$13+C170*Scorecard!$D$14+D170*Scorecard!$D$15+E170*Scorecard!$D$16+F170*Scorecard!$D$17</f>
        <v>3.10557770052405</v>
      </c>
      <c r="I170" s="47" t="n">
        <f aca="false">A170*Scorecard!$E$12+B170*Scorecard!$E$13+C170*Scorecard!$E$14+D170*Scorecard!$E$15+E170*Scorecard!$E$16+F170*Scorecard!$E$17</f>
        <v>3.6527577655955</v>
      </c>
      <c r="J170" s="0" t="str">
        <f aca="false">IF(AND(G170&gt;=H170,G170&gt;=I170),"Distribution",IF(I170&gt;=H170,"Prof. services","Manufacturing"))</f>
        <v>Distribution</v>
      </c>
      <c r="L170" s="46" t="n">
        <v>0.103524</v>
      </c>
      <c r="M170" s="46" t="n">
        <v>0.238728</v>
      </c>
      <c r="N170" s="46" t="n">
        <v>0.228262</v>
      </c>
      <c r="O170" s="46" t="n">
        <v>0.15355</v>
      </c>
      <c r="P170" s="46" t="n">
        <v>0.125184</v>
      </c>
      <c r="Q170" s="46" t="n">
        <v>0.150752</v>
      </c>
      <c r="R170" s="47" t="n">
        <f aca="false">L170*Scorecard!$C$12+M170*Scorecard!$C$13+N170*Scorecard!$C$14+O170*Scorecard!$C$15+P170*Scorecard!$C$16+Q170*Scorecard!$C$17</f>
        <v>3.90442932364744</v>
      </c>
      <c r="S170" s="47" t="n">
        <f aca="false">L170*Scorecard!$D$12+M170*Scorecard!$D$13+N170*Scorecard!$D$14+O170*Scorecard!$D$15+P170*Scorecard!$D$16+Q170*Scorecard!$D$17</f>
        <v>2.70340727737929</v>
      </c>
      <c r="T170" s="47" t="n">
        <f aca="false">L170*Scorecard!$E$12+M170*Scorecard!$E$13+N170*Scorecard!$E$14+O170*Scorecard!$E$15+P170*Scorecard!$E$16+Q170*Scorecard!$E$17</f>
        <v>3.77596586781024</v>
      </c>
      <c r="U170" s="0" t="str">
        <f aca="false">IF(AND(R170&gt;=S170,R170&gt;=T170),"Distribution",IF(T170&gt;=S170,"Prof. services","Manufacturing"))</f>
        <v>Distribution</v>
      </c>
    </row>
    <row r="171" customFormat="false" ht="15" hidden="false" customHeight="false" outlineLevel="0" collapsed="false">
      <c r="A171" s="46" t="n">
        <v>0.248565</v>
      </c>
      <c r="B171" s="46" t="n">
        <v>0.383062</v>
      </c>
      <c r="C171" s="46" t="n">
        <v>0.223458</v>
      </c>
      <c r="D171" s="46" t="n">
        <v>0.060011</v>
      </c>
      <c r="E171" s="46" t="n">
        <v>0.035485</v>
      </c>
      <c r="F171" s="46" t="n">
        <v>0.049418</v>
      </c>
      <c r="G171" s="47" t="n">
        <f aca="false">A171*Scorecard!$C$12+B171*Scorecard!$C$13+C171*Scorecard!$C$14+D171*Scorecard!$C$15+E171*Scorecard!$C$16+F171*Scorecard!$C$17</f>
        <v>3.89681245522224</v>
      </c>
      <c r="H171" s="47" t="n">
        <f aca="false">A171*Scorecard!$D$12+B171*Scorecard!$D$13+C171*Scorecard!$D$14+D171*Scorecard!$D$15+E171*Scorecard!$D$16+F171*Scorecard!$D$17</f>
        <v>2.59638208487309</v>
      </c>
      <c r="I171" s="47" t="n">
        <f aca="false">A171*Scorecard!$E$12+B171*Scorecard!$E$13+C171*Scorecard!$E$14+D171*Scorecard!$E$15+E171*Scorecard!$E$16+F171*Scorecard!$E$17</f>
        <v>3.72896844012929</v>
      </c>
      <c r="J171" s="0" t="str">
        <f aca="false">IF(AND(G171&gt;=H171,G171&gt;=I171),"Distribution",IF(I171&gt;=H171,"Prof. services","Manufacturing"))</f>
        <v>Distribution</v>
      </c>
      <c r="L171" s="46" t="n">
        <v>0.307473</v>
      </c>
      <c r="M171" s="46" t="n">
        <v>0.117723</v>
      </c>
      <c r="N171" s="46" t="n">
        <v>0.225565</v>
      </c>
      <c r="O171" s="46" t="n">
        <v>0.095894</v>
      </c>
      <c r="P171" s="46" t="n">
        <v>0.074121</v>
      </c>
      <c r="Q171" s="46" t="n">
        <v>0.179225</v>
      </c>
      <c r="R171" s="47" t="n">
        <f aca="false">L171*Scorecard!$C$12+M171*Scorecard!$C$13+N171*Scorecard!$C$14+O171*Scorecard!$C$15+P171*Scorecard!$C$16+Q171*Scorecard!$C$17</f>
        <v>3.30171521513708</v>
      </c>
      <c r="S171" s="47" t="n">
        <f aca="false">L171*Scorecard!$D$12+M171*Scorecard!$D$13+N171*Scorecard!$D$14+O171*Scorecard!$D$15+P171*Scorecard!$D$16+Q171*Scorecard!$D$17</f>
        <v>2.89328188459617</v>
      </c>
      <c r="T171" s="47" t="n">
        <f aca="false">L171*Scorecard!$E$12+M171*Scorecard!$E$13+N171*Scorecard!$E$14+O171*Scorecard!$E$15+P171*Scorecard!$E$16+Q171*Scorecard!$E$17</f>
        <v>4.29405689703358</v>
      </c>
      <c r="U171" s="0" t="str">
        <f aca="false">IF(AND(R171&gt;=S171,R171&gt;=T171),"Distribution",IF(T171&gt;=S171,"Prof. services","Manufacturing"))</f>
        <v>Prof. services</v>
      </c>
    </row>
    <row r="172" customFormat="false" ht="15" hidden="false" customHeight="false" outlineLevel="0" collapsed="false">
      <c r="A172" s="46" t="n">
        <v>0.021034</v>
      </c>
      <c r="B172" s="46" t="n">
        <v>0.180014</v>
      </c>
      <c r="C172" s="46" t="n">
        <v>0.131245</v>
      </c>
      <c r="D172" s="46" t="n">
        <v>0.131428</v>
      </c>
      <c r="E172" s="46" t="n">
        <v>0.15932</v>
      </c>
      <c r="F172" s="46" t="n">
        <v>0.37696</v>
      </c>
      <c r="G172" s="47" t="n">
        <f aca="false">A172*Scorecard!$C$12+B172*Scorecard!$C$13+C172*Scorecard!$C$14+D172*Scorecard!$C$15+E172*Scorecard!$C$16+F172*Scorecard!$C$17</f>
        <v>3.51966450003478</v>
      </c>
      <c r="H172" s="47" t="n">
        <f aca="false">A172*Scorecard!$D$12+B172*Scorecard!$D$13+C172*Scorecard!$D$14+D172*Scorecard!$D$15+E172*Scorecard!$D$16+F172*Scorecard!$D$17</f>
        <v>2.38350874581525</v>
      </c>
      <c r="I172" s="47" t="n">
        <f aca="false">A172*Scorecard!$E$12+B172*Scorecard!$E$13+C172*Scorecard!$E$14+D172*Scorecard!$E$15+E172*Scorecard!$E$16+F172*Scorecard!$E$17</f>
        <v>3.75916633414986</v>
      </c>
      <c r="J172" s="0" t="str">
        <f aca="false">IF(AND(G172&gt;=H172,G172&gt;=I172),"Distribution",IF(I172&gt;=H172,"Prof. services","Manufacturing"))</f>
        <v>Prof. services</v>
      </c>
      <c r="L172" s="46" t="n">
        <v>0.197037</v>
      </c>
      <c r="M172" s="46" t="n">
        <v>0.160996</v>
      </c>
      <c r="N172" s="46" t="n">
        <v>0.100539</v>
      </c>
      <c r="O172" s="46" t="n">
        <v>0.203402</v>
      </c>
      <c r="P172" s="46" t="n">
        <v>0.302552</v>
      </c>
      <c r="Q172" s="46" t="n">
        <v>0.035473</v>
      </c>
      <c r="R172" s="47" t="n">
        <f aca="false">L172*Scorecard!$C$12+M172*Scorecard!$C$13+N172*Scorecard!$C$14+O172*Scorecard!$C$15+P172*Scorecard!$C$16+Q172*Scorecard!$C$17</f>
        <v>3.93877859006145</v>
      </c>
      <c r="S172" s="47" t="n">
        <f aca="false">L172*Scorecard!$D$12+M172*Scorecard!$D$13+N172*Scorecard!$D$14+O172*Scorecard!$D$15+P172*Scorecard!$D$16+Q172*Scorecard!$D$17</f>
        <v>3.17160198389763</v>
      </c>
      <c r="T172" s="47" t="n">
        <f aca="false">L172*Scorecard!$E$12+M172*Scorecard!$E$13+N172*Scorecard!$E$14+O172*Scorecard!$E$15+P172*Scorecard!$E$16+Q172*Scorecard!$E$17</f>
        <v>3.54247342949998</v>
      </c>
      <c r="U172" s="0" t="str">
        <f aca="false">IF(AND(R172&gt;=S172,R172&gt;=T172),"Distribution",IF(T172&gt;=S172,"Prof. services","Manufacturing"))</f>
        <v>Distribution</v>
      </c>
    </row>
    <row r="173" customFormat="false" ht="15" hidden="false" customHeight="false" outlineLevel="0" collapsed="false">
      <c r="A173" s="46" t="n">
        <v>0.01508</v>
      </c>
      <c r="B173" s="46" t="n">
        <v>0.11245</v>
      </c>
      <c r="C173" s="46" t="n">
        <v>0.054641</v>
      </c>
      <c r="D173" s="46" t="n">
        <v>0.274191</v>
      </c>
      <c r="E173" s="46" t="n">
        <v>0.468827</v>
      </c>
      <c r="F173" s="46" t="n">
        <v>0.074811</v>
      </c>
      <c r="G173" s="47" t="n">
        <f aca="false">A173*Scorecard!$C$12+B173*Scorecard!$C$13+C173*Scorecard!$C$14+D173*Scorecard!$C$15+E173*Scorecard!$C$16+F173*Scorecard!$C$17</f>
        <v>4.20987478494459</v>
      </c>
      <c r="H173" s="47" t="n">
        <f aca="false">A173*Scorecard!$D$12+B173*Scorecard!$D$13+C173*Scorecard!$D$14+D173*Scorecard!$D$15+E173*Scorecard!$D$16+F173*Scorecard!$D$17</f>
        <v>3.20264736394194</v>
      </c>
      <c r="I173" s="47" t="n">
        <f aca="false">A173*Scorecard!$E$12+B173*Scorecard!$E$13+C173*Scorecard!$E$14+D173*Scorecard!$E$15+E173*Scorecard!$E$16+F173*Scorecard!$E$17</f>
        <v>3.15983590304032</v>
      </c>
      <c r="J173" s="0" t="str">
        <f aca="false">IF(AND(G173&gt;=H173,G173&gt;=I173),"Distribution",IF(I173&gt;=H173,"Prof. services","Manufacturing"))</f>
        <v>Distribution</v>
      </c>
      <c r="L173" s="46" t="n">
        <v>0.079289</v>
      </c>
      <c r="M173" s="46" t="n">
        <v>0.133647</v>
      </c>
      <c r="N173" s="46" t="n">
        <v>0.175995</v>
      </c>
      <c r="O173" s="46" t="n">
        <v>0.082393</v>
      </c>
      <c r="P173" s="46" t="n">
        <v>0.459989</v>
      </c>
      <c r="Q173" s="46" t="n">
        <v>0.068687</v>
      </c>
      <c r="R173" s="47" t="n">
        <f aca="false">L173*Scorecard!$C$12+M173*Scorecard!$C$13+N173*Scorecard!$C$14+O173*Scorecard!$C$15+P173*Scorecard!$C$16+Q173*Scorecard!$C$17</f>
        <v>3.93594466926203</v>
      </c>
      <c r="S173" s="47" t="n">
        <f aca="false">L173*Scorecard!$D$12+M173*Scorecard!$D$13+N173*Scorecard!$D$14+O173*Scorecard!$D$15+P173*Scorecard!$D$16+Q173*Scorecard!$D$17</f>
        <v>2.99745055577332</v>
      </c>
      <c r="T173" s="47" t="n">
        <f aca="false">L173*Scorecard!$E$12+M173*Scorecard!$E$13+N173*Scorecard!$E$14+O173*Scorecard!$E$15+P173*Scorecard!$E$16+Q173*Scorecard!$E$17</f>
        <v>3.28583405517248</v>
      </c>
      <c r="U173" s="0" t="str">
        <f aca="false">IF(AND(R173&gt;=S173,R173&gt;=T173),"Distribution",IF(T173&gt;=S173,"Prof. services","Manufacturing"))</f>
        <v>Distribution</v>
      </c>
    </row>
    <row r="174" customFormat="false" ht="15" hidden="false" customHeight="false" outlineLevel="0" collapsed="false">
      <c r="A174" s="46" t="n">
        <v>0.188963</v>
      </c>
      <c r="B174" s="46" t="n">
        <v>0.014485</v>
      </c>
      <c r="C174" s="46" t="n">
        <v>0.191185</v>
      </c>
      <c r="D174" s="46" t="n">
        <v>0.111425</v>
      </c>
      <c r="E174" s="46" t="n">
        <v>0.292171</v>
      </c>
      <c r="F174" s="46" t="n">
        <v>0.201771</v>
      </c>
      <c r="G174" s="47" t="n">
        <f aca="false">A174*Scorecard!$C$12+B174*Scorecard!$C$13+C174*Scorecard!$C$14+D174*Scorecard!$C$15+E174*Scorecard!$C$16+F174*Scorecard!$C$17</f>
        <v>3.38223190520451</v>
      </c>
      <c r="H174" s="47" t="n">
        <f aca="false">A174*Scorecard!$D$12+B174*Scorecard!$D$13+C174*Scorecard!$D$14+D174*Scorecard!$D$15+E174*Scorecard!$D$16+F174*Scorecard!$D$17</f>
        <v>3.02680131925421</v>
      </c>
      <c r="I174" s="47" t="n">
        <f aca="false">A174*Scorecard!$E$12+B174*Scorecard!$E$13+C174*Scorecard!$E$14+D174*Scorecard!$E$15+E174*Scorecard!$E$16+F174*Scorecard!$E$17</f>
        <v>3.98519993306887</v>
      </c>
      <c r="J174" s="0" t="str">
        <f aca="false">IF(AND(G174&gt;=H174,G174&gt;=I174),"Distribution",IF(I174&gt;=H174,"Prof. services","Manufacturing"))</f>
        <v>Prof. services</v>
      </c>
      <c r="L174" s="46" t="n">
        <v>0.134107</v>
      </c>
      <c r="M174" s="46" t="n">
        <v>0.140573</v>
      </c>
      <c r="N174" s="46" t="n">
        <v>0.345888</v>
      </c>
      <c r="O174" s="46" t="n">
        <v>0.120642</v>
      </c>
      <c r="P174" s="46" t="n">
        <v>0.236101</v>
      </c>
      <c r="Q174" s="46" t="n">
        <v>0.022688</v>
      </c>
      <c r="R174" s="47" t="n">
        <f aca="false">L174*Scorecard!$C$12+M174*Scorecard!$C$13+N174*Scorecard!$C$14+O174*Scorecard!$C$15+P174*Scorecard!$C$16+Q174*Scorecard!$C$17</f>
        <v>3.97444048750423</v>
      </c>
      <c r="S174" s="47" t="n">
        <f aca="false">L174*Scorecard!$D$12+M174*Scorecard!$D$13+N174*Scorecard!$D$14+O174*Scorecard!$D$15+P174*Scorecard!$D$16+Q174*Scorecard!$D$17</f>
        <v>3.06190937826479</v>
      </c>
      <c r="T174" s="47" t="n">
        <f aca="false">L174*Scorecard!$E$12+M174*Scorecard!$E$13+N174*Scorecard!$E$14+O174*Scorecard!$E$15+P174*Scorecard!$E$16+Q174*Scorecard!$E$17</f>
        <v>3.85397495571369</v>
      </c>
      <c r="U174" s="0" t="str">
        <f aca="false">IF(AND(R174&gt;=S174,R174&gt;=T174),"Distribution",IF(T174&gt;=S174,"Prof. services","Manufacturing"))</f>
        <v>Distribution</v>
      </c>
    </row>
    <row r="175" customFormat="false" ht="15" hidden="false" customHeight="false" outlineLevel="0" collapsed="false">
      <c r="A175" s="46" t="n">
        <v>0.258501</v>
      </c>
      <c r="B175" s="46" t="n">
        <v>0.088654</v>
      </c>
      <c r="C175" s="46" t="n">
        <v>0.102042</v>
      </c>
      <c r="D175" s="46" t="n">
        <v>0.299725</v>
      </c>
      <c r="E175" s="46" t="n">
        <v>0.092684</v>
      </c>
      <c r="F175" s="46" t="n">
        <v>0.158394</v>
      </c>
      <c r="G175" s="47" t="n">
        <f aca="false">A175*Scorecard!$C$12+B175*Scorecard!$C$13+C175*Scorecard!$C$14+D175*Scorecard!$C$15+E175*Scorecard!$C$16+F175*Scorecard!$C$17</f>
        <v>3.60628551352525</v>
      </c>
      <c r="H175" s="47" t="n">
        <f aca="false">A175*Scorecard!$D$12+B175*Scorecard!$D$13+C175*Scorecard!$D$14+D175*Scorecard!$D$15+E175*Scorecard!$D$16+F175*Scorecard!$D$17</f>
        <v>3.17796042950892</v>
      </c>
      <c r="I175" s="47" t="n">
        <f aca="false">A175*Scorecard!$E$12+B175*Scorecard!$E$13+C175*Scorecard!$E$14+D175*Scorecard!$E$15+E175*Scorecard!$E$16+F175*Scorecard!$E$17</f>
        <v>4.16817627537887</v>
      </c>
      <c r="J175" s="0" t="str">
        <f aca="false">IF(AND(G175&gt;=H175,G175&gt;=I175),"Distribution",IF(I175&gt;=H175,"Prof. services","Manufacturing"))</f>
        <v>Prof. services</v>
      </c>
      <c r="L175" s="46" t="n">
        <v>0.311594</v>
      </c>
      <c r="M175" s="46" t="n">
        <v>0.144175</v>
      </c>
      <c r="N175" s="46" t="n">
        <v>0.279441</v>
      </c>
      <c r="O175" s="46" t="n">
        <v>0.098835</v>
      </c>
      <c r="P175" s="46" t="n">
        <v>0.120654</v>
      </c>
      <c r="Q175" s="46" t="n">
        <v>0.045301</v>
      </c>
      <c r="R175" s="47" t="n">
        <f aca="false">L175*Scorecard!$C$12+M175*Scorecard!$C$13+N175*Scorecard!$C$14+O175*Scorecard!$C$15+P175*Scorecard!$C$16+Q175*Scorecard!$C$17</f>
        <v>3.59153435636762</v>
      </c>
      <c r="S175" s="47" t="n">
        <f aca="false">L175*Scorecard!$D$12+M175*Scorecard!$D$13+N175*Scorecard!$D$14+O175*Scorecard!$D$15+P175*Scorecard!$D$16+Q175*Scorecard!$D$17</f>
        <v>3.07609812496075</v>
      </c>
      <c r="T175" s="47" t="n">
        <f aca="false">L175*Scorecard!$E$12+M175*Scorecard!$E$13+N175*Scorecard!$E$14+O175*Scorecard!$E$15+P175*Scorecard!$E$16+Q175*Scorecard!$E$17</f>
        <v>4.15840250372134</v>
      </c>
      <c r="U175" s="0" t="str">
        <f aca="false">IF(AND(R175&gt;=S175,R175&gt;=T175),"Distribution",IF(T175&gt;=S175,"Prof. services","Manufacturing"))</f>
        <v>Prof. services</v>
      </c>
    </row>
    <row r="176" customFormat="false" ht="15" hidden="false" customHeight="false" outlineLevel="0" collapsed="false">
      <c r="A176" s="46" t="n">
        <v>0.043275</v>
      </c>
      <c r="B176" s="46" t="n">
        <v>0.242913</v>
      </c>
      <c r="C176" s="46" t="n">
        <v>0.176581</v>
      </c>
      <c r="D176" s="46" t="n">
        <v>0.183431</v>
      </c>
      <c r="E176" s="46" t="n">
        <v>0.192865</v>
      </c>
      <c r="F176" s="46" t="n">
        <v>0.160935</v>
      </c>
      <c r="G176" s="47" t="n">
        <f aca="false">A176*Scorecard!$C$12+B176*Scorecard!$C$13+C176*Scorecard!$C$14+D176*Scorecard!$C$15+E176*Scorecard!$C$16+F176*Scorecard!$C$17</f>
        <v>4.02657838285657</v>
      </c>
      <c r="H176" s="47" t="n">
        <f aca="false">A176*Scorecard!$D$12+B176*Scorecard!$D$13+C176*Scorecard!$D$14+D176*Scorecard!$D$15+E176*Scorecard!$D$16+F176*Scorecard!$D$17</f>
        <v>2.69920547330205</v>
      </c>
      <c r="I176" s="47" t="n">
        <f aca="false">A176*Scorecard!$E$12+B176*Scorecard!$E$13+C176*Scorecard!$E$14+D176*Scorecard!$E$15+E176*Scorecard!$E$16+F176*Scorecard!$E$17</f>
        <v>3.5533801458426</v>
      </c>
      <c r="J176" s="0" t="str">
        <f aca="false">IF(AND(G176&gt;=H176,G176&gt;=I176),"Distribution",IF(I176&gt;=H176,"Prof. services","Manufacturing"))</f>
        <v>Distribution</v>
      </c>
      <c r="L176" s="46" t="n">
        <v>0.249212</v>
      </c>
      <c r="M176" s="46" t="n">
        <v>0.265378</v>
      </c>
      <c r="N176" s="46" t="n">
        <v>0.129359</v>
      </c>
      <c r="O176" s="46" t="n">
        <v>0.057477</v>
      </c>
      <c r="P176" s="46" t="n">
        <v>0.243478</v>
      </c>
      <c r="Q176" s="46" t="n">
        <v>0.055096</v>
      </c>
      <c r="R176" s="47" t="n">
        <f aca="false">L176*Scorecard!$C$12+M176*Scorecard!$C$13+N176*Scorecard!$C$14+O176*Scorecard!$C$15+P176*Scorecard!$C$16+Q176*Scorecard!$C$17</f>
        <v>3.76407784599539</v>
      </c>
      <c r="S176" s="47" t="n">
        <f aca="false">L176*Scorecard!$D$12+M176*Scorecard!$D$13+N176*Scorecard!$D$14+O176*Scorecard!$D$15+P176*Scorecard!$D$16+Q176*Scorecard!$D$17</f>
        <v>2.8313369172019</v>
      </c>
      <c r="T176" s="47" t="n">
        <f aca="false">L176*Scorecard!$E$12+M176*Scorecard!$E$13+N176*Scorecard!$E$14+O176*Scorecard!$E$15+P176*Scorecard!$E$16+Q176*Scorecard!$E$17</f>
        <v>3.51201522864751</v>
      </c>
      <c r="U176" s="0" t="str">
        <f aca="false">IF(AND(R176&gt;=S176,R176&gt;=T176),"Distribution",IF(T176&gt;=S176,"Prof. services","Manufacturing"))</f>
        <v>Distribution</v>
      </c>
    </row>
    <row r="177" customFormat="false" ht="15" hidden="false" customHeight="false" outlineLevel="0" collapsed="false">
      <c r="A177" s="46" t="n">
        <v>0.009065</v>
      </c>
      <c r="B177" s="46" t="n">
        <v>0.041029</v>
      </c>
      <c r="C177" s="46" t="n">
        <v>0.234122</v>
      </c>
      <c r="D177" s="46" t="n">
        <v>0.195787</v>
      </c>
      <c r="E177" s="46" t="n">
        <v>0.192143</v>
      </c>
      <c r="F177" s="46" t="n">
        <v>0.327854</v>
      </c>
      <c r="G177" s="47" t="n">
        <f aca="false">A177*Scorecard!$C$12+B177*Scorecard!$C$13+C177*Scorecard!$C$14+D177*Scorecard!$C$15+E177*Scorecard!$C$16+F177*Scorecard!$C$17</f>
        <v>3.56479087072432</v>
      </c>
      <c r="H177" s="47" t="n">
        <f aca="false">A177*Scorecard!$D$12+B177*Scorecard!$D$13+C177*Scorecard!$D$14+D177*Scorecard!$D$15+E177*Scorecard!$D$16+F177*Scorecard!$D$17</f>
        <v>2.74332102639831</v>
      </c>
      <c r="I177" s="47" t="n">
        <f aca="false">A177*Scorecard!$E$12+B177*Scorecard!$E$13+C177*Scorecard!$E$14+D177*Scorecard!$E$15+E177*Scorecard!$E$16+F177*Scorecard!$E$17</f>
        <v>4.04205284016022</v>
      </c>
      <c r="J177" s="0" t="str">
        <f aca="false">IF(AND(G177&gt;=H177,G177&gt;=I177),"Distribution",IF(I177&gt;=H177,"Prof. services","Manufacturing"))</f>
        <v>Prof. services</v>
      </c>
      <c r="L177" s="46" t="n">
        <v>0.148963</v>
      </c>
      <c r="M177" s="46" t="n">
        <v>0.105567</v>
      </c>
      <c r="N177" s="46" t="n">
        <v>0.211525</v>
      </c>
      <c r="O177" s="46" t="n">
        <v>0.164016</v>
      </c>
      <c r="P177" s="46" t="n">
        <v>0.232048</v>
      </c>
      <c r="Q177" s="46" t="n">
        <v>0.137881</v>
      </c>
      <c r="R177" s="47" t="n">
        <f aca="false">L177*Scorecard!$C$12+M177*Scorecard!$C$13+N177*Scorecard!$C$14+O177*Scorecard!$C$15+P177*Scorecard!$C$16+Q177*Scorecard!$C$17</f>
        <v>3.72568547564327</v>
      </c>
      <c r="S177" s="47" t="n">
        <f aca="false">L177*Scorecard!$D$12+M177*Scorecard!$D$13+N177*Scorecard!$D$14+O177*Scorecard!$D$15+P177*Scorecard!$D$16+Q177*Scorecard!$D$17</f>
        <v>3.00034059975782</v>
      </c>
      <c r="T177" s="47" t="n">
        <f aca="false">L177*Scorecard!$E$12+M177*Scorecard!$E$13+N177*Scorecard!$E$14+O177*Scorecard!$E$15+P177*Scorecard!$E$16+Q177*Scorecard!$E$17</f>
        <v>3.87159839132169</v>
      </c>
      <c r="U177" s="0" t="str">
        <f aca="false">IF(AND(R177&gt;=S177,R177&gt;=T177),"Distribution",IF(T177&gt;=S177,"Prof. services","Manufacturing"))</f>
        <v>Prof. services</v>
      </c>
    </row>
    <row r="178" customFormat="false" ht="15" hidden="false" customHeight="false" outlineLevel="0" collapsed="false">
      <c r="A178" s="46" t="n">
        <v>0.188845</v>
      </c>
      <c r="B178" s="46" t="n">
        <v>0.175046</v>
      </c>
      <c r="C178" s="46" t="n">
        <v>0.15616</v>
      </c>
      <c r="D178" s="46" t="n">
        <v>0.015146</v>
      </c>
      <c r="E178" s="46" t="n">
        <v>0.165753</v>
      </c>
      <c r="F178" s="46" t="n">
        <v>0.29905</v>
      </c>
      <c r="G178" s="47" t="n">
        <f aca="false">A178*Scorecard!$C$12+B178*Scorecard!$C$13+C178*Scorecard!$C$14+D178*Scorecard!$C$15+E178*Scorecard!$C$16+F178*Scorecard!$C$17</f>
        <v>3.25216830688731</v>
      </c>
      <c r="H178" s="47" t="n">
        <f aca="false">A178*Scorecard!$D$12+B178*Scorecard!$D$13+C178*Scorecard!$D$14+D178*Scorecard!$D$15+E178*Scorecard!$D$16+F178*Scorecard!$D$17</f>
        <v>2.48620662317554</v>
      </c>
      <c r="I178" s="47" t="n">
        <f aca="false">A178*Scorecard!$E$12+B178*Scorecard!$E$13+C178*Scorecard!$E$14+D178*Scorecard!$E$15+E178*Scorecard!$E$16+F178*Scorecard!$E$17</f>
        <v>3.89244651763011</v>
      </c>
      <c r="J178" s="0" t="str">
        <f aca="false">IF(AND(G178&gt;=H178,G178&gt;=I178),"Distribution",IF(I178&gt;=H178,"Prof. services","Manufacturing"))</f>
        <v>Prof. services</v>
      </c>
      <c r="L178" s="46" t="n">
        <v>0.251575</v>
      </c>
      <c r="M178" s="46" t="n">
        <v>0.162456</v>
      </c>
      <c r="N178" s="46" t="n">
        <v>0.154131</v>
      </c>
      <c r="O178" s="46" t="n">
        <v>0.169054</v>
      </c>
      <c r="P178" s="46" t="n">
        <v>0.115185</v>
      </c>
      <c r="Q178" s="46" t="n">
        <v>0.147599</v>
      </c>
      <c r="R178" s="47" t="n">
        <f aca="false">L178*Scorecard!$C$12+M178*Scorecard!$C$13+N178*Scorecard!$C$14+O178*Scorecard!$C$15+P178*Scorecard!$C$16+Q178*Scorecard!$C$17</f>
        <v>3.58347341229672</v>
      </c>
      <c r="S178" s="47" t="n">
        <f aca="false">L178*Scorecard!$D$12+M178*Scorecard!$D$13+N178*Scorecard!$D$14+O178*Scorecard!$D$15+P178*Scorecard!$D$16+Q178*Scorecard!$D$17</f>
        <v>2.93503121951278</v>
      </c>
      <c r="T178" s="47" t="n">
        <f aca="false">L178*Scorecard!$E$12+M178*Scorecard!$E$13+N178*Scorecard!$E$14+O178*Scorecard!$E$15+P178*Scorecard!$E$16+Q178*Scorecard!$E$17</f>
        <v>4.01057354596634</v>
      </c>
      <c r="U178" s="0" t="str">
        <f aca="false">IF(AND(R178&gt;=S178,R178&gt;=T178),"Distribution",IF(T178&gt;=S178,"Prof. services","Manufacturing"))</f>
        <v>Prof. services</v>
      </c>
    </row>
    <row r="179" customFormat="false" ht="15" hidden="false" customHeight="false" outlineLevel="0" collapsed="false">
      <c r="A179" s="46" t="n">
        <v>0.044514</v>
      </c>
      <c r="B179" s="46" t="n">
        <v>0.301512</v>
      </c>
      <c r="C179" s="46" t="n">
        <v>0.135695</v>
      </c>
      <c r="D179" s="46" t="n">
        <v>0.161467</v>
      </c>
      <c r="E179" s="46" t="n">
        <v>0.126748</v>
      </c>
      <c r="F179" s="46" t="n">
        <v>0.230063</v>
      </c>
      <c r="G179" s="47" t="n">
        <f aca="false">A179*Scorecard!$C$12+B179*Scorecard!$C$13+C179*Scorecard!$C$14+D179*Scorecard!$C$15+E179*Scorecard!$C$16+F179*Scorecard!$C$17</f>
        <v>3.92272316518723</v>
      </c>
      <c r="H179" s="47" t="n">
        <f aca="false">A179*Scorecard!$D$12+B179*Scorecard!$D$13+C179*Scorecard!$D$14+D179*Scorecard!$D$15+E179*Scorecard!$D$16+F179*Scorecard!$D$17</f>
        <v>2.4609062462682</v>
      </c>
      <c r="I179" s="47" t="n">
        <f aca="false">A179*Scorecard!$E$12+B179*Scorecard!$E$13+C179*Scorecard!$E$14+D179*Scorecard!$E$15+E179*Scorecard!$E$16+F179*Scorecard!$E$17</f>
        <v>3.54497607400681</v>
      </c>
      <c r="J179" s="0" t="str">
        <f aca="false">IF(AND(G179&gt;=H179,G179&gt;=I179),"Distribution",IF(I179&gt;=H179,"Prof. services","Manufacturing"))</f>
        <v>Distribution</v>
      </c>
      <c r="L179" s="46" t="n">
        <v>0.135411</v>
      </c>
      <c r="M179" s="46" t="n">
        <v>0.092797</v>
      </c>
      <c r="N179" s="46" t="n">
        <v>0.263959</v>
      </c>
      <c r="O179" s="46" t="n">
        <v>0.117564</v>
      </c>
      <c r="P179" s="46" t="n">
        <v>0.084334</v>
      </c>
      <c r="Q179" s="46" t="n">
        <v>0.305934</v>
      </c>
      <c r="R179" s="47" t="n">
        <f aca="false">L179*Scorecard!$C$12+M179*Scorecard!$C$13+N179*Scorecard!$C$14+O179*Scorecard!$C$15+P179*Scorecard!$C$16+Q179*Scorecard!$C$17</f>
        <v>3.35474726890793</v>
      </c>
      <c r="S179" s="47" t="n">
        <f aca="false">L179*Scorecard!$D$12+M179*Scorecard!$D$13+N179*Scorecard!$D$14+O179*Scorecard!$D$15+P179*Scorecard!$D$16+Q179*Scorecard!$D$17</f>
        <v>2.65546138642576</v>
      </c>
      <c r="T179" s="47" t="n">
        <f aca="false">L179*Scorecard!$E$12+M179*Scorecard!$E$13+N179*Scorecard!$E$14+O179*Scorecard!$E$15+P179*Scorecard!$E$16+Q179*Scorecard!$E$17</f>
        <v>4.25702089459644</v>
      </c>
      <c r="U179" s="0" t="str">
        <f aca="false">IF(AND(R179&gt;=S179,R179&gt;=T179),"Distribution",IF(T179&gt;=S179,"Prof. services","Manufacturing"))</f>
        <v>Prof. services</v>
      </c>
    </row>
    <row r="180" customFormat="false" ht="15" hidden="false" customHeight="false" outlineLevel="0" collapsed="false">
      <c r="A180" s="46" t="n">
        <v>0.138367</v>
      </c>
      <c r="B180" s="46" t="n">
        <v>0.174575</v>
      </c>
      <c r="C180" s="46" t="n">
        <v>0.061338</v>
      </c>
      <c r="D180" s="46" t="n">
        <v>0.161548</v>
      </c>
      <c r="E180" s="46" t="n">
        <v>0.060746</v>
      </c>
      <c r="F180" s="46" t="n">
        <v>0.403426</v>
      </c>
      <c r="G180" s="47" t="n">
        <f aca="false">A180*Scorecard!$C$12+B180*Scorecard!$C$13+C180*Scorecard!$C$14+D180*Scorecard!$C$15+E180*Scorecard!$C$16+F180*Scorecard!$C$17</f>
        <v>3.2802084267525</v>
      </c>
      <c r="H180" s="47" t="n">
        <f aca="false">A180*Scorecard!$D$12+B180*Scorecard!$D$13+C180*Scorecard!$D$14+D180*Scorecard!$D$15+E180*Scorecard!$D$16+F180*Scorecard!$D$17</f>
        <v>2.43148505055868</v>
      </c>
      <c r="I180" s="47" t="n">
        <f aca="false">A180*Scorecard!$E$12+B180*Scorecard!$E$13+C180*Scorecard!$E$14+D180*Scorecard!$E$15+E180*Scorecard!$E$16+F180*Scorecard!$E$17</f>
        <v>3.99925565567256</v>
      </c>
      <c r="J180" s="0" t="str">
        <f aca="false">IF(AND(G180&gt;=H180,G180&gt;=I180),"Distribution",IF(I180&gt;=H180,"Prof. services","Manufacturing"))</f>
        <v>Prof. services</v>
      </c>
      <c r="L180" s="46" t="n">
        <v>0.240487</v>
      </c>
      <c r="M180" s="46" t="n">
        <v>0.129165</v>
      </c>
      <c r="N180" s="46" t="n">
        <v>0.179919</v>
      </c>
      <c r="O180" s="46" t="n">
        <v>0.152046</v>
      </c>
      <c r="P180" s="46" t="n">
        <v>0.225251</v>
      </c>
      <c r="Q180" s="46" t="n">
        <v>0.073133</v>
      </c>
      <c r="R180" s="47" t="n">
        <f aca="false">L180*Scorecard!$C$12+M180*Scorecard!$C$13+N180*Scorecard!$C$14+O180*Scorecard!$C$15+P180*Scorecard!$C$16+Q180*Scorecard!$C$17</f>
        <v>3.70206897042235</v>
      </c>
      <c r="S180" s="47" t="n">
        <f aca="false">L180*Scorecard!$D$12+M180*Scorecard!$D$13+N180*Scorecard!$D$14+O180*Scorecard!$D$15+P180*Scorecard!$D$16+Q180*Scorecard!$D$17</f>
        <v>3.10637841475849</v>
      </c>
      <c r="T180" s="47" t="n">
        <f aca="false">L180*Scorecard!$E$12+M180*Scorecard!$E$13+N180*Scorecard!$E$14+O180*Scorecard!$E$15+P180*Scorecard!$E$16+Q180*Scorecard!$E$17</f>
        <v>3.86425021015654</v>
      </c>
      <c r="U180" s="0" t="str">
        <f aca="false">IF(AND(R180&gt;=S180,R180&gt;=T180),"Distribution",IF(T180&gt;=S180,"Prof. services","Manufacturing"))</f>
        <v>Prof. services</v>
      </c>
    </row>
    <row r="181" customFormat="false" ht="15" hidden="false" customHeight="false" outlineLevel="0" collapsed="false">
      <c r="A181" s="46" t="n">
        <v>0.123781</v>
      </c>
      <c r="B181" s="46" t="n">
        <v>0.121881</v>
      </c>
      <c r="C181" s="46" t="n">
        <v>0.232557</v>
      </c>
      <c r="D181" s="46" t="n">
        <v>0.036153</v>
      </c>
      <c r="E181" s="46" t="n">
        <v>0.037696</v>
      </c>
      <c r="F181" s="46" t="n">
        <v>0.447931</v>
      </c>
      <c r="G181" s="47" t="n">
        <f aca="false">A181*Scorecard!$C$12+B181*Scorecard!$C$13+C181*Scorecard!$C$14+D181*Scorecard!$C$15+E181*Scorecard!$C$16+F181*Scorecard!$C$17</f>
        <v>3.039360434763</v>
      </c>
      <c r="H181" s="47" t="n">
        <f aca="false">A181*Scorecard!$D$12+B181*Scorecard!$D$13+C181*Scorecard!$D$14+D181*Scorecard!$D$15+E181*Scorecard!$D$16+F181*Scorecard!$D$17</f>
        <v>2.28133783248577</v>
      </c>
      <c r="I181" s="47" t="n">
        <f aca="false">A181*Scorecard!$E$12+B181*Scorecard!$E$13+C181*Scorecard!$E$14+D181*Scorecard!$E$15+E181*Scorecard!$E$16+F181*Scorecard!$E$17</f>
        <v>4.29480742659923</v>
      </c>
      <c r="J181" s="0" t="str">
        <f aca="false">IF(AND(G181&gt;=H181,G181&gt;=I181),"Distribution",IF(I181&gt;=H181,"Prof. services","Manufacturing"))</f>
        <v>Prof. services</v>
      </c>
      <c r="L181" s="46" t="n">
        <v>0.149518</v>
      </c>
      <c r="M181" s="46" t="n">
        <v>0.178876</v>
      </c>
      <c r="N181" s="46" t="n">
        <v>0.192752</v>
      </c>
      <c r="O181" s="46" t="n">
        <v>0.11231</v>
      </c>
      <c r="P181" s="46" t="n">
        <v>0.254767</v>
      </c>
      <c r="Q181" s="46" t="n">
        <v>0.111776</v>
      </c>
      <c r="R181" s="47" t="n">
        <f aca="false">L181*Scorecard!$C$12+M181*Scorecard!$C$13+N181*Scorecard!$C$14+O181*Scorecard!$C$15+P181*Scorecard!$C$16+Q181*Scorecard!$C$17</f>
        <v>3.79849546772844</v>
      </c>
      <c r="S181" s="47" t="n">
        <f aca="false">L181*Scorecard!$D$12+M181*Scorecard!$D$13+N181*Scorecard!$D$14+O181*Scorecard!$D$15+P181*Scorecard!$D$16+Q181*Scorecard!$D$17</f>
        <v>2.87754075370776</v>
      </c>
      <c r="T181" s="47" t="n">
        <f aca="false">L181*Scorecard!$E$12+M181*Scorecard!$E$13+N181*Scorecard!$E$14+O181*Scorecard!$E$15+P181*Scorecard!$E$16+Q181*Scorecard!$E$17</f>
        <v>3.65647595956841</v>
      </c>
      <c r="U181" s="0" t="str">
        <f aca="false">IF(AND(R181&gt;=S181,R181&gt;=T181),"Distribution",IF(T181&gt;=S181,"Prof. services","Manufacturing"))</f>
        <v>Distribution</v>
      </c>
    </row>
    <row r="182" customFormat="false" ht="15" hidden="false" customHeight="false" outlineLevel="0" collapsed="false">
      <c r="A182" s="46" t="n">
        <v>0.146729</v>
      </c>
      <c r="B182" s="46" t="n">
        <v>0.135384</v>
      </c>
      <c r="C182" s="46" t="n">
        <v>0.002646</v>
      </c>
      <c r="D182" s="46" t="n">
        <v>0.079313</v>
      </c>
      <c r="E182" s="46" t="n">
        <v>0.36887</v>
      </c>
      <c r="F182" s="46" t="n">
        <v>0.267058</v>
      </c>
      <c r="G182" s="47" t="n">
        <f aca="false">A182*Scorecard!$C$12+B182*Scorecard!$C$13+C182*Scorecard!$C$14+D182*Scorecard!$C$15+E182*Scorecard!$C$16+F182*Scorecard!$C$17</f>
        <v>3.41646670750228</v>
      </c>
      <c r="H182" s="47" t="n">
        <f aca="false">A182*Scorecard!$D$12+B182*Scorecard!$D$13+C182*Scorecard!$D$14+D182*Scorecard!$D$15+E182*Scorecard!$D$16+F182*Scorecard!$D$17</f>
        <v>2.70789570885571</v>
      </c>
      <c r="I182" s="47" t="n">
        <f aca="false">A182*Scorecard!$E$12+B182*Scorecard!$E$13+C182*Scorecard!$E$14+D182*Scorecard!$E$15+E182*Scorecard!$E$16+F182*Scorecard!$E$17</f>
        <v>3.42721220003039</v>
      </c>
      <c r="J182" s="0" t="str">
        <f aca="false">IF(AND(G182&gt;=H182,G182&gt;=I182),"Distribution",IF(I182&gt;=H182,"Prof. services","Manufacturing"))</f>
        <v>Prof. services</v>
      </c>
      <c r="L182" s="46" t="n">
        <v>0.216982</v>
      </c>
      <c r="M182" s="46" t="n">
        <v>0.213705</v>
      </c>
      <c r="N182" s="46" t="n">
        <v>0.262288</v>
      </c>
      <c r="O182" s="46" t="n">
        <v>0.135514</v>
      </c>
      <c r="P182" s="46" t="n">
        <v>0.071922</v>
      </c>
      <c r="Q182" s="46" t="n">
        <v>0.099589</v>
      </c>
      <c r="R182" s="47" t="n">
        <f aca="false">L182*Scorecard!$C$12+M182*Scorecard!$C$13+N182*Scorecard!$C$14+O182*Scorecard!$C$15+P182*Scorecard!$C$16+Q182*Scorecard!$C$17</f>
        <v>3.75947030562642</v>
      </c>
      <c r="S182" s="47" t="n">
        <f aca="false">L182*Scorecard!$D$12+M182*Scorecard!$D$13+N182*Scorecard!$D$14+O182*Scorecard!$D$15+P182*Scorecard!$D$16+Q182*Scorecard!$D$17</f>
        <v>2.85402270909864</v>
      </c>
      <c r="T182" s="47" t="n">
        <f aca="false">L182*Scorecard!$E$12+M182*Scorecard!$E$13+N182*Scorecard!$E$14+O182*Scorecard!$E$15+P182*Scorecard!$E$16+Q182*Scorecard!$E$17</f>
        <v>4.0306113022209</v>
      </c>
      <c r="U182" s="0" t="str">
        <f aca="false">IF(AND(R182&gt;=S182,R182&gt;=T182),"Distribution",IF(T182&gt;=S182,"Prof. services","Manufacturing"))</f>
        <v>Prof. services</v>
      </c>
    </row>
    <row r="183" customFormat="false" ht="15" hidden="false" customHeight="false" outlineLevel="0" collapsed="false">
      <c r="A183" s="46" t="n">
        <v>0.153932</v>
      </c>
      <c r="B183" s="46" t="n">
        <v>0.318095</v>
      </c>
      <c r="C183" s="46" t="n">
        <v>0.14051</v>
      </c>
      <c r="D183" s="46" t="n">
        <v>0.182046</v>
      </c>
      <c r="E183" s="46" t="n">
        <v>0.131065</v>
      </c>
      <c r="F183" s="46" t="n">
        <v>0.074352</v>
      </c>
      <c r="G183" s="47" t="n">
        <f aca="false">A183*Scorecard!$C$12+B183*Scorecard!$C$13+C183*Scorecard!$C$14+D183*Scorecard!$C$15+E183*Scorecard!$C$16+F183*Scorecard!$C$17</f>
        <v>4.07435720478052</v>
      </c>
      <c r="H183" s="47" t="n">
        <f aca="false">A183*Scorecard!$D$12+B183*Scorecard!$D$13+C183*Scorecard!$D$14+D183*Scorecard!$D$15+E183*Scorecard!$D$16+F183*Scorecard!$D$17</f>
        <v>2.76712268459332</v>
      </c>
      <c r="I183" s="47" t="n">
        <f aca="false">A183*Scorecard!$E$12+B183*Scorecard!$E$13+C183*Scorecard!$E$14+D183*Scorecard!$E$15+E183*Scorecard!$E$16+F183*Scorecard!$E$17</f>
        <v>3.54643693080297</v>
      </c>
      <c r="J183" s="0" t="str">
        <f aca="false">IF(AND(G183&gt;=H183,G183&gt;=I183),"Distribution",IF(I183&gt;=H183,"Prof. services","Manufacturing"))</f>
        <v>Distribution</v>
      </c>
      <c r="L183" s="46" t="n">
        <v>0.230381</v>
      </c>
      <c r="M183" s="46" t="n">
        <v>0.30867</v>
      </c>
      <c r="N183" s="46" t="n">
        <v>0.112642</v>
      </c>
      <c r="O183" s="46" t="n">
        <v>0.085122</v>
      </c>
      <c r="P183" s="46" t="n">
        <v>0.138457</v>
      </c>
      <c r="Q183" s="46" t="n">
        <v>0.124729</v>
      </c>
      <c r="R183" s="47" t="n">
        <f aca="false">L183*Scorecard!$C$12+M183*Scorecard!$C$13+N183*Scorecard!$C$14+O183*Scorecard!$C$15+P183*Scorecard!$C$16+Q183*Scorecard!$C$17</f>
        <v>3.7296489145437</v>
      </c>
      <c r="S183" s="47" t="n">
        <f aca="false">L183*Scorecard!$D$12+M183*Scorecard!$D$13+N183*Scorecard!$D$14+O183*Scorecard!$D$15+P183*Scorecard!$D$16+Q183*Scorecard!$D$17</f>
        <v>2.64646622958097</v>
      </c>
      <c r="T183" s="47" t="n">
        <f aca="false">L183*Scorecard!$E$12+M183*Scorecard!$E$13+N183*Scorecard!$E$14+O183*Scorecard!$E$15+P183*Scorecard!$E$16+Q183*Scorecard!$E$17</f>
        <v>3.60966162093846</v>
      </c>
      <c r="U183" s="0" t="str">
        <f aca="false">IF(AND(R183&gt;=S183,R183&gt;=T183),"Distribution",IF(T183&gt;=S183,"Prof. services","Manufacturing"))</f>
        <v>Distribution</v>
      </c>
    </row>
    <row r="184" customFormat="false" ht="15" hidden="false" customHeight="false" outlineLevel="0" collapsed="false">
      <c r="A184" s="46" t="n">
        <v>0.11786</v>
      </c>
      <c r="B184" s="46" t="n">
        <v>0.100575</v>
      </c>
      <c r="C184" s="46" t="n">
        <v>0.459252</v>
      </c>
      <c r="D184" s="46" t="n">
        <v>0.017374</v>
      </c>
      <c r="E184" s="46" t="n">
        <v>0.089338</v>
      </c>
      <c r="F184" s="46" t="n">
        <v>0.2156</v>
      </c>
      <c r="G184" s="47" t="n">
        <f aca="false">A184*Scorecard!$C$12+B184*Scorecard!$C$13+C184*Scorecard!$C$14+D184*Scorecard!$C$15+E184*Scorecard!$C$16+F184*Scorecard!$C$17</f>
        <v>3.47459531920219</v>
      </c>
      <c r="H184" s="47" t="n">
        <f aca="false">A184*Scorecard!$D$12+B184*Scorecard!$D$13+C184*Scorecard!$D$14+D184*Scorecard!$D$15+E184*Scorecard!$D$16+F184*Scorecard!$D$17</f>
        <v>2.65337822649368</v>
      </c>
      <c r="I184" s="47" t="n">
        <f aca="false">A184*Scorecard!$E$12+B184*Scorecard!$E$13+C184*Scorecard!$E$14+D184*Scorecard!$E$15+E184*Scorecard!$E$16+F184*Scorecard!$E$17</f>
        <v>4.35022536820855</v>
      </c>
      <c r="J184" s="0" t="str">
        <f aca="false">IF(AND(G184&gt;=H184,G184&gt;=I184),"Distribution",IF(I184&gt;=H184,"Prof. services","Manufacturing"))</f>
        <v>Prof. services</v>
      </c>
      <c r="L184" s="46" t="n">
        <v>0.132343</v>
      </c>
      <c r="M184" s="46" t="n">
        <v>0.145618</v>
      </c>
      <c r="N184" s="46" t="n">
        <v>0.335303</v>
      </c>
      <c r="O184" s="46" t="n">
        <v>0.088931</v>
      </c>
      <c r="P184" s="46" t="n">
        <v>0.109523</v>
      </c>
      <c r="Q184" s="46" t="n">
        <v>0.188282</v>
      </c>
      <c r="R184" s="47" t="n">
        <f aca="false">L184*Scorecard!$C$12+M184*Scorecard!$C$13+N184*Scorecard!$C$14+O184*Scorecard!$C$15+P184*Scorecard!$C$16+Q184*Scorecard!$C$17</f>
        <v>3.61976571266058</v>
      </c>
      <c r="S184" s="47" t="n">
        <f aca="false">L184*Scorecard!$D$12+M184*Scorecard!$D$13+N184*Scorecard!$D$14+O184*Scorecard!$D$15+P184*Scorecard!$D$16+Q184*Scorecard!$D$17</f>
        <v>2.72588098848532</v>
      </c>
      <c r="T184" s="47" t="n">
        <f aca="false">L184*Scorecard!$E$12+M184*Scorecard!$E$13+N184*Scorecard!$E$14+O184*Scorecard!$E$15+P184*Scorecard!$E$16+Q184*Scorecard!$E$17</f>
        <v>4.12072384959786</v>
      </c>
      <c r="U184" s="0" t="str">
        <f aca="false">IF(AND(R184&gt;=S184,R184&gt;=T184),"Distribution",IF(T184&gt;=S184,"Prof. services","Manufacturing"))</f>
        <v>Prof. services</v>
      </c>
    </row>
    <row r="185" customFormat="false" ht="15" hidden="false" customHeight="false" outlineLevel="0" collapsed="false">
      <c r="A185" s="46" t="n">
        <v>0.116359</v>
      </c>
      <c r="B185" s="46" t="n">
        <v>0.424078</v>
      </c>
      <c r="C185" s="46" t="n">
        <v>0.077755</v>
      </c>
      <c r="D185" s="46" t="n">
        <v>0.026419</v>
      </c>
      <c r="E185" s="46" t="n">
        <v>0.344076</v>
      </c>
      <c r="F185" s="46" t="n">
        <v>0.011314</v>
      </c>
      <c r="G185" s="47" t="n">
        <f aca="false">A185*Scorecard!$C$12+B185*Scorecard!$C$13+C185*Scorecard!$C$14+D185*Scorecard!$C$15+E185*Scorecard!$C$16+F185*Scorecard!$C$17</f>
        <v>4.21842514060791</v>
      </c>
      <c r="H185" s="47" t="n">
        <f aca="false">A185*Scorecard!$D$12+B185*Scorecard!$D$13+C185*Scorecard!$D$14+D185*Scorecard!$D$15+E185*Scorecard!$D$16+F185*Scorecard!$D$17</f>
        <v>2.56862662219846</v>
      </c>
      <c r="I185" s="47" t="n">
        <f aca="false">A185*Scorecard!$E$12+B185*Scorecard!$E$13+C185*Scorecard!$E$14+D185*Scorecard!$E$15+E185*Scorecard!$E$16+F185*Scorecard!$E$17</f>
        <v>2.83525521660088</v>
      </c>
      <c r="J185" s="0" t="str">
        <f aca="false">IF(AND(G185&gt;=H185,G185&gt;=I185),"Distribution",IF(I185&gt;=H185,"Prof. services","Manufacturing"))</f>
        <v>Distribution</v>
      </c>
      <c r="L185" s="46" t="n">
        <v>0.248841</v>
      </c>
      <c r="M185" s="46" t="n">
        <v>0.146534</v>
      </c>
      <c r="N185" s="46" t="n">
        <v>0.237042</v>
      </c>
      <c r="O185" s="46" t="n">
        <v>0.163311</v>
      </c>
      <c r="P185" s="46" t="n">
        <v>0.133663</v>
      </c>
      <c r="Q185" s="46" t="n">
        <v>0.07061</v>
      </c>
      <c r="R185" s="47" t="n">
        <f aca="false">L185*Scorecard!$C$12+M185*Scorecard!$C$13+N185*Scorecard!$C$14+O185*Scorecard!$C$15+P185*Scorecard!$C$16+Q185*Scorecard!$C$17</f>
        <v>3.72071165128621</v>
      </c>
      <c r="S185" s="47" t="n">
        <f aca="false">L185*Scorecard!$D$12+M185*Scorecard!$D$13+N185*Scorecard!$D$14+O185*Scorecard!$D$15+P185*Scorecard!$D$16+Q185*Scorecard!$D$17</f>
        <v>3.07212173233428</v>
      </c>
      <c r="T185" s="47" t="n">
        <f aca="false">L185*Scorecard!$E$12+M185*Scorecard!$E$13+N185*Scorecard!$E$14+O185*Scorecard!$E$15+P185*Scorecard!$E$16+Q185*Scorecard!$E$17</f>
        <v>4.05038399889298</v>
      </c>
      <c r="U185" s="0" t="str">
        <f aca="false">IF(AND(R185&gt;=S185,R185&gt;=T185),"Distribution",IF(T185&gt;=S185,"Prof. services","Manufacturing"))</f>
        <v>Prof. services</v>
      </c>
    </row>
    <row r="186" customFormat="false" ht="15" hidden="false" customHeight="false" outlineLevel="0" collapsed="false">
      <c r="A186" s="46" t="n">
        <v>0.097554</v>
      </c>
      <c r="B186" s="46" t="n">
        <v>0.072889</v>
      </c>
      <c r="C186" s="46" t="n">
        <v>0.160972</v>
      </c>
      <c r="D186" s="46" t="n">
        <v>0.227107</v>
      </c>
      <c r="E186" s="46" t="n">
        <v>0.112034</v>
      </c>
      <c r="F186" s="46" t="n">
        <v>0.329444</v>
      </c>
      <c r="G186" s="47" t="n">
        <f aca="false">A186*Scorecard!$C$12+B186*Scorecard!$C$13+C186*Scorecard!$C$14+D186*Scorecard!$C$15+E186*Scorecard!$C$16+F186*Scorecard!$C$17</f>
        <v>3.46550940878543</v>
      </c>
      <c r="H186" s="47" t="n">
        <f aca="false">A186*Scorecard!$D$12+B186*Scorecard!$D$13+C186*Scorecard!$D$14+D186*Scorecard!$D$15+E186*Scorecard!$D$16+F186*Scorecard!$D$17</f>
        <v>2.76111974981282</v>
      </c>
      <c r="I186" s="47" t="n">
        <f aca="false">A186*Scorecard!$E$12+B186*Scorecard!$E$13+C186*Scorecard!$E$14+D186*Scorecard!$E$15+E186*Scorecard!$E$16+F186*Scorecard!$E$17</f>
        <v>4.1370855543832</v>
      </c>
      <c r="J186" s="0" t="str">
        <f aca="false">IF(AND(G186&gt;=H186,G186&gt;=I186),"Distribution",IF(I186&gt;=H186,"Prof. services","Manufacturing"))</f>
        <v>Prof. services</v>
      </c>
      <c r="L186" s="46" t="n">
        <v>0.24638</v>
      </c>
      <c r="M186" s="46" t="n">
        <v>0.121265</v>
      </c>
      <c r="N186" s="46" t="n">
        <v>0.245214</v>
      </c>
      <c r="O186" s="46" t="n">
        <v>0.164901</v>
      </c>
      <c r="P186" s="46" t="n">
        <v>0.170636</v>
      </c>
      <c r="Q186" s="46" t="n">
        <v>0.051604</v>
      </c>
      <c r="R186" s="47" t="n">
        <f aca="false">L186*Scorecard!$C$12+M186*Scorecard!$C$13+N186*Scorecard!$C$14+O186*Scorecard!$C$15+P186*Scorecard!$C$16+Q186*Scorecard!$C$17</f>
        <v>3.73947048638246</v>
      </c>
      <c r="S186" s="47" t="n">
        <f aca="false">L186*Scorecard!$D$12+M186*Scorecard!$D$13+N186*Scorecard!$D$14+O186*Scorecard!$D$15+P186*Scorecard!$D$16+Q186*Scorecard!$D$17</f>
        <v>3.15109592355438</v>
      </c>
      <c r="T186" s="47" t="n">
        <f aca="false">L186*Scorecard!$E$12+M186*Scorecard!$E$13+N186*Scorecard!$E$14+O186*Scorecard!$E$15+P186*Scorecard!$E$16+Q186*Scorecard!$E$17</f>
        <v>4.03262148904853</v>
      </c>
      <c r="U186" s="0" t="str">
        <f aca="false">IF(AND(R186&gt;=S186,R186&gt;=T186),"Distribution",IF(T186&gt;=S186,"Prof. services","Manufacturing"))</f>
        <v>Prof. services</v>
      </c>
    </row>
    <row r="187" customFormat="false" ht="15" hidden="false" customHeight="false" outlineLevel="0" collapsed="false">
      <c r="A187" s="46" t="n">
        <v>0.02175</v>
      </c>
      <c r="B187" s="46" t="n">
        <v>0.180139</v>
      </c>
      <c r="C187" s="46" t="n">
        <v>0.401939</v>
      </c>
      <c r="D187" s="46" t="n">
        <v>0.219188</v>
      </c>
      <c r="E187" s="46" t="n">
        <v>0.071565</v>
      </c>
      <c r="F187" s="46" t="n">
        <v>0.105418</v>
      </c>
      <c r="G187" s="47" t="n">
        <f aca="false">A187*Scorecard!$C$12+B187*Scorecard!$C$13+C187*Scorecard!$C$14+D187*Scorecard!$C$15+E187*Scorecard!$C$16+F187*Scorecard!$C$17</f>
        <v>4.14933668982392</v>
      </c>
      <c r="H187" s="47" t="n">
        <f aca="false">A187*Scorecard!$D$12+B187*Scorecard!$D$13+C187*Scorecard!$D$14+D187*Scorecard!$D$15+E187*Scorecard!$D$16+F187*Scorecard!$D$17</f>
        <v>2.86344399699958</v>
      </c>
      <c r="I187" s="47" t="n">
        <f aca="false">A187*Scorecard!$E$12+B187*Scorecard!$E$13+C187*Scorecard!$E$14+D187*Scorecard!$E$15+E187*Scorecard!$E$16+F187*Scorecard!$E$17</f>
        <v>4.05522353507513</v>
      </c>
      <c r="J187" s="0" t="str">
        <f aca="false">IF(AND(G187&gt;=H187,G187&gt;=I187),"Distribution",IF(I187&gt;=H187,"Prof. services","Manufacturing"))</f>
        <v>Distribution</v>
      </c>
      <c r="L187" s="46" t="n">
        <v>0.309623</v>
      </c>
      <c r="M187" s="46" t="n">
        <v>0.139096</v>
      </c>
      <c r="N187" s="46" t="n">
        <v>0.148482</v>
      </c>
      <c r="O187" s="46" t="n">
        <v>0.124241</v>
      </c>
      <c r="P187" s="46" t="n">
        <v>0.179764</v>
      </c>
      <c r="Q187" s="46" t="n">
        <v>0.098793</v>
      </c>
      <c r="R187" s="47" t="n">
        <f aca="false">L187*Scorecard!$C$12+M187*Scorecard!$C$13+N187*Scorecard!$C$14+O187*Scorecard!$C$15+P187*Scorecard!$C$16+Q187*Scorecard!$C$17</f>
        <v>3.50842118447599</v>
      </c>
      <c r="S187" s="47" t="n">
        <f aca="false">L187*Scorecard!$D$12+M187*Scorecard!$D$13+N187*Scorecard!$D$14+O187*Scorecard!$D$15+P187*Scorecard!$D$16+Q187*Scorecard!$D$17</f>
        <v>3.05129313710611</v>
      </c>
      <c r="T187" s="47" t="n">
        <f aca="false">L187*Scorecard!$E$12+M187*Scorecard!$E$13+N187*Scorecard!$E$14+O187*Scorecard!$E$15+P187*Scorecard!$E$16+Q187*Scorecard!$E$17</f>
        <v>3.96739333131839</v>
      </c>
      <c r="U187" s="0" t="str">
        <f aca="false">IF(AND(R187&gt;=S187,R187&gt;=T187),"Distribution",IF(T187&gt;=S187,"Prof. services","Manufacturing"))</f>
        <v>Prof. services</v>
      </c>
    </row>
    <row r="188" customFormat="false" ht="15" hidden="false" customHeight="false" outlineLevel="0" collapsed="false">
      <c r="A188" s="46" t="n">
        <v>0.091729</v>
      </c>
      <c r="B188" s="46" t="n">
        <v>0.07635</v>
      </c>
      <c r="C188" s="46" t="n">
        <v>0.237336</v>
      </c>
      <c r="D188" s="46" t="n">
        <v>0.214914</v>
      </c>
      <c r="E188" s="46" t="n">
        <v>0.203268</v>
      </c>
      <c r="F188" s="46" t="n">
        <v>0.176403</v>
      </c>
      <c r="G188" s="47" t="n">
        <f aca="false">A188*Scorecard!$C$12+B188*Scorecard!$C$13+C188*Scorecard!$C$14+D188*Scorecard!$C$15+E188*Scorecard!$C$16+F188*Scorecard!$C$17</f>
        <v>3.77334449185557</v>
      </c>
      <c r="H188" s="47" t="n">
        <f aca="false">A188*Scorecard!$D$12+B188*Scorecard!$D$13+C188*Scorecard!$D$14+D188*Scorecard!$D$15+E188*Scorecard!$D$16+F188*Scorecard!$D$17</f>
        <v>2.99793479804323</v>
      </c>
      <c r="I188" s="47" t="n">
        <f aca="false">A188*Scorecard!$E$12+B188*Scorecard!$E$13+C188*Scorecard!$E$14+D188*Scorecard!$E$15+E188*Scorecard!$E$16+F188*Scorecard!$E$17</f>
        <v>3.97055498289812</v>
      </c>
      <c r="J188" s="0" t="str">
        <f aca="false">IF(AND(G188&gt;=H188,G188&gt;=I188),"Distribution",IF(I188&gt;=H188,"Prof. services","Manufacturing"))</f>
        <v>Prof. services</v>
      </c>
      <c r="L188" s="46" t="n">
        <v>0.094896</v>
      </c>
      <c r="M188" s="46" t="n">
        <v>0.194361</v>
      </c>
      <c r="N188" s="46" t="n">
        <v>0.201126</v>
      </c>
      <c r="O188" s="46" t="n">
        <v>0.263513</v>
      </c>
      <c r="P188" s="46" t="n">
        <v>0.122613</v>
      </c>
      <c r="Q188" s="46" t="n">
        <v>0.12349</v>
      </c>
      <c r="R188" s="47" t="n">
        <f aca="false">L188*Scorecard!$C$12+M188*Scorecard!$C$13+N188*Scorecard!$C$14+O188*Scorecard!$C$15+P188*Scorecard!$C$16+Q188*Scorecard!$C$17</f>
        <v>4.04007584669109</v>
      </c>
      <c r="S188" s="47" t="n">
        <f aca="false">L188*Scorecard!$D$12+M188*Scorecard!$D$13+N188*Scorecard!$D$14+O188*Scorecard!$D$15+P188*Scorecard!$D$16+Q188*Scorecard!$D$17</f>
        <v>2.93163371312936</v>
      </c>
      <c r="T188" s="47" t="n">
        <f aca="false">L188*Scorecard!$E$12+M188*Scorecard!$E$13+N188*Scorecard!$E$14+O188*Scorecard!$E$15+P188*Scorecard!$E$16+Q188*Scorecard!$E$17</f>
        <v>3.83211211618043</v>
      </c>
      <c r="U188" s="0" t="str">
        <f aca="false">IF(AND(R188&gt;=S188,R188&gt;=T188),"Distribution",IF(T188&gt;=S188,"Prof. services","Manufacturing"))</f>
        <v>Distribution</v>
      </c>
    </row>
    <row r="189" customFormat="false" ht="15" hidden="false" customHeight="false" outlineLevel="0" collapsed="false">
      <c r="A189" s="46" t="n">
        <v>0.140968</v>
      </c>
      <c r="B189" s="46" t="n">
        <v>0.298427</v>
      </c>
      <c r="C189" s="46" t="n">
        <v>0.035218</v>
      </c>
      <c r="D189" s="46" t="n">
        <v>0.217341</v>
      </c>
      <c r="E189" s="46" t="n">
        <v>0.001522</v>
      </c>
      <c r="F189" s="46" t="n">
        <v>0.306524</v>
      </c>
      <c r="G189" s="47" t="n">
        <f aca="false">A189*Scorecard!$C$12+B189*Scorecard!$C$13+C189*Scorecard!$C$14+D189*Scorecard!$C$15+E189*Scorecard!$C$16+F189*Scorecard!$C$17</f>
        <v>3.64897558965972</v>
      </c>
      <c r="H189" s="47" t="n">
        <f aca="false">A189*Scorecard!$D$12+B189*Scorecard!$D$13+C189*Scorecard!$D$14+D189*Scorecard!$D$15+E189*Scorecard!$D$16+F189*Scorecard!$D$17</f>
        <v>2.43750097949041</v>
      </c>
      <c r="I189" s="47" t="n">
        <f aca="false">A189*Scorecard!$E$12+B189*Scorecard!$E$13+C189*Scorecard!$E$14+D189*Scorecard!$E$15+E189*Scorecard!$E$16+F189*Scorecard!$E$17</f>
        <v>3.80285325798693</v>
      </c>
      <c r="J189" s="0" t="str">
        <f aca="false">IF(AND(G189&gt;=H189,G189&gt;=I189),"Distribution",IF(I189&gt;=H189,"Prof. services","Manufacturing"))</f>
        <v>Prof. services</v>
      </c>
      <c r="L189" s="46" t="n">
        <v>0.372741</v>
      </c>
      <c r="M189" s="46" t="n">
        <v>0.217795</v>
      </c>
      <c r="N189" s="46" t="n">
        <v>0.089427</v>
      </c>
      <c r="O189" s="46" t="n">
        <v>0.14331</v>
      </c>
      <c r="P189" s="46" t="n">
        <v>0.124757</v>
      </c>
      <c r="Q189" s="46" t="n">
        <v>0.051969</v>
      </c>
      <c r="R189" s="47" t="n">
        <f aca="false">L189*Scorecard!$C$12+M189*Scorecard!$C$13+N189*Scorecard!$C$14+O189*Scorecard!$C$15+P189*Scorecard!$C$16+Q189*Scorecard!$C$17</f>
        <v>3.58622388435215</v>
      </c>
      <c r="S189" s="47" t="n">
        <f aca="false">L189*Scorecard!$D$12+M189*Scorecard!$D$13+N189*Scorecard!$D$14+O189*Scorecard!$D$15+P189*Scorecard!$D$16+Q189*Scorecard!$D$17</f>
        <v>3.04883370876623</v>
      </c>
      <c r="T189" s="47" t="n">
        <f aca="false">L189*Scorecard!$E$12+M189*Scorecard!$E$13+N189*Scorecard!$E$14+O189*Scorecard!$E$15+P189*Scorecard!$E$16+Q189*Scorecard!$E$17</f>
        <v>3.89524521940713</v>
      </c>
      <c r="U189" s="0" t="str">
        <f aca="false">IF(AND(R189&gt;=S189,R189&gt;=T189),"Distribution",IF(T189&gt;=S189,"Prof. services","Manufacturing"))</f>
        <v>Prof. services</v>
      </c>
    </row>
    <row r="190" customFormat="false" ht="15" hidden="false" customHeight="false" outlineLevel="0" collapsed="false">
      <c r="A190" s="46" t="n">
        <v>0.108502</v>
      </c>
      <c r="B190" s="46" t="n">
        <v>0.122514</v>
      </c>
      <c r="C190" s="46" t="n">
        <v>0.585136</v>
      </c>
      <c r="D190" s="46" t="n">
        <v>0.171098</v>
      </c>
      <c r="E190" s="46" t="n">
        <v>0.012677</v>
      </c>
      <c r="F190" s="46" t="n">
        <v>7.3E-005</v>
      </c>
      <c r="G190" s="47" t="n">
        <f aca="false">A190*Scorecard!$C$12+B190*Scorecard!$C$13+C190*Scorecard!$C$14+D190*Scorecard!$C$15+E190*Scorecard!$C$16+F190*Scorecard!$C$17</f>
        <v>4.09816085265634</v>
      </c>
      <c r="H190" s="47" t="n">
        <f aca="false">A190*Scorecard!$D$12+B190*Scorecard!$D$13+C190*Scorecard!$D$14+D190*Scorecard!$D$15+E190*Scorecard!$D$16+F190*Scorecard!$D$17</f>
        <v>3.0899633915757</v>
      </c>
      <c r="I190" s="47" t="n">
        <f aca="false">A190*Scorecard!$E$12+B190*Scorecard!$E$13+C190*Scorecard!$E$14+D190*Scorecard!$E$15+E190*Scorecard!$E$16+F190*Scorecard!$E$17</f>
        <v>4.47083937146683</v>
      </c>
      <c r="J190" s="0" t="str">
        <f aca="false">IF(AND(G190&gt;=H190,G190&gt;=I190),"Distribution",IF(I190&gt;=H190,"Prof. services","Manufacturing"))</f>
        <v>Prof. services</v>
      </c>
      <c r="L190" s="46" t="n">
        <v>0.287239</v>
      </c>
      <c r="M190" s="46" t="n">
        <v>0.136296</v>
      </c>
      <c r="N190" s="46" t="n">
        <v>0.161389</v>
      </c>
      <c r="O190" s="46" t="n">
        <v>0.143654</v>
      </c>
      <c r="P190" s="46" t="n">
        <v>0.127845</v>
      </c>
      <c r="Q190" s="46" t="n">
        <v>0.143577</v>
      </c>
      <c r="R190" s="47" t="n">
        <f aca="false">L190*Scorecard!$C$12+M190*Scorecard!$C$13+N190*Scorecard!$C$14+O190*Scorecard!$C$15+P190*Scorecard!$C$16+Q190*Scorecard!$C$17</f>
        <v>3.47576170369352</v>
      </c>
      <c r="S190" s="47" t="n">
        <f aca="false">L190*Scorecard!$D$12+M190*Scorecard!$D$13+N190*Scorecard!$D$14+O190*Scorecard!$D$15+P190*Scorecard!$D$16+Q190*Scorecard!$D$17</f>
        <v>2.97870416752573</v>
      </c>
      <c r="T190" s="47" t="n">
        <f aca="false">L190*Scorecard!$E$12+M190*Scorecard!$E$13+N190*Scorecard!$E$14+O190*Scorecard!$E$15+P190*Scorecard!$E$16+Q190*Scorecard!$E$17</f>
        <v>4.07528151548604</v>
      </c>
      <c r="U190" s="0" t="str">
        <f aca="false">IF(AND(R190&gt;=S190,R190&gt;=T190),"Distribution",IF(T190&gt;=S190,"Prof. services","Manufacturing"))</f>
        <v>Prof. services</v>
      </c>
    </row>
    <row r="191" customFormat="false" ht="15" hidden="false" customHeight="false" outlineLevel="0" collapsed="false">
      <c r="A191" s="46" t="n">
        <v>0.065909</v>
      </c>
      <c r="B191" s="46" t="n">
        <v>0.344521</v>
      </c>
      <c r="C191" s="46" t="n">
        <v>0.025354</v>
      </c>
      <c r="D191" s="46" t="n">
        <v>0.18107</v>
      </c>
      <c r="E191" s="46" t="n">
        <v>0.340234</v>
      </c>
      <c r="F191" s="46" t="n">
        <v>0.042913</v>
      </c>
      <c r="G191" s="47" t="n">
        <f aca="false">A191*Scorecard!$C$12+B191*Scorecard!$C$13+C191*Scorecard!$C$14+D191*Scorecard!$C$15+E191*Scorecard!$C$16+F191*Scorecard!$C$17</f>
        <v>4.32113186007379</v>
      </c>
      <c r="H191" s="47" t="n">
        <f aca="false">A191*Scorecard!$D$12+B191*Scorecard!$D$13+C191*Scorecard!$D$14+D191*Scorecard!$D$15+E191*Scorecard!$D$16+F191*Scorecard!$D$17</f>
        <v>2.78506833820654</v>
      </c>
      <c r="I191" s="47" t="n">
        <f aca="false">A191*Scorecard!$E$12+B191*Scorecard!$E$13+C191*Scorecard!$E$14+D191*Scorecard!$E$15+E191*Scorecard!$E$16+F191*Scorecard!$E$17</f>
        <v>2.92920298289542</v>
      </c>
      <c r="J191" s="0" t="str">
        <f aca="false">IF(AND(G191&gt;=H191,G191&gt;=I191),"Distribution",IF(I191&gt;=H191,"Prof. services","Manufacturing"))</f>
        <v>Distribution</v>
      </c>
      <c r="L191" s="46" t="n">
        <v>0.202907</v>
      </c>
      <c r="M191" s="46" t="n">
        <v>0.167253</v>
      </c>
      <c r="N191" s="46" t="n">
        <v>0.323003</v>
      </c>
      <c r="O191" s="46" t="n">
        <v>0.20062</v>
      </c>
      <c r="P191" s="46" t="n">
        <v>0.070755</v>
      </c>
      <c r="Q191" s="46" t="n">
        <v>0.035462</v>
      </c>
      <c r="R191" s="47" t="n">
        <f aca="false">L191*Scorecard!$C$12+M191*Scorecard!$C$13+N191*Scorecard!$C$14+O191*Scorecard!$C$15+P191*Scorecard!$C$16+Q191*Scorecard!$C$17</f>
        <v>3.93171350634956</v>
      </c>
      <c r="S191" s="47" t="n">
        <f aca="false">L191*Scorecard!$D$12+M191*Scorecard!$D$13+N191*Scorecard!$D$14+O191*Scorecard!$D$15+P191*Scorecard!$D$16+Q191*Scorecard!$D$17</f>
        <v>3.08562091289259</v>
      </c>
      <c r="T191" s="47" t="n">
        <f aca="false">L191*Scorecard!$E$12+M191*Scorecard!$E$13+N191*Scorecard!$E$14+O191*Scorecard!$E$15+P191*Scorecard!$E$16+Q191*Scorecard!$E$17</f>
        <v>4.14494215687241</v>
      </c>
      <c r="U191" s="0" t="str">
        <f aca="false">IF(AND(R191&gt;=S191,R191&gt;=T191),"Distribution",IF(T191&gt;=S191,"Prof. services","Manufacturing"))</f>
        <v>Prof. services</v>
      </c>
    </row>
    <row r="192" customFormat="false" ht="15" hidden="false" customHeight="false" outlineLevel="0" collapsed="false">
      <c r="A192" s="46" t="n">
        <v>0.03668</v>
      </c>
      <c r="B192" s="46" t="n">
        <v>0.544216</v>
      </c>
      <c r="C192" s="46" t="n">
        <v>0.129664</v>
      </c>
      <c r="D192" s="46" t="n">
        <v>0.07763</v>
      </c>
      <c r="E192" s="46" t="n">
        <v>0.200096</v>
      </c>
      <c r="F192" s="46" t="n">
        <v>0.011715</v>
      </c>
      <c r="G192" s="47" t="n">
        <f aca="false">A192*Scorecard!$C$12+B192*Scorecard!$C$13+C192*Scorecard!$C$14+D192*Scorecard!$C$15+E192*Scorecard!$C$16+F192*Scorecard!$C$17</f>
        <v>4.53239547690766</v>
      </c>
      <c r="H192" s="47" t="n">
        <f aca="false">A192*Scorecard!$D$12+B192*Scorecard!$D$13+C192*Scorecard!$D$14+D192*Scorecard!$D$15+E192*Scorecard!$D$16+F192*Scorecard!$D$17</f>
        <v>2.34635648428218</v>
      </c>
      <c r="I192" s="47" t="n">
        <f aca="false">A192*Scorecard!$E$12+B192*Scorecard!$E$13+C192*Scorecard!$E$14+D192*Scorecard!$E$15+E192*Scorecard!$E$16+F192*Scorecard!$E$17</f>
        <v>2.83072729784272</v>
      </c>
      <c r="J192" s="0" t="str">
        <f aca="false">IF(AND(G192&gt;=H192,G192&gt;=I192),"Distribution",IF(I192&gt;=H192,"Prof. services","Manufacturing"))</f>
        <v>Distribution</v>
      </c>
      <c r="L192" s="46" t="n">
        <v>0.161845</v>
      </c>
      <c r="M192" s="46" t="n">
        <v>0.110805</v>
      </c>
      <c r="N192" s="46" t="n">
        <v>0.291129</v>
      </c>
      <c r="O192" s="46" t="n">
        <v>0.108518</v>
      </c>
      <c r="P192" s="46" t="n">
        <v>0.186118</v>
      </c>
      <c r="Q192" s="46" t="n">
        <v>0.141585</v>
      </c>
      <c r="R192" s="47" t="n">
        <f aca="false">L192*Scorecard!$C$12+M192*Scorecard!$C$13+N192*Scorecard!$C$14+O192*Scorecard!$C$15+P192*Scorecard!$C$16+Q192*Scorecard!$C$17</f>
        <v>3.64482969193347</v>
      </c>
      <c r="S192" s="47" t="n">
        <f aca="false">L192*Scorecard!$D$12+M192*Scorecard!$D$13+N192*Scorecard!$D$14+O192*Scorecard!$D$15+P192*Scorecard!$D$16+Q192*Scorecard!$D$17</f>
        <v>2.91587477399178</v>
      </c>
      <c r="T192" s="47" t="n">
        <f aca="false">L192*Scorecard!$E$12+M192*Scorecard!$E$13+N192*Scorecard!$E$14+O192*Scorecard!$E$15+P192*Scorecard!$E$16+Q192*Scorecard!$E$17</f>
        <v>4.02355427282684</v>
      </c>
      <c r="U192" s="0" t="str">
        <f aca="false">IF(AND(R192&gt;=S192,R192&gt;=T192),"Distribution",IF(T192&gt;=S192,"Prof. services","Manufacturing"))</f>
        <v>Prof. services</v>
      </c>
    </row>
    <row r="193" customFormat="false" ht="15" hidden="false" customHeight="false" outlineLevel="0" collapsed="false">
      <c r="A193" s="46" t="n">
        <v>0.257658</v>
      </c>
      <c r="B193" s="46" t="n">
        <v>0.227547</v>
      </c>
      <c r="C193" s="46" t="n">
        <v>0.075423</v>
      </c>
      <c r="D193" s="46" t="n">
        <v>0.060549</v>
      </c>
      <c r="E193" s="46" t="n">
        <v>0.137082</v>
      </c>
      <c r="F193" s="46" t="n">
        <v>0.241741</v>
      </c>
      <c r="G193" s="47" t="n">
        <f aca="false">A193*Scorecard!$C$12+B193*Scorecard!$C$13+C193*Scorecard!$C$14+D193*Scorecard!$C$15+E193*Scorecard!$C$16+F193*Scorecard!$C$17</f>
        <v>3.34082592554725</v>
      </c>
      <c r="H193" s="47" t="n">
        <f aca="false">A193*Scorecard!$D$12+B193*Scorecard!$D$13+C193*Scorecard!$D$14+D193*Scorecard!$D$15+E193*Scorecard!$D$16+F193*Scorecard!$D$17</f>
        <v>2.58182376172257</v>
      </c>
      <c r="I193" s="47" t="n">
        <f aca="false">A193*Scorecard!$E$12+B193*Scorecard!$E$13+C193*Scorecard!$E$14+D193*Scorecard!$E$15+E193*Scorecard!$E$16+F193*Scorecard!$E$17</f>
        <v>3.80863389419656</v>
      </c>
      <c r="J193" s="0" t="str">
        <f aca="false">IF(AND(G193&gt;=H193,G193&gt;=I193),"Distribution",IF(I193&gt;=H193,"Prof. services","Manufacturing"))</f>
        <v>Prof. services</v>
      </c>
      <c r="L193" s="46" t="n">
        <v>0.074179</v>
      </c>
      <c r="M193" s="46" t="n">
        <v>0.142829</v>
      </c>
      <c r="N193" s="46" t="n">
        <v>0.165348</v>
      </c>
      <c r="O193" s="46" t="n">
        <v>0.150795</v>
      </c>
      <c r="P193" s="46" t="n">
        <v>0.199863</v>
      </c>
      <c r="Q193" s="46" t="n">
        <v>0.266985</v>
      </c>
      <c r="R193" s="47" t="n">
        <f aca="false">L193*Scorecard!$C$12+M193*Scorecard!$C$13+N193*Scorecard!$C$14+O193*Scorecard!$C$15+P193*Scorecard!$C$16+Q193*Scorecard!$C$17</f>
        <v>3.62612674213558</v>
      </c>
      <c r="S193" s="47" t="n">
        <f aca="false">L193*Scorecard!$D$12+M193*Scorecard!$D$13+N193*Scorecard!$D$14+O193*Scorecard!$D$15+P193*Scorecard!$D$16+Q193*Scorecard!$D$17</f>
        <v>2.67531925503491</v>
      </c>
      <c r="T193" s="47" t="n">
        <f aca="false">L193*Scorecard!$E$12+M193*Scorecard!$E$13+N193*Scorecard!$E$14+O193*Scorecard!$E$15+P193*Scorecard!$E$16+Q193*Scorecard!$E$17</f>
        <v>3.79676921343109</v>
      </c>
      <c r="U193" s="0" t="str">
        <f aca="false">IF(AND(R193&gt;=S193,R193&gt;=T193),"Distribution",IF(T193&gt;=S193,"Prof. services","Manufacturing"))</f>
        <v>Prof. services</v>
      </c>
    </row>
    <row r="194" customFormat="false" ht="15" hidden="false" customHeight="false" outlineLevel="0" collapsed="false">
      <c r="A194" s="46" t="n">
        <v>0.272304</v>
      </c>
      <c r="B194" s="46" t="n">
        <v>0.383251</v>
      </c>
      <c r="C194" s="46" t="n">
        <v>0.034108</v>
      </c>
      <c r="D194" s="46" t="n">
        <v>0.046952</v>
      </c>
      <c r="E194" s="46" t="n">
        <v>0.229203</v>
      </c>
      <c r="F194" s="46" t="n">
        <v>0.034183</v>
      </c>
      <c r="G194" s="47" t="n">
        <f aca="false">A194*Scorecard!$C$12+B194*Scorecard!$C$13+C194*Scorecard!$C$14+D194*Scorecard!$C$15+E194*Scorecard!$C$16+F194*Scorecard!$C$17</f>
        <v>3.8716899166811</v>
      </c>
      <c r="H194" s="47" t="n">
        <f aca="false">A194*Scorecard!$D$12+B194*Scorecard!$D$13+C194*Scorecard!$D$14+D194*Scorecard!$D$15+E194*Scorecard!$D$16+F194*Scorecard!$D$17</f>
        <v>2.68409270005055</v>
      </c>
      <c r="I194" s="47" t="n">
        <f aca="false">A194*Scorecard!$E$12+B194*Scorecard!$E$13+C194*Scorecard!$E$14+D194*Scorecard!$E$15+E194*Scorecard!$E$16+F194*Scorecard!$E$17</f>
        <v>3.23038700492284</v>
      </c>
      <c r="J194" s="0" t="str">
        <f aca="false">IF(AND(G194&gt;=H194,G194&gt;=I194),"Distribution",IF(I194&gt;=H194,"Prof. services","Manufacturing"))</f>
        <v>Distribution</v>
      </c>
      <c r="L194" s="46" t="n">
        <v>0.29696</v>
      </c>
      <c r="M194" s="46" t="n">
        <v>0.154499</v>
      </c>
      <c r="N194" s="46" t="n">
        <v>0.153736</v>
      </c>
      <c r="O194" s="46" t="n">
        <v>0.22746</v>
      </c>
      <c r="P194" s="46" t="n">
        <v>0.115936</v>
      </c>
      <c r="Q194" s="46" t="n">
        <v>0.051409</v>
      </c>
      <c r="R194" s="47" t="n">
        <f aca="false">L194*Scorecard!$C$12+M194*Scorecard!$C$13+N194*Scorecard!$C$14+O194*Scorecard!$C$15+P194*Scorecard!$C$16+Q194*Scorecard!$C$17</f>
        <v>3.74460876506264</v>
      </c>
      <c r="S194" s="47" t="n">
        <f aca="false">L194*Scorecard!$D$12+M194*Scorecard!$D$13+N194*Scorecard!$D$14+O194*Scorecard!$D$15+P194*Scorecard!$D$16+Q194*Scorecard!$D$17</f>
        <v>3.18910223551252</v>
      </c>
      <c r="T194" s="47" t="n">
        <f aca="false">L194*Scorecard!$E$12+M194*Scorecard!$E$13+N194*Scorecard!$E$14+O194*Scorecard!$E$15+P194*Scorecard!$E$16+Q194*Scorecard!$E$17</f>
        <v>4.03072595293567</v>
      </c>
      <c r="U194" s="0" t="str">
        <f aca="false">IF(AND(R194&gt;=S194,R194&gt;=T194),"Distribution",IF(T194&gt;=S194,"Prof. services","Manufacturing"))</f>
        <v>Prof. services</v>
      </c>
    </row>
    <row r="195" customFormat="false" ht="15" hidden="false" customHeight="false" outlineLevel="0" collapsed="false">
      <c r="A195" s="46" t="n">
        <v>0.002894</v>
      </c>
      <c r="B195" s="46" t="n">
        <v>0.076491</v>
      </c>
      <c r="C195" s="46" t="n">
        <v>0.116324</v>
      </c>
      <c r="D195" s="46" t="n">
        <v>0.117161</v>
      </c>
      <c r="E195" s="46" t="n">
        <v>0.361294</v>
      </c>
      <c r="F195" s="46" t="n">
        <v>0.325836</v>
      </c>
      <c r="G195" s="47" t="n">
        <f aca="false">A195*Scorecard!$C$12+B195*Scorecard!$C$13+C195*Scorecard!$C$14+D195*Scorecard!$C$15+E195*Scorecard!$C$16+F195*Scorecard!$C$17</f>
        <v>3.53677075872876</v>
      </c>
      <c r="H195" s="47" t="n">
        <f aca="false">A195*Scorecard!$D$12+B195*Scorecard!$D$13+C195*Scorecard!$D$14+D195*Scorecard!$D$15+E195*Scorecard!$D$16+F195*Scorecard!$D$17</f>
        <v>2.65440621633207</v>
      </c>
      <c r="I195" s="47" t="n">
        <f aca="false">A195*Scorecard!$E$12+B195*Scorecard!$E$13+C195*Scorecard!$E$14+D195*Scorecard!$E$15+E195*Scorecard!$E$16+F195*Scorecard!$E$17</f>
        <v>3.55574108856969</v>
      </c>
      <c r="J195" s="0" t="str">
        <f aca="false">IF(AND(G195&gt;=H195,G195&gt;=I195),"Distribution",IF(I195&gt;=H195,"Prof. services","Manufacturing"))</f>
        <v>Prof. services</v>
      </c>
      <c r="L195" s="46" t="n">
        <v>0.350588</v>
      </c>
      <c r="M195" s="46" t="n">
        <v>0.271753</v>
      </c>
      <c r="N195" s="46" t="n">
        <v>0.123737</v>
      </c>
      <c r="O195" s="46" t="n">
        <v>0.150073</v>
      </c>
      <c r="P195" s="46" t="n">
        <v>0.088542</v>
      </c>
      <c r="Q195" s="46" t="n">
        <v>0.015308</v>
      </c>
      <c r="R195" s="47" t="n">
        <f aca="false">L195*Scorecard!$C$12+M195*Scorecard!$C$13+N195*Scorecard!$C$14+O195*Scorecard!$C$15+P195*Scorecard!$C$16+Q195*Scorecard!$C$17</f>
        <v>3.7601506002754</v>
      </c>
      <c r="S195" s="47" t="n">
        <f aca="false">L195*Scorecard!$D$12+M195*Scorecard!$D$13+N195*Scorecard!$D$14+O195*Scorecard!$D$15+P195*Scorecard!$D$16+Q195*Scorecard!$D$17</f>
        <v>3.00396446001131</v>
      </c>
      <c r="T195" s="47" t="n">
        <f aca="false">L195*Scorecard!$E$12+M195*Scorecard!$E$13+N195*Scorecard!$E$14+O195*Scorecard!$E$15+P195*Scorecard!$E$16+Q195*Scorecard!$E$17</f>
        <v>3.84934497798539</v>
      </c>
      <c r="U195" s="0" t="str">
        <f aca="false">IF(AND(R195&gt;=S195,R195&gt;=T195),"Distribution",IF(T195&gt;=S195,"Prof. services","Manufacturing"))</f>
        <v>Prof. services</v>
      </c>
    </row>
    <row r="196" customFormat="false" ht="15" hidden="false" customHeight="false" outlineLevel="0" collapsed="false">
      <c r="A196" s="46" t="n">
        <v>0.072554</v>
      </c>
      <c r="B196" s="46" t="n">
        <v>0.159031</v>
      </c>
      <c r="C196" s="46" t="n">
        <v>0.082144</v>
      </c>
      <c r="D196" s="46" t="n">
        <v>0.128175</v>
      </c>
      <c r="E196" s="46" t="n">
        <v>0.384956</v>
      </c>
      <c r="F196" s="46" t="n">
        <v>0.173141</v>
      </c>
      <c r="G196" s="47" t="n">
        <f aca="false">A196*Scorecard!$C$12+B196*Scorecard!$C$13+C196*Scorecard!$C$14+D196*Scorecard!$C$15+E196*Scorecard!$C$16+F196*Scorecard!$C$17</f>
        <v>3.81032976530965</v>
      </c>
      <c r="H196" s="47" t="n">
        <f aca="false">A196*Scorecard!$D$12+B196*Scorecard!$D$13+C196*Scorecard!$D$14+D196*Scorecard!$D$15+E196*Scorecard!$D$16+F196*Scorecard!$D$17</f>
        <v>2.82621045151841</v>
      </c>
      <c r="I196" s="47" t="n">
        <f aca="false">A196*Scorecard!$E$12+B196*Scorecard!$E$13+C196*Scorecard!$E$14+D196*Scorecard!$E$15+E196*Scorecard!$E$16+F196*Scorecard!$E$17</f>
        <v>3.32243743681312</v>
      </c>
      <c r="J196" s="0" t="str">
        <f aca="false">IF(AND(G196&gt;=H196,G196&gt;=I196),"Distribution",IF(I196&gt;=H196,"Prof. services","Manufacturing"))</f>
        <v>Distribution</v>
      </c>
      <c r="L196" s="46" t="n">
        <v>0.355916</v>
      </c>
      <c r="M196" s="46" t="n">
        <v>0.188605</v>
      </c>
      <c r="N196" s="46" t="n">
        <v>0.159634</v>
      </c>
      <c r="O196" s="46" t="n">
        <v>0.10254</v>
      </c>
      <c r="P196" s="46" t="n">
        <v>0.132583</v>
      </c>
      <c r="Q196" s="46" t="n">
        <v>0.060722</v>
      </c>
      <c r="R196" s="47" t="n">
        <f aca="false">L196*Scorecard!$C$12+M196*Scorecard!$C$13+N196*Scorecard!$C$14+O196*Scorecard!$C$15+P196*Scorecard!$C$16+Q196*Scorecard!$C$17</f>
        <v>3.52904712429296</v>
      </c>
      <c r="S196" s="47" t="n">
        <f aca="false">L196*Scorecard!$D$12+M196*Scorecard!$D$13+N196*Scorecard!$D$14+O196*Scorecard!$D$15+P196*Scorecard!$D$16+Q196*Scorecard!$D$17</f>
        <v>3.02381935512941</v>
      </c>
      <c r="T196" s="47" t="n">
        <f aca="false">L196*Scorecard!$E$12+M196*Scorecard!$E$13+N196*Scorecard!$E$14+O196*Scorecard!$E$15+P196*Scorecard!$E$16+Q196*Scorecard!$E$17</f>
        <v>3.98802201120673</v>
      </c>
      <c r="U196" s="0" t="str">
        <f aca="false">IF(AND(R196&gt;=S196,R196&gt;=T196),"Distribution",IF(T196&gt;=S196,"Prof. services","Manufacturing"))</f>
        <v>Prof. services</v>
      </c>
    </row>
    <row r="197" customFormat="false" ht="15" hidden="false" customHeight="false" outlineLevel="0" collapsed="false">
      <c r="A197" s="46" t="n">
        <v>0.04445</v>
      </c>
      <c r="B197" s="46" t="n">
        <v>0.024288</v>
      </c>
      <c r="C197" s="46" t="n">
        <v>0.40251</v>
      </c>
      <c r="D197" s="46" t="n">
        <v>0.152809</v>
      </c>
      <c r="E197" s="46" t="n">
        <v>0.252782</v>
      </c>
      <c r="F197" s="46" t="n">
        <v>0.12316</v>
      </c>
      <c r="G197" s="47" t="n">
        <f aca="false">A197*Scorecard!$C$12+B197*Scorecard!$C$13+C197*Scorecard!$C$14+D197*Scorecard!$C$15+E197*Scorecard!$C$16+F197*Scorecard!$C$17</f>
        <v>3.85076236609993</v>
      </c>
      <c r="H197" s="47" t="n">
        <f aca="false">A197*Scorecard!$D$12+B197*Scorecard!$D$13+C197*Scorecard!$D$14+D197*Scorecard!$D$15+E197*Scorecard!$D$16+F197*Scorecard!$D$17</f>
        <v>3.0693207266826</v>
      </c>
      <c r="I197" s="47" t="n">
        <f aca="false">A197*Scorecard!$E$12+B197*Scorecard!$E$13+C197*Scorecard!$E$14+D197*Scorecard!$E$15+E197*Scorecard!$E$16+F197*Scorecard!$E$17</f>
        <v>4.06675592057927</v>
      </c>
      <c r="J197" s="0" t="str">
        <f aca="false">IF(AND(G197&gt;=H197,G197&gt;=I197),"Distribution",IF(I197&gt;=H197,"Prof. services","Manufacturing"))</f>
        <v>Prof. services</v>
      </c>
      <c r="L197" s="46" t="n">
        <v>0.104968</v>
      </c>
      <c r="M197" s="46" t="n">
        <v>0.132955</v>
      </c>
      <c r="N197" s="46" t="n">
        <v>0.277651</v>
      </c>
      <c r="O197" s="46" t="n">
        <v>0.182598</v>
      </c>
      <c r="P197" s="46" t="n">
        <v>0.094416</v>
      </c>
      <c r="Q197" s="46" t="n">
        <v>0.20741</v>
      </c>
      <c r="R197" s="47" t="n">
        <f aca="false">L197*Scorecard!$C$12+M197*Scorecard!$C$13+N197*Scorecard!$C$14+O197*Scorecard!$C$15+P197*Scorecard!$C$16+Q197*Scorecard!$C$17</f>
        <v>3.71178110305461</v>
      </c>
      <c r="S197" s="47" t="n">
        <f aca="false">L197*Scorecard!$D$12+M197*Scorecard!$D$13+N197*Scorecard!$D$14+O197*Scorecard!$D$15+P197*Scorecard!$D$16+Q197*Scorecard!$D$17</f>
        <v>2.80150475619066</v>
      </c>
      <c r="T197" s="47" t="n">
        <f aca="false">L197*Scorecard!$E$12+M197*Scorecard!$E$13+N197*Scorecard!$E$14+O197*Scorecard!$E$15+P197*Scorecard!$E$16+Q197*Scorecard!$E$17</f>
        <v>4.10955346324822</v>
      </c>
      <c r="U197" s="0" t="str">
        <f aca="false">IF(AND(R197&gt;=S197,R197&gt;=T197),"Distribution",IF(T197&gt;=S197,"Prof. services","Manufacturing"))</f>
        <v>Prof. services</v>
      </c>
    </row>
    <row r="198" customFormat="false" ht="15" hidden="false" customHeight="false" outlineLevel="0" collapsed="false">
      <c r="A198" s="46" t="n">
        <v>0.077485</v>
      </c>
      <c r="B198" s="46" t="n">
        <v>0.639769</v>
      </c>
      <c r="C198" s="46" t="n">
        <v>0.22034</v>
      </c>
      <c r="D198" s="46" t="n">
        <v>0.005868</v>
      </c>
      <c r="E198" s="46" t="n">
        <v>0.016798</v>
      </c>
      <c r="F198" s="46" t="n">
        <v>0.03974</v>
      </c>
      <c r="G198" s="47" t="n">
        <f aca="false">A198*Scorecard!$C$12+B198*Scorecard!$C$13+C198*Scorecard!$C$14+D198*Scorecard!$C$15+E198*Scorecard!$C$16+F198*Scorecard!$C$17</f>
        <v>4.42668289498882</v>
      </c>
      <c r="H198" s="47" t="n">
        <f aca="false">A198*Scorecard!$D$12+B198*Scorecard!$D$13+C198*Scorecard!$D$14+D198*Scorecard!$D$15+E198*Scorecard!$D$16+F198*Scorecard!$D$17</f>
        <v>2.04367046435188</v>
      </c>
      <c r="I198" s="47" t="n">
        <f aca="false">A198*Scorecard!$E$12+B198*Scorecard!$E$13+C198*Scorecard!$E$14+D198*Scorecard!$E$15+E198*Scorecard!$E$16+F198*Scorecard!$E$17</f>
        <v>3.090718568258</v>
      </c>
      <c r="J198" s="0" t="str">
        <f aca="false">IF(AND(G198&gt;=H198,G198&gt;=I198),"Distribution",IF(I198&gt;=H198,"Prof. services","Manufacturing"))</f>
        <v>Distribution</v>
      </c>
      <c r="L198" s="46" t="n">
        <v>0.163297</v>
      </c>
      <c r="M198" s="46" t="n">
        <v>0.119931</v>
      </c>
      <c r="N198" s="46" t="n">
        <v>0.194899</v>
      </c>
      <c r="O198" s="46" t="n">
        <v>0.247604</v>
      </c>
      <c r="P198" s="46" t="n">
        <v>0.225318</v>
      </c>
      <c r="Q198" s="46" t="n">
        <v>0.048952</v>
      </c>
      <c r="R198" s="47" t="n">
        <f aca="false">L198*Scorecard!$C$12+M198*Scorecard!$C$13+N198*Scorecard!$C$14+O198*Scorecard!$C$15+P198*Scorecard!$C$16+Q198*Scorecard!$C$17</f>
        <v>3.97569807122654</v>
      </c>
      <c r="S198" s="47" t="n">
        <f aca="false">L198*Scorecard!$D$12+M198*Scorecard!$D$13+N198*Scorecard!$D$14+O198*Scorecard!$D$15+P198*Scorecard!$D$16+Q198*Scorecard!$D$17</f>
        <v>3.21616659479359</v>
      </c>
      <c r="T198" s="47" t="n">
        <f aca="false">L198*Scorecard!$E$12+M198*Scorecard!$E$13+N198*Scorecard!$E$14+O198*Scorecard!$E$15+P198*Scorecard!$E$16+Q198*Scorecard!$E$17</f>
        <v>3.82283926663005</v>
      </c>
      <c r="U198" s="0" t="str">
        <f aca="false">IF(AND(R198&gt;=S198,R198&gt;=T198),"Distribution",IF(T198&gt;=S198,"Prof. services","Manufacturing"))</f>
        <v>Distribution</v>
      </c>
    </row>
    <row r="199" customFormat="false" ht="15" hidden="false" customHeight="false" outlineLevel="0" collapsed="false">
      <c r="A199" s="46" t="n">
        <v>0.086952</v>
      </c>
      <c r="B199" s="46" t="n">
        <v>0.040164</v>
      </c>
      <c r="C199" s="46" t="n">
        <v>0.226491</v>
      </c>
      <c r="D199" s="46" t="n">
        <v>0.11356</v>
      </c>
      <c r="E199" s="46" t="n">
        <v>0.443672</v>
      </c>
      <c r="F199" s="46" t="n">
        <v>0.089161</v>
      </c>
      <c r="G199" s="47" t="n">
        <f aca="false">A199*Scorecard!$C$12+B199*Scorecard!$C$13+C199*Scorecard!$C$14+D199*Scorecard!$C$15+E199*Scorecard!$C$16+F199*Scorecard!$C$17</f>
        <v>3.81888715998022</v>
      </c>
      <c r="H199" s="47" t="n">
        <f aca="false">A199*Scorecard!$D$12+B199*Scorecard!$D$13+C199*Scorecard!$D$14+D199*Scorecard!$D$15+E199*Scorecard!$D$16+F199*Scorecard!$D$17</f>
        <v>3.1427607162013</v>
      </c>
      <c r="I199" s="47" t="n">
        <f aca="false">A199*Scorecard!$E$12+B199*Scorecard!$E$13+C199*Scorecard!$E$14+D199*Scorecard!$E$15+E199*Scorecard!$E$16+F199*Scorecard!$E$17</f>
        <v>3.56187542939135</v>
      </c>
      <c r="J199" s="0" t="str">
        <f aca="false">IF(AND(G199&gt;=H199,G199&gt;=I199),"Distribution",IF(I199&gt;=H199,"Prof. services","Manufacturing"))</f>
        <v>Distribution</v>
      </c>
      <c r="L199" s="46" t="n">
        <v>0.107681</v>
      </c>
      <c r="M199" s="46" t="n">
        <v>0.155064</v>
      </c>
      <c r="N199" s="46" t="n">
        <v>0.224297</v>
      </c>
      <c r="O199" s="46" t="n">
        <v>0.1922</v>
      </c>
      <c r="P199" s="46" t="n">
        <v>0.226567</v>
      </c>
      <c r="Q199" s="46" t="n">
        <v>0.094191</v>
      </c>
      <c r="R199" s="47" t="n">
        <f aca="false">L199*Scorecard!$C$12+M199*Scorecard!$C$13+N199*Scorecard!$C$14+O199*Scorecard!$C$15+P199*Scorecard!$C$16+Q199*Scorecard!$C$17</f>
        <v>3.9650546643646</v>
      </c>
      <c r="S199" s="47" t="n">
        <f aca="false">L199*Scorecard!$D$12+M199*Scorecard!$D$13+N199*Scorecard!$D$14+O199*Scorecard!$D$15+P199*Scorecard!$D$16+Q199*Scorecard!$D$17</f>
        <v>2.99511167642133</v>
      </c>
      <c r="T199" s="47" t="n">
        <f aca="false">L199*Scorecard!$E$12+M199*Scorecard!$E$13+N199*Scorecard!$E$14+O199*Scorecard!$E$15+P199*Scorecard!$E$16+Q199*Scorecard!$E$17</f>
        <v>3.74216771836271</v>
      </c>
      <c r="U199" s="0" t="str">
        <f aca="false">IF(AND(R199&gt;=S199,R199&gt;=T199),"Distribution",IF(T199&gt;=S199,"Prof. services","Manufacturing"))</f>
        <v>Distribution</v>
      </c>
    </row>
    <row r="200" customFormat="false" ht="15" hidden="false" customHeight="false" outlineLevel="0" collapsed="false">
      <c r="A200" s="46" t="n">
        <v>0.095211</v>
      </c>
      <c r="B200" s="46" t="n">
        <v>0.069862</v>
      </c>
      <c r="C200" s="46" t="n">
        <v>0.135681</v>
      </c>
      <c r="D200" s="46" t="n">
        <v>0.03688</v>
      </c>
      <c r="E200" s="46" t="n">
        <v>0.22576</v>
      </c>
      <c r="F200" s="46" t="n">
        <v>0.436607</v>
      </c>
      <c r="G200" s="47" t="n">
        <f aca="false">A200*Scorecard!$C$12+B200*Scorecard!$C$13+C200*Scorecard!$C$14+D200*Scorecard!$C$15+E200*Scorecard!$C$16+F200*Scorecard!$C$17</f>
        <v>3.06215084219888</v>
      </c>
      <c r="H200" s="47" t="n">
        <f aca="false">A200*Scorecard!$D$12+B200*Scorecard!$D$13+C200*Scorecard!$D$14+D200*Scorecard!$D$15+E200*Scorecard!$D$16+F200*Scorecard!$D$17</f>
        <v>2.42106817431419</v>
      </c>
      <c r="I200" s="47" t="n">
        <f aca="false">A200*Scorecard!$E$12+B200*Scorecard!$E$13+C200*Scorecard!$E$14+D200*Scorecard!$E$15+E200*Scorecard!$E$16+F200*Scorecard!$E$17</f>
        <v>3.94795292293142</v>
      </c>
      <c r="J200" s="0" t="str">
        <f aca="false">IF(AND(G200&gt;=H200,G200&gt;=I200),"Distribution",IF(I200&gt;=H200,"Prof. services","Manufacturing"))</f>
        <v>Prof. services</v>
      </c>
      <c r="L200" s="46" t="n">
        <v>0.184322</v>
      </c>
      <c r="M200" s="46" t="n">
        <v>0.179113</v>
      </c>
      <c r="N200" s="46" t="n">
        <v>0.254317</v>
      </c>
      <c r="O200" s="46" t="n">
        <v>0.181001</v>
      </c>
      <c r="P200" s="46" t="n">
        <v>0.083908</v>
      </c>
      <c r="Q200" s="46" t="n">
        <v>0.117339</v>
      </c>
      <c r="R200" s="47" t="n">
        <f aca="false">L200*Scorecard!$C$12+M200*Scorecard!$C$13+N200*Scorecard!$C$14+O200*Scorecard!$C$15+P200*Scorecard!$C$16+Q200*Scorecard!$C$17</f>
        <v>3.79365377138967</v>
      </c>
      <c r="S200" s="47" t="n">
        <f aca="false">L200*Scorecard!$D$12+M200*Scorecard!$D$13+N200*Scorecard!$D$14+O200*Scorecard!$D$15+P200*Scorecard!$D$16+Q200*Scorecard!$D$17</f>
        <v>2.91439979592072</v>
      </c>
      <c r="T200" s="47" t="n">
        <f aca="false">L200*Scorecard!$E$12+M200*Scorecard!$E$13+N200*Scorecard!$E$14+O200*Scorecard!$E$15+P200*Scorecard!$E$16+Q200*Scorecard!$E$17</f>
        <v>4.05122384289136</v>
      </c>
      <c r="U200" s="0" t="str">
        <f aca="false">IF(AND(R200&gt;=S200,R200&gt;=T200),"Distribution",IF(T200&gt;=S200,"Prof. services","Manufacturing"))</f>
        <v>Prof. services</v>
      </c>
    </row>
    <row r="201" customFormat="false" ht="15" hidden="false" customHeight="false" outlineLevel="0" collapsed="false">
      <c r="A201" s="46" t="n">
        <v>0.021536</v>
      </c>
      <c r="B201" s="46" t="n">
        <v>0.001358</v>
      </c>
      <c r="C201" s="46" t="n">
        <v>0.165737</v>
      </c>
      <c r="D201" s="46" t="n">
        <v>0.240822</v>
      </c>
      <c r="E201" s="46" t="n">
        <v>0.404117</v>
      </c>
      <c r="F201" s="46" t="n">
        <v>0.166429</v>
      </c>
      <c r="G201" s="47" t="n">
        <f aca="false">A201*Scorecard!$C$12+B201*Scorecard!$C$13+C201*Scorecard!$C$14+D201*Scorecard!$C$15+E201*Scorecard!$C$16+F201*Scorecard!$C$17</f>
        <v>3.87055289287577</v>
      </c>
      <c r="H201" s="47" t="n">
        <f aca="false">A201*Scorecard!$D$12+B201*Scorecard!$D$13+C201*Scorecard!$D$14+D201*Scorecard!$D$15+E201*Scorecard!$D$16+F201*Scorecard!$D$17</f>
        <v>3.17603185473965</v>
      </c>
      <c r="I201" s="47" t="n">
        <f aca="false">A201*Scorecard!$E$12+B201*Scorecard!$E$13+C201*Scorecard!$E$14+D201*Scorecard!$E$15+E201*Scorecard!$E$16+F201*Scorecard!$E$17</f>
        <v>3.63392947877093</v>
      </c>
      <c r="J201" s="0" t="str">
        <f aca="false">IF(AND(G201&gt;=H201,G201&gt;=I201),"Distribution",IF(I201&gt;=H201,"Prof. services","Manufacturing"))</f>
        <v>Distribution</v>
      </c>
      <c r="L201" s="46" t="n">
        <v>0.237644</v>
      </c>
      <c r="M201" s="46" t="n">
        <v>0.245403</v>
      </c>
      <c r="N201" s="46" t="n">
        <v>0.184884</v>
      </c>
      <c r="O201" s="46" t="n">
        <v>0.135018</v>
      </c>
      <c r="P201" s="46" t="n">
        <v>0.117562</v>
      </c>
      <c r="Q201" s="46" t="n">
        <v>0.079489</v>
      </c>
      <c r="R201" s="47" t="n">
        <f aca="false">L201*Scorecard!$C$12+M201*Scorecard!$C$13+N201*Scorecard!$C$14+O201*Scorecard!$C$15+P201*Scorecard!$C$16+Q201*Scorecard!$C$17</f>
        <v>3.79368041096628</v>
      </c>
      <c r="S201" s="47" t="n">
        <f aca="false">L201*Scorecard!$D$12+M201*Scorecard!$D$13+N201*Scorecard!$D$14+O201*Scorecard!$D$15+P201*Scorecard!$D$16+Q201*Scorecard!$D$17</f>
        <v>2.86488135549755</v>
      </c>
      <c r="T201" s="47" t="n">
        <f aca="false">L201*Scorecard!$E$12+M201*Scorecard!$E$13+N201*Scorecard!$E$14+O201*Scorecard!$E$15+P201*Scorecard!$E$16+Q201*Scorecard!$E$17</f>
        <v>3.82821886306529</v>
      </c>
      <c r="U201" s="0" t="str">
        <f aca="false">IF(AND(R201&gt;=S201,R201&gt;=T201),"Distribution",IF(T201&gt;=S201,"Prof. services","Manufacturing"))</f>
        <v>Prof. services</v>
      </c>
    </row>
    <row r="202" customFormat="false" ht="15" hidden="false" customHeight="false" outlineLevel="0" collapsed="false">
      <c r="A202" s="46" t="n">
        <v>0.110076</v>
      </c>
      <c r="B202" s="46" t="n">
        <v>0.164342</v>
      </c>
      <c r="C202" s="46" t="n">
        <v>0.088948</v>
      </c>
      <c r="D202" s="46" t="n">
        <v>0.603574</v>
      </c>
      <c r="E202" s="46" t="n">
        <v>0.011791</v>
      </c>
      <c r="F202" s="46" t="n">
        <v>0.02127</v>
      </c>
      <c r="G202" s="47" t="n">
        <f aca="false">A202*Scorecard!$C$12+B202*Scorecard!$C$13+C202*Scorecard!$C$14+D202*Scorecard!$C$15+E202*Scorecard!$C$16+F202*Scorecard!$C$17</f>
        <v>4.52724163020958</v>
      </c>
      <c r="H202" s="47" t="n">
        <f aca="false">A202*Scorecard!$D$12+B202*Scorecard!$D$13+C202*Scorecard!$D$14+D202*Scorecard!$D$15+E202*Scorecard!$D$16+F202*Scorecard!$D$17</f>
        <v>3.49678337769425</v>
      </c>
      <c r="I202" s="47" t="n">
        <f aca="false">A202*Scorecard!$E$12+B202*Scorecard!$E$13+C202*Scorecard!$E$14+D202*Scorecard!$E$15+E202*Scorecard!$E$16+F202*Scorecard!$E$17</f>
        <v>3.98082620947892</v>
      </c>
      <c r="J202" s="0" t="str">
        <f aca="false">IF(AND(G202&gt;=H202,G202&gt;=I202),"Distribution",IF(I202&gt;=H202,"Prof. services","Manufacturing"))</f>
        <v>Distribution</v>
      </c>
      <c r="L202" s="46" t="n">
        <v>0.29963</v>
      </c>
      <c r="M202" s="46" t="n">
        <v>0.161933</v>
      </c>
      <c r="N202" s="46" t="n">
        <v>0.114853</v>
      </c>
      <c r="O202" s="46" t="n">
        <v>0.133539</v>
      </c>
      <c r="P202" s="46" t="n">
        <v>0.162844</v>
      </c>
      <c r="Q202" s="46" t="n">
        <v>0.127201</v>
      </c>
      <c r="R202" s="47" t="n">
        <f aca="false">L202*Scorecard!$C$12+M202*Scorecard!$C$13+N202*Scorecard!$C$14+O202*Scorecard!$C$15+P202*Scorecard!$C$16+Q202*Scorecard!$C$17</f>
        <v>3.50173172698586</v>
      </c>
      <c r="S202" s="47" t="n">
        <f aca="false">L202*Scorecard!$D$12+M202*Scorecard!$D$13+N202*Scorecard!$D$14+O202*Scorecard!$D$15+P202*Scorecard!$D$16+Q202*Scorecard!$D$17</f>
        <v>2.97292863530857</v>
      </c>
      <c r="T202" s="47" t="n">
        <f aca="false">L202*Scorecard!$E$12+M202*Scorecard!$E$13+N202*Scorecard!$E$14+O202*Scorecard!$E$15+P202*Scorecard!$E$16+Q202*Scorecard!$E$17</f>
        <v>3.92487243585365</v>
      </c>
      <c r="U202" s="0" t="str">
        <f aca="false">IF(AND(R202&gt;=S202,R202&gt;=T202),"Distribution",IF(T202&gt;=S202,"Prof. services","Manufacturing"))</f>
        <v>Prof. services</v>
      </c>
    </row>
    <row r="203" customFormat="false" ht="15" hidden="false" customHeight="false" outlineLevel="0" collapsed="false">
      <c r="A203" s="46" t="n">
        <v>0.206241</v>
      </c>
      <c r="B203" s="46" t="n">
        <v>0.085624</v>
      </c>
      <c r="C203" s="46" t="n">
        <v>0.47813</v>
      </c>
      <c r="D203" s="46" t="n">
        <v>0.117937</v>
      </c>
      <c r="E203" s="46" t="n">
        <v>0.063233</v>
      </c>
      <c r="F203" s="46" t="n">
        <v>0.048834</v>
      </c>
      <c r="G203" s="47" t="n">
        <f aca="false">A203*Scorecard!$C$12+B203*Scorecard!$C$13+C203*Scorecard!$C$14+D203*Scorecard!$C$15+E203*Scorecard!$C$16+F203*Scorecard!$C$17</f>
        <v>3.73465225880349</v>
      </c>
      <c r="H203" s="47" t="n">
        <f aca="false">A203*Scorecard!$D$12+B203*Scorecard!$D$13+C203*Scorecard!$D$14+D203*Scorecard!$D$15+E203*Scorecard!$D$16+F203*Scorecard!$D$17</f>
        <v>3.09206289699547</v>
      </c>
      <c r="I203" s="47" t="n">
        <f aca="false">A203*Scorecard!$E$12+B203*Scorecard!$E$13+C203*Scorecard!$E$14+D203*Scorecard!$E$15+E203*Scorecard!$E$16+F203*Scorecard!$E$17</f>
        <v>4.46215503047032</v>
      </c>
      <c r="J203" s="0" t="str">
        <f aca="false">IF(AND(G203&gt;=H203,G203&gt;=I203),"Distribution",IF(I203&gt;=H203,"Prof. services","Manufacturing"))</f>
        <v>Prof. services</v>
      </c>
      <c r="L203" s="46" t="n">
        <v>0.101893</v>
      </c>
      <c r="M203" s="46" t="n">
        <v>0.278476</v>
      </c>
      <c r="N203" s="46" t="n">
        <v>0.211459</v>
      </c>
      <c r="O203" s="46" t="n">
        <v>0.216728</v>
      </c>
      <c r="P203" s="46" t="n">
        <v>0.056234</v>
      </c>
      <c r="Q203" s="46" t="n">
        <v>0.135211</v>
      </c>
      <c r="R203" s="47" t="n">
        <f aca="false">L203*Scorecard!$C$12+M203*Scorecard!$C$13+N203*Scorecard!$C$14+O203*Scorecard!$C$15+P203*Scorecard!$C$16+Q203*Scorecard!$C$17</f>
        <v>4.04137714690709</v>
      </c>
      <c r="S203" s="47" t="n">
        <f aca="false">L203*Scorecard!$D$12+M203*Scorecard!$D$13+N203*Scorecard!$D$14+O203*Scorecard!$D$15+P203*Scorecard!$D$16+Q203*Scorecard!$D$17</f>
        <v>2.71613671536321</v>
      </c>
      <c r="T203" s="47" t="n">
        <f aca="false">L203*Scorecard!$E$12+M203*Scorecard!$E$13+N203*Scorecard!$E$14+O203*Scorecard!$E$15+P203*Scorecard!$E$16+Q203*Scorecard!$E$17</f>
        <v>3.80049933871844</v>
      </c>
      <c r="U203" s="0" t="str">
        <f aca="false">IF(AND(R203&gt;=S203,R203&gt;=T203),"Distribution",IF(T203&gt;=S203,"Prof. services","Manufacturing"))</f>
        <v>Distribution</v>
      </c>
    </row>
    <row r="204" customFormat="false" ht="15" hidden="false" customHeight="false" outlineLevel="0" collapsed="false">
      <c r="A204" s="46" t="n">
        <v>0.209218</v>
      </c>
      <c r="B204" s="46" t="n">
        <v>0.03861</v>
      </c>
      <c r="C204" s="46" t="n">
        <v>0.122387</v>
      </c>
      <c r="D204" s="46" t="n">
        <v>0.247146</v>
      </c>
      <c r="E204" s="46" t="n">
        <v>0.278999</v>
      </c>
      <c r="F204" s="46" t="n">
        <v>0.10364</v>
      </c>
      <c r="G204" s="47" t="n">
        <f aca="false">A204*Scorecard!$C$12+B204*Scorecard!$C$13+C204*Scorecard!$C$14+D204*Scorecard!$C$15+E204*Scorecard!$C$16+F204*Scorecard!$C$17</f>
        <v>3.70188061634859</v>
      </c>
      <c r="H204" s="47" t="n">
        <f aca="false">A204*Scorecard!$D$12+B204*Scorecard!$D$13+C204*Scorecard!$D$14+D204*Scorecard!$D$15+E204*Scorecard!$D$16+F204*Scorecard!$D$17</f>
        <v>3.30389111901032</v>
      </c>
      <c r="I204" s="47" t="n">
        <f aca="false">A204*Scorecard!$E$12+B204*Scorecard!$E$13+C204*Scorecard!$E$14+D204*Scorecard!$E$15+E204*Scorecard!$E$16+F204*Scorecard!$E$17</f>
        <v>3.88656942503538</v>
      </c>
      <c r="J204" s="0" t="str">
        <f aca="false">IF(AND(G204&gt;=H204,G204&gt;=I204),"Distribution",IF(I204&gt;=H204,"Prof. services","Manufacturing"))</f>
        <v>Prof. services</v>
      </c>
      <c r="L204" s="46" t="n">
        <v>0.156639</v>
      </c>
      <c r="M204" s="46" t="n">
        <v>0.221802</v>
      </c>
      <c r="N204" s="46" t="n">
        <v>0.336334</v>
      </c>
      <c r="O204" s="46" t="n">
        <v>0.100474</v>
      </c>
      <c r="P204" s="46" t="n">
        <v>0.13979</v>
      </c>
      <c r="Q204" s="46" t="n">
        <v>0.04496</v>
      </c>
      <c r="R204" s="47" t="n">
        <f aca="false">L204*Scorecard!$C$12+M204*Scorecard!$C$13+N204*Scorecard!$C$14+O204*Scorecard!$C$15+P204*Scorecard!$C$16+Q204*Scorecard!$C$17</f>
        <v>3.95039956617608</v>
      </c>
      <c r="S204" s="47" t="n">
        <f aca="false">L204*Scorecard!$D$12+M204*Scorecard!$D$13+N204*Scorecard!$D$14+O204*Scorecard!$D$15+P204*Scorecard!$D$16+Q204*Scorecard!$D$17</f>
        <v>2.86600900384218</v>
      </c>
      <c r="T204" s="47" t="n">
        <f aca="false">L204*Scorecard!$E$12+M204*Scorecard!$E$13+N204*Scorecard!$E$14+O204*Scorecard!$E$15+P204*Scorecard!$E$16+Q204*Scorecard!$E$17</f>
        <v>3.88294541322925</v>
      </c>
      <c r="U204" s="0" t="str">
        <f aca="false">IF(AND(R204&gt;=S204,R204&gt;=T204),"Distribution",IF(T204&gt;=S204,"Prof. services","Manufacturing"))</f>
        <v>Distribution</v>
      </c>
    </row>
    <row r="205" customFormat="false" ht="15" hidden="false" customHeight="false" outlineLevel="0" collapsed="false">
      <c r="A205" s="46" t="n">
        <v>0.007681</v>
      </c>
      <c r="B205" s="46" t="n">
        <v>0.073476</v>
      </c>
      <c r="C205" s="46" t="n">
        <v>0.088463</v>
      </c>
      <c r="D205" s="46" t="n">
        <v>0.100818</v>
      </c>
      <c r="E205" s="46" t="n">
        <v>0.044454</v>
      </c>
      <c r="F205" s="46" t="n">
        <v>0.685107</v>
      </c>
      <c r="G205" s="47" t="n">
        <f aca="false">A205*Scorecard!$C$12+B205*Scorecard!$C$13+C205*Scorecard!$C$14+D205*Scorecard!$C$15+E205*Scorecard!$C$16+F205*Scorecard!$C$17</f>
        <v>2.7902500904615</v>
      </c>
      <c r="H205" s="47" t="n">
        <f aca="false">A205*Scorecard!$D$12+B205*Scorecard!$D$13+C205*Scorecard!$D$14+D205*Scorecard!$D$15+E205*Scorecard!$D$16+F205*Scorecard!$D$17</f>
        <v>1.99865162256783</v>
      </c>
      <c r="I205" s="47" t="n">
        <f aca="false">A205*Scorecard!$E$12+B205*Scorecard!$E$13+C205*Scorecard!$E$14+D205*Scorecard!$E$15+E205*Scorecard!$E$16+F205*Scorecard!$E$17</f>
        <v>4.24333809775778</v>
      </c>
      <c r="J205" s="0" t="str">
        <f aca="false">IF(AND(G205&gt;=H205,G205&gt;=I205),"Distribution",IF(I205&gt;=H205,"Prof. services","Manufacturing"))</f>
        <v>Prof. services</v>
      </c>
      <c r="L205" s="46" t="n">
        <v>0.250581</v>
      </c>
      <c r="M205" s="46" t="n">
        <v>0.132505</v>
      </c>
      <c r="N205" s="46" t="n">
        <v>0.189456</v>
      </c>
      <c r="O205" s="46" t="n">
        <v>0.167714</v>
      </c>
      <c r="P205" s="46" t="n">
        <v>0.159577</v>
      </c>
      <c r="Q205" s="46" t="n">
        <v>0.100167</v>
      </c>
      <c r="R205" s="47" t="n">
        <f aca="false">L205*Scorecard!$C$12+M205*Scorecard!$C$13+N205*Scorecard!$C$14+O205*Scorecard!$C$15+P205*Scorecard!$C$16+Q205*Scorecard!$C$17</f>
        <v>3.64883562647213</v>
      </c>
      <c r="S205" s="47" t="n">
        <f aca="false">L205*Scorecard!$D$12+M205*Scorecard!$D$13+N205*Scorecard!$D$14+O205*Scorecard!$D$15+P205*Scorecard!$D$16+Q205*Scorecard!$D$17</f>
        <v>3.06372523892408</v>
      </c>
      <c r="T205" s="47" t="n">
        <f aca="false">L205*Scorecard!$E$12+M205*Scorecard!$E$13+N205*Scorecard!$E$14+O205*Scorecard!$E$15+P205*Scorecard!$E$16+Q205*Scorecard!$E$17</f>
        <v>4.00315769392915</v>
      </c>
      <c r="U205" s="0" t="str">
        <f aca="false">IF(AND(R205&gt;=S205,R205&gt;=T205),"Distribution",IF(T205&gt;=S205,"Prof. services","Manufacturing"))</f>
        <v>Prof. services</v>
      </c>
    </row>
    <row r="206" customFormat="false" ht="15" hidden="false" customHeight="false" outlineLevel="0" collapsed="false">
      <c r="A206" s="46" t="n">
        <v>0.359698</v>
      </c>
      <c r="B206" s="46" t="n">
        <v>0.024365</v>
      </c>
      <c r="C206" s="46" t="n">
        <v>0.021996</v>
      </c>
      <c r="D206" s="46" t="n">
        <v>0.155279</v>
      </c>
      <c r="E206" s="46" t="n">
        <v>0.41614</v>
      </c>
      <c r="F206" s="46" t="n">
        <v>0.022522</v>
      </c>
      <c r="G206" s="47" t="n">
        <f aca="false">A206*Scorecard!$C$12+B206*Scorecard!$C$13+C206*Scorecard!$C$14+D206*Scorecard!$C$15+E206*Scorecard!$C$16+F206*Scorecard!$C$17</f>
        <v>3.48713847035797</v>
      </c>
      <c r="H206" s="47" t="n">
        <f aca="false">A206*Scorecard!$D$12+B206*Scorecard!$D$13+C206*Scorecard!$D$14+D206*Scorecard!$D$15+E206*Scorecard!$D$16+F206*Scorecard!$D$17</f>
        <v>3.48571395900495</v>
      </c>
      <c r="I206" s="47" t="n">
        <f aca="false">A206*Scorecard!$E$12+B206*Scorecard!$E$13+C206*Scorecard!$E$14+D206*Scorecard!$E$15+E206*Scorecard!$E$16+F206*Scorecard!$E$17</f>
        <v>3.67917251933687</v>
      </c>
      <c r="J206" s="0" t="str">
        <f aca="false">IF(AND(G206&gt;=H206,G206&gt;=I206),"Distribution",IF(I206&gt;=H206,"Prof. services","Manufacturing"))</f>
        <v>Prof. services</v>
      </c>
      <c r="L206" s="46" t="n">
        <v>0.238671</v>
      </c>
      <c r="M206" s="46" t="n">
        <v>0.120853</v>
      </c>
      <c r="N206" s="46" t="n">
        <v>0.199197</v>
      </c>
      <c r="O206" s="46" t="n">
        <v>0.177171</v>
      </c>
      <c r="P206" s="46" t="n">
        <v>0.168121</v>
      </c>
      <c r="Q206" s="46" t="n">
        <v>0.095987</v>
      </c>
      <c r="R206" s="47" t="n">
        <f aca="false">L206*Scorecard!$C$12+M206*Scorecard!$C$13+N206*Scorecard!$C$14+O206*Scorecard!$C$15+P206*Scorecard!$C$16+Q206*Scorecard!$C$17</f>
        <v>3.67643879632027</v>
      </c>
      <c r="S206" s="47" t="n">
        <f aca="false">L206*Scorecard!$D$12+M206*Scorecard!$D$13+N206*Scorecard!$D$14+O206*Scorecard!$D$15+P206*Scorecard!$D$16+Q206*Scorecard!$D$17</f>
        <v>3.09341358764832</v>
      </c>
      <c r="T206" s="47" t="n">
        <f aca="false">L206*Scorecard!$E$12+M206*Scorecard!$E$13+N206*Scorecard!$E$14+O206*Scorecard!$E$15+P206*Scorecard!$E$16+Q206*Scorecard!$E$17</f>
        <v>4.00806503061775</v>
      </c>
      <c r="U206" s="0" t="str">
        <f aca="false">IF(AND(R206&gt;=S206,R206&gt;=T206),"Distribution",IF(T206&gt;=S206,"Prof. services","Manufacturing"))</f>
        <v>Prof. services</v>
      </c>
    </row>
    <row r="207" customFormat="false" ht="15" hidden="false" customHeight="false" outlineLevel="0" collapsed="false">
      <c r="A207" s="46" t="n">
        <v>0.191771</v>
      </c>
      <c r="B207" s="46" t="n">
        <v>0.127218</v>
      </c>
      <c r="C207" s="46" t="n">
        <v>0.198362</v>
      </c>
      <c r="D207" s="46" t="n">
        <v>0.205442</v>
      </c>
      <c r="E207" s="46" t="n">
        <v>0.164794</v>
      </c>
      <c r="F207" s="46" t="n">
        <v>0.112413</v>
      </c>
      <c r="G207" s="47" t="n">
        <f aca="false">A207*Scorecard!$C$12+B207*Scorecard!$C$13+C207*Scorecard!$C$14+D207*Scorecard!$C$15+E207*Scorecard!$C$16+F207*Scorecard!$C$17</f>
        <v>3.76264346515971</v>
      </c>
      <c r="H207" s="47" t="n">
        <f aca="false">A207*Scorecard!$D$12+B207*Scorecard!$D$13+C207*Scorecard!$D$14+D207*Scorecard!$D$15+E207*Scorecard!$D$16+F207*Scorecard!$D$17</f>
        <v>3.05985963292962</v>
      </c>
      <c r="I207" s="47" t="n">
        <f aca="false">A207*Scorecard!$E$12+B207*Scorecard!$E$13+C207*Scorecard!$E$14+D207*Scorecard!$E$15+E207*Scorecard!$E$16+F207*Scorecard!$E$17</f>
        <v>3.96678947697081</v>
      </c>
      <c r="J207" s="0" t="str">
        <f aca="false">IF(AND(G207&gt;=H207,G207&gt;=I207),"Distribution",IF(I207&gt;=H207,"Prof. services","Manufacturing"))</f>
        <v>Prof. services</v>
      </c>
      <c r="L207" s="46" t="n">
        <v>0.127051</v>
      </c>
      <c r="M207" s="46" t="n">
        <v>0.191221</v>
      </c>
      <c r="N207" s="46" t="n">
        <v>0.205683</v>
      </c>
      <c r="O207" s="46" t="n">
        <v>0.101777</v>
      </c>
      <c r="P207" s="46" t="n">
        <v>0.196288</v>
      </c>
      <c r="Q207" s="46" t="n">
        <v>0.17798</v>
      </c>
      <c r="R207" s="47" t="n">
        <f aca="false">L207*Scorecard!$C$12+M207*Scorecard!$C$13+N207*Scorecard!$C$14+O207*Scorecard!$C$15+P207*Scorecard!$C$16+Q207*Scorecard!$C$17</f>
        <v>3.70834438812963</v>
      </c>
      <c r="S207" s="47" t="n">
        <f aca="false">L207*Scorecard!$D$12+M207*Scorecard!$D$13+N207*Scorecard!$D$14+O207*Scorecard!$D$15+P207*Scorecard!$D$16+Q207*Scorecard!$D$17</f>
        <v>2.7131808937552</v>
      </c>
      <c r="T207" s="47" t="n">
        <f aca="false">L207*Scorecard!$E$12+M207*Scorecard!$E$13+N207*Scorecard!$E$14+O207*Scorecard!$E$15+P207*Scorecard!$E$16+Q207*Scorecard!$E$17</f>
        <v>3.75262825808041</v>
      </c>
      <c r="U207" s="0" t="str">
        <f aca="false">IF(AND(R207&gt;=S207,R207&gt;=T207),"Distribution",IF(T207&gt;=S207,"Prof. services","Manufacturing"))</f>
        <v>Prof. services</v>
      </c>
    </row>
    <row r="208" customFormat="false" ht="15" hidden="false" customHeight="false" outlineLevel="0" collapsed="false">
      <c r="A208" s="46" t="n">
        <v>0.324795</v>
      </c>
      <c r="B208" s="46" t="n">
        <v>0.155184</v>
      </c>
      <c r="C208" s="46" t="n">
        <v>0.132191</v>
      </c>
      <c r="D208" s="46" t="n">
        <v>0.116435</v>
      </c>
      <c r="E208" s="46" t="n">
        <v>0.217285</v>
      </c>
      <c r="F208" s="46" t="n">
        <v>0.05411</v>
      </c>
      <c r="G208" s="47" t="n">
        <f aca="false">A208*Scorecard!$C$12+B208*Scorecard!$C$13+C208*Scorecard!$C$14+D208*Scorecard!$C$15+E208*Scorecard!$C$16+F208*Scorecard!$C$17</f>
        <v>3.57876336810857</v>
      </c>
      <c r="H208" s="47" t="n">
        <f aca="false">A208*Scorecard!$D$12+B208*Scorecard!$D$13+C208*Scorecard!$D$14+D208*Scorecard!$D$15+E208*Scorecard!$D$16+F208*Scorecard!$D$17</f>
        <v>3.10766482010432</v>
      </c>
      <c r="I208" s="47" t="n">
        <f aca="false">A208*Scorecard!$E$12+B208*Scorecard!$E$13+C208*Scorecard!$E$14+D208*Scorecard!$E$15+E208*Scorecard!$E$16+F208*Scorecard!$E$17</f>
        <v>3.8499463343401</v>
      </c>
      <c r="J208" s="0" t="str">
        <f aca="false">IF(AND(G208&gt;=H208,G208&gt;=I208),"Distribution",IF(I208&gt;=H208,"Prof. services","Manufacturing"))</f>
        <v>Prof. services</v>
      </c>
      <c r="L208" s="46" t="n">
        <v>0.260752</v>
      </c>
      <c r="M208" s="46" t="n">
        <v>0.183888</v>
      </c>
      <c r="N208" s="46" t="n">
        <v>0.153498</v>
      </c>
      <c r="O208" s="46" t="n">
        <v>0.163169</v>
      </c>
      <c r="P208" s="46" t="n">
        <v>0.185492</v>
      </c>
      <c r="Q208" s="46" t="n">
        <v>0.053202</v>
      </c>
      <c r="R208" s="47" t="n">
        <f aca="false">L208*Scorecard!$C$12+M208*Scorecard!$C$13+N208*Scorecard!$C$14+O208*Scorecard!$C$15+P208*Scorecard!$C$16+Q208*Scorecard!$C$17</f>
        <v>3.77129968142381</v>
      </c>
      <c r="S208" s="47" t="n">
        <f aca="false">L208*Scorecard!$D$12+M208*Scorecard!$D$13+N208*Scorecard!$D$14+O208*Scorecard!$D$15+P208*Scorecard!$D$16+Q208*Scorecard!$D$17</f>
        <v>3.06714505157924</v>
      </c>
      <c r="T208" s="47" t="n">
        <f aca="false">L208*Scorecard!$E$12+M208*Scorecard!$E$13+N208*Scorecard!$E$14+O208*Scorecard!$E$15+P208*Scorecard!$E$16+Q208*Scorecard!$E$17</f>
        <v>3.8135813316489</v>
      </c>
      <c r="U208" s="0" t="str">
        <f aca="false">IF(AND(R208&gt;=S208,R208&gt;=T208),"Distribution",IF(T208&gt;=S208,"Prof. services","Manufacturing"))</f>
        <v>Prof. services</v>
      </c>
    </row>
    <row r="209" customFormat="false" ht="15" hidden="false" customHeight="false" outlineLevel="0" collapsed="false">
      <c r="A209" s="46" t="n">
        <v>0.487786</v>
      </c>
      <c r="B209" s="46" t="n">
        <v>0.182865</v>
      </c>
      <c r="C209" s="46" t="n">
        <v>0.02034</v>
      </c>
      <c r="D209" s="46" t="n">
        <v>0.144239</v>
      </c>
      <c r="E209" s="46" t="n">
        <v>0.149863</v>
      </c>
      <c r="F209" s="46" t="n">
        <v>0.014907</v>
      </c>
      <c r="G209" s="47" t="n">
        <f aca="false">A209*Scorecard!$C$12+B209*Scorecard!$C$13+C209*Scorecard!$C$14+D209*Scorecard!$C$15+E209*Scorecard!$C$16+F209*Scorecard!$C$17</f>
        <v>3.41926824369897</v>
      </c>
      <c r="H209" s="47" t="n">
        <f aca="false">A209*Scorecard!$D$12+B209*Scorecard!$D$13+C209*Scorecard!$D$14+D209*Scorecard!$D$15+E209*Scorecard!$D$16+F209*Scorecard!$D$17</f>
        <v>3.24229669034229</v>
      </c>
      <c r="I209" s="47" t="n">
        <f aca="false">A209*Scorecard!$E$12+B209*Scorecard!$E$13+C209*Scorecard!$E$14+D209*Scorecard!$E$15+E209*Scorecard!$E$16+F209*Scorecard!$E$17</f>
        <v>3.94649961722856</v>
      </c>
      <c r="J209" s="0" t="str">
        <f aca="false">IF(AND(G209&gt;=H209,G209&gt;=I209),"Distribution",IF(I209&gt;=H209,"Prof. services","Manufacturing"))</f>
        <v>Prof. services</v>
      </c>
      <c r="L209" s="46" t="n">
        <v>0.194188</v>
      </c>
      <c r="M209" s="46" t="n">
        <v>0.321435</v>
      </c>
      <c r="N209" s="46" t="n">
        <v>0.083873</v>
      </c>
      <c r="O209" s="46" t="n">
        <v>0.171747</v>
      </c>
      <c r="P209" s="46" t="n">
        <v>0.124326</v>
      </c>
      <c r="Q209" s="46" t="n">
        <v>0.104431</v>
      </c>
      <c r="R209" s="47" t="n">
        <f aca="false">L209*Scorecard!$C$12+M209*Scorecard!$C$13+N209*Scorecard!$C$14+O209*Scorecard!$C$15+P209*Scorecard!$C$16+Q209*Scorecard!$C$17</f>
        <v>3.93477883069095</v>
      </c>
      <c r="S209" s="47" t="n">
        <f aca="false">L209*Scorecard!$D$12+M209*Scorecard!$D$13+N209*Scorecard!$D$14+O209*Scorecard!$D$15+P209*Scorecard!$D$16+Q209*Scorecard!$D$17</f>
        <v>2.72941302088667</v>
      </c>
      <c r="T209" s="47" t="n">
        <f aca="false">L209*Scorecard!$E$12+M209*Scorecard!$E$13+N209*Scorecard!$E$14+O209*Scorecard!$E$15+P209*Scorecard!$E$16+Q209*Scorecard!$E$17</f>
        <v>3.54837246356758</v>
      </c>
      <c r="U209" s="0" t="str">
        <f aca="false">IF(AND(R209&gt;=S209,R209&gt;=T209),"Distribution",IF(T209&gt;=S209,"Prof. services","Manufacturing"))</f>
        <v>Distribution</v>
      </c>
    </row>
    <row r="210" customFormat="false" ht="15" hidden="false" customHeight="false" outlineLevel="0" collapsed="false">
      <c r="A210" s="46" t="n">
        <v>0.161458</v>
      </c>
      <c r="B210" s="46" t="n">
        <v>0.098601</v>
      </c>
      <c r="C210" s="46" t="n">
        <v>0.057966</v>
      </c>
      <c r="D210" s="46" t="n">
        <v>0.084956</v>
      </c>
      <c r="E210" s="46" t="n">
        <v>0.394253</v>
      </c>
      <c r="F210" s="46" t="n">
        <v>0.202767</v>
      </c>
      <c r="G210" s="47" t="n">
        <f aca="false">A210*Scorecard!$C$12+B210*Scorecard!$C$13+C210*Scorecard!$C$14+D210*Scorecard!$C$15+E210*Scorecard!$C$16+F210*Scorecard!$C$17</f>
        <v>3.48740029745247</v>
      </c>
      <c r="H210" s="47" t="n">
        <f aca="false">A210*Scorecard!$D$12+B210*Scorecard!$D$13+C210*Scorecard!$D$14+D210*Scorecard!$D$15+E210*Scorecard!$D$16+F210*Scorecard!$D$17</f>
        <v>2.88426936180849</v>
      </c>
      <c r="I210" s="47" t="n">
        <f aca="false">A210*Scorecard!$E$12+B210*Scorecard!$E$13+C210*Scorecard!$E$14+D210*Scorecard!$E$15+E210*Scorecard!$E$16+F210*Scorecard!$E$17</f>
        <v>3.49273051063943</v>
      </c>
      <c r="J210" s="0" t="str">
        <f aca="false">IF(AND(G210&gt;=H210,G210&gt;=I210),"Distribution",IF(I210&gt;=H210,"Prof. services","Manufacturing"))</f>
        <v>Prof. services</v>
      </c>
      <c r="L210" s="46" t="n">
        <v>0.298578</v>
      </c>
      <c r="M210" s="46" t="n">
        <v>0.161897</v>
      </c>
      <c r="N210" s="46" t="n">
        <v>0.152389</v>
      </c>
      <c r="O210" s="46" t="n">
        <v>0.1645</v>
      </c>
      <c r="P210" s="46" t="n">
        <v>0.139836</v>
      </c>
      <c r="Q210" s="46" t="n">
        <v>0.082801</v>
      </c>
      <c r="R210" s="47" t="n">
        <f aca="false">L210*Scorecard!$C$12+M210*Scorecard!$C$13+N210*Scorecard!$C$14+O210*Scorecard!$C$15+P210*Scorecard!$C$16+Q210*Scorecard!$C$17</f>
        <v>3.6233543419884</v>
      </c>
      <c r="S210" s="47" t="n">
        <f aca="false">L210*Scorecard!$D$12+M210*Scorecard!$D$13+N210*Scorecard!$D$14+O210*Scorecard!$D$15+P210*Scorecard!$D$16+Q210*Scorecard!$D$17</f>
        <v>3.06706316902052</v>
      </c>
      <c r="T210" s="47" t="n">
        <f aca="false">L210*Scorecard!$E$12+M210*Scorecard!$E$13+N210*Scorecard!$E$14+O210*Scorecard!$E$15+P210*Scorecard!$E$16+Q210*Scorecard!$E$17</f>
        <v>3.98265564129634</v>
      </c>
      <c r="U210" s="0" t="str">
        <f aca="false">IF(AND(R210&gt;=S210,R210&gt;=T210),"Distribution",IF(T210&gt;=S210,"Prof. services","Manufacturing"))</f>
        <v>Prof. services</v>
      </c>
    </row>
    <row r="211" customFormat="false" ht="15" hidden="false" customHeight="false" outlineLevel="0" collapsed="false">
      <c r="A211" s="46" t="n">
        <v>0.073217</v>
      </c>
      <c r="B211" s="46" t="n">
        <v>0.048418</v>
      </c>
      <c r="C211" s="46" t="n">
        <v>0.378511</v>
      </c>
      <c r="D211" s="46" t="n">
        <v>0.129452</v>
      </c>
      <c r="E211" s="46" t="n">
        <v>0.253726</v>
      </c>
      <c r="F211" s="46" t="n">
        <v>0.116675</v>
      </c>
      <c r="G211" s="47" t="n">
        <f aca="false">A211*Scorecard!$C$12+B211*Scorecard!$C$13+C211*Scorecard!$C$14+D211*Scorecard!$C$15+E211*Scorecard!$C$16+F211*Scorecard!$C$17</f>
        <v>3.81272435585463</v>
      </c>
      <c r="H211" s="47" t="n">
        <f aca="false">A211*Scorecard!$D$12+B211*Scorecard!$D$13+C211*Scorecard!$D$14+D211*Scorecard!$D$15+E211*Scorecard!$D$16+F211*Scorecard!$D$17</f>
        <v>3.0351067046663</v>
      </c>
      <c r="I211" s="47" t="n">
        <f aca="false">A211*Scorecard!$E$12+B211*Scorecard!$E$13+C211*Scorecard!$E$14+D211*Scorecard!$E$15+E211*Scorecard!$E$16+F211*Scorecard!$E$17</f>
        <v>4.01761703669598</v>
      </c>
      <c r="J211" s="0" t="str">
        <f aca="false">IF(AND(G211&gt;=H211,G211&gt;=I211),"Distribution",IF(I211&gt;=H211,"Prof. services","Manufacturing"))</f>
        <v>Prof. services</v>
      </c>
      <c r="L211" s="46" t="n">
        <v>0.174551</v>
      </c>
      <c r="M211" s="46" t="n">
        <v>0.244277</v>
      </c>
      <c r="N211" s="46" t="n">
        <v>0.214446</v>
      </c>
      <c r="O211" s="46" t="n">
        <v>0.098553</v>
      </c>
      <c r="P211" s="46" t="n">
        <v>0.215561</v>
      </c>
      <c r="Q211" s="46" t="n">
        <v>0.052612</v>
      </c>
      <c r="R211" s="47" t="n">
        <f aca="false">L211*Scorecard!$C$12+M211*Scorecard!$C$13+N211*Scorecard!$C$14+O211*Scorecard!$C$15+P211*Scorecard!$C$16+Q211*Scorecard!$C$17</f>
        <v>3.9234117107336</v>
      </c>
      <c r="S211" s="47" t="n">
        <f aca="false">L211*Scorecard!$D$12+M211*Scorecard!$D$13+N211*Scorecard!$D$14+O211*Scorecard!$D$15+P211*Scorecard!$D$16+Q211*Scorecard!$D$17</f>
        <v>2.85566390980237</v>
      </c>
      <c r="T211" s="47" t="n">
        <f aca="false">L211*Scorecard!$E$12+M211*Scorecard!$E$13+N211*Scorecard!$E$14+O211*Scorecard!$E$15+P211*Scorecard!$E$16+Q211*Scorecard!$E$17</f>
        <v>3.61404532749559</v>
      </c>
      <c r="U211" s="0" t="str">
        <f aca="false">IF(AND(R211&gt;=S211,R211&gt;=T211),"Distribution",IF(T211&gt;=S211,"Prof. services","Manufacturing"))</f>
        <v>Distribution</v>
      </c>
    </row>
    <row r="212" customFormat="false" ht="15" hidden="false" customHeight="false" outlineLevel="0" collapsed="false">
      <c r="A212" s="46" t="n">
        <v>0.037694</v>
      </c>
      <c r="B212" s="46" t="n">
        <v>0.17683</v>
      </c>
      <c r="C212" s="46" t="n">
        <v>0.091275</v>
      </c>
      <c r="D212" s="46" t="n">
        <v>0.130513</v>
      </c>
      <c r="E212" s="46" t="n">
        <v>0.23872</v>
      </c>
      <c r="F212" s="46" t="n">
        <v>0.324967</v>
      </c>
      <c r="G212" s="47" t="n">
        <f aca="false">A212*Scorecard!$C$12+B212*Scorecard!$C$13+C212*Scorecard!$C$14+D212*Scorecard!$C$15+E212*Scorecard!$C$16+F212*Scorecard!$C$17</f>
        <v>3.58955526244703</v>
      </c>
      <c r="H212" s="47" t="n">
        <f aca="false">A212*Scorecard!$D$12+B212*Scorecard!$D$13+C212*Scorecard!$D$14+D212*Scorecard!$D$15+E212*Scorecard!$D$16+F212*Scorecard!$D$17</f>
        <v>2.502683608471</v>
      </c>
      <c r="I212" s="47" t="n">
        <f aca="false">A212*Scorecard!$E$12+B212*Scorecard!$E$13+C212*Scorecard!$E$14+D212*Scorecard!$E$15+E212*Scorecard!$E$16+F212*Scorecard!$E$17</f>
        <v>3.58334021065589</v>
      </c>
      <c r="J212" s="0" t="str">
        <f aca="false">IF(AND(G212&gt;=H212,G212&gt;=I212),"Distribution",IF(I212&gt;=H212,"Prof. services","Manufacturing"))</f>
        <v>Distribution</v>
      </c>
      <c r="L212" s="46" t="n">
        <v>0.192843</v>
      </c>
      <c r="M212" s="46" t="n">
        <v>0.201819</v>
      </c>
      <c r="N212" s="46" t="n">
        <v>0.16248</v>
      </c>
      <c r="O212" s="46" t="n">
        <v>0.248394</v>
      </c>
      <c r="P212" s="46" t="n">
        <v>0.114022</v>
      </c>
      <c r="Q212" s="46" t="n">
        <v>0.080442</v>
      </c>
      <c r="R212" s="47" t="n">
        <f aca="false">L212*Scorecard!$C$12+M212*Scorecard!$C$13+N212*Scorecard!$C$14+O212*Scorecard!$C$15+P212*Scorecard!$C$16+Q212*Scorecard!$C$17</f>
        <v>3.94220884987195</v>
      </c>
      <c r="S212" s="47" t="n">
        <f aca="false">L212*Scorecard!$D$12+M212*Scorecard!$D$13+N212*Scorecard!$D$14+O212*Scorecard!$D$15+P212*Scorecard!$D$16+Q212*Scorecard!$D$17</f>
        <v>3.02934699499075</v>
      </c>
      <c r="T212" s="47" t="n">
        <f aca="false">L212*Scorecard!$E$12+M212*Scorecard!$E$13+N212*Scorecard!$E$14+O212*Scorecard!$E$15+P212*Scorecard!$E$16+Q212*Scorecard!$E$17</f>
        <v>3.86774213469514</v>
      </c>
      <c r="U212" s="0" t="str">
        <f aca="false">IF(AND(R212&gt;=S212,R212&gt;=T212),"Distribution",IF(T212&gt;=S212,"Prof. services","Manufacturing"))</f>
        <v>Distribution</v>
      </c>
    </row>
    <row r="213" customFormat="false" ht="15" hidden="false" customHeight="false" outlineLevel="0" collapsed="false">
      <c r="A213" s="46" t="n">
        <v>0.217335</v>
      </c>
      <c r="B213" s="46" t="n">
        <v>0.166447</v>
      </c>
      <c r="C213" s="46" t="n">
        <v>0.271319</v>
      </c>
      <c r="D213" s="46" t="n">
        <v>0.055196</v>
      </c>
      <c r="E213" s="46" t="n">
        <v>0.066283</v>
      </c>
      <c r="F213" s="46" t="n">
        <v>0.22342</v>
      </c>
      <c r="G213" s="47" t="n">
        <f aca="false">A213*Scorecard!$C$12+B213*Scorecard!$C$13+C213*Scorecard!$C$14+D213*Scorecard!$C$15+E213*Scorecard!$C$16+F213*Scorecard!$C$17</f>
        <v>3.3835969005923</v>
      </c>
      <c r="H213" s="47" t="n">
        <f aca="false">A213*Scorecard!$D$12+B213*Scorecard!$D$13+C213*Scorecard!$D$14+D213*Scorecard!$D$15+E213*Scorecard!$D$16+F213*Scorecard!$D$17</f>
        <v>2.64458464464099</v>
      </c>
      <c r="I213" s="47" t="n">
        <f aca="false">A213*Scorecard!$E$12+B213*Scorecard!$E$13+C213*Scorecard!$E$14+D213*Scorecard!$E$15+E213*Scorecard!$E$16+F213*Scorecard!$E$17</f>
        <v>4.18676464394691</v>
      </c>
      <c r="J213" s="0" t="str">
        <f aca="false">IF(AND(G213&gt;=H213,G213&gt;=I213),"Distribution",IF(I213&gt;=H213,"Prof. services","Manufacturing"))</f>
        <v>Prof. services</v>
      </c>
      <c r="L213" s="46" t="n">
        <v>0.343497</v>
      </c>
      <c r="M213" s="46" t="n">
        <v>0.190073</v>
      </c>
      <c r="N213" s="46" t="n">
        <v>0.132467</v>
      </c>
      <c r="O213" s="46" t="n">
        <v>0.180412</v>
      </c>
      <c r="P213" s="46" t="n">
        <v>0.101442</v>
      </c>
      <c r="Q213" s="46" t="n">
        <v>0.052109</v>
      </c>
      <c r="R213" s="47" t="n">
        <f aca="false">L213*Scorecard!$C$12+M213*Scorecard!$C$13+N213*Scorecard!$C$14+O213*Scorecard!$C$15+P213*Scorecard!$C$16+Q213*Scorecard!$C$17</f>
        <v>3.64796750139993</v>
      </c>
      <c r="S213" s="47" t="n">
        <f aca="false">L213*Scorecard!$D$12+M213*Scorecard!$D$13+N213*Scorecard!$D$14+O213*Scorecard!$D$15+P213*Scorecard!$D$16+Q213*Scorecard!$D$17</f>
        <v>3.106099526103</v>
      </c>
      <c r="T213" s="47" t="n">
        <f aca="false">L213*Scorecard!$E$12+M213*Scorecard!$E$13+N213*Scorecard!$E$14+O213*Scorecard!$E$15+P213*Scorecard!$E$16+Q213*Scorecard!$E$17</f>
        <v>4.00605740919315</v>
      </c>
      <c r="U213" s="0" t="str">
        <f aca="false">IF(AND(R213&gt;=S213,R213&gt;=T213),"Distribution",IF(T213&gt;=S213,"Prof. services","Manufacturing"))</f>
        <v>Prof. services</v>
      </c>
    </row>
    <row r="214" customFormat="false" ht="15" hidden="false" customHeight="false" outlineLevel="0" collapsed="false">
      <c r="A214" s="46" t="n">
        <v>0.069101</v>
      </c>
      <c r="B214" s="46" t="n">
        <v>0.068039</v>
      </c>
      <c r="C214" s="46" t="n">
        <v>0.380451</v>
      </c>
      <c r="D214" s="46" t="n">
        <v>0.302689</v>
      </c>
      <c r="E214" s="46" t="n">
        <v>0.071299</v>
      </c>
      <c r="F214" s="46" t="n">
        <v>0.108421</v>
      </c>
      <c r="G214" s="47" t="n">
        <f aca="false">A214*Scorecard!$C$12+B214*Scorecard!$C$13+C214*Scorecard!$C$14+D214*Scorecard!$C$15+E214*Scorecard!$C$16+F214*Scorecard!$C$17</f>
        <v>4.02950321455278</v>
      </c>
      <c r="H214" s="47" t="n">
        <f aca="false">A214*Scorecard!$D$12+B214*Scorecard!$D$13+C214*Scorecard!$D$14+D214*Scorecard!$D$15+E214*Scorecard!$D$16+F214*Scorecard!$D$17</f>
        <v>3.15505800956641</v>
      </c>
      <c r="I214" s="47" t="n">
        <f aca="false">A214*Scorecard!$E$12+B214*Scorecard!$E$13+C214*Scorecard!$E$14+D214*Scorecard!$E$15+E214*Scorecard!$E$16+F214*Scorecard!$E$17</f>
        <v>4.30699210195381</v>
      </c>
      <c r="J214" s="0" t="str">
        <f aca="false">IF(AND(G214&gt;=H214,G214&gt;=I214),"Distribution",IF(I214&gt;=H214,"Prof. services","Manufacturing"))</f>
        <v>Prof. services</v>
      </c>
      <c r="L214" s="46" t="n">
        <v>0.118942</v>
      </c>
      <c r="M214" s="46" t="n">
        <v>0.126309</v>
      </c>
      <c r="N214" s="46" t="n">
        <v>0.130681</v>
      </c>
      <c r="O214" s="46" t="n">
        <v>0.468605</v>
      </c>
      <c r="P214" s="46" t="n">
        <v>0.080625</v>
      </c>
      <c r="Q214" s="46" t="n">
        <v>0.074838</v>
      </c>
      <c r="R214" s="47" t="n">
        <f aca="false">L214*Scorecard!$C$12+M214*Scorecard!$C$13+N214*Scorecard!$C$14+O214*Scorecard!$C$15+P214*Scorecard!$C$16+Q214*Scorecard!$C$17</f>
        <v>4.23114070377183</v>
      </c>
      <c r="S214" s="47" t="n">
        <f aca="false">L214*Scorecard!$D$12+M214*Scorecard!$D$13+N214*Scorecard!$D$14+O214*Scorecard!$D$15+P214*Scorecard!$D$16+Q214*Scorecard!$D$17</f>
        <v>3.34607140906389</v>
      </c>
      <c r="T214" s="47" t="n">
        <f aca="false">L214*Scorecard!$E$12+M214*Scorecard!$E$13+N214*Scorecard!$E$14+O214*Scorecard!$E$15+P214*Scorecard!$E$16+Q214*Scorecard!$E$17</f>
        <v>3.99266629991308</v>
      </c>
      <c r="U214" s="0" t="str">
        <f aca="false">IF(AND(R214&gt;=S214,R214&gt;=T214),"Distribution",IF(T214&gt;=S214,"Prof. services","Manufacturing"))</f>
        <v>Distribution</v>
      </c>
    </row>
    <row r="215" customFormat="false" ht="15" hidden="false" customHeight="false" outlineLevel="0" collapsed="false">
      <c r="A215" s="46" t="n">
        <v>0.295487</v>
      </c>
      <c r="B215" s="46" t="n">
        <v>0.016719</v>
      </c>
      <c r="C215" s="46" t="n">
        <v>0.216246</v>
      </c>
      <c r="D215" s="46" t="n">
        <v>0.031802</v>
      </c>
      <c r="E215" s="46" t="n">
        <v>0.331112</v>
      </c>
      <c r="F215" s="46" t="n">
        <v>0.108634</v>
      </c>
      <c r="G215" s="47" t="n">
        <f aca="false">A215*Scorecard!$C$12+B215*Scorecard!$C$13+C215*Scorecard!$C$14+D215*Scorecard!$C$15+E215*Scorecard!$C$16+F215*Scorecard!$C$17</f>
        <v>3.29937218606905</v>
      </c>
      <c r="H215" s="47" t="n">
        <f aca="false">A215*Scorecard!$D$12+B215*Scorecard!$D$13+C215*Scorecard!$D$14+D215*Scorecard!$D$15+E215*Scorecard!$D$16+F215*Scorecard!$D$17</f>
        <v>3.15432337815634</v>
      </c>
      <c r="I215" s="47" t="n">
        <f aca="false">A215*Scorecard!$E$12+B215*Scorecard!$E$13+C215*Scorecard!$E$14+D215*Scorecard!$E$15+E215*Scorecard!$E$16+F215*Scorecard!$E$17</f>
        <v>3.98805775295652</v>
      </c>
      <c r="J215" s="0" t="str">
        <f aca="false">IF(AND(G215&gt;=H215,G215&gt;=I215),"Distribution",IF(I215&gt;=H215,"Prof. services","Manufacturing"))</f>
        <v>Prof. services</v>
      </c>
      <c r="L215" s="46" t="n">
        <v>0.181747</v>
      </c>
      <c r="M215" s="46" t="n">
        <v>0.242877</v>
      </c>
      <c r="N215" s="46" t="n">
        <v>0.252931</v>
      </c>
      <c r="O215" s="46" t="n">
        <v>0.094594</v>
      </c>
      <c r="P215" s="46" t="n">
        <v>0.145665</v>
      </c>
      <c r="Q215" s="46" t="n">
        <v>0.082186</v>
      </c>
      <c r="R215" s="47" t="n">
        <f aca="false">L215*Scorecard!$C$12+M215*Scorecard!$C$13+N215*Scorecard!$C$14+O215*Scorecard!$C$15+P215*Scorecard!$C$16+Q215*Scorecard!$C$17</f>
        <v>3.84595180811167</v>
      </c>
      <c r="S215" s="47" t="n">
        <f aca="false">L215*Scorecard!$D$12+M215*Scorecard!$D$13+N215*Scorecard!$D$14+O215*Scorecard!$D$15+P215*Scorecard!$D$16+Q215*Scorecard!$D$17</f>
        <v>2.79027585552237</v>
      </c>
      <c r="T215" s="47" t="n">
        <f aca="false">L215*Scorecard!$E$12+M215*Scorecard!$E$13+N215*Scorecard!$E$14+O215*Scorecard!$E$15+P215*Scorecard!$E$16+Q215*Scorecard!$E$17</f>
        <v>3.79298277088107</v>
      </c>
      <c r="U215" s="0" t="str">
        <f aca="false">IF(AND(R215&gt;=S215,R215&gt;=T215),"Distribution",IF(T215&gt;=S215,"Prof. services","Manufacturing"))</f>
        <v>Distribution</v>
      </c>
    </row>
    <row r="216" customFormat="false" ht="15" hidden="false" customHeight="false" outlineLevel="0" collapsed="false">
      <c r="A216" s="46" t="n">
        <v>0.08054</v>
      </c>
      <c r="B216" s="46" t="n">
        <v>0.000222</v>
      </c>
      <c r="C216" s="46" t="n">
        <v>0.014902</v>
      </c>
      <c r="D216" s="46" t="n">
        <v>0.182145</v>
      </c>
      <c r="E216" s="46" t="n">
        <v>0.7056</v>
      </c>
      <c r="F216" s="46" t="n">
        <v>0.016591</v>
      </c>
      <c r="G216" s="47" t="n">
        <f aca="false">A216*Scorecard!$C$12+B216*Scorecard!$C$13+C216*Scorecard!$C$14+D216*Scorecard!$C$15+E216*Scorecard!$C$16+F216*Scorecard!$C$17</f>
        <v>4.00421185142156</v>
      </c>
      <c r="H216" s="47" t="n">
        <f aca="false">A216*Scorecard!$D$12+B216*Scorecard!$D$13+C216*Scorecard!$D$14+D216*Scorecard!$D$15+E216*Scorecard!$D$16+F216*Scorecard!$D$17</f>
        <v>3.47403945137165</v>
      </c>
      <c r="I216" s="47" t="n">
        <f aca="false">A216*Scorecard!$E$12+B216*Scorecard!$E$13+C216*Scorecard!$E$14+D216*Scorecard!$E$15+E216*Scorecard!$E$16+F216*Scorecard!$E$17</f>
        <v>2.95721298207852</v>
      </c>
      <c r="J216" s="0" t="str">
        <f aca="false">IF(AND(G216&gt;=H216,G216&gt;=I216),"Distribution",IF(I216&gt;=H216,"Prof. services","Manufacturing"))</f>
        <v>Distribution</v>
      </c>
      <c r="L216" s="46" t="n">
        <v>0.161547</v>
      </c>
      <c r="M216" s="46" t="n">
        <v>0.170286</v>
      </c>
      <c r="N216" s="46" t="n">
        <v>0.188592</v>
      </c>
      <c r="O216" s="46" t="n">
        <v>0.088442</v>
      </c>
      <c r="P216" s="46" t="n">
        <v>0.198167</v>
      </c>
      <c r="Q216" s="46" t="n">
        <v>0.192966</v>
      </c>
      <c r="R216" s="47" t="n">
        <f aca="false">L216*Scorecard!$C$12+M216*Scorecard!$C$13+N216*Scorecard!$C$14+O216*Scorecard!$C$15+P216*Scorecard!$C$16+Q216*Scorecard!$C$17</f>
        <v>3.58200909618324</v>
      </c>
      <c r="S216" s="47" t="n">
        <f aca="false">L216*Scorecard!$D$12+M216*Scorecard!$D$13+N216*Scorecard!$D$14+O216*Scorecard!$D$15+P216*Scorecard!$D$16+Q216*Scorecard!$D$17</f>
        <v>2.73010085917151</v>
      </c>
      <c r="T216" s="47" t="n">
        <f aca="false">L216*Scorecard!$E$12+M216*Scorecard!$E$13+N216*Scorecard!$E$14+O216*Scorecard!$E$15+P216*Scorecard!$E$16+Q216*Scorecard!$E$17</f>
        <v>3.81147160627786</v>
      </c>
      <c r="U216" s="0" t="str">
        <f aca="false">IF(AND(R216&gt;=S216,R216&gt;=T216),"Distribution",IF(T216&gt;=S216,"Prof. services","Manufacturing"))</f>
        <v>Prof. services</v>
      </c>
    </row>
    <row r="217" customFormat="false" ht="15" hidden="false" customHeight="false" outlineLevel="0" collapsed="false">
      <c r="A217" s="46" t="n">
        <v>0.243723</v>
      </c>
      <c r="B217" s="46" t="n">
        <v>0.407734</v>
      </c>
      <c r="C217" s="46" t="n">
        <v>0.07817</v>
      </c>
      <c r="D217" s="46" t="n">
        <v>0.243712</v>
      </c>
      <c r="E217" s="46" t="n">
        <v>0.00299</v>
      </c>
      <c r="F217" s="46" t="n">
        <v>0.023672</v>
      </c>
      <c r="G217" s="47" t="n">
        <f aca="false">A217*Scorecard!$C$12+B217*Scorecard!$C$13+C217*Scorecard!$C$14+D217*Scorecard!$C$15+E217*Scorecard!$C$16+F217*Scorecard!$C$17</f>
        <v>4.16540112427385</v>
      </c>
      <c r="H217" s="47" t="n">
        <f aca="false">A217*Scorecard!$D$12+B217*Scorecard!$D$13+C217*Scorecard!$D$14+D217*Scorecard!$D$15+E217*Scorecard!$D$16+F217*Scorecard!$D$17</f>
        <v>2.79660416067887</v>
      </c>
      <c r="I217" s="47" t="n">
        <f aca="false">A217*Scorecard!$E$12+B217*Scorecard!$E$13+C217*Scorecard!$E$14+D217*Scorecard!$E$15+E217*Scorecard!$E$16+F217*Scorecard!$E$17</f>
        <v>3.60400449577735</v>
      </c>
      <c r="J217" s="0" t="str">
        <f aca="false">IF(AND(G217&gt;=H217,G217&gt;=I217),"Distribution",IF(I217&gt;=H217,"Prof. services","Manufacturing"))</f>
        <v>Distribution</v>
      </c>
      <c r="L217" s="46" t="n">
        <v>0.14754</v>
      </c>
      <c r="M217" s="46" t="n">
        <v>0.381673</v>
      </c>
      <c r="N217" s="46" t="n">
        <v>0.137644</v>
      </c>
      <c r="O217" s="46" t="n">
        <v>0.131867</v>
      </c>
      <c r="P217" s="46" t="n">
        <v>0.117861</v>
      </c>
      <c r="Q217" s="46" t="n">
        <v>0.083416</v>
      </c>
      <c r="R217" s="47" t="n">
        <f aca="false">L217*Scorecard!$C$12+M217*Scorecard!$C$13+N217*Scorecard!$C$14+O217*Scorecard!$C$15+P217*Scorecard!$C$16+Q217*Scorecard!$C$17</f>
        <v>4.08113789593663</v>
      </c>
      <c r="S217" s="47" t="n">
        <f aca="false">L217*Scorecard!$D$12+M217*Scorecard!$D$13+N217*Scorecard!$D$14+O217*Scorecard!$D$15+P217*Scorecard!$D$16+Q217*Scorecard!$D$17</f>
        <v>2.59138613949474</v>
      </c>
      <c r="T217" s="47" t="n">
        <f aca="false">L217*Scorecard!$E$12+M217*Scorecard!$E$13+N217*Scorecard!$E$14+O217*Scorecard!$E$15+P217*Scorecard!$E$16+Q217*Scorecard!$E$17</f>
        <v>3.43624060441593</v>
      </c>
      <c r="U217" s="0" t="str">
        <f aca="false">IF(AND(R217&gt;=S217,R217&gt;=T217),"Distribution",IF(T217&gt;=S217,"Prof. services","Manufacturing"))</f>
        <v>Distribution</v>
      </c>
    </row>
    <row r="218" customFormat="false" ht="15" hidden="false" customHeight="false" outlineLevel="0" collapsed="false">
      <c r="A218" s="46" t="n">
        <v>0.057008</v>
      </c>
      <c r="B218" s="46" t="n">
        <v>0.110552</v>
      </c>
      <c r="C218" s="46" t="n">
        <v>0.247007</v>
      </c>
      <c r="D218" s="46" t="n">
        <v>0.347013</v>
      </c>
      <c r="E218" s="46" t="n">
        <v>0.094895</v>
      </c>
      <c r="F218" s="46" t="n">
        <v>0.143525</v>
      </c>
      <c r="G218" s="47" t="n">
        <f aca="false">A218*Scorecard!$C$12+B218*Scorecard!$C$13+C218*Scorecard!$C$14+D218*Scorecard!$C$15+E218*Scorecard!$C$16+F218*Scorecard!$C$17</f>
        <v>4.06789978701068</v>
      </c>
      <c r="H218" s="47" t="n">
        <f aca="false">A218*Scorecard!$D$12+B218*Scorecard!$D$13+C218*Scorecard!$D$14+D218*Scorecard!$D$15+E218*Scorecard!$D$16+F218*Scorecard!$D$17</f>
        <v>3.08977851263045</v>
      </c>
      <c r="I218" s="47" t="n">
        <f aca="false">A218*Scorecard!$E$12+B218*Scorecard!$E$13+C218*Scorecard!$E$14+D218*Scorecard!$E$15+E218*Scorecard!$E$16+F218*Scorecard!$E$17</f>
        <v>4.06721760522444</v>
      </c>
      <c r="J218" s="0" t="str">
        <f aca="false">IF(AND(G218&gt;=H218,G218&gt;=I218),"Distribution",IF(I218&gt;=H218,"Prof. services","Manufacturing"))</f>
        <v>Distribution</v>
      </c>
      <c r="L218" s="46" t="n">
        <v>0.314799</v>
      </c>
      <c r="M218" s="46" t="n">
        <v>0.193386</v>
      </c>
      <c r="N218" s="46" t="n">
        <v>0.126723</v>
      </c>
      <c r="O218" s="46" t="n">
        <v>0.11474</v>
      </c>
      <c r="P218" s="46" t="n">
        <v>0.140441</v>
      </c>
      <c r="Q218" s="46" t="n">
        <v>0.109911</v>
      </c>
      <c r="R218" s="47" t="n">
        <f aca="false">L218*Scorecard!$C$12+M218*Scorecard!$C$13+N218*Scorecard!$C$14+O218*Scorecard!$C$15+P218*Scorecard!$C$16+Q218*Scorecard!$C$17</f>
        <v>3.52166131066122</v>
      </c>
      <c r="S218" s="47" t="n">
        <f aca="false">L218*Scorecard!$D$12+M218*Scorecard!$D$13+N218*Scorecard!$D$14+O218*Scorecard!$D$15+P218*Scorecard!$D$16+Q218*Scorecard!$D$17</f>
        <v>2.93244232470711</v>
      </c>
      <c r="T218" s="47" t="n">
        <f aca="false">L218*Scorecard!$E$12+M218*Scorecard!$E$13+N218*Scorecard!$E$14+O218*Scorecard!$E$15+P218*Scorecard!$E$16+Q218*Scorecard!$E$17</f>
        <v>3.91852680563619</v>
      </c>
      <c r="U218" s="0" t="str">
        <f aca="false">IF(AND(R218&gt;=S218,R218&gt;=T218),"Distribution",IF(T218&gt;=S218,"Prof. services","Manufacturing"))</f>
        <v>Prof. services</v>
      </c>
    </row>
    <row r="219" customFormat="false" ht="15" hidden="false" customHeight="false" outlineLevel="0" collapsed="false">
      <c r="A219" s="46" t="n">
        <v>0.307345</v>
      </c>
      <c r="B219" s="46" t="n">
        <v>0.06068</v>
      </c>
      <c r="C219" s="46" t="n">
        <v>0.040764</v>
      </c>
      <c r="D219" s="46" t="n">
        <v>0.131963</v>
      </c>
      <c r="E219" s="46" t="n">
        <v>0.417944</v>
      </c>
      <c r="F219" s="46" t="n">
        <v>0.041304</v>
      </c>
      <c r="G219" s="47" t="n">
        <f aca="false">A219*Scorecard!$C$12+B219*Scorecard!$C$13+C219*Scorecard!$C$14+D219*Scorecard!$C$15+E219*Scorecard!$C$16+F219*Scorecard!$C$17</f>
        <v>3.55680961696248</v>
      </c>
      <c r="H219" s="47" t="n">
        <f aca="false">A219*Scorecard!$D$12+B219*Scorecard!$D$13+C219*Scorecard!$D$14+D219*Scorecard!$D$15+E219*Scorecard!$D$16+F219*Scorecard!$D$17</f>
        <v>3.3420601180278</v>
      </c>
      <c r="I219" s="47" t="n">
        <f aca="false">A219*Scorecard!$E$12+B219*Scorecard!$E$13+C219*Scorecard!$E$14+D219*Scorecard!$E$15+E219*Scorecard!$E$16+F219*Scorecard!$E$17</f>
        <v>3.58003349648149</v>
      </c>
      <c r="J219" s="0" t="str">
        <f aca="false">IF(AND(G219&gt;=H219,G219&gt;=I219),"Distribution",IF(I219&gt;=H219,"Prof. services","Manufacturing"))</f>
        <v>Prof. services</v>
      </c>
      <c r="L219" s="46" t="n">
        <v>0.149047</v>
      </c>
      <c r="M219" s="46" t="n">
        <v>0.155904</v>
      </c>
      <c r="N219" s="46" t="n">
        <v>0.227284</v>
      </c>
      <c r="O219" s="46" t="n">
        <v>0.172334</v>
      </c>
      <c r="P219" s="46" t="n">
        <v>0.228604</v>
      </c>
      <c r="Q219" s="46" t="n">
        <v>0.066826</v>
      </c>
      <c r="R219" s="47" t="n">
        <f aca="false">L219*Scorecard!$C$12+M219*Scorecard!$C$13+N219*Scorecard!$C$14+O219*Scorecard!$C$15+P219*Scorecard!$C$16+Q219*Scorecard!$C$17</f>
        <v>3.92629527444535</v>
      </c>
      <c r="S219" s="47" t="n">
        <f aca="false">L219*Scorecard!$D$12+M219*Scorecard!$D$13+N219*Scorecard!$D$14+O219*Scorecard!$D$15+P219*Scorecard!$D$16+Q219*Scorecard!$D$17</f>
        <v>3.03990090733998</v>
      </c>
      <c r="T219" s="47" t="n">
        <f aca="false">L219*Scorecard!$E$12+M219*Scorecard!$E$13+N219*Scorecard!$E$14+O219*Scorecard!$E$15+P219*Scorecard!$E$16+Q219*Scorecard!$E$17</f>
        <v>3.7646035104918</v>
      </c>
      <c r="U219" s="0" t="str">
        <f aca="false">IF(AND(R219&gt;=S219,R219&gt;=T219),"Distribution",IF(T219&gt;=S219,"Prof. services","Manufacturing"))</f>
        <v>Distribution</v>
      </c>
    </row>
    <row r="220" customFormat="false" ht="15" hidden="false" customHeight="false" outlineLevel="0" collapsed="false">
      <c r="A220" s="46" t="n">
        <v>0.176955</v>
      </c>
      <c r="B220" s="46" t="n">
        <v>0.394734</v>
      </c>
      <c r="C220" s="46" t="n">
        <v>0.071703</v>
      </c>
      <c r="D220" s="46" t="n">
        <v>0.094399</v>
      </c>
      <c r="E220" s="46" t="n">
        <v>0.12479</v>
      </c>
      <c r="F220" s="46" t="n">
        <v>0.13742</v>
      </c>
      <c r="G220" s="47" t="n">
        <f aca="false">A220*Scorecard!$C$12+B220*Scorecard!$C$13+C220*Scorecard!$C$14+D220*Scorecard!$C$15+E220*Scorecard!$C$16+F220*Scorecard!$C$17</f>
        <v>3.89577547645023</v>
      </c>
      <c r="H220" s="47" t="n">
        <f aca="false">A220*Scorecard!$D$12+B220*Scorecard!$D$13+C220*Scorecard!$D$14+D220*Scorecard!$D$15+E220*Scorecard!$D$16+F220*Scorecard!$D$17</f>
        <v>2.4691407697555</v>
      </c>
      <c r="I220" s="47" t="n">
        <f aca="false">A220*Scorecard!$E$12+B220*Scorecard!$E$13+C220*Scorecard!$E$14+D220*Scorecard!$E$15+E220*Scorecard!$E$16+F220*Scorecard!$E$17</f>
        <v>3.38452233918143</v>
      </c>
      <c r="J220" s="0" t="str">
        <f aca="false">IF(AND(G220&gt;=H220,G220&gt;=I220),"Distribution",IF(I220&gt;=H220,"Prof. services","Manufacturing"))</f>
        <v>Distribution</v>
      </c>
      <c r="L220" s="46" t="n">
        <v>0.263946</v>
      </c>
      <c r="M220" s="46" t="n">
        <v>0.203855</v>
      </c>
      <c r="N220" s="46" t="n">
        <v>0.176774</v>
      </c>
      <c r="O220" s="46" t="n">
        <v>0.150816</v>
      </c>
      <c r="P220" s="46" t="n">
        <v>0.160807</v>
      </c>
      <c r="Q220" s="46" t="n">
        <v>0.043801</v>
      </c>
      <c r="R220" s="47" t="n">
        <f aca="false">L220*Scorecard!$C$12+M220*Scorecard!$C$13+N220*Scorecard!$C$14+O220*Scorecard!$C$15+P220*Scorecard!$C$16+Q220*Scorecard!$C$17</f>
        <v>3.79195843587427</v>
      </c>
      <c r="S220" s="47" t="n">
        <f aca="false">L220*Scorecard!$D$12+M220*Scorecard!$D$13+N220*Scorecard!$D$14+O220*Scorecard!$D$15+P220*Scorecard!$D$16+Q220*Scorecard!$D$17</f>
        <v>3.03085116342032</v>
      </c>
      <c r="T220" s="47" t="n">
        <f aca="false">L220*Scorecard!$E$12+M220*Scorecard!$E$13+N220*Scorecard!$E$14+O220*Scorecard!$E$15+P220*Scorecard!$E$16+Q220*Scorecard!$E$17</f>
        <v>3.83700738794225</v>
      </c>
      <c r="U220" s="0" t="str">
        <f aca="false">IF(AND(R220&gt;=S220,R220&gt;=T220),"Distribution",IF(T220&gt;=S220,"Prof. services","Manufacturing"))</f>
        <v>Prof. services</v>
      </c>
    </row>
    <row r="221" customFormat="false" ht="15" hidden="false" customHeight="false" outlineLevel="0" collapsed="false">
      <c r="A221" s="46" t="n">
        <v>0.206153</v>
      </c>
      <c r="B221" s="46" t="n">
        <v>0.184973</v>
      </c>
      <c r="C221" s="46" t="n">
        <v>0.0841</v>
      </c>
      <c r="D221" s="46" t="n">
        <v>0.395648</v>
      </c>
      <c r="E221" s="46" t="n">
        <v>0.087672</v>
      </c>
      <c r="F221" s="46" t="n">
        <v>0.041454</v>
      </c>
      <c r="G221" s="47" t="n">
        <f aca="false">A221*Scorecard!$C$12+B221*Scorecard!$C$13+C221*Scorecard!$C$14+D221*Scorecard!$C$15+E221*Scorecard!$C$16+F221*Scorecard!$C$17</f>
        <v>4.12663466005846</v>
      </c>
      <c r="H221" s="47" t="n">
        <f aca="false">A221*Scorecard!$D$12+B221*Scorecard!$D$13+C221*Scorecard!$D$14+D221*Scorecard!$D$15+E221*Scorecard!$D$16+F221*Scorecard!$D$17</f>
        <v>3.28359074371767</v>
      </c>
      <c r="I221" s="47" t="n">
        <f aca="false">A221*Scorecard!$E$12+B221*Scorecard!$E$13+C221*Scorecard!$E$14+D221*Scorecard!$E$15+E221*Scorecard!$E$16+F221*Scorecard!$E$17</f>
        <v>3.88285684062182</v>
      </c>
      <c r="J221" s="0" t="str">
        <f aca="false">IF(AND(G221&gt;=H221,G221&gt;=I221),"Distribution",IF(I221&gt;=H221,"Prof. services","Manufacturing"))</f>
        <v>Distribution</v>
      </c>
      <c r="L221" s="46" t="n">
        <v>0.12015</v>
      </c>
      <c r="M221" s="46" t="n">
        <v>0.260074</v>
      </c>
      <c r="N221" s="46" t="n">
        <v>0.171817</v>
      </c>
      <c r="O221" s="46" t="n">
        <v>0.162146</v>
      </c>
      <c r="P221" s="46" t="n">
        <v>0.19642</v>
      </c>
      <c r="Q221" s="46" t="n">
        <v>0.089392</v>
      </c>
      <c r="R221" s="47" t="n">
        <f aca="false">L221*Scorecard!$C$12+M221*Scorecard!$C$13+N221*Scorecard!$C$14+O221*Scorecard!$C$15+P221*Scorecard!$C$16+Q221*Scorecard!$C$17</f>
        <v>4.02716028654457</v>
      </c>
      <c r="S221" s="47" t="n">
        <f aca="false">L221*Scorecard!$D$12+M221*Scorecard!$D$13+N221*Scorecard!$D$14+O221*Scorecard!$D$15+P221*Scorecard!$D$16+Q221*Scorecard!$D$17</f>
        <v>2.8080825941406</v>
      </c>
      <c r="T221" s="47" t="n">
        <f aca="false">L221*Scorecard!$E$12+M221*Scorecard!$E$13+N221*Scorecard!$E$14+O221*Scorecard!$E$15+P221*Scorecard!$E$16+Q221*Scorecard!$E$17</f>
        <v>3.54811060129961</v>
      </c>
      <c r="U221" s="0" t="str">
        <f aca="false">IF(AND(R221&gt;=S221,R221&gt;=T221),"Distribution",IF(T221&gt;=S221,"Prof. services","Manufacturing"))</f>
        <v>Distribution</v>
      </c>
    </row>
    <row r="222" customFormat="false" ht="15" hidden="false" customHeight="false" outlineLevel="0" collapsed="false">
      <c r="A222" s="46" t="n">
        <v>0.219477</v>
      </c>
      <c r="B222" s="46" t="n">
        <v>0.412154</v>
      </c>
      <c r="C222" s="46" t="n">
        <v>0.070242</v>
      </c>
      <c r="D222" s="46" t="n">
        <v>0.201004</v>
      </c>
      <c r="E222" s="46" t="n">
        <v>0.089726</v>
      </c>
      <c r="F222" s="46" t="n">
        <v>0.007397</v>
      </c>
      <c r="G222" s="47" t="n">
        <f aca="false">A222*Scorecard!$C$12+B222*Scorecard!$C$13+C222*Scorecard!$C$14+D222*Scorecard!$C$15+E222*Scorecard!$C$16+F222*Scorecard!$C$17</f>
        <v>4.20330227004531</v>
      </c>
      <c r="H222" s="47" t="n">
        <f aca="false">A222*Scorecard!$D$12+B222*Scorecard!$D$13+C222*Scorecard!$D$14+D222*Scorecard!$D$15+E222*Scorecard!$D$16+F222*Scorecard!$D$17</f>
        <v>2.77783501986201</v>
      </c>
      <c r="I222" s="47" t="n">
        <f aca="false">A222*Scorecard!$E$12+B222*Scorecard!$E$13+C222*Scorecard!$E$14+D222*Scorecard!$E$15+E222*Scorecard!$E$16+F222*Scorecard!$E$17</f>
        <v>3.4038300780587</v>
      </c>
      <c r="J222" s="0" t="str">
        <f aca="false">IF(AND(G222&gt;=H222,G222&gt;=I222),"Distribution",IF(I222&gt;=H222,"Prof. services","Manufacturing"))</f>
        <v>Distribution</v>
      </c>
      <c r="L222" s="46" t="n">
        <v>0.210782</v>
      </c>
      <c r="M222" s="46" t="n">
        <v>0.173462</v>
      </c>
      <c r="N222" s="46" t="n">
        <v>0.176725</v>
      </c>
      <c r="O222" s="46" t="n">
        <v>0.208532</v>
      </c>
      <c r="P222" s="46" t="n">
        <v>0.113827</v>
      </c>
      <c r="Q222" s="46" t="n">
        <v>0.116672</v>
      </c>
      <c r="R222" s="47" t="n">
        <f aca="false">L222*Scorecard!$C$12+M222*Scorecard!$C$13+N222*Scorecard!$C$14+O222*Scorecard!$C$15+P222*Scorecard!$C$16+Q222*Scorecard!$C$17</f>
        <v>3.76923939404443</v>
      </c>
      <c r="S222" s="47" t="n">
        <f aca="false">L222*Scorecard!$D$12+M222*Scorecard!$D$13+N222*Scorecard!$D$14+O222*Scorecard!$D$15+P222*Scorecard!$D$16+Q222*Scorecard!$D$17</f>
        <v>2.98320460562422</v>
      </c>
      <c r="T222" s="47" t="n">
        <f aca="false">L222*Scorecard!$E$12+M222*Scorecard!$E$13+N222*Scorecard!$E$14+O222*Scorecard!$E$15+P222*Scorecard!$E$16+Q222*Scorecard!$E$17</f>
        <v>3.96501040752044</v>
      </c>
      <c r="U222" s="0" t="str">
        <f aca="false">IF(AND(R222&gt;=S222,R222&gt;=T222),"Distribution",IF(T222&gt;=S222,"Prof. services","Manufacturing"))</f>
        <v>Prof. services</v>
      </c>
    </row>
    <row r="223" customFormat="false" ht="15" hidden="false" customHeight="false" outlineLevel="0" collapsed="false">
      <c r="A223" s="46" t="n">
        <v>0.059492</v>
      </c>
      <c r="B223" s="46" t="n">
        <v>0.25045</v>
      </c>
      <c r="C223" s="46" t="n">
        <v>0.300588</v>
      </c>
      <c r="D223" s="46" t="n">
        <v>0.056643</v>
      </c>
      <c r="E223" s="46" t="n">
        <v>0.212847</v>
      </c>
      <c r="F223" s="46" t="n">
        <v>0.11998</v>
      </c>
      <c r="G223" s="47" t="n">
        <f aca="false">A223*Scorecard!$C$12+B223*Scorecard!$C$13+C223*Scorecard!$C$14+D223*Scorecard!$C$15+E223*Scorecard!$C$16+F223*Scorecard!$C$17</f>
        <v>3.96004655158643</v>
      </c>
      <c r="H223" s="47" t="n">
        <f aca="false">A223*Scorecard!$D$12+B223*Scorecard!$D$13+C223*Scorecard!$D$14+D223*Scorecard!$D$15+E223*Scorecard!$D$16+F223*Scorecard!$D$17</f>
        <v>2.61992270196188</v>
      </c>
      <c r="I223" s="47" t="n">
        <f aca="false">A223*Scorecard!$E$12+B223*Scorecard!$E$13+C223*Scorecard!$E$14+D223*Scorecard!$E$15+E223*Scorecard!$E$16+F223*Scorecard!$E$17</f>
        <v>3.6048797981389</v>
      </c>
      <c r="J223" s="0" t="str">
        <f aca="false">IF(AND(G223&gt;=H223,G223&gt;=I223),"Distribution",IF(I223&gt;=H223,"Prof. services","Manufacturing"))</f>
        <v>Distribution</v>
      </c>
      <c r="L223" s="46" t="n">
        <v>0.089698</v>
      </c>
      <c r="M223" s="46" t="n">
        <v>0.17952</v>
      </c>
      <c r="N223" s="46" t="n">
        <v>0.287903</v>
      </c>
      <c r="O223" s="46" t="n">
        <v>0.320193</v>
      </c>
      <c r="P223" s="46" t="n">
        <v>0.060161</v>
      </c>
      <c r="Q223" s="46" t="n">
        <v>0.062525</v>
      </c>
      <c r="R223" s="47" t="n">
        <f aca="false">L223*Scorecard!$C$12+M223*Scorecard!$C$13+N223*Scorecard!$C$14+O223*Scorecard!$C$15+P223*Scorecard!$C$16+Q223*Scorecard!$C$17</f>
        <v>4.2132053208196</v>
      </c>
      <c r="S223" s="47" t="n">
        <f aca="false">L223*Scorecard!$D$12+M223*Scorecard!$D$13+N223*Scorecard!$D$14+O223*Scorecard!$D$15+P223*Scorecard!$D$16+Q223*Scorecard!$D$17</f>
        <v>3.08672481863494</v>
      </c>
      <c r="T223" s="47" t="n">
        <f aca="false">L223*Scorecard!$E$12+M223*Scorecard!$E$13+N223*Scorecard!$E$14+O223*Scorecard!$E$15+P223*Scorecard!$E$16+Q223*Scorecard!$E$17</f>
        <v>4.02443664679838</v>
      </c>
      <c r="U223" s="0" t="str">
        <f aca="false">IF(AND(R223&gt;=S223,R223&gt;=T223),"Distribution",IF(T223&gt;=S223,"Prof. services","Manufacturing"))</f>
        <v>Distribution</v>
      </c>
    </row>
    <row r="224" customFormat="false" ht="15" hidden="false" customHeight="false" outlineLevel="0" collapsed="false">
      <c r="A224" s="46" t="n">
        <v>0.416061</v>
      </c>
      <c r="B224" s="46" t="n">
        <v>0.017451</v>
      </c>
      <c r="C224" s="46" t="n">
        <v>0.07049</v>
      </c>
      <c r="D224" s="46" t="n">
        <v>0.097239</v>
      </c>
      <c r="E224" s="46" t="n">
        <v>0.153311</v>
      </c>
      <c r="F224" s="46" t="n">
        <v>0.245448</v>
      </c>
      <c r="G224" s="47" t="n">
        <f aca="false">A224*Scorecard!$C$12+B224*Scorecard!$C$13+C224*Scorecard!$C$14+D224*Scorecard!$C$15+E224*Scorecard!$C$16+F224*Scorecard!$C$17</f>
        <v>2.87487826656697</v>
      </c>
      <c r="H224" s="47" t="n">
        <f aca="false">A224*Scorecard!$D$12+B224*Scorecard!$D$13+C224*Scorecard!$D$14+D224*Scorecard!$D$15+E224*Scorecard!$D$16+F224*Scorecard!$D$17</f>
        <v>3.04413425258859</v>
      </c>
      <c r="I224" s="47" t="n">
        <f aca="false">A224*Scorecard!$E$12+B224*Scorecard!$E$13+C224*Scorecard!$E$14+D224*Scorecard!$E$15+E224*Scorecard!$E$16+F224*Scorecard!$E$17</f>
        <v>4.33698370567598</v>
      </c>
      <c r="J224" s="0" t="str">
        <f aca="false">IF(AND(G224&gt;=H224,G224&gt;=I224),"Distribution",IF(I224&gt;=H224,"Prof. services","Manufacturing"))</f>
        <v>Prof. services</v>
      </c>
      <c r="L224" s="46" t="n">
        <v>0.115688</v>
      </c>
      <c r="M224" s="46" t="n">
        <v>0.165568</v>
      </c>
      <c r="N224" s="46" t="n">
        <v>0.244853</v>
      </c>
      <c r="O224" s="46" t="n">
        <v>0.219959</v>
      </c>
      <c r="P224" s="46" t="n">
        <v>0.22323</v>
      </c>
      <c r="Q224" s="46" t="n">
        <v>0.030702</v>
      </c>
      <c r="R224" s="47" t="n">
        <f aca="false">L224*Scorecard!$C$12+M224*Scorecard!$C$13+N224*Scorecard!$C$14+O224*Scorecard!$C$15+P224*Scorecard!$C$16+Q224*Scorecard!$C$17</f>
        <v>4.11588295017702</v>
      </c>
      <c r="S224" s="47" t="n">
        <f aca="false">L224*Scorecard!$D$12+M224*Scorecard!$D$13+N224*Scorecard!$D$14+O224*Scorecard!$D$15+P224*Scorecard!$D$16+Q224*Scorecard!$D$17</f>
        <v>3.11089029585856</v>
      </c>
      <c r="T224" s="47" t="n">
        <f aca="false">L224*Scorecard!$E$12+M224*Scorecard!$E$13+N224*Scorecard!$E$14+O224*Scorecard!$E$15+P224*Scorecard!$E$16+Q224*Scorecard!$E$17</f>
        <v>3.72940225010882</v>
      </c>
      <c r="U224" s="0" t="str">
        <f aca="false">IF(AND(R224&gt;=S224,R224&gt;=T224),"Distribution",IF(T224&gt;=S224,"Prof. services","Manufacturing"))</f>
        <v>Distribution</v>
      </c>
    </row>
    <row r="225" customFormat="false" ht="15" hidden="false" customHeight="false" outlineLevel="0" collapsed="false">
      <c r="A225" s="46" t="n">
        <v>0.105937</v>
      </c>
      <c r="B225" s="46" t="n">
        <v>0.103678</v>
      </c>
      <c r="C225" s="46" t="n">
        <v>0.025957</v>
      </c>
      <c r="D225" s="46" t="n">
        <v>0.537221</v>
      </c>
      <c r="E225" s="46" t="n">
        <v>0.077943</v>
      </c>
      <c r="F225" s="46" t="n">
        <v>0.149264</v>
      </c>
      <c r="G225" s="47" t="n">
        <f aca="false">A225*Scorecard!$C$12+B225*Scorecard!$C$13+C225*Scorecard!$C$14+D225*Scorecard!$C$15+E225*Scorecard!$C$16+F225*Scorecard!$C$17</f>
        <v>4.15168288923573</v>
      </c>
      <c r="H225" s="47" t="n">
        <f aca="false">A225*Scorecard!$D$12+B225*Scorecard!$D$13+C225*Scorecard!$D$14+D225*Scorecard!$D$15+E225*Scorecard!$D$16+F225*Scorecard!$D$17</f>
        <v>3.33834985215386</v>
      </c>
      <c r="I225" s="47" t="n">
        <f aca="false">A225*Scorecard!$E$12+B225*Scorecard!$E$13+C225*Scorecard!$E$14+D225*Scorecard!$E$15+E225*Scorecard!$E$16+F225*Scorecard!$E$17</f>
        <v>3.97032731080217</v>
      </c>
      <c r="J225" s="0" t="str">
        <f aca="false">IF(AND(G225&gt;=H225,G225&gt;=I225),"Distribution",IF(I225&gt;=H225,"Prof. services","Manufacturing"))</f>
        <v>Distribution</v>
      </c>
      <c r="L225" s="46" t="n">
        <v>0.222724</v>
      </c>
      <c r="M225" s="46" t="n">
        <v>0.170342</v>
      </c>
      <c r="N225" s="46" t="n">
        <v>0.202334</v>
      </c>
      <c r="O225" s="46" t="n">
        <v>0.127863</v>
      </c>
      <c r="P225" s="46" t="n">
        <v>0.077505</v>
      </c>
      <c r="Q225" s="46" t="n">
        <v>0.199232</v>
      </c>
      <c r="R225" s="47" t="n">
        <f aca="false">L225*Scorecard!$C$12+M225*Scorecard!$C$13+N225*Scorecard!$C$14+O225*Scorecard!$C$15+P225*Scorecard!$C$16+Q225*Scorecard!$C$17</f>
        <v>3.49883462373994</v>
      </c>
      <c r="S225" s="47" t="n">
        <f aca="false">L225*Scorecard!$D$12+M225*Scorecard!$D$13+N225*Scorecard!$D$14+O225*Scorecard!$D$15+P225*Scorecard!$D$16+Q225*Scorecard!$D$17</f>
        <v>2.76644291901334</v>
      </c>
      <c r="T225" s="47" t="n">
        <f aca="false">L225*Scorecard!$E$12+M225*Scorecard!$E$13+N225*Scorecard!$E$14+O225*Scorecard!$E$15+P225*Scorecard!$E$16+Q225*Scorecard!$E$17</f>
        <v>4.0969912970963</v>
      </c>
      <c r="U225" s="0" t="str">
        <f aca="false">IF(AND(R225&gt;=S225,R225&gt;=T225),"Distribution",IF(T225&gt;=S225,"Prof. services","Manufacturing"))</f>
        <v>Prof. services</v>
      </c>
    </row>
    <row r="226" customFormat="false" ht="15" hidden="false" customHeight="false" outlineLevel="0" collapsed="false">
      <c r="A226" s="46" t="n">
        <v>0.342492</v>
      </c>
      <c r="B226" s="46" t="n">
        <v>0.023628</v>
      </c>
      <c r="C226" s="46" t="n">
        <v>0.144481</v>
      </c>
      <c r="D226" s="46" t="n">
        <v>0.085925</v>
      </c>
      <c r="E226" s="46" t="n">
        <v>0.289716</v>
      </c>
      <c r="F226" s="46" t="n">
        <v>0.113758</v>
      </c>
      <c r="G226" s="47" t="n">
        <f aca="false">A226*Scorecard!$C$12+B226*Scorecard!$C$13+C226*Scorecard!$C$14+D226*Scorecard!$C$15+E226*Scorecard!$C$16+F226*Scorecard!$C$17</f>
        <v>3.2655465157322</v>
      </c>
      <c r="H226" s="47" t="n">
        <f aca="false">A226*Scorecard!$D$12+B226*Scorecard!$D$13+C226*Scorecard!$D$14+D226*Scorecard!$D$15+E226*Scorecard!$D$16+F226*Scorecard!$D$17</f>
        <v>3.21617241066178</v>
      </c>
      <c r="I226" s="47" t="n">
        <f aca="false">A226*Scorecard!$E$12+B226*Scorecard!$E$13+C226*Scorecard!$E$14+D226*Scorecard!$E$15+E226*Scorecard!$E$16+F226*Scorecard!$E$17</f>
        <v>4.03077679135046</v>
      </c>
      <c r="J226" s="0" t="str">
        <f aca="false">IF(AND(G226&gt;=H226,G226&gt;=I226),"Distribution",IF(I226&gt;=H226,"Prof. services","Manufacturing"))</f>
        <v>Prof. services</v>
      </c>
      <c r="L226" s="46" t="n">
        <v>0.13822</v>
      </c>
      <c r="M226" s="46" t="n">
        <v>0.14848</v>
      </c>
      <c r="N226" s="46" t="n">
        <v>0.328739</v>
      </c>
      <c r="O226" s="46" t="n">
        <v>0.060794</v>
      </c>
      <c r="P226" s="46" t="n">
        <v>0.169599</v>
      </c>
      <c r="Q226" s="46" t="n">
        <v>0.154168</v>
      </c>
      <c r="R226" s="47" t="n">
        <f aca="false">L226*Scorecard!$C$12+M226*Scorecard!$C$13+N226*Scorecard!$C$14+O226*Scorecard!$C$15+P226*Scorecard!$C$16+Q226*Scorecard!$C$17</f>
        <v>3.65214002884886</v>
      </c>
      <c r="S226" s="47" t="n">
        <f aca="false">L226*Scorecard!$D$12+M226*Scorecard!$D$13+N226*Scorecard!$D$14+O226*Scorecard!$D$15+P226*Scorecard!$D$16+Q226*Scorecard!$D$17</f>
        <v>2.76409095100263</v>
      </c>
      <c r="T226" s="47" t="n">
        <f aca="false">L226*Scorecard!$E$12+M226*Scorecard!$E$13+N226*Scorecard!$E$14+O226*Scorecard!$E$15+P226*Scorecard!$E$16+Q226*Scorecard!$E$17</f>
        <v>3.99286768113267</v>
      </c>
      <c r="U226" s="0" t="str">
        <f aca="false">IF(AND(R226&gt;=S226,R226&gt;=T226),"Distribution",IF(T226&gt;=S226,"Prof. services","Manufacturing"))</f>
        <v>Prof. services</v>
      </c>
    </row>
    <row r="227" customFormat="false" ht="15" hidden="false" customHeight="false" outlineLevel="0" collapsed="false">
      <c r="A227" s="46" t="n">
        <v>0.093806</v>
      </c>
      <c r="B227" s="46" t="n">
        <v>0.002894</v>
      </c>
      <c r="C227" s="46" t="n">
        <v>0.586036</v>
      </c>
      <c r="D227" s="46" t="n">
        <v>0.024742</v>
      </c>
      <c r="E227" s="46" t="n">
        <v>0.212053</v>
      </c>
      <c r="F227" s="46" t="n">
        <v>0.080469</v>
      </c>
      <c r="G227" s="47" t="n">
        <f aca="false">A227*Scorecard!$C$12+B227*Scorecard!$C$13+C227*Scorecard!$C$14+D227*Scorecard!$C$15+E227*Scorecard!$C$16+F227*Scorecard!$C$17</f>
        <v>3.69784586223554</v>
      </c>
      <c r="H227" s="47" t="n">
        <f aca="false">A227*Scorecard!$D$12+B227*Scorecard!$D$13+C227*Scorecard!$D$14+D227*Scorecard!$D$15+E227*Scorecard!$D$16+F227*Scorecard!$D$17</f>
        <v>3.03624275644803</v>
      </c>
      <c r="I227" s="47" t="n">
        <f aca="false">A227*Scorecard!$E$12+B227*Scorecard!$E$13+C227*Scorecard!$E$14+D227*Scorecard!$E$15+E227*Scorecard!$E$16+F227*Scorecard!$E$17</f>
        <v>4.36528729894115</v>
      </c>
      <c r="J227" s="0" t="str">
        <f aca="false">IF(AND(G227&gt;=H227,G227&gt;=I227),"Distribution",IF(I227&gt;=H227,"Prof. services","Manufacturing"))</f>
        <v>Prof. services</v>
      </c>
      <c r="L227" s="46" t="n">
        <v>0.267995</v>
      </c>
      <c r="M227" s="46" t="n">
        <v>0.184243</v>
      </c>
      <c r="N227" s="46" t="n">
        <v>0.211238</v>
      </c>
      <c r="O227" s="46" t="n">
        <v>0.183623</v>
      </c>
      <c r="P227" s="46" t="n">
        <v>0.110533</v>
      </c>
      <c r="Q227" s="46" t="n">
        <v>0.042367</v>
      </c>
      <c r="R227" s="47" t="n">
        <f aca="false">L227*Scorecard!$C$12+M227*Scorecard!$C$13+N227*Scorecard!$C$14+O227*Scorecard!$C$15+P227*Scorecard!$C$16+Q227*Scorecard!$C$17</f>
        <v>3.80073317813161</v>
      </c>
      <c r="S227" s="47" t="n">
        <f aca="false">L227*Scorecard!$D$12+M227*Scorecard!$D$13+N227*Scorecard!$D$14+O227*Scorecard!$D$15+P227*Scorecard!$D$16+Q227*Scorecard!$D$17</f>
        <v>3.08633511205409</v>
      </c>
      <c r="T227" s="47" t="n">
        <f aca="false">L227*Scorecard!$E$12+M227*Scorecard!$E$13+N227*Scorecard!$E$14+O227*Scorecard!$E$15+P227*Scorecard!$E$16+Q227*Scorecard!$E$17</f>
        <v>4.00076137590802</v>
      </c>
      <c r="U227" s="0" t="str">
        <f aca="false">IF(AND(R227&gt;=S227,R227&gt;=T227),"Distribution",IF(T227&gt;=S227,"Prof. services","Manufacturing"))</f>
        <v>Prof. services</v>
      </c>
    </row>
    <row r="228" customFormat="false" ht="15" hidden="false" customHeight="false" outlineLevel="0" collapsed="false">
      <c r="A228" s="46" t="n">
        <v>0.306944</v>
      </c>
      <c r="B228" s="46" t="n">
        <v>0.015512</v>
      </c>
      <c r="C228" s="46" t="n">
        <v>0.252439</v>
      </c>
      <c r="D228" s="46" t="n">
        <v>0.385275</v>
      </c>
      <c r="E228" s="46" t="n">
        <v>0.029432</v>
      </c>
      <c r="F228" s="46" t="n">
        <v>0.010399</v>
      </c>
      <c r="G228" s="47" t="n">
        <f aca="false">A228*Scorecard!$C$12+B228*Scorecard!$C$13+C228*Scorecard!$C$14+D228*Scorecard!$C$15+E228*Scorecard!$C$16+F228*Scorecard!$C$17</f>
        <v>3.82748942268113</v>
      </c>
      <c r="H228" s="47" t="n">
        <f aca="false">A228*Scorecard!$D$12+B228*Scorecard!$D$13+C228*Scorecard!$D$14+D228*Scorecard!$D$15+E228*Scorecard!$D$16+F228*Scorecard!$D$17</f>
        <v>3.61969339901872</v>
      </c>
      <c r="I228" s="47" t="n">
        <f aca="false">A228*Scorecard!$E$12+B228*Scorecard!$E$13+C228*Scorecard!$E$14+D228*Scorecard!$E$15+E228*Scorecard!$E$16+F228*Scorecard!$E$17</f>
        <v>4.5496666315048</v>
      </c>
      <c r="J228" s="0" t="str">
        <f aca="false">IF(AND(G228&gt;=H228,G228&gt;=I228),"Distribution",IF(I228&gt;=H228,"Prof. services","Manufacturing"))</f>
        <v>Prof. services</v>
      </c>
      <c r="L228" s="46" t="n">
        <v>0.341727</v>
      </c>
      <c r="M228" s="46" t="n">
        <v>0.242157</v>
      </c>
      <c r="N228" s="46" t="n">
        <v>0.194226</v>
      </c>
      <c r="O228" s="46" t="n">
        <v>0.069496</v>
      </c>
      <c r="P228" s="46" t="n">
        <v>0.039214</v>
      </c>
      <c r="Q228" s="46" t="n">
        <v>0.113179</v>
      </c>
      <c r="R228" s="47" t="n">
        <f aca="false">L228*Scorecard!$C$12+M228*Scorecard!$C$13+N228*Scorecard!$C$14+O228*Scorecard!$C$15+P228*Scorecard!$C$16+Q228*Scorecard!$C$17</f>
        <v>3.47017752664184</v>
      </c>
      <c r="S228" s="47" t="n">
        <f aca="false">L228*Scorecard!$D$12+M228*Scorecard!$D$13+N228*Scorecard!$D$14+O228*Scorecard!$D$15+P228*Scorecard!$D$16+Q228*Scorecard!$D$17</f>
        <v>2.78600057008275</v>
      </c>
      <c r="T228" s="47" t="n">
        <f aca="false">L228*Scorecard!$E$12+M228*Scorecard!$E$13+N228*Scorecard!$E$14+O228*Scorecard!$E$15+P228*Scorecard!$E$16+Q228*Scorecard!$E$17</f>
        <v>4.08440018804643</v>
      </c>
      <c r="U228" s="0" t="str">
        <f aca="false">IF(AND(R228&gt;=S228,R228&gt;=T228),"Distribution",IF(T228&gt;=S228,"Prof. services","Manufacturing"))</f>
        <v>Prof. services</v>
      </c>
    </row>
    <row r="229" customFormat="false" ht="15" hidden="false" customHeight="false" outlineLevel="0" collapsed="false">
      <c r="A229" s="46" t="n">
        <v>0.172479</v>
      </c>
      <c r="B229" s="46" t="n">
        <v>0.049629</v>
      </c>
      <c r="C229" s="46" t="n">
        <v>0.063618</v>
      </c>
      <c r="D229" s="46" t="n">
        <v>0.219512</v>
      </c>
      <c r="E229" s="46" t="n">
        <v>0.343864</v>
      </c>
      <c r="F229" s="46" t="n">
        <v>0.150899</v>
      </c>
      <c r="G229" s="47" t="n">
        <f aca="false">A229*Scorecard!$C$12+B229*Scorecard!$C$13+C229*Scorecard!$C$14+D229*Scorecard!$C$15+E229*Scorecard!$C$16+F229*Scorecard!$C$17</f>
        <v>3.65688234028233</v>
      </c>
      <c r="H229" s="47" t="n">
        <f aca="false">A229*Scorecard!$D$12+B229*Scorecard!$D$13+C229*Scorecard!$D$14+D229*Scorecard!$D$15+E229*Scorecard!$D$16+F229*Scorecard!$D$17</f>
        <v>3.18182957641836</v>
      </c>
      <c r="I229" s="47" t="n">
        <f aca="false">A229*Scorecard!$E$12+B229*Scorecard!$E$13+C229*Scorecard!$E$14+D229*Scorecard!$E$15+E229*Scorecard!$E$16+F229*Scorecard!$E$17</f>
        <v>3.68138446980882</v>
      </c>
      <c r="J229" s="0" t="str">
        <f aca="false">IF(AND(G229&gt;=H229,G229&gt;=I229),"Distribution",IF(I229&gt;=H229,"Prof. services","Manufacturing"))</f>
        <v>Prof. services</v>
      </c>
      <c r="L229" s="46" t="n">
        <v>0.079233</v>
      </c>
      <c r="M229" s="46" t="n">
        <v>0.237524</v>
      </c>
      <c r="N229" s="46" t="n">
        <v>0.174582</v>
      </c>
      <c r="O229" s="46" t="n">
        <v>0.136857</v>
      </c>
      <c r="P229" s="46" t="n">
        <v>0.300853</v>
      </c>
      <c r="Q229" s="46" t="n">
        <v>0.070951</v>
      </c>
      <c r="R229" s="47" t="n">
        <f aca="false">L229*Scorecard!$C$12+M229*Scorecard!$C$13+N229*Scorecard!$C$14+O229*Scorecard!$C$15+P229*Scorecard!$C$16+Q229*Scorecard!$C$17</f>
        <v>4.08985847006064</v>
      </c>
      <c r="S229" s="47" t="n">
        <f aca="false">L229*Scorecard!$D$12+M229*Scorecard!$D$13+N229*Scorecard!$D$14+O229*Scorecard!$D$15+P229*Scorecard!$D$16+Q229*Scorecard!$D$17</f>
        <v>2.84810241576236</v>
      </c>
      <c r="T229" s="47" t="n">
        <f aca="false">L229*Scorecard!$E$12+M229*Scorecard!$E$13+N229*Scorecard!$E$14+O229*Scorecard!$E$15+P229*Scorecard!$E$16+Q229*Scorecard!$E$17</f>
        <v>3.36483141604292</v>
      </c>
      <c r="U229" s="0" t="str">
        <f aca="false">IF(AND(R229&gt;=S229,R229&gt;=T229),"Distribution",IF(T229&gt;=S229,"Prof. services","Manufacturing"))</f>
        <v>Distribution</v>
      </c>
    </row>
    <row r="230" customFormat="false" ht="15" hidden="false" customHeight="false" outlineLevel="0" collapsed="false">
      <c r="A230" s="46" t="n">
        <v>0.340002</v>
      </c>
      <c r="B230" s="46" t="n">
        <v>0.025283</v>
      </c>
      <c r="C230" s="46" t="n">
        <v>0.518289</v>
      </c>
      <c r="D230" s="46" t="n">
        <v>0.028506</v>
      </c>
      <c r="E230" s="46" t="n">
        <v>0.024718</v>
      </c>
      <c r="F230" s="46" t="n">
        <v>0.063202</v>
      </c>
      <c r="G230" s="47" t="n">
        <f aca="false">A230*Scorecard!$C$12+B230*Scorecard!$C$13+C230*Scorecard!$C$14+D230*Scorecard!$C$15+E230*Scorecard!$C$16+F230*Scorecard!$C$17</f>
        <v>3.31537655124202</v>
      </c>
      <c r="H230" s="47" t="n">
        <f aca="false">A230*Scorecard!$D$12+B230*Scorecard!$D$13+C230*Scorecard!$D$14+D230*Scorecard!$D$15+E230*Scorecard!$D$16+F230*Scorecard!$D$17</f>
        <v>3.1330742195993</v>
      </c>
      <c r="I230" s="47" t="n">
        <f aca="false">A230*Scorecard!$E$12+B230*Scorecard!$E$13+C230*Scorecard!$E$14+D230*Scorecard!$E$15+E230*Scorecard!$E$16+F230*Scorecard!$E$17</f>
        <v>4.80595298053908</v>
      </c>
      <c r="J230" s="0" t="str">
        <f aca="false">IF(AND(G230&gt;=H230,G230&gt;=I230),"Distribution",IF(I230&gt;=H230,"Prof. services","Manufacturing"))</f>
        <v>Prof. services</v>
      </c>
      <c r="L230" s="46" t="n">
        <v>0.195983</v>
      </c>
      <c r="M230" s="46" t="n">
        <v>0.142071</v>
      </c>
      <c r="N230" s="46" t="n">
        <v>0.215239</v>
      </c>
      <c r="O230" s="46" t="n">
        <v>0.150696</v>
      </c>
      <c r="P230" s="46" t="n">
        <v>0.141265</v>
      </c>
      <c r="Q230" s="46" t="n">
        <v>0.154747</v>
      </c>
      <c r="R230" s="47" t="n">
        <f aca="false">L230*Scorecard!$C$12+M230*Scorecard!$C$13+N230*Scorecard!$C$14+O230*Scorecard!$C$15+P230*Scorecard!$C$16+Q230*Scorecard!$C$17</f>
        <v>3.63050480509251</v>
      </c>
      <c r="S230" s="47" t="n">
        <f aca="false">L230*Scorecard!$D$12+M230*Scorecard!$D$13+N230*Scorecard!$D$14+O230*Scorecard!$D$15+P230*Scorecard!$D$16+Q230*Scorecard!$D$17</f>
        <v>2.9056302587391</v>
      </c>
      <c r="T230" s="47" t="n">
        <f aca="false">L230*Scorecard!$E$12+M230*Scorecard!$E$13+N230*Scorecard!$E$14+O230*Scorecard!$E$15+P230*Scorecard!$E$16+Q230*Scorecard!$E$17</f>
        <v>4.01142199520346</v>
      </c>
      <c r="U230" s="0" t="str">
        <f aca="false">IF(AND(R230&gt;=S230,R230&gt;=T230),"Distribution",IF(T230&gt;=S230,"Prof. services","Manufacturing"))</f>
        <v>Prof. services</v>
      </c>
    </row>
    <row r="231" customFormat="false" ht="15" hidden="false" customHeight="false" outlineLevel="0" collapsed="false">
      <c r="A231" s="46" t="n">
        <v>0.089188</v>
      </c>
      <c r="B231" s="46" t="n">
        <v>0.021714</v>
      </c>
      <c r="C231" s="46" t="n">
        <v>0.30667</v>
      </c>
      <c r="D231" s="46" t="n">
        <v>0.030021</v>
      </c>
      <c r="E231" s="46" t="n">
        <v>0.255305</v>
      </c>
      <c r="F231" s="46" t="n">
        <v>0.297101</v>
      </c>
      <c r="G231" s="47" t="n">
        <f aca="false">A231*Scorecard!$C$12+B231*Scorecard!$C$13+C231*Scorecard!$C$14+D231*Scorecard!$C$15+E231*Scorecard!$C$16+F231*Scorecard!$C$17</f>
        <v>3.2969893280927</v>
      </c>
      <c r="H231" s="47" t="n">
        <f aca="false">A231*Scorecard!$D$12+B231*Scorecard!$D$13+C231*Scorecard!$D$14+D231*Scorecard!$D$15+E231*Scorecard!$D$16+F231*Scorecard!$D$17</f>
        <v>2.70052100431151</v>
      </c>
      <c r="I231" s="47" t="n">
        <f aca="false">A231*Scorecard!$E$12+B231*Scorecard!$E$13+C231*Scorecard!$E$14+D231*Scorecard!$E$15+E231*Scorecard!$E$16+F231*Scorecard!$E$17</f>
        <v>4.08309641283537</v>
      </c>
      <c r="J231" s="0" t="str">
        <f aca="false">IF(AND(G231&gt;=H231,G231&gt;=I231),"Distribution",IF(I231&gt;=H231,"Prof. services","Manufacturing"))</f>
        <v>Prof. services</v>
      </c>
      <c r="L231" s="46" t="n">
        <v>0.151858</v>
      </c>
      <c r="M231" s="46" t="n">
        <v>0.134026</v>
      </c>
      <c r="N231" s="46" t="n">
        <v>0.181438</v>
      </c>
      <c r="O231" s="46" t="n">
        <v>0.241557</v>
      </c>
      <c r="P231" s="46" t="n">
        <v>0.278207</v>
      </c>
      <c r="Q231" s="46" t="n">
        <v>0.012913</v>
      </c>
      <c r="R231" s="47" t="n">
        <f aca="false">L231*Scorecard!$C$12+M231*Scorecard!$C$13+N231*Scorecard!$C$14+O231*Scorecard!$C$15+P231*Scorecard!$C$16+Q231*Scorecard!$C$17</f>
        <v>4.07640643435777</v>
      </c>
      <c r="S231" s="47" t="n">
        <f aca="false">L231*Scorecard!$D$12+M231*Scorecard!$D$13+N231*Scorecard!$D$14+O231*Scorecard!$D$15+P231*Scorecard!$D$16+Q231*Scorecard!$D$17</f>
        <v>3.25213586133486</v>
      </c>
      <c r="T231" s="47" t="n">
        <f aca="false">L231*Scorecard!$E$12+M231*Scorecard!$E$13+N231*Scorecard!$E$14+O231*Scorecard!$E$15+P231*Scorecard!$E$16+Q231*Scorecard!$E$17</f>
        <v>3.66433465222274</v>
      </c>
      <c r="U231" s="0" t="str">
        <f aca="false">IF(AND(R231&gt;=S231,R231&gt;=T231),"Distribution",IF(T231&gt;=S231,"Prof. services","Manufacturing"))</f>
        <v>Distribution</v>
      </c>
    </row>
    <row r="232" customFormat="false" ht="15" hidden="false" customHeight="false" outlineLevel="0" collapsed="false">
      <c r="A232" s="46" t="n">
        <v>0.072607</v>
      </c>
      <c r="B232" s="46" t="n">
        <v>0.286891</v>
      </c>
      <c r="C232" s="46" t="n">
        <v>0.212548</v>
      </c>
      <c r="D232" s="46" t="n">
        <v>0.066656</v>
      </c>
      <c r="E232" s="46" t="n">
        <v>0.214158</v>
      </c>
      <c r="F232" s="46" t="n">
        <v>0.14714</v>
      </c>
      <c r="G232" s="47" t="n">
        <f aca="false">A232*Scorecard!$C$12+B232*Scorecard!$C$13+C232*Scorecard!$C$14+D232*Scorecard!$C$15+E232*Scorecard!$C$16+F232*Scorecard!$C$17</f>
        <v>3.92857336455382</v>
      </c>
      <c r="H232" s="47" t="n">
        <f aca="false">A232*Scorecard!$D$12+B232*Scorecard!$D$13+C232*Scorecard!$D$14+D232*Scorecard!$D$15+E232*Scorecard!$D$16+F232*Scorecard!$D$17</f>
        <v>2.5451762499529</v>
      </c>
      <c r="I232" s="47" t="n">
        <f aca="false">A232*Scorecard!$E$12+B232*Scorecard!$E$13+C232*Scorecard!$E$14+D232*Scorecard!$E$15+E232*Scorecard!$E$16+F232*Scorecard!$E$17</f>
        <v>3.47464474863028</v>
      </c>
      <c r="J232" s="0" t="str">
        <f aca="false">IF(AND(G232&gt;=H232,G232&gt;=I232),"Distribution",IF(I232&gt;=H232,"Prof. services","Manufacturing"))</f>
        <v>Distribution</v>
      </c>
      <c r="L232" s="46" t="n">
        <v>0.164546</v>
      </c>
      <c r="M232" s="46" t="n">
        <v>0.261317</v>
      </c>
      <c r="N232" s="46" t="n">
        <v>0.118996</v>
      </c>
      <c r="O232" s="46" t="n">
        <v>0.197816</v>
      </c>
      <c r="P232" s="46" t="n">
        <v>0.120212</v>
      </c>
      <c r="Q232" s="46" t="n">
        <v>0.137112</v>
      </c>
      <c r="R232" s="47" t="n">
        <f aca="false">L232*Scorecard!$C$12+M232*Scorecard!$C$13+N232*Scorecard!$C$14+O232*Scorecard!$C$15+P232*Scorecard!$C$16+Q232*Scorecard!$C$17</f>
        <v>3.88871985341459</v>
      </c>
      <c r="S232" s="47" t="n">
        <f aca="false">L232*Scorecard!$D$12+M232*Scorecard!$D$13+N232*Scorecard!$D$14+O232*Scorecard!$D$15+P232*Scorecard!$D$16+Q232*Scorecard!$D$17</f>
        <v>2.77985297881252</v>
      </c>
      <c r="T232" s="47" t="n">
        <f aca="false">L232*Scorecard!$E$12+M232*Scorecard!$E$13+N232*Scorecard!$E$14+O232*Scorecard!$E$15+P232*Scorecard!$E$16+Q232*Scorecard!$E$17</f>
        <v>3.69408139214072</v>
      </c>
      <c r="U232" s="0" t="str">
        <f aca="false">IF(AND(R232&gt;=S232,R232&gt;=T232),"Distribution",IF(T232&gt;=S232,"Prof. services","Manufacturing"))</f>
        <v>Distribution</v>
      </c>
    </row>
    <row r="233" customFormat="false" ht="15" hidden="false" customHeight="false" outlineLevel="0" collapsed="false">
      <c r="A233" s="46" t="n">
        <v>0.038899</v>
      </c>
      <c r="B233" s="46" t="n">
        <v>0.436259</v>
      </c>
      <c r="C233" s="46" t="n">
        <v>0.113946</v>
      </c>
      <c r="D233" s="46" t="n">
        <v>0.219133</v>
      </c>
      <c r="E233" s="46" t="n">
        <v>0.066206</v>
      </c>
      <c r="F233" s="46" t="n">
        <v>0.125557</v>
      </c>
      <c r="G233" s="47" t="n">
        <f aca="false">A233*Scorecard!$C$12+B233*Scorecard!$C$13+C233*Scorecard!$C$14+D233*Scorecard!$C$15+E233*Scorecard!$C$16+F233*Scorecard!$C$17</f>
        <v>4.33425924526257</v>
      </c>
      <c r="H233" s="47" t="n">
        <f aca="false">A233*Scorecard!$D$12+B233*Scorecard!$D$13+C233*Scorecard!$D$14+D233*Scorecard!$D$15+E233*Scorecard!$D$16+F233*Scorecard!$D$17</f>
        <v>2.45827961591186</v>
      </c>
      <c r="I233" s="47" t="n">
        <f aca="false">A233*Scorecard!$E$12+B233*Scorecard!$E$13+C233*Scorecard!$E$14+D233*Scorecard!$E$15+E233*Scorecard!$E$16+F233*Scorecard!$E$17</f>
        <v>3.32300019526236</v>
      </c>
      <c r="J233" s="0" t="str">
        <f aca="false">IF(AND(G233&gt;=H233,G233&gt;=I233),"Distribution",IF(I233&gt;=H233,"Prof. services","Manufacturing"))</f>
        <v>Distribution</v>
      </c>
      <c r="L233" s="46" t="n">
        <v>0.247558</v>
      </c>
      <c r="M233" s="46" t="n">
        <v>0.135693</v>
      </c>
      <c r="N233" s="46" t="n">
        <v>0.218198</v>
      </c>
      <c r="O233" s="46" t="n">
        <v>0.097136</v>
      </c>
      <c r="P233" s="46" t="n">
        <v>0.238532</v>
      </c>
      <c r="Q233" s="46" t="n">
        <v>0.062882</v>
      </c>
      <c r="R233" s="47" t="n">
        <f aca="false">L233*Scorecard!$C$12+M233*Scorecard!$C$13+N233*Scorecard!$C$14+O233*Scorecard!$C$15+P233*Scorecard!$C$16+Q233*Scorecard!$C$17</f>
        <v>3.66145306958303</v>
      </c>
      <c r="S233" s="47" t="n">
        <f aca="false">L233*Scorecard!$D$12+M233*Scorecard!$D$13+N233*Scorecard!$D$14+O233*Scorecard!$D$15+P233*Scorecard!$D$16+Q233*Scorecard!$D$17</f>
        <v>3.0574820388515</v>
      </c>
      <c r="T233" s="47" t="n">
        <f aca="false">L233*Scorecard!$E$12+M233*Scorecard!$E$13+N233*Scorecard!$E$14+O233*Scorecard!$E$15+P233*Scorecard!$E$16+Q233*Scorecard!$E$17</f>
        <v>3.86107658056706</v>
      </c>
      <c r="U233" s="0" t="str">
        <f aca="false">IF(AND(R233&gt;=S233,R233&gt;=T233),"Distribution",IF(T233&gt;=S233,"Prof. services","Manufacturing"))</f>
        <v>Prof. services</v>
      </c>
    </row>
    <row r="234" customFormat="false" ht="15" hidden="false" customHeight="false" outlineLevel="0" collapsed="false">
      <c r="A234" s="46" t="n">
        <v>0.031843</v>
      </c>
      <c r="B234" s="46" t="n">
        <v>0.041116</v>
      </c>
      <c r="C234" s="46" t="n">
        <v>0.160808</v>
      </c>
      <c r="D234" s="46" t="n">
        <v>0.228069</v>
      </c>
      <c r="E234" s="46" t="n">
        <v>0.459724</v>
      </c>
      <c r="F234" s="46" t="n">
        <v>0.078441</v>
      </c>
      <c r="G234" s="47" t="n">
        <f aca="false">A234*Scorecard!$C$12+B234*Scorecard!$C$13+C234*Scorecard!$C$14+D234*Scorecard!$C$15+E234*Scorecard!$C$16+F234*Scorecard!$C$17</f>
        <v>4.05498914588796</v>
      </c>
      <c r="H234" s="47" t="n">
        <f aca="false">A234*Scorecard!$D$12+B234*Scorecard!$D$13+C234*Scorecard!$D$14+D234*Scorecard!$D$15+E234*Scorecard!$D$16+F234*Scorecard!$D$17</f>
        <v>3.25892356488917</v>
      </c>
      <c r="I234" s="47" t="n">
        <f aca="false">A234*Scorecard!$E$12+B234*Scorecard!$E$13+C234*Scorecard!$E$14+D234*Scorecard!$E$15+E234*Scorecard!$E$16+F234*Scorecard!$E$17</f>
        <v>3.42598063798334</v>
      </c>
      <c r="J234" s="0" t="str">
        <f aca="false">IF(AND(G234&gt;=H234,G234&gt;=I234),"Distribution",IF(I234&gt;=H234,"Prof. services","Manufacturing"))</f>
        <v>Distribution</v>
      </c>
      <c r="L234" s="46" t="n">
        <v>0.217971</v>
      </c>
      <c r="M234" s="46" t="n">
        <v>0.360991</v>
      </c>
      <c r="N234" s="46" t="n">
        <v>0.221833</v>
      </c>
      <c r="O234" s="46" t="n">
        <v>0.104653</v>
      </c>
      <c r="P234" s="46" t="n">
        <v>0.066165</v>
      </c>
      <c r="Q234" s="46" t="n">
        <v>0.028387</v>
      </c>
      <c r="R234" s="47" t="n">
        <f aca="false">L234*Scorecard!$C$12+M234*Scorecard!$C$13+N234*Scorecard!$C$14+O234*Scorecard!$C$15+P234*Scorecard!$C$16+Q234*Scorecard!$C$17</f>
        <v>4.01651909152233</v>
      </c>
      <c r="S234" s="47" t="n">
        <f aca="false">L234*Scorecard!$D$12+M234*Scorecard!$D$13+N234*Scorecard!$D$14+O234*Scorecard!$D$15+P234*Scorecard!$D$16+Q234*Scorecard!$D$17</f>
        <v>2.70275744649062</v>
      </c>
      <c r="T234" s="47" t="n">
        <f aca="false">L234*Scorecard!$E$12+M234*Scorecard!$E$13+N234*Scorecard!$E$14+O234*Scorecard!$E$15+P234*Scorecard!$E$16+Q234*Scorecard!$E$17</f>
        <v>3.68382690939484</v>
      </c>
      <c r="U234" s="0" t="str">
        <f aca="false">IF(AND(R234&gt;=S234,R234&gt;=T234),"Distribution",IF(T234&gt;=S234,"Prof. services","Manufacturing"))</f>
        <v>Distribution</v>
      </c>
    </row>
    <row r="235" customFormat="false" ht="15" hidden="false" customHeight="false" outlineLevel="0" collapsed="false">
      <c r="A235" s="46" t="n">
        <v>0.006579</v>
      </c>
      <c r="B235" s="46" t="n">
        <v>0.04071</v>
      </c>
      <c r="C235" s="46" t="n">
        <v>0.042422</v>
      </c>
      <c r="D235" s="46" t="n">
        <v>0.740907</v>
      </c>
      <c r="E235" s="46" t="n">
        <v>0.082929</v>
      </c>
      <c r="F235" s="46" t="n">
        <v>0.086453</v>
      </c>
      <c r="G235" s="47" t="n">
        <f aca="false">A235*Scorecard!$C$12+B235*Scorecard!$C$13+C235*Scorecard!$C$14+D235*Scorecard!$C$15+E235*Scorecard!$C$16+F235*Scorecard!$C$17</f>
        <v>4.59686870617709</v>
      </c>
      <c r="H235" s="47" t="n">
        <f aca="false">A235*Scorecard!$D$12+B235*Scorecard!$D$13+C235*Scorecard!$D$14+D235*Scorecard!$D$15+E235*Scorecard!$D$16+F235*Scorecard!$D$17</f>
        <v>3.69890791458088</v>
      </c>
      <c r="I235" s="47" t="n">
        <f aca="false">A235*Scorecard!$E$12+B235*Scorecard!$E$13+C235*Scorecard!$E$14+D235*Scorecard!$E$15+E235*Scorecard!$E$16+F235*Scorecard!$E$17</f>
        <v>3.99924776846858</v>
      </c>
      <c r="J235" s="0" t="str">
        <f aca="false">IF(AND(G235&gt;=H235,G235&gt;=I235),"Distribution",IF(I235&gt;=H235,"Prof. services","Manufacturing"))</f>
        <v>Distribution</v>
      </c>
      <c r="L235" s="46" t="n">
        <v>0.228033</v>
      </c>
      <c r="M235" s="46" t="n">
        <v>0.184115</v>
      </c>
      <c r="N235" s="46" t="n">
        <v>0.114252</v>
      </c>
      <c r="O235" s="46" t="n">
        <v>0.195401</v>
      </c>
      <c r="P235" s="46" t="n">
        <v>0.194152</v>
      </c>
      <c r="Q235" s="46" t="n">
        <v>0.084048</v>
      </c>
      <c r="R235" s="47" t="n">
        <f aca="false">L235*Scorecard!$C$12+M235*Scorecard!$C$13+N235*Scorecard!$C$14+O235*Scorecard!$C$15+P235*Scorecard!$C$16+Q235*Scorecard!$C$17</f>
        <v>3.80096134802845</v>
      </c>
      <c r="S235" s="47" t="n">
        <f aca="false">L235*Scorecard!$D$12+M235*Scorecard!$D$13+N235*Scorecard!$D$14+O235*Scorecard!$D$15+P235*Scorecard!$D$16+Q235*Scorecard!$D$17</f>
        <v>3.03912257671882</v>
      </c>
      <c r="T235" s="47" t="n">
        <f aca="false">L235*Scorecard!$E$12+M235*Scorecard!$E$13+N235*Scorecard!$E$14+O235*Scorecard!$E$15+P235*Scorecard!$E$16+Q235*Scorecard!$E$17</f>
        <v>3.74746984170381</v>
      </c>
      <c r="U235" s="0" t="str">
        <f aca="false">IF(AND(R235&gt;=S235,R235&gt;=T235),"Distribution",IF(T235&gt;=S235,"Prof. services","Manufacturing"))</f>
        <v>Distribution</v>
      </c>
    </row>
    <row r="236" customFormat="false" ht="15" hidden="false" customHeight="false" outlineLevel="0" collapsed="false">
      <c r="A236" s="46" t="n">
        <v>0.629075</v>
      </c>
      <c r="B236" s="46" t="n">
        <v>0.183665</v>
      </c>
      <c r="C236" s="46" t="n">
        <v>0.100125</v>
      </c>
      <c r="D236" s="46" t="n">
        <v>0.00732</v>
      </c>
      <c r="E236" s="46" t="n">
        <v>0.022892</v>
      </c>
      <c r="F236" s="46" t="n">
        <v>0.056922</v>
      </c>
      <c r="G236" s="47" t="n">
        <f aca="false">A236*Scorecard!$C$12+B236*Scorecard!$C$13+C236*Scorecard!$C$14+D236*Scorecard!$C$15+E236*Scorecard!$C$16+F236*Scorecard!$C$17</f>
        <v>2.94479302878092</v>
      </c>
      <c r="H236" s="47" t="n">
        <f aca="false">A236*Scorecard!$D$12+B236*Scorecard!$D$13+C236*Scorecard!$D$14+D236*Scorecard!$D$15+E236*Scorecard!$D$16+F236*Scorecard!$D$17</f>
        <v>3.07057196501957</v>
      </c>
      <c r="I236" s="47" t="n">
        <f aca="false">A236*Scorecard!$E$12+B236*Scorecard!$E$13+C236*Scorecard!$E$14+D236*Scorecard!$E$15+E236*Scorecard!$E$16+F236*Scorecard!$E$17</f>
        <v>4.37622516844003</v>
      </c>
      <c r="J236" s="0" t="str">
        <f aca="false">IF(AND(G236&gt;=H236,G236&gt;=I236),"Distribution",IF(I236&gt;=H236,"Prof. services","Manufacturing"))</f>
        <v>Prof. services</v>
      </c>
      <c r="L236" s="46" t="n">
        <v>0.337504</v>
      </c>
      <c r="M236" s="46" t="n">
        <v>0.088704</v>
      </c>
      <c r="N236" s="46" t="n">
        <v>0.16313</v>
      </c>
      <c r="O236" s="46" t="n">
        <v>0.183685</v>
      </c>
      <c r="P236" s="46" t="n">
        <v>0.082264</v>
      </c>
      <c r="Q236" s="46" t="n">
        <v>0.144713</v>
      </c>
      <c r="R236" s="47" t="n">
        <f aca="false">L236*Scorecard!$C$12+M236*Scorecard!$C$13+N236*Scorecard!$C$14+O236*Scorecard!$C$15+P236*Scorecard!$C$16+Q236*Scorecard!$C$17</f>
        <v>3.37545098686592</v>
      </c>
      <c r="S236" s="47" t="n">
        <f aca="false">L236*Scorecard!$D$12+M236*Scorecard!$D$13+N236*Scorecard!$D$14+O236*Scorecard!$D$15+P236*Scorecard!$D$16+Q236*Scorecard!$D$17</f>
        <v>3.1127862206654</v>
      </c>
      <c r="T236" s="47" t="n">
        <f aca="false">L236*Scorecard!$E$12+M236*Scorecard!$E$13+N236*Scorecard!$E$14+O236*Scorecard!$E$15+P236*Scorecard!$E$16+Q236*Scorecard!$E$17</f>
        <v>4.29965630860505</v>
      </c>
      <c r="U236" s="0" t="str">
        <f aca="false">IF(AND(R236&gt;=S236,R236&gt;=T236),"Distribution",IF(T236&gt;=S236,"Prof. services","Manufacturing"))</f>
        <v>Prof. services</v>
      </c>
    </row>
    <row r="237" customFormat="false" ht="15" hidden="false" customHeight="false" outlineLevel="0" collapsed="false">
      <c r="A237" s="46" t="n">
        <v>0.076839</v>
      </c>
      <c r="B237" s="46" t="n">
        <v>0.173956</v>
      </c>
      <c r="C237" s="46" t="n">
        <v>0.259601</v>
      </c>
      <c r="D237" s="46" t="n">
        <v>0.080358</v>
      </c>
      <c r="E237" s="46" t="n">
        <v>0.248543</v>
      </c>
      <c r="F237" s="46" t="n">
        <v>0.160703</v>
      </c>
      <c r="G237" s="47" t="n">
        <f aca="false">A237*Scorecard!$C$12+B237*Scorecard!$C$13+C237*Scorecard!$C$14+D237*Scorecard!$C$15+E237*Scorecard!$C$16+F237*Scorecard!$C$17</f>
        <v>3.7945967042014</v>
      </c>
      <c r="H237" s="47" t="n">
        <f aca="false">A237*Scorecard!$D$12+B237*Scorecard!$D$13+C237*Scorecard!$D$14+D237*Scorecard!$D$15+E237*Scorecard!$D$16+F237*Scorecard!$D$17</f>
        <v>2.72446652100256</v>
      </c>
      <c r="I237" s="47" t="n">
        <f aca="false">A237*Scorecard!$E$12+B237*Scorecard!$E$13+C237*Scorecard!$E$14+D237*Scorecard!$E$15+E237*Scorecard!$E$16+F237*Scorecard!$E$17</f>
        <v>3.68947103270426</v>
      </c>
      <c r="J237" s="0" t="str">
        <f aca="false">IF(AND(G237&gt;=H237,G237&gt;=I237),"Distribution",IF(I237&gt;=H237,"Prof. services","Manufacturing"))</f>
        <v>Distribution</v>
      </c>
      <c r="L237" s="46" t="n">
        <v>0.294409</v>
      </c>
      <c r="M237" s="46" t="n">
        <v>0.055044</v>
      </c>
      <c r="N237" s="46" t="n">
        <v>0.335596</v>
      </c>
      <c r="O237" s="46" t="n">
        <v>0.175094</v>
      </c>
      <c r="P237" s="46" t="n">
        <v>0.107515</v>
      </c>
      <c r="Q237" s="46" t="n">
        <v>0.032342</v>
      </c>
      <c r="R237" s="47" t="n">
        <f aca="false">L237*Scorecard!$C$12+M237*Scorecard!$C$13+N237*Scorecard!$C$14+O237*Scorecard!$C$15+P237*Scorecard!$C$16+Q237*Scorecard!$C$17</f>
        <v>3.63551360144238</v>
      </c>
      <c r="S237" s="47" t="n">
        <f aca="false">L237*Scorecard!$D$12+M237*Scorecard!$D$13+N237*Scorecard!$D$14+O237*Scorecard!$D$15+P237*Scorecard!$D$16+Q237*Scorecard!$D$17</f>
        <v>3.30187179113316</v>
      </c>
      <c r="T237" s="47" t="n">
        <f aca="false">L237*Scorecard!$E$12+M237*Scorecard!$E$13+N237*Scorecard!$E$14+O237*Scorecard!$E$15+P237*Scorecard!$E$16+Q237*Scorecard!$E$17</f>
        <v>4.39247921395202</v>
      </c>
      <c r="U237" s="0" t="str">
        <f aca="false">IF(AND(R237&gt;=S237,R237&gt;=T237),"Distribution",IF(T237&gt;=S237,"Prof. services","Manufacturing"))</f>
        <v>Prof. services</v>
      </c>
    </row>
    <row r="238" customFormat="false" ht="15" hidden="false" customHeight="false" outlineLevel="0" collapsed="false">
      <c r="A238" s="46" t="n">
        <v>0.373682</v>
      </c>
      <c r="B238" s="46" t="n">
        <v>0.160918</v>
      </c>
      <c r="C238" s="46" t="n">
        <v>0.146971</v>
      </c>
      <c r="D238" s="46" t="n">
        <v>0.101457</v>
      </c>
      <c r="E238" s="46" t="n">
        <v>0.140354</v>
      </c>
      <c r="F238" s="46" t="n">
        <v>0.076617</v>
      </c>
      <c r="G238" s="47" t="n">
        <f aca="false">A238*Scorecard!$C$12+B238*Scorecard!$C$13+C238*Scorecard!$C$14+D238*Scorecard!$C$15+E238*Scorecard!$C$16+F238*Scorecard!$C$17</f>
        <v>3.43650407093258</v>
      </c>
      <c r="H238" s="47" t="n">
        <f aca="false">A238*Scorecard!$D$12+B238*Scorecard!$D$13+C238*Scorecard!$D$14+D238*Scorecard!$D$15+E238*Scorecard!$D$16+F238*Scorecard!$D$17</f>
        <v>3.0546040200947</v>
      </c>
      <c r="I238" s="47" t="n">
        <f aca="false">A238*Scorecard!$E$12+B238*Scorecard!$E$13+C238*Scorecard!$E$14+D238*Scorecard!$E$15+E238*Scorecard!$E$16+F238*Scorecard!$E$17</f>
        <v>4.03986850531759</v>
      </c>
      <c r="J238" s="0" t="str">
        <f aca="false">IF(AND(G238&gt;=H238,G238&gt;=I238),"Distribution",IF(I238&gt;=H238,"Prof. services","Manufacturing"))</f>
        <v>Prof. services</v>
      </c>
      <c r="L238" s="46" t="n">
        <v>0.282333</v>
      </c>
      <c r="M238" s="46" t="n">
        <v>0.113124</v>
      </c>
      <c r="N238" s="46" t="n">
        <v>0.234829</v>
      </c>
      <c r="O238" s="46" t="n">
        <v>0.076879</v>
      </c>
      <c r="P238" s="46" t="n">
        <v>0.141413</v>
      </c>
      <c r="Q238" s="46" t="n">
        <v>0.151422</v>
      </c>
      <c r="R238" s="47" t="n">
        <f aca="false">L238*Scorecard!$C$12+M238*Scorecard!$C$13+N238*Scorecard!$C$14+O238*Scorecard!$C$15+P238*Scorecard!$C$16+Q238*Scorecard!$C$17</f>
        <v>3.37895557365784</v>
      </c>
      <c r="S238" s="47" t="n">
        <f aca="false">L238*Scorecard!$D$12+M238*Scorecard!$D$13+N238*Scorecard!$D$14+O238*Scorecard!$D$15+P238*Scorecard!$D$16+Q238*Scorecard!$D$17</f>
        <v>2.92569840914637</v>
      </c>
      <c r="T238" s="47" t="n">
        <f aca="false">L238*Scorecard!$E$12+M238*Scorecard!$E$13+N238*Scorecard!$E$14+O238*Scorecard!$E$15+P238*Scorecard!$E$16+Q238*Scorecard!$E$17</f>
        <v>4.15762733427995</v>
      </c>
      <c r="U238" s="0" t="str">
        <f aca="false">IF(AND(R238&gt;=S238,R238&gt;=T238),"Distribution",IF(T238&gt;=S238,"Prof. services","Manufacturing"))</f>
        <v>Prof. services</v>
      </c>
    </row>
    <row r="239" customFormat="false" ht="15" hidden="false" customHeight="false" outlineLevel="0" collapsed="false">
      <c r="A239" s="46" t="n">
        <v>0.045678</v>
      </c>
      <c r="B239" s="46" t="n">
        <v>0.137497</v>
      </c>
      <c r="C239" s="46" t="n">
        <v>0.064493</v>
      </c>
      <c r="D239" s="46" t="n">
        <v>0.061545</v>
      </c>
      <c r="E239" s="46" t="n">
        <v>0.506908</v>
      </c>
      <c r="F239" s="46" t="n">
        <v>0.183878</v>
      </c>
      <c r="G239" s="47" t="n">
        <f aca="false">A239*Scorecard!$C$12+B239*Scorecard!$C$13+C239*Scorecard!$C$14+D239*Scorecard!$C$15+E239*Scorecard!$C$16+F239*Scorecard!$C$17</f>
        <v>3.74906094858746</v>
      </c>
      <c r="H239" s="47" t="n">
        <f aca="false">A239*Scorecard!$D$12+B239*Scorecard!$D$13+C239*Scorecard!$D$14+D239*Scorecard!$D$15+E239*Scorecard!$D$16+F239*Scorecard!$D$17</f>
        <v>2.78818564704716</v>
      </c>
      <c r="I239" s="47" t="n">
        <f aca="false">A239*Scorecard!$E$12+B239*Scorecard!$E$13+C239*Scorecard!$E$14+D239*Scorecard!$E$15+E239*Scorecard!$E$16+F239*Scorecard!$E$17</f>
        <v>3.10947183920568</v>
      </c>
      <c r="J239" s="0" t="str">
        <f aca="false">IF(AND(G239&gt;=H239,G239&gt;=I239),"Distribution",IF(I239&gt;=H239,"Prof. services","Manufacturing"))</f>
        <v>Distribution</v>
      </c>
      <c r="L239" s="46" t="n">
        <v>0.165065</v>
      </c>
      <c r="M239" s="46" t="n">
        <v>0.360998</v>
      </c>
      <c r="N239" s="46" t="n">
        <v>0.257867</v>
      </c>
      <c r="O239" s="46" t="n">
        <v>0.087184</v>
      </c>
      <c r="P239" s="46" t="n">
        <v>0.071922</v>
      </c>
      <c r="Q239" s="46" t="n">
        <v>0.056964</v>
      </c>
      <c r="R239" s="47" t="n">
        <f aca="false">L239*Scorecard!$C$12+M239*Scorecard!$C$13+N239*Scorecard!$C$14+O239*Scorecard!$C$15+P239*Scorecard!$C$16+Q239*Scorecard!$C$17</f>
        <v>4.03713464601315</v>
      </c>
      <c r="S239" s="47" t="n">
        <f aca="false">L239*Scorecard!$D$12+M239*Scorecard!$D$13+N239*Scorecard!$D$14+O239*Scorecard!$D$15+P239*Scorecard!$D$16+Q239*Scorecard!$D$17</f>
        <v>2.60663059729397</v>
      </c>
      <c r="T239" s="47" t="n">
        <f aca="false">L239*Scorecard!$E$12+M239*Scorecard!$E$13+N239*Scorecard!$E$14+O239*Scorecard!$E$15+P239*Scorecard!$E$16+Q239*Scorecard!$E$17</f>
        <v>3.66876843822643</v>
      </c>
      <c r="U239" s="0" t="str">
        <f aca="false">IF(AND(R239&gt;=S239,R239&gt;=T239),"Distribution",IF(T239&gt;=S239,"Prof. services","Manufacturing"))</f>
        <v>Distribution</v>
      </c>
    </row>
    <row r="240" customFormat="false" ht="15" hidden="false" customHeight="false" outlineLevel="0" collapsed="false">
      <c r="A240" s="46" t="n">
        <v>0.06142</v>
      </c>
      <c r="B240" s="46" t="n">
        <v>0.134097</v>
      </c>
      <c r="C240" s="46" t="n">
        <v>0.217673</v>
      </c>
      <c r="D240" s="46" t="n">
        <v>0.478756</v>
      </c>
      <c r="E240" s="46" t="n">
        <v>0.101039</v>
      </c>
      <c r="F240" s="46" t="n">
        <v>0.007016</v>
      </c>
      <c r="G240" s="47" t="n">
        <f aca="false">A240*Scorecard!$C$12+B240*Scorecard!$C$13+C240*Scorecard!$C$14+D240*Scorecard!$C$15+E240*Scorecard!$C$16+F240*Scorecard!$C$17</f>
        <v>4.48826812409128</v>
      </c>
      <c r="H240" s="47" t="n">
        <f aca="false">A240*Scorecard!$D$12+B240*Scorecard!$D$13+C240*Scorecard!$D$14+D240*Scorecard!$D$15+E240*Scorecard!$D$16+F240*Scorecard!$D$17</f>
        <v>3.41667738489187</v>
      </c>
      <c r="I240" s="47" t="n">
        <f aca="false">A240*Scorecard!$E$12+B240*Scorecard!$E$13+C240*Scorecard!$E$14+D240*Scorecard!$E$15+E240*Scorecard!$E$16+F240*Scorecard!$E$17</f>
        <v>3.94126477403317</v>
      </c>
      <c r="J240" s="0" t="str">
        <f aca="false">IF(AND(G240&gt;=H240,G240&gt;=I240),"Distribution",IF(I240&gt;=H240,"Prof. services","Manufacturing"))</f>
        <v>Distribution</v>
      </c>
      <c r="L240" s="46" t="n">
        <v>0.147962</v>
      </c>
      <c r="M240" s="46" t="n">
        <v>0.277106</v>
      </c>
      <c r="N240" s="46" t="n">
        <v>0.298765</v>
      </c>
      <c r="O240" s="46" t="n">
        <v>0.084604</v>
      </c>
      <c r="P240" s="46" t="n">
        <v>0.083278</v>
      </c>
      <c r="Q240" s="46" t="n">
        <v>0.108284</v>
      </c>
      <c r="R240" s="47" t="n">
        <f aca="false">L240*Scorecard!$C$12+M240*Scorecard!$C$13+N240*Scorecard!$C$14+O240*Scorecard!$C$15+P240*Scorecard!$C$16+Q240*Scorecard!$C$17</f>
        <v>3.8788042899185</v>
      </c>
      <c r="S240" s="47" t="n">
        <f aca="false">L240*Scorecard!$D$12+M240*Scorecard!$D$13+N240*Scorecard!$D$14+O240*Scorecard!$D$15+P240*Scorecard!$D$16+Q240*Scorecard!$D$17</f>
        <v>2.64507090598212</v>
      </c>
      <c r="T240" s="47" t="n">
        <f aca="false">L240*Scorecard!$E$12+M240*Scorecard!$E$13+N240*Scorecard!$E$14+O240*Scorecard!$E$15+P240*Scorecard!$E$16+Q240*Scorecard!$E$17</f>
        <v>3.85621615689801</v>
      </c>
      <c r="U240" s="0" t="str">
        <f aca="false">IF(AND(R240&gt;=S240,R240&gt;=T240),"Distribution",IF(T240&gt;=S240,"Prof. services","Manufacturing"))</f>
        <v>Distribution</v>
      </c>
    </row>
    <row r="241" customFormat="false" ht="15" hidden="false" customHeight="false" outlineLevel="0" collapsed="false">
      <c r="A241" s="46" t="n">
        <v>0.106011</v>
      </c>
      <c r="B241" s="46" t="n">
        <v>0.012721</v>
      </c>
      <c r="C241" s="46" t="n">
        <v>0.505659</v>
      </c>
      <c r="D241" s="46" t="n">
        <v>0.023119</v>
      </c>
      <c r="E241" s="46" t="n">
        <v>0.010562</v>
      </c>
      <c r="F241" s="46" t="n">
        <v>0.341928</v>
      </c>
      <c r="G241" s="47" t="n">
        <f aca="false">A241*Scorecard!$C$12+B241*Scorecard!$C$13+C241*Scorecard!$C$14+D241*Scorecard!$C$15+E241*Scorecard!$C$16+F241*Scorecard!$C$17</f>
        <v>3.16116268818041</v>
      </c>
      <c r="H241" s="47" t="n">
        <f aca="false">A241*Scorecard!$D$12+B241*Scorecard!$D$13+C241*Scorecard!$D$14+D241*Scorecard!$D$15+E241*Scorecard!$D$16+F241*Scorecard!$D$17</f>
        <v>2.56832339269213</v>
      </c>
      <c r="I241" s="47" t="n">
        <f aca="false">A241*Scorecard!$E$12+B241*Scorecard!$E$13+C241*Scorecard!$E$14+D241*Scorecard!$E$15+E241*Scorecard!$E$16+F241*Scorecard!$E$17</f>
        <v>4.74496538258665</v>
      </c>
      <c r="J241" s="0" t="str">
        <f aca="false">IF(AND(G241&gt;=H241,G241&gt;=I241),"Distribution",IF(I241&gt;=H241,"Prof. services","Manufacturing"))</f>
        <v>Prof. services</v>
      </c>
      <c r="L241" s="46" t="n">
        <v>0.219943</v>
      </c>
      <c r="M241" s="46" t="n">
        <v>0.270243</v>
      </c>
      <c r="N241" s="46" t="n">
        <v>0.273208</v>
      </c>
      <c r="O241" s="46" t="n">
        <v>0.077132</v>
      </c>
      <c r="P241" s="46" t="n">
        <v>0.051458</v>
      </c>
      <c r="Q241" s="46" t="n">
        <v>0.108016</v>
      </c>
      <c r="R241" s="47" t="n">
        <f aca="false">L241*Scorecard!$C$12+M241*Scorecard!$C$13+N241*Scorecard!$C$14+O241*Scorecard!$C$15+P241*Scorecard!$C$16+Q241*Scorecard!$C$17</f>
        <v>3.73544246339969</v>
      </c>
      <c r="S241" s="47" t="n">
        <f aca="false">L241*Scorecard!$D$12+M241*Scorecard!$D$13+N241*Scorecard!$D$14+O241*Scorecard!$D$15+P241*Scorecard!$D$16+Q241*Scorecard!$D$17</f>
        <v>2.68406770283621</v>
      </c>
      <c r="T241" s="47" t="n">
        <f aca="false">L241*Scorecard!$E$12+M241*Scorecard!$E$13+N241*Scorecard!$E$14+O241*Scorecard!$E$15+P241*Scorecard!$E$16+Q241*Scorecard!$E$17</f>
        <v>3.96718941567945</v>
      </c>
      <c r="U241" s="0" t="str">
        <f aca="false">IF(AND(R241&gt;=S241,R241&gt;=T241),"Distribution",IF(T241&gt;=S241,"Prof. services","Manufacturing"))</f>
        <v>Prof. services</v>
      </c>
    </row>
    <row r="242" customFormat="false" ht="15" hidden="false" customHeight="false" outlineLevel="0" collapsed="false">
      <c r="A242" s="46" t="n">
        <v>0.095312</v>
      </c>
      <c r="B242" s="46" t="n">
        <v>0.119182</v>
      </c>
      <c r="C242" s="46" t="n">
        <v>0.096686</v>
      </c>
      <c r="D242" s="46" t="n">
        <v>0.438448</v>
      </c>
      <c r="E242" s="46" t="n">
        <v>0.144153</v>
      </c>
      <c r="F242" s="46" t="n">
        <v>0.106219</v>
      </c>
      <c r="G242" s="47" t="n">
        <f aca="false">A242*Scorecard!$C$12+B242*Scorecard!$C$13+C242*Scorecard!$C$14+D242*Scorecard!$C$15+E242*Scorecard!$C$16+F242*Scorecard!$C$17</f>
        <v>4.17362904075852</v>
      </c>
      <c r="H242" s="47" t="n">
        <f aca="false">A242*Scorecard!$D$12+B242*Scorecard!$D$13+C242*Scorecard!$D$14+D242*Scorecard!$D$15+E242*Scorecard!$D$16+F242*Scorecard!$D$17</f>
        <v>3.2803537910594</v>
      </c>
      <c r="I242" s="47" t="n">
        <f aca="false">A242*Scorecard!$E$12+B242*Scorecard!$E$13+C242*Scorecard!$E$14+D242*Scorecard!$E$15+E242*Scorecard!$E$16+F242*Scorecard!$E$17</f>
        <v>3.8532700393224</v>
      </c>
      <c r="J242" s="0" t="str">
        <f aca="false">IF(AND(G242&gt;=H242,G242&gt;=I242),"Distribution",IF(I242&gt;=H242,"Prof. services","Manufacturing"))</f>
        <v>Distribution</v>
      </c>
      <c r="L242" s="46" t="n">
        <v>0.306733</v>
      </c>
      <c r="M242" s="46" t="n">
        <v>0.106069</v>
      </c>
      <c r="N242" s="46" t="n">
        <v>0.113785</v>
      </c>
      <c r="O242" s="46" t="n">
        <v>0.087025</v>
      </c>
      <c r="P242" s="46" t="n">
        <v>0.265526</v>
      </c>
      <c r="Q242" s="46" t="n">
        <v>0.120863</v>
      </c>
      <c r="R242" s="47" t="n">
        <f aca="false">L242*Scorecard!$C$12+M242*Scorecard!$C$13+N242*Scorecard!$C$14+O242*Scorecard!$C$15+P242*Scorecard!$C$16+Q242*Scorecard!$C$17</f>
        <v>3.39924822569019</v>
      </c>
      <c r="S242" s="47" t="n">
        <f aca="false">L242*Scorecard!$D$12+M242*Scorecard!$D$13+N242*Scorecard!$D$14+O242*Scorecard!$D$15+P242*Scorecard!$D$16+Q242*Scorecard!$D$17</f>
        <v>3.051363302688</v>
      </c>
      <c r="T242" s="47" t="n">
        <f aca="false">L242*Scorecard!$E$12+M242*Scorecard!$E$13+N242*Scorecard!$E$14+O242*Scorecard!$E$15+P242*Scorecard!$E$16+Q242*Scorecard!$E$17</f>
        <v>3.85375016701922</v>
      </c>
      <c r="U242" s="0" t="str">
        <f aca="false">IF(AND(R242&gt;=S242,R242&gt;=T242),"Distribution",IF(T242&gt;=S242,"Prof. services","Manufacturing"))</f>
        <v>Prof. services</v>
      </c>
    </row>
    <row r="243" customFormat="false" ht="15" hidden="false" customHeight="false" outlineLevel="0" collapsed="false">
      <c r="A243" s="46" t="n">
        <v>0.013885</v>
      </c>
      <c r="B243" s="46" t="n">
        <v>0.358868</v>
      </c>
      <c r="C243" s="46" t="n">
        <v>0.032223</v>
      </c>
      <c r="D243" s="46" t="n">
        <v>0.338673</v>
      </c>
      <c r="E243" s="46" t="n">
        <v>0.00605</v>
      </c>
      <c r="F243" s="46" t="n">
        <v>0.250301</v>
      </c>
      <c r="G243" s="47" t="n">
        <f aca="false">A243*Scorecard!$C$12+B243*Scorecard!$C$13+C243*Scorecard!$C$14+D243*Scorecard!$C$15+E243*Scorecard!$C$16+F243*Scorecard!$C$17</f>
        <v>4.17194580198645</v>
      </c>
      <c r="H243" s="47" t="n">
        <f aca="false">A243*Scorecard!$D$12+B243*Scorecard!$D$13+C243*Scorecard!$D$14+D243*Scorecard!$D$15+E243*Scorecard!$D$16+F243*Scorecard!$D$17</f>
        <v>2.48913711457869</v>
      </c>
      <c r="I243" s="47" t="n">
        <f aca="false">A243*Scorecard!$E$12+B243*Scorecard!$E$13+C243*Scorecard!$E$14+D243*Scorecard!$E$15+E243*Scorecard!$E$16+F243*Scorecard!$E$17</f>
        <v>3.54366653042922</v>
      </c>
      <c r="J243" s="0" t="str">
        <f aca="false">IF(AND(G243&gt;=H243,G243&gt;=I243),"Distribution",IF(I243&gt;=H243,"Prof. services","Manufacturing"))</f>
        <v>Distribution</v>
      </c>
      <c r="L243" s="46" t="n">
        <v>0.232751</v>
      </c>
      <c r="M243" s="46" t="n">
        <v>0.113632</v>
      </c>
      <c r="N243" s="46" t="n">
        <v>0.239666</v>
      </c>
      <c r="O243" s="46" t="n">
        <v>0.159778</v>
      </c>
      <c r="P243" s="46" t="n">
        <v>0.18964</v>
      </c>
      <c r="Q243" s="46" t="n">
        <v>0.064533</v>
      </c>
      <c r="R243" s="47" t="n">
        <f aca="false">L243*Scorecard!$C$12+M243*Scorecard!$C$13+N243*Scorecard!$C$14+O243*Scorecard!$C$15+P243*Scorecard!$C$16+Q243*Scorecard!$C$17</f>
        <v>3.7253888807452</v>
      </c>
      <c r="S243" s="47" t="n">
        <f aca="false">L243*Scorecard!$D$12+M243*Scorecard!$D$13+N243*Scorecard!$D$14+O243*Scorecard!$D$15+P243*Scorecard!$D$16+Q243*Scorecard!$D$17</f>
        <v>3.13456101965462</v>
      </c>
      <c r="T243" s="47" t="n">
        <f aca="false">L243*Scorecard!$E$12+M243*Scorecard!$E$13+N243*Scorecard!$E$14+O243*Scorecard!$E$15+P243*Scorecard!$E$16+Q243*Scorecard!$E$17</f>
        <v>4.00171127855859</v>
      </c>
      <c r="U243" s="0" t="str">
        <f aca="false">IF(AND(R243&gt;=S243,R243&gt;=T243),"Distribution",IF(T243&gt;=S243,"Prof. services","Manufacturing"))</f>
        <v>Prof. services</v>
      </c>
    </row>
    <row r="244" customFormat="false" ht="15" hidden="false" customHeight="false" outlineLevel="0" collapsed="false">
      <c r="A244" s="46" t="n">
        <v>0.076577</v>
      </c>
      <c r="B244" s="46" t="n">
        <v>0.591275</v>
      </c>
      <c r="C244" s="46" t="n">
        <v>0.242296</v>
      </c>
      <c r="D244" s="46" t="n">
        <v>0.017638</v>
      </c>
      <c r="E244" s="46" t="n">
        <v>0.018523</v>
      </c>
      <c r="F244" s="46" t="n">
        <v>0.053691</v>
      </c>
      <c r="G244" s="47" t="n">
        <f aca="false">A244*Scorecard!$C$12+B244*Scorecard!$C$13+C244*Scorecard!$C$14+D244*Scorecard!$C$15+E244*Scorecard!$C$16+F244*Scorecard!$C$17</f>
        <v>4.36369130793778</v>
      </c>
      <c r="H244" s="47" t="n">
        <f aca="false">A244*Scorecard!$D$12+B244*Scorecard!$D$13+C244*Scorecard!$D$14+D244*Scorecard!$D$15+E244*Scorecard!$D$16+F244*Scorecard!$D$17</f>
        <v>2.10913421368184</v>
      </c>
      <c r="I244" s="47" t="n">
        <f aca="false">A244*Scorecard!$E$12+B244*Scorecard!$E$13+C244*Scorecard!$E$14+D244*Scorecard!$E$15+E244*Scorecard!$E$16+F244*Scorecard!$E$17</f>
        <v>3.20875338806918</v>
      </c>
      <c r="J244" s="0" t="str">
        <f aca="false">IF(AND(G244&gt;=H244,G244&gt;=I244),"Distribution",IF(I244&gt;=H244,"Prof. services","Manufacturing"))</f>
        <v>Distribution</v>
      </c>
      <c r="L244" s="46" t="n">
        <v>0.152038</v>
      </c>
      <c r="M244" s="46" t="n">
        <v>0.106164</v>
      </c>
      <c r="N244" s="46" t="n">
        <v>0.179055</v>
      </c>
      <c r="O244" s="46" t="n">
        <v>0.24424</v>
      </c>
      <c r="P244" s="46" t="n">
        <v>0.275837</v>
      </c>
      <c r="Q244" s="46" t="n">
        <v>0.042666</v>
      </c>
      <c r="R244" s="47" t="n">
        <f aca="false">L244*Scorecard!$C$12+M244*Scorecard!$C$13+N244*Scorecard!$C$14+O244*Scorecard!$C$15+P244*Scorecard!$C$16+Q244*Scorecard!$C$17</f>
        <v>3.99140143179079</v>
      </c>
      <c r="S244" s="47" t="n">
        <f aca="false">L244*Scorecard!$D$12+M244*Scorecard!$D$13+N244*Scorecard!$D$14+O244*Scorecard!$D$15+P244*Scorecard!$D$16+Q244*Scorecard!$D$17</f>
        <v>3.25176512928733</v>
      </c>
      <c r="T244" s="47" t="n">
        <f aca="false">L244*Scorecard!$E$12+M244*Scorecard!$E$13+N244*Scorecard!$E$14+O244*Scorecard!$E$15+P244*Scorecard!$E$16+Q244*Scorecard!$E$17</f>
        <v>3.73366008004224</v>
      </c>
      <c r="U244" s="0" t="str">
        <f aca="false">IF(AND(R244&gt;=S244,R244&gt;=T244),"Distribution",IF(T244&gt;=S244,"Prof. services","Manufacturing"))</f>
        <v>Distribution</v>
      </c>
    </row>
    <row r="245" customFormat="false" ht="15" hidden="false" customHeight="false" outlineLevel="0" collapsed="false">
      <c r="A245" s="46" t="n">
        <v>0.369247</v>
      </c>
      <c r="B245" s="46" t="n">
        <v>0.094636</v>
      </c>
      <c r="C245" s="46" t="n">
        <v>0.093165</v>
      </c>
      <c r="D245" s="46" t="n">
        <v>0.187874</v>
      </c>
      <c r="E245" s="46" t="n">
        <v>0.129695</v>
      </c>
      <c r="F245" s="46" t="n">
        <v>0.125383</v>
      </c>
      <c r="G245" s="47" t="n">
        <f aca="false">A245*Scorecard!$C$12+B245*Scorecard!$C$13+C245*Scorecard!$C$14+D245*Scorecard!$C$15+E245*Scorecard!$C$16+F245*Scorecard!$C$17</f>
        <v>3.36709413417998</v>
      </c>
      <c r="H245" s="47" t="n">
        <f aca="false">A245*Scorecard!$D$12+B245*Scorecard!$D$13+C245*Scorecard!$D$14+D245*Scorecard!$D$15+E245*Scorecard!$D$16+F245*Scorecard!$D$17</f>
        <v>3.17450477772863</v>
      </c>
      <c r="I245" s="47" t="n">
        <f aca="false">A245*Scorecard!$E$12+B245*Scorecard!$E$13+C245*Scorecard!$E$14+D245*Scorecard!$E$15+E245*Scorecard!$E$16+F245*Scorecard!$E$17</f>
        <v>4.16227911451957</v>
      </c>
      <c r="J245" s="0" t="str">
        <f aca="false">IF(AND(G245&gt;=H245,G245&gt;=I245),"Distribution",IF(I245&gt;=H245,"Prof. services","Manufacturing"))</f>
        <v>Prof. services</v>
      </c>
      <c r="L245" s="46" t="n">
        <v>0.131498</v>
      </c>
      <c r="M245" s="46" t="n">
        <v>0.247886</v>
      </c>
      <c r="N245" s="46" t="n">
        <v>0.261826</v>
      </c>
      <c r="O245" s="46" t="n">
        <v>0.082769</v>
      </c>
      <c r="P245" s="46" t="n">
        <v>0.167212</v>
      </c>
      <c r="Q245" s="46" t="n">
        <v>0.10881</v>
      </c>
      <c r="R245" s="47" t="n">
        <f aca="false">L245*Scorecard!$C$12+M245*Scorecard!$C$13+N245*Scorecard!$C$14+O245*Scorecard!$C$15+P245*Scorecard!$C$16+Q245*Scorecard!$C$17</f>
        <v>3.8763407247111</v>
      </c>
      <c r="S245" s="47" t="n">
        <f aca="false">L245*Scorecard!$D$12+M245*Scorecard!$D$13+N245*Scorecard!$D$14+O245*Scorecard!$D$15+P245*Scorecard!$D$16+Q245*Scorecard!$D$17</f>
        <v>2.70312563330044</v>
      </c>
      <c r="T245" s="47" t="n">
        <f aca="false">L245*Scorecard!$E$12+M245*Scorecard!$E$13+N245*Scorecard!$E$14+O245*Scorecard!$E$15+P245*Scorecard!$E$16+Q245*Scorecard!$E$17</f>
        <v>3.71769768246014</v>
      </c>
      <c r="U245" s="0" t="str">
        <f aca="false">IF(AND(R245&gt;=S245,R245&gt;=T245),"Distribution",IF(T245&gt;=S245,"Prof. services","Manufacturing"))</f>
        <v>Distribution</v>
      </c>
    </row>
    <row r="246" customFormat="false" ht="15" hidden="false" customHeight="false" outlineLevel="0" collapsed="false">
      <c r="A246" s="46" t="n">
        <v>0.304093</v>
      </c>
      <c r="B246" s="46" t="n">
        <v>0.134436</v>
      </c>
      <c r="C246" s="46" t="n">
        <v>0.20919</v>
      </c>
      <c r="D246" s="46" t="n">
        <v>0.078789</v>
      </c>
      <c r="E246" s="46" t="n">
        <v>0.119435</v>
      </c>
      <c r="F246" s="46" t="n">
        <v>0.154056</v>
      </c>
      <c r="G246" s="47" t="n">
        <f aca="false">A246*Scorecard!$C$12+B246*Scorecard!$C$13+C246*Scorecard!$C$14+D246*Scorecard!$C$15+E246*Scorecard!$C$16+F246*Scorecard!$C$17</f>
        <v>3.35773726333915</v>
      </c>
      <c r="H246" s="47" t="n">
        <f aca="false">A246*Scorecard!$D$12+B246*Scorecard!$D$13+C246*Scorecard!$D$14+D246*Scorecard!$D$15+E246*Scorecard!$D$16+F246*Scorecard!$D$17</f>
        <v>2.89901369656969</v>
      </c>
      <c r="I246" s="47" t="n">
        <f aca="false">A246*Scorecard!$E$12+B246*Scorecard!$E$13+C246*Scorecard!$E$14+D246*Scorecard!$E$15+E246*Scorecard!$E$16+F246*Scorecard!$E$17</f>
        <v>4.15203226324314</v>
      </c>
      <c r="J246" s="0" t="str">
        <f aca="false">IF(AND(G246&gt;=H246,G246&gt;=I246),"Distribution",IF(I246&gt;=H246,"Prof. services","Manufacturing"))</f>
        <v>Prof. services</v>
      </c>
      <c r="L246" s="46" t="n">
        <v>0.31953</v>
      </c>
      <c r="M246" s="46" t="n">
        <v>0.101998</v>
      </c>
      <c r="N246" s="46" t="n">
        <v>0.173985</v>
      </c>
      <c r="O246" s="46" t="n">
        <v>0.152583</v>
      </c>
      <c r="P246" s="46" t="n">
        <v>0.150431</v>
      </c>
      <c r="Q246" s="46" t="n">
        <v>0.101474</v>
      </c>
      <c r="R246" s="47" t="n">
        <f aca="false">L246*Scorecard!$C$12+M246*Scorecard!$C$13+N246*Scorecard!$C$14+O246*Scorecard!$C$15+P246*Scorecard!$C$16+Q246*Scorecard!$C$17</f>
        <v>3.47647844319257</v>
      </c>
      <c r="S246" s="47" t="n">
        <f aca="false">L246*Scorecard!$D$12+M246*Scorecard!$D$13+N246*Scorecard!$D$14+O246*Scorecard!$D$15+P246*Scorecard!$D$16+Q246*Scorecard!$D$17</f>
        <v>3.13253806862101</v>
      </c>
      <c r="T246" s="47" t="n">
        <f aca="false">L246*Scorecard!$E$12+M246*Scorecard!$E$13+N246*Scorecard!$E$14+O246*Scorecard!$E$15+P246*Scorecard!$E$16+Q246*Scorecard!$E$17</f>
        <v>4.12727192402805</v>
      </c>
      <c r="U246" s="0" t="str">
        <f aca="false">IF(AND(R246&gt;=S246,R246&gt;=T246),"Distribution",IF(T246&gt;=S246,"Prof. services","Manufacturing"))</f>
        <v>Prof. services</v>
      </c>
    </row>
    <row r="247" customFormat="false" ht="15" hidden="false" customHeight="false" outlineLevel="0" collapsed="false">
      <c r="A247" s="46" t="n">
        <v>0.074934</v>
      </c>
      <c r="B247" s="46" t="n">
        <v>0.257376</v>
      </c>
      <c r="C247" s="46" t="n">
        <v>0.355529</v>
      </c>
      <c r="D247" s="46" t="n">
        <v>0.027446</v>
      </c>
      <c r="E247" s="46" t="n">
        <v>0.274499</v>
      </c>
      <c r="F247" s="46" t="n">
        <v>0.010216</v>
      </c>
      <c r="G247" s="47" t="n">
        <f aca="false">A247*Scorecard!$C$12+B247*Scorecard!$C$13+C247*Scorecard!$C$14+D247*Scorecard!$C$15+E247*Scorecard!$C$16+F247*Scorecard!$C$17</f>
        <v>4.12950773136855</v>
      </c>
      <c r="H247" s="47" t="n">
        <f aca="false">A247*Scorecard!$D$12+B247*Scorecard!$D$13+C247*Scorecard!$D$14+D247*Scorecard!$D$15+E247*Scorecard!$D$16+F247*Scorecard!$D$17</f>
        <v>2.7711239777466</v>
      </c>
      <c r="I247" s="47" t="n">
        <f aca="false">A247*Scorecard!$E$12+B247*Scorecard!$E$13+C247*Scorecard!$E$14+D247*Scorecard!$E$15+E247*Scorecard!$E$16+F247*Scorecard!$E$17</f>
        <v>3.49984561837874</v>
      </c>
      <c r="J247" s="0" t="str">
        <f aca="false">IF(AND(G247&gt;=H247,G247&gt;=I247),"Distribution",IF(I247&gt;=H247,"Prof. services","Manufacturing"))</f>
        <v>Distribution</v>
      </c>
      <c r="L247" s="46" t="n">
        <v>0.346524</v>
      </c>
      <c r="M247" s="46" t="n">
        <v>0.148522</v>
      </c>
      <c r="N247" s="46" t="n">
        <v>0.198814</v>
      </c>
      <c r="O247" s="46" t="n">
        <v>0.147172</v>
      </c>
      <c r="P247" s="46" t="n">
        <v>0.121851</v>
      </c>
      <c r="Q247" s="46" t="n">
        <v>0.037117</v>
      </c>
      <c r="R247" s="47" t="n">
        <f aca="false">L247*Scorecard!$C$12+M247*Scorecard!$C$13+N247*Scorecard!$C$14+O247*Scorecard!$C$15+P247*Scorecard!$C$16+Q247*Scorecard!$C$17</f>
        <v>3.59771185823198</v>
      </c>
      <c r="S247" s="47" t="n">
        <f aca="false">L247*Scorecard!$D$12+M247*Scorecard!$D$13+N247*Scorecard!$D$14+O247*Scorecard!$D$15+P247*Scorecard!$D$16+Q247*Scorecard!$D$17</f>
        <v>3.16127814953607</v>
      </c>
      <c r="T247" s="47" t="n">
        <f aca="false">L247*Scorecard!$E$12+M247*Scorecard!$E$13+N247*Scorecard!$E$14+O247*Scorecard!$E$15+P247*Scorecard!$E$16+Q247*Scorecard!$E$17</f>
        <v>4.10639792211704</v>
      </c>
      <c r="U247" s="0" t="str">
        <f aca="false">IF(AND(R247&gt;=S247,R247&gt;=T247),"Distribution",IF(T247&gt;=S247,"Prof. services","Manufacturing"))</f>
        <v>Prof. services</v>
      </c>
    </row>
    <row r="248" customFormat="false" ht="15" hidden="false" customHeight="false" outlineLevel="0" collapsed="false">
      <c r="A248" s="46" t="n">
        <v>0.03031</v>
      </c>
      <c r="B248" s="46" t="n">
        <v>0.109019</v>
      </c>
      <c r="C248" s="46" t="n">
        <v>0.248586</v>
      </c>
      <c r="D248" s="46" t="n">
        <v>0.470263</v>
      </c>
      <c r="E248" s="46" t="n">
        <v>0.134207</v>
      </c>
      <c r="F248" s="46" t="n">
        <v>0.007616</v>
      </c>
      <c r="G248" s="47" t="n">
        <f aca="false">A248*Scorecard!$C$12+B248*Scorecard!$C$13+C248*Scorecard!$C$14+D248*Scorecard!$C$15+E248*Scorecard!$C$16+F248*Scorecard!$C$17</f>
        <v>4.50949556775003</v>
      </c>
      <c r="H248" s="47" t="n">
        <f aca="false">A248*Scorecard!$D$12+B248*Scorecard!$D$13+C248*Scorecard!$D$14+D248*Scorecard!$D$15+E248*Scorecard!$D$16+F248*Scorecard!$D$17</f>
        <v>3.43409398544404</v>
      </c>
      <c r="I248" s="47" t="n">
        <f aca="false">A248*Scorecard!$E$12+B248*Scorecard!$E$13+C248*Scorecard!$E$14+D248*Scorecard!$E$15+E248*Scorecard!$E$16+F248*Scorecard!$E$17</f>
        <v>3.93172996992795</v>
      </c>
      <c r="J248" s="0" t="str">
        <f aca="false">IF(AND(G248&gt;=H248,G248&gt;=I248),"Distribution",IF(I248&gt;=H248,"Prof. services","Manufacturing"))</f>
        <v>Distribution</v>
      </c>
      <c r="L248" s="46" t="n">
        <v>0.257307</v>
      </c>
      <c r="M248" s="46" t="n">
        <v>0.093047</v>
      </c>
      <c r="N248" s="46" t="n">
        <v>0.302851</v>
      </c>
      <c r="O248" s="46" t="n">
        <v>0.050278</v>
      </c>
      <c r="P248" s="46" t="n">
        <v>0.219734</v>
      </c>
      <c r="Q248" s="46" t="n">
        <v>0.076783</v>
      </c>
      <c r="R248" s="47" t="n">
        <f aca="false">L248*Scorecard!$C$12+M248*Scorecard!$C$13+N248*Scorecard!$C$14+O248*Scorecard!$C$15+P248*Scorecard!$C$16+Q248*Scorecard!$C$17</f>
        <v>3.52660273055285</v>
      </c>
      <c r="S248" s="47" t="n">
        <f aca="false">L248*Scorecard!$D$12+M248*Scorecard!$D$13+N248*Scorecard!$D$14+O248*Scorecard!$D$15+P248*Scorecard!$D$16+Q248*Scorecard!$D$17</f>
        <v>3.04657421264722</v>
      </c>
      <c r="T248" s="47" t="n">
        <f aca="false">L248*Scorecard!$E$12+M248*Scorecard!$E$13+N248*Scorecard!$E$14+O248*Scorecard!$E$15+P248*Scorecard!$E$16+Q248*Scorecard!$E$17</f>
        <v>4.06605950838464</v>
      </c>
      <c r="U248" s="0" t="str">
        <f aca="false">IF(AND(R248&gt;=S248,R248&gt;=T248),"Distribution",IF(T248&gt;=S248,"Prof. services","Manufacturing"))</f>
        <v>Prof. services</v>
      </c>
    </row>
    <row r="249" customFormat="false" ht="15" hidden="false" customHeight="false" outlineLevel="0" collapsed="false">
      <c r="A249" s="46" t="n">
        <v>0.481439</v>
      </c>
      <c r="B249" s="46" t="n">
        <v>0.073104</v>
      </c>
      <c r="C249" s="46" t="n">
        <v>0.079405</v>
      </c>
      <c r="D249" s="46" t="n">
        <v>0.029825</v>
      </c>
      <c r="E249" s="46" t="n">
        <v>0.208987</v>
      </c>
      <c r="F249" s="46" t="n">
        <v>0.12724</v>
      </c>
      <c r="G249" s="47" t="n">
        <f aca="false">A249*Scorecard!$C$12+B249*Scorecard!$C$13+C249*Scorecard!$C$14+D249*Scorecard!$C$15+E249*Scorecard!$C$16+F249*Scorecard!$C$17</f>
        <v>2.98185193421334</v>
      </c>
      <c r="H249" s="47" t="n">
        <f aca="false">A249*Scorecard!$D$12+B249*Scorecard!$D$13+C249*Scorecard!$D$14+D249*Scorecard!$D$15+E249*Scorecard!$D$16+F249*Scorecard!$D$17</f>
        <v>3.12161380844545</v>
      </c>
      <c r="I249" s="47" t="n">
        <f aca="false">A249*Scorecard!$E$12+B249*Scorecard!$E$13+C249*Scorecard!$E$14+D249*Scorecard!$E$15+E249*Scorecard!$E$16+F249*Scorecard!$E$17</f>
        <v>4.14393397027743</v>
      </c>
      <c r="J249" s="0" t="str">
        <f aca="false">IF(AND(G249&gt;=H249,G249&gt;=I249),"Distribution",IF(I249&gt;=H249,"Prof. services","Manufacturing"))</f>
        <v>Prof. services</v>
      </c>
      <c r="L249" s="46" t="n">
        <v>0.131419</v>
      </c>
      <c r="M249" s="46" t="n">
        <v>0.276973</v>
      </c>
      <c r="N249" s="46" t="n">
        <v>0.169841</v>
      </c>
      <c r="O249" s="46" t="n">
        <v>0.152236</v>
      </c>
      <c r="P249" s="46" t="n">
        <v>0.059474</v>
      </c>
      <c r="Q249" s="46" t="n">
        <v>0.210057</v>
      </c>
      <c r="R249" s="47" t="n">
        <f aca="false">L249*Scorecard!$C$12+M249*Scorecard!$C$13+N249*Scorecard!$C$14+O249*Scorecard!$C$15+P249*Scorecard!$C$16+Q249*Scorecard!$C$17</f>
        <v>3.77253892583771</v>
      </c>
      <c r="S249" s="47" t="n">
        <f aca="false">L249*Scorecard!$D$12+M249*Scorecard!$D$13+N249*Scorecard!$D$14+O249*Scorecard!$D$15+P249*Scorecard!$D$16+Q249*Scorecard!$D$17</f>
        <v>2.55204549783454</v>
      </c>
      <c r="T249" s="47" t="n">
        <f aca="false">L249*Scorecard!$E$12+M249*Scorecard!$E$13+N249*Scorecard!$E$14+O249*Scorecard!$E$15+P249*Scorecard!$E$16+Q249*Scorecard!$E$17</f>
        <v>3.8126615481829</v>
      </c>
      <c r="U249" s="0" t="str">
        <f aca="false">IF(AND(R249&gt;=S249,R249&gt;=T249),"Distribution",IF(T249&gt;=S249,"Prof. services","Manufacturing"))</f>
        <v>Prof. services</v>
      </c>
    </row>
    <row r="250" customFormat="false" ht="15" hidden="false" customHeight="false" outlineLevel="0" collapsed="false">
      <c r="A250" s="46" t="n">
        <v>0.399688</v>
      </c>
      <c r="B250" s="46" t="n">
        <v>0.247149</v>
      </c>
      <c r="C250" s="46" t="n">
        <v>0.085797</v>
      </c>
      <c r="D250" s="46" t="n">
        <v>0.070884</v>
      </c>
      <c r="E250" s="46" t="n">
        <v>0.140313</v>
      </c>
      <c r="F250" s="46" t="n">
        <v>0.056168</v>
      </c>
      <c r="G250" s="47" t="n">
        <f aca="false">A250*Scorecard!$C$12+B250*Scorecard!$C$13+C250*Scorecard!$C$14+D250*Scorecard!$C$15+E250*Scorecard!$C$16+F250*Scorecard!$C$17</f>
        <v>3.48624890006182</v>
      </c>
      <c r="H250" s="47" t="n">
        <f aca="false">A250*Scorecard!$D$12+B250*Scorecard!$D$13+C250*Scorecard!$D$14+D250*Scorecard!$D$15+E250*Scorecard!$D$16+F250*Scorecard!$D$17</f>
        <v>2.93761662459151</v>
      </c>
      <c r="I250" s="47" t="n">
        <f aca="false">A250*Scorecard!$E$12+B250*Scorecard!$E$13+C250*Scorecard!$E$14+D250*Scorecard!$E$15+E250*Scorecard!$E$16+F250*Scorecard!$E$17</f>
        <v>3.82779320675465</v>
      </c>
      <c r="J250" s="0" t="str">
        <f aca="false">IF(AND(G250&gt;=H250,G250&gt;=I250),"Distribution",IF(I250&gt;=H250,"Prof. services","Manufacturing"))</f>
        <v>Prof. services</v>
      </c>
      <c r="L250" s="46" t="n">
        <v>0.179359</v>
      </c>
      <c r="M250" s="46" t="n">
        <v>0.179173</v>
      </c>
      <c r="N250" s="46" t="n">
        <v>0.272477</v>
      </c>
      <c r="O250" s="46" t="n">
        <v>0.158699</v>
      </c>
      <c r="P250" s="46" t="n">
        <v>0.025453</v>
      </c>
      <c r="Q250" s="46" t="n">
        <v>0.184839</v>
      </c>
      <c r="R250" s="47" t="n">
        <f aca="false">L250*Scorecard!$C$12+M250*Scorecard!$C$13+N250*Scorecard!$C$14+O250*Scorecard!$C$15+P250*Scorecard!$C$16+Q250*Scorecard!$C$17</f>
        <v>3.64534524216686</v>
      </c>
      <c r="S250" s="47" t="n">
        <f aca="false">L250*Scorecard!$D$12+M250*Scorecard!$D$13+N250*Scorecard!$D$14+O250*Scorecard!$D$15+P250*Scorecard!$D$16+Q250*Scorecard!$D$17</f>
        <v>2.76447871722958</v>
      </c>
      <c r="T250" s="47" t="n">
        <f aca="false">L250*Scorecard!$E$12+M250*Scorecard!$E$13+N250*Scorecard!$E$14+O250*Scorecard!$E$15+P250*Scorecard!$E$16+Q250*Scorecard!$E$17</f>
        <v>4.19182332071793</v>
      </c>
      <c r="U250" s="0" t="str">
        <f aca="false">IF(AND(R250&gt;=S250,R250&gt;=T250),"Distribution",IF(T250&gt;=S250,"Prof. services","Manufacturing"))</f>
        <v>Prof. services</v>
      </c>
    </row>
    <row r="251" customFormat="false" ht="15" hidden="false" customHeight="false" outlineLevel="0" collapsed="false">
      <c r="A251" s="46" t="n">
        <v>0.015249</v>
      </c>
      <c r="B251" s="46" t="n">
        <v>0.129533</v>
      </c>
      <c r="C251" s="46" t="n">
        <v>0.084918</v>
      </c>
      <c r="D251" s="46" t="n">
        <v>0.383889</v>
      </c>
      <c r="E251" s="46" t="n">
        <v>0.310626</v>
      </c>
      <c r="F251" s="46" t="n">
        <v>0.075785</v>
      </c>
      <c r="G251" s="47" t="n">
        <f aca="false">A251*Scorecard!$C$12+B251*Scorecard!$C$13+C251*Scorecard!$C$14+D251*Scorecard!$C$15+E251*Scorecard!$C$16+F251*Scorecard!$C$17</f>
        <v>4.33440358253448</v>
      </c>
      <c r="H251" s="47" t="n">
        <f aca="false">A251*Scorecard!$D$12+B251*Scorecard!$D$13+C251*Scorecard!$D$14+D251*Scorecard!$D$15+E251*Scorecard!$D$16+F251*Scorecard!$D$17</f>
        <v>3.24991363501999</v>
      </c>
      <c r="I251" s="47" t="n">
        <f aca="false">A251*Scorecard!$E$12+B251*Scorecard!$E$13+C251*Scorecard!$E$14+D251*Scorecard!$E$15+E251*Scorecard!$E$16+F251*Scorecard!$E$17</f>
        <v>3.44039914127214</v>
      </c>
      <c r="J251" s="0" t="str">
        <f aca="false">IF(AND(G251&gt;=H251,G251&gt;=I251),"Distribution",IF(I251&gt;=H251,"Prof. services","Manufacturing"))</f>
        <v>Distribution</v>
      </c>
      <c r="L251" s="46" t="n">
        <v>0.135937</v>
      </c>
      <c r="M251" s="46" t="n">
        <v>0.280892</v>
      </c>
      <c r="N251" s="46" t="n">
        <v>0.133909</v>
      </c>
      <c r="O251" s="46" t="n">
        <v>0.084798</v>
      </c>
      <c r="P251" s="46" t="n">
        <v>0.142588</v>
      </c>
      <c r="Q251" s="46" t="n">
        <v>0.221876</v>
      </c>
      <c r="R251" s="47" t="n">
        <f aca="false">L251*Scorecard!$C$12+M251*Scorecard!$C$13+N251*Scorecard!$C$14+O251*Scorecard!$C$15+P251*Scorecard!$C$16+Q251*Scorecard!$C$17</f>
        <v>3.67724946140666</v>
      </c>
      <c r="S251" s="47" t="n">
        <f aca="false">L251*Scorecard!$D$12+M251*Scorecard!$D$13+N251*Scorecard!$D$14+O251*Scorecard!$D$15+P251*Scorecard!$D$16+Q251*Scorecard!$D$17</f>
        <v>2.48105459237448</v>
      </c>
      <c r="T251" s="47" t="n">
        <f aca="false">L251*Scorecard!$E$12+M251*Scorecard!$E$13+N251*Scorecard!$E$14+O251*Scorecard!$E$15+P251*Scorecard!$E$16+Q251*Scorecard!$E$17</f>
        <v>3.63021601986603</v>
      </c>
      <c r="U251" s="0" t="str">
        <f aca="false">IF(AND(R251&gt;=S251,R251&gt;=T251),"Distribution",IF(T251&gt;=S251,"Prof. services","Manufacturing"))</f>
        <v>Distribution</v>
      </c>
    </row>
    <row r="252" customFormat="false" ht="15" hidden="false" customHeight="false" outlineLevel="0" collapsed="false">
      <c r="A252" s="46" t="n">
        <v>0.15544</v>
      </c>
      <c r="B252" s="46" t="n">
        <v>0.064471</v>
      </c>
      <c r="C252" s="46" t="n">
        <v>0.235001</v>
      </c>
      <c r="D252" s="46" t="n">
        <v>0.116049</v>
      </c>
      <c r="E252" s="46" t="n">
        <v>0.181145</v>
      </c>
      <c r="F252" s="46" t="n">
        <v>0.247893</v>
      </c>
      <c r="G252" s="47" t="n">
        <f aca="false">A252*Scorecard!$C$12+B252*Scorecard!$C$13+C252*Scorecard!$C$14+D252*Scorecard!$C$15+E252*Scorecard!$C$16+F252*Scorecard!$C$17</f>
        <v>3.40493578327498</v>
      </c>
      <c r="H252" s="47" t="n">
        <f aca="false">A252*Scorecard!$D$12+B252*Scorecard!$D$13+C252*Scorecard!$D$14+D252*Scorecard!$D$15+E252*Scorecard!$D$16+F252*Scorecard!$D$17</f>
        <v>2.82878691319756</v>
      </c>
      <c r="I252" s="47" t="n">
        <f aca="false">A252*Scorecard!$E$12+B252*Scorecard!$E$13+C252*Scorecard!$E$14+D252*Scorecard!$E$15+E252*Scorecard!$E$16+F252*Scorecard!$E$17</f>
        <v>4.1105989935141</v>
      </c>
      <c r="J252" s="0" t="str">
        <f aca="false">IF(AND(G252&gt;=H252,G252&gt;=I252),"Distribution",IF(I252&gt;=H252,"Prof. services","Manufacturing"))</f>
        <v>Prof. services</v>
      </c>
      <c r="L252" s="46" t="n">
        <v>0.22898</v>
      </c>
      <c r="M252" s="46" t="n">
        <v>0.18094</v>
      </c>
      <c r="N252" s="46" t="n">
        <v>0.171911</v>
      </c>
      <c r="O252" s="46" t="n">
        <v>0.110183</v>
      </c>
      <c r="P252" s="46" t="n">
        <v>0.201667</v>
      </c>
      <c r="Q252" s="46" t="n">
        <v>0.106319</v>
      </c>
      <c r="R252" s="47" t="n">
        <f aca="false">L252*Scorecard!$C$12+M252*Scorecard!$C$13+N252*Scorecard!$C$14+O252*Scorecard!$C$15+P252*Scorecard!$C$16+Q252*Scorecard!$C$17</f>
        <v>3.66631773452332</v>
      </c>
      <c r="S252" s="47" t="n">
        <f aca="false">L252*Scorecard!$D$12+M252*Scorecard!$D$13+N252*Scorecard!$D$14+O252*Scorecard!$D$15+P252*Scorecard!$D$16+Q252*Scorecard!$D$17</f>
        <v>2.91495743194185</v>
      </c>
      <c r="T252" s="47" t="n">
        <f aca="false">L252*Scorecard!$E$12+M252*Scorecard!$E$13+N252*Scorecard!$E$14+O252*Scorecard!$E$15+P252*Scorecard!$E$16+Q252*Scorecard!$E$17</f>
        <v>3.79665218437477</v>
      </c>
      <c r="U252" s="0" t="str">
        <f aca="false">IF(AND(R252&gt;=S252,R252&gt;=T252),"Distribution",IF(T252&gt;=S252,"Prof. services","Manufacturing"))</f>
        <v>Prof. services</v>
      </c>
    </row>
    <row r="253" customFormat="false" ht="15" hidden="false" customHeight="false" outlineLevel="0" collapsed="false">
      <c r="A253" s="46" t="n">
        <v>0.176997</v>
      </c>
      <c r="B253" s="46" t="n">
        <v>0.377661</v>
      </c>
      <c r="C253" s="46" t="n">
        <v>0.059413</v>
      </c>
      <c r="D253" s="46" t="n">
        <v>0.095475</v>
      </c>
      <c r="E253" s="46" t="n">
        <v>0.078462</v>
      </c>
      <c r="F253" s="46" t="n">
        <v>0.211992</v>
      </c>
      <c r="G253" s="47" t="n">
        <f aca="false">A253*Scorecard!$C$12+B253*Scorecard!$C$13+C253*Scorecard!$C$14+D253*Scorecard!$C$15+E253*Scorecard!$C$16+F253*Scorecard!$C$17</f>
        <v>3.73055487585127</v>
      </c>
      <c r="H253" s="47" t="n">
        <f aca="false">A253*Scorecard!$D$12+B253*Scorecard!$D$13+C253*Scorecard!$D$14+D253*Scorecard!$D$15+E253*Scorecard!$D$16+F253*Scorecard!$D$17</f>
        <v>2.36873707527358</v>
      </c>
      <c r="I253" s="47" t="n">
        <f aca="false">A253*Scorecard!$E$12+B253*Scorecard!$E$13+C253*Scorecard!$E$14+D253*Scorecard!$E$15+E253*Scorecard!$E$16+F253*Scorecard!$E$17</f>
        <v>3.51896816119829</v>
      </c>
      <c r="J253" s="0" t="str">
        <f aca="false">IF(AND(G253&gt;=H253,G253&gt;=I253),"Distribution",IF(I253&gt;=H253,"Prof. services","Manufacturing"))</f>
        <v>Distribution</v>
      </c>
      <c r="L253" s="46" t="n">
        <v>0.117721</v>
      </c>
      <c r="M253" s="46" t="n">
        <v>0.147529</v>
      </c>
      <c r="N253" s="46" t="n">
        <v>0.289842</v>
      </c>
      <c r="O253" s="46" t="n">
        <v>0.090801</v>
      </c>
      <c r="P253" s="46" t="n">
        <v>0.17808</v>
      </c>
      <c r="Q253" s="46" t="n">
        <v>0.176026</v>
      </c>
      <c r="R253" s="47" t="n">
        <f aca="false">L253*Scorecard!$C$12+M253*Scorecard!$C$13+N253*Scorecard!$C$14+O253*Scorecard!$C$15+P253*Scorecard!$C$16+Q253*Scorecard!$C$17</f>
        <v>3.67437452118447</v>
      </c>
      <c r="S253" s="47" t="n">
        <f aca="false">L253*Scorecard!$D$12+M253*Scorecard!$D$13+N253*Scorecard!$D$14+O253*Scorecard!$D$15+P253*Scorecard!$D$16+Q253*Scorecard!$D$17</f>
        <v>2.75675214768578</v>
      </c>
      <c r="T253" s="47" t="n">
        <f aca="false">L253*Scorecard!$E$12+M253*Scorecard!$E$13+N253*Scorecard!$E$14+O253*Scorecard!$E$15+P253*Scorecard!$E$16+Q253*Scorecard!$E$17</f>
        <v>3.93696982132274</v>
      </c>
      <c r="U253" s="0" t="str">
        <f aca="false">IF(AND(R253&gt;=S253,R253&gt;=T253),"Distribution",IF(T253&gt;=S253,"Prof. services","Manufacturing"))</f>
        <v>Prof. services</v>
      </c>
    </row>
    <row r="254" customFormat="false" ht="15" hidden="false" customHeight="false" outlineLevel="0" collapsed="false">
      <c r="A254" s="46" t="n">
        <v>0.269399</v>
      </c>
      <c r="B254" s="46" t="n">
        <v>0.182414</v>
      </c>
      <c r="C254" s="46" t="n">
        <v>0.006182</v>
      </c>
      <c r="D254" s="46" t="n">
        <v>0.052409</v>
      </c>
      <c r="E254" s="46" t="n">
        <v>0.270077</v>
      </c>
      <c r="F254" s="46" t="n">
        <v>0.219519</v>
      </c>
      <c r="G254" s="47" t="n">
        <f aca="false">A254*Scorecard!$C$12+B254*Scorecard!$C$13+C254*Scorecard!$C$14+D254*Scorecard!$C$15+E254*Scorecard!$C$16+F254*Scorecard!$C$17</f>
        <v>3.31086295810921</v>
      </c>
      <c r="H254" s="47" t="n">
        <f aca="false">A254*Scorecard!$D$12+B254*Scorecard!$D$13+C254*Scorecard!$D$14+D254*Scorecard!$D$15+E254*Scorecard!$D$16+F254*Scorecard!$D$17</f>
        <v>2.72556545910634</v>
      </c>
      <c r="I254" s="47" t="n">
        <f aca="false">A254*Scorecard!$E$12+B254*Scorecard!$E$13+C254*Scorecard!$E$14+D254*Scorecard!$E$15+E254*Scorecard!$E$16+F254*Scorecard!$E$17</f>
        <v>3.60167959576715</v>
      </c>
      <c r="J254" s="0" t="str">
        <f aca="false">IF(AND(G254&gt;=H254,G254&gt;=I254),"Distribution",IF(I254&gt;=H254,"Prof. services","Manufacturing"))</f>
        <v>Prof. services</v>
      </c>
      <c r="L254" s="46" t="n">
        <v>0.217972</v>
      </c>
      <c r="M254" s="46" t="n">
        <v>0.100703</v>
      </c>
      <c r="N254" s="46" t="n">
        <v>0.120262</v>
      </c>
      <c r="O254" s="46" t="n">
        <v>0.167229</v>
      </c>
      <c r="P254" s="46" t="n">
        <v>0.313564</v>
      </c>
      <c r="Q254" s="46" t="n">
        <v>0.080269</v>
      </c>
      <c r="R254" s="47" t="n">
        <f aca="false">L254*Scorecard!$C$12+M254*Scorecard!$C$13+N254*Scorecard!$C$14+O254*Scorecard!$C$15+P254*Scorecard!$C$16+Q254*Scorecard!$C$17</f>
        <v>3.71503729150806</v>
      </c>
      <c r="S254" s="47" t="n">
        <f aca="false">L254*Scorecard!$D$12+M254*Scorecard!$D$13+N254*Scorecard!$D$14+O254*Scorecard!$D$15+P254*Scorecard!$D$16+Q254*Scorecard!$D$17</f>
        <v>3.17053180448614</v>
      </c>
      <c r="T254" s="47" t="n">
        <f aca="false">L254*Scorecard!$E$12+M254*Scorecard!$E$13+N254*Scorecard!$E$14+O254*Scorecard!$E$15+P254*Scorecard!$E$16+Q254*Scorecard!$E$17</f>
        <v>3.69432453536134</v>
      </c>
      <c r="U254" s="0" t="str">
        <f aca="false">IF(AND(R254&gt;=S254,R254&gt;=T254),"Distribution",IF(T254&gt;=S254,"Prof. services","Manufacturing"))</f>
        <v>Distribution</v>
      </c>
    </row>
    <row r="255" customFormat="false" ht="15" hidden="false" customHeight="false" outlineLevel="0" collapsed="false">
      <c r="A255" s="46" t="n">
        <v>0.072433</v>
      </c>
      <c r="B255" s="46" t="n">
        <v>0.082933</v>
      </c>
      <c r="C255" s="46" t="n">
        <v>0.342653</v>
      </c>
      <c r="D255" s="46" t="n">
        <v>0.16638</v>
      </c>
      <c r="E255" s="46" t="n">
        <v>0.206336</v>
      </c>
      <c r="F255" s="46" t="n">
        <v>0.129266</v>
      </c>
      <c r="G255" s="47" t="n">
        <f aca="false">A255*Scorecard!$C$12+B255*Scorecard!$C$13+C255*Scorecard!$C$14+D255*Scorecard!$C$15+E255*Scorecard!$C$16+F255*Scorecard!$C$17</f>
        <v>3.86040456703523</v>
      </c>
      <c r="H255" s="47" t="n">
        <f aca="false">A255*Scorecard!$D$12+B255*Scorecard!$D$13+C255*Scorecard!$D$14+D255*Scorecard!$D$15+E255*Scorecard!$D$16+F255*Scorecard!$D$17</f>
        <v>2.99085395687411</v>
      </c>
      <c r="I255" s="47" t="n">
        <f aca="false">A255*Scorecard!$E$12+B255*Scorecard!$E$13+C255*Scorecard!$E$14+D255*Scorecard!$E$15+E255*Scorecard!$E$16+F255*Scorecard!$E$17</f>
        <v>4.00758622965059</v>
      </c>
      <c r="J255" s="0" t="str">
        <f aca="false">IF(AND(G255&gt;=H255,G255&gt;=I255),"Distribution",IF(I255&gt;=H255,"Prof. services","Manufacturing"))</f>
        <v>Prof. services</v>
      </c>
      <c r="L255" s="46" t="n">
        <v>0.258578</v>
      </c>
      <c r="M255" s="46" t="n">
        <v>0.216349</v>
      </c>
      <c r="N255" s="46" t="n">
        <v>0.135477</v>
      </c>
      <c r="O255" s="46" t="n">
        <v>0.201943</v>
      </c>
      <c r="P255" s="46" t="n">
        <v>0.051437</v>
      </c>
      <c r="Q255" s="46" t="n">
        <v>0.136217</v>
      </c>
      <c r="R255" s="47" t="n">
        <f aca="false">L255*Scorecard!$C$12+M255*Scorecard!$C$13+N255*Scorecard!$C$14+O255*Scorecard!$C$15+P255*Scorecard!$C$16+Q255*Scorecard!$C$17</f>
        <v>3.68041791242716</v>
      </c>
      <c r="S255" s="47" t="n">
        <f aca="false">L255*Scorecard!$D$12+M255*Scorecard!$D$13+N255*Scorecard!$D$14+O255*Scorecard!$D$15+P255*Scorecard!$D$16+Q255*Scorecard!$D$17</f>
        <v>2.89266387099952</v>
      </c>
      <c r="T255" s="47" t="n">
        <f aca="false">L255*Scorecard!$E$12+M255*Scorecard!$E$13+N255*Scorecard!$E$14+O255*Scorecard!$E$15+P255*Scorecard!$E$16+Q255*Scorecard!$E$17</f>
        <v>4.00379859560659</v>
      </c>
      <c r="U255" s="0" t="str">
        <f aca="false">IF(AND(R255&gt;=S255,R255&gt;=T255),"Distribution",IF(T255&gt;=S255,"Prof. services","Manufacturing"))</f>
        <v>Prof. services</v>
      </c>
    </row>
    <row r="256" customFormat="false" ht="15" hidden="false" customHeight="false" outlineLevel="0" collapsed="false">
      <c r="A256" s="46" t="n">
        <v>0.155889</v>
      </c>
      <c r="B256" s="46" t="n">
        <v>0.254965</v>
      </c>
      <c r="C256" s="46" t="n">
        <v>0.383505</v>
      </c>
      <c r="D256" s="46" t="n">
        <v>0.128462</v>
      </c>
      <c r="E256" s="46" t="n">
        <v>0.05909</v>
      </c>
      <c r="F256" s="46" t="n">
        <v>0.01809</v>
      </c>
      <c r="G256" s="47" t="n">
        <f aca="false">A256*Scorecard!$C$12+B256*Scorecard!$C$13+C256*Scorecard!$C$14+D256*Scorecard!$C$15+E256*Scorecard!$C$16+F256*Scorecard!$C$17</f>
        <v>4.0666485768718</v>
      </c>
      <c r="H256" s="47" t="n">
        <f aca="false">A256*Scorecard!$D$12+B256*Scorecard!$D$13+C256*Scorecard!$D$14+D256*Scorecard!$D$15+E256*Scorecard!$D$16+F256*Scorecard!$D$17</f>
        <v>2.86154692394277</v>
      </c>
      <c r="I256" s="47" t="n">
        <f aca="false">A256*Scorecard!$E$12+B256*Scorecard!$E$13+C256*Scorecard!$E$14+D256*Scorecard!$E$15+E256*Scorecard!$E$16+F256*Scorecard!$E$17</f>
        <v>3.99283242151752</v>
      </c>
      <c r="J256" s="0" t="str">
        <f aca="false">IF(AND(G256&gt;=H256,G256&gt;=I256),"Distribution",IF(I256&gt;=H256,"Prof. services","Manufacturing"))</f>
        <v>Distribution</v>
      </c>
      <c r="L256" s="46" t="n">
        <v>0.299543</v>
      </c>
      <c r="M256" s="46" t="n">
        <v>0.190552</v>
      </c>
      <c r="N256" s="46" t="n">
        <v>0.150412</v>
      </c>
      <c r="O256" s="46" t="n">
        <v>0.140236</v>
      </c>
      <c r="P256" s="46" t="n">
        <v>0.12271</v>
      </c>
      <c r="Q256" s="46" t="n">
        <v>0.096547</v>
      </c>
      <c r="R256" s="47" t="n">
        <f aca="false">L256*Scorecard!$C$12+M256*Scorecard!$C$13+N256*Scorecard!$C$14+O256*Scorecard!$C$15+P256*Scorecard!$C$16+Q256*Scorecard!$C$17</f>
        <v>3.59851232822656</v>
      </c>
      <c r="S256" s="47" t="n">
        <f aca="false">L256*Scorecard!$D$12+M256*Scorecard!$D$13+N256*Scorecard!$D$14+O256*Scorecard!$D$15+P256*Scorecard!$D$16+Q256*Scorecard!$D$17</f>
        <v>2.97026971417189</v>
      </c>
      <c r="T256" s="47" t="n">
        <f aca="false">L256*Scorecard!$E$12+M256*Scorecard!$E$13+N256*Scorecard!$E$14+O256*Scorecard!$E$15+P256*Scorecard!$E$16+Q256*Scorecard!$E$17</f>
        <v>3.95932904246517</v>
      </c>
      <c r="U256" s="0" t="str">
        <f aca="false">IF(AND(R256&gt;=S256,R256&gt;=T256),"Distribution",IF(T256&gt;=S256,"Prof. services","Manufacturing"))</f>
        <v>Prof. services</v>
      </c>
    </row>
    <row r="257" customFormat="false" ht="15" hidden="false" customHeight="false" outlineLevel="0" collapsed="false">
      <c r="A257" s="46" t="n">
        <v>0.004662</v>
      </c>
      <c r="B257" s="46" t="n">
        <v>0.395326</v>
      </c>
      <c r="C257" s="46" t="n">
        <v>0.172731</v>
      </c>
      <c r="D257" s="46" t="n">
        <v>0.063478</v>
      </c>
      <c r="E257" s="46" t="n">
        <v>0.122271</v>
      </c>
      <c r="F257" s="46" t="n">
        <v>0.241533</v>
      </c>
      <c r="G257" s="47" t="n">
        <f aca="false">A257*Scorecard!$C$12+B257*Scorecard!$C$13+C257*Scorecard!$C$14+D257*Scorecard!$C$15+E257*Scorecard!$C$16+F257*Scorecard!$C$17</f>
        <v>3.96735033351536</v>
      </c>
      <c r="H257" s="47" t="n">
        <f aca="false">A257*Scorecard!$D$12+B257*Scorecard!$D$13+C257*Scorecard!$D$14+D257*Scorecard!$D$15+E257*Scorecard!$D$16+F257*Scorecard!$D$17</f>
        <v>2.16163960830533</v>
      </c>
      <c r="I257" s="47" t="n">
        <f aca="false">A257*Scorecard!$E$12+B257*Scorecard!$E$13+C257*Scorecard!$E$14+D257*Scorecard!$E$15+E257*Scorecard!$E$16+F257*Scorecard!$E$17</f>
        <v>3.36332737147745</v>
      </c>
      <c r="J257" s="0" t="str">
        <f aca="false">IF(AND(G257&gt;=H257,G257&gt;=I257),"Distribution",IF(I257&gt;=H257,"Prof. services","Manufacturing"))</f>
        <v>Distribution</v>
      </c>
      <c r="L257" s="46" t="n">
        <v>0.212628</v>
      </c>
      <c r="M257" s="46" t="n">
        <v>0.195819</v>
      </c>
      <c r="N257" s="46" t="n">
        <v>0.111258</v>
      </c>
      <c r="O257" s="46" t="n">
        <v>0.095948</v>
      </c>
      <c r="P257" s="46" t="n">
        <v>0.301293</v>
      </c>
      <c r="Q257" s="46" t="n">
        <v>0.083054</v>
      </c>
      <c r="R257" s="47" t="n">
        <f aca="false">L257*Scorecard!$C$12+M257*Scorecard!$C$13+N257*Scorecard!$C$14+O257*Scorecard!$C$15+P257*Scorecard!$C$16+Q257*Scorecard!$C$17</f>
        <v>3.74292556771868</v>
      </c>
      <c r="S257" s="47" t="n">
        <f aca="false">L257*Scorecard!$D$12+M257*Scorecard!$D$13+N257*Scorecard!$D$14+O257*Scorecard!$D$15+P257*Scorecard!$D$16+Q257*Scorecard!$D$17</f>
        <v>2.93344986941165</v>
      </c>
      <c r="T257" s="47" t="n">
        <f aca="false">L257*Scorecard!$E$12+M257*Scorecard!$E$13+N257*Scorecard!$E$14+O257*Scorecard!$E$15+P257*Scorecard!$E$16+Q257*Scorecard!$E$17</f>
        <v>3.51172837456399</v>
      </c>
      <c r="U257" s="0" t="str">
        <f aca="false">IF(AND(R257&gt;=S257,R257&gt;=T257),"Distribution",IF(T257&gt;=S257,"Prof. services","Manufacturing"))</f>
        <v>Distribution</v>
      </c>
    </row>
    <row r="258" customFormat="false" ht="15" hidden="false" customHeight="false" outlineLevel="0" collapsed="false">
      <c r="A258" s="46" t="n">
        <v>0.306568</v>
      </c>
      <c r="B258" s="46" t="n">
        <v>0.017457</v>
      </c>
      <c r="C258" s="46" t="n">
        <v>0.071565</v>
      </c>
      <c r="D258" s="46" t="n">
        <v>0.125567</v>
      </c>
      <c r="E258" s="46" t="n">
        <v>0.366763</v>
      </c>
      <c r="F258" s="46" t="n">
        <v>0.11208</v>
      </c>
      <c r="G258" s="47" t="n">
        <f aca="false">A258*Scorecard!$C$12+B258*Scorecard!$C$13+C258*Scorecard!$C$14+D258*Scorecard!$C$15+E258*Scorecard!$C$16+F258*Scorecard!$C$17</f>
        <v>3.36703722804325</v>
      </c>
      <c r="H258" s="47" t="n">
        <f aca="false">A258*Scorecard!$D$12+B258*Scorecard!$D$13+C258*Scorecard!$D$14+D258*Scorecard!$D$15+E258*Scorecard!$D$16+F258*Scorecard!$D$17</f>
        <v>3.27579607470775</v>
      </c>
      <c r="I258" s="47" t="n">
        <f aca="false">A258*Scorecard!$E$12+B258*Scorecard!$E$13+C258*Scorecard!$E$14+D258*Scorecard!$E$15+E258*Scorecard!$E$16+F258*Scorecard!$E$17</f>
        <v>3.81076603413896</v>
      </c>
      <c r="J258" s="0" t="str">
        <f aca="false">IF(AND(G258&gt;=H258,G258&gt;=I258),"Distribution",IF(I258&gt;=H258,"Prof. services","Manufacturing"))</f>
        <v>Prof. services</v>
      </c>
      <c r="L258" s="46" t="n">
        <v>0.176275</v>
      </c>
      <c r="M258" s="46" t="n">
        <v>0.162603</v>
      </c>
      <c r="N258" s="46" t="n">
        <v>0.344313</v>
      </c>
      <c r="O258" s="46" t="n">
        <v>0.097524</v>
      </c>
      <c r="P258" s="46" t="n">
        <v>0.093891</v>
      </c>
      <c r="Q258" s="46" t="n">
        <v>0.125394</v>
      </c>
      <c r="R258" s="47" t="n">
        <f aca="false">L258*Scorecard!$C$12+M258*Scorecard!$C$13+N258*Scorecard!$C$14+O258*Scorecard!$C$15+P258*Scorecard!$C$16+Q258*Scorecard!$C$17</f>
        <v>3.69204148614769</v>
      </c>
      <c r="S258" s="47" t="n">
        <f aca="false">L258*Scorecard!$D$12+M258*Scorecard!$D$13+N258*Scorecard!$D$14+O258*Scorecard!$D$15+P258*Scorecard!$D$16+Q258*Scorecard!$D$17</f>
        <v>2.82847465461073</v>
      </c>
      <c r="T258" s="47" t="n">
        <f aca="false">L258*Scorecard!$E$12+M258*Scorecard!$E$13+N258*Scorecard!$E$14+O258*Scorecard!$E$15+P258*Scorecard!$E$16+Q258*Scorecard!$E$17</f>
        <v>4.13782852801279</v>
      </c>
      <c r="U258" s="0" t="str">
        <f aca="false">IF(AND(R258&gt;=S258,R258&gt;=T258),"Distribution",IF(T258&gt;=S258,"Prof. services","Manufacturing"))</f>
        <v>Prof. services</v>
      </c>
    </row>
    <row r="259" customFormat="false" ht="15" hidden="false" customHeight="false" outlineLevel="0" collapsed="false">
      <c r="A259" s="46" t="n">
        <v>0.164875</v>
      </c>
      <c r="B259" s="46" t="n">
        <v>0.194731</v>
      </c>
      <c r="C259" s="46" t="n">
        <v>0.05965</v>
      </c>
      <c r="D259" s="46" t="n">
        <v>0.193833</v>
      </c>
      <c r="E259" s="46" t="n">
        <v>0.33475</v>
      </c>
      <c r="F259" s="46" t="n">
        <v>0.05216</v>
      </c>
      <c r="G259" s="47" t="n">
        <f aca="false">A259*Scorecard!$C$12+B259*Scorecard!$C$13+C259*Scorecard!$C$14+D259*Scorecard!$C$15+E259*Scorecard!$C$16+F259*Scorecard!$C$17</f>
        <v>3.98746264872274</v>
      </c>
      <c r="H259" s="47" t="n">
        <f aca="false">A259*Scorecard!$D$12+B259*Scorecard!$D$13+C259*Scorecard!$D$14+D259*Scorecard!$D$15+E259*Scorecard!$D$16+F259*Scorecard!$D$17</f>
        <v>3.07434580073694</v>
      </c>
      <c r="I259" s="47" t="n">
        <f aca="false">A259*Scorecard!$E$12+B259*Scorecard!$E$13+C259*Scorecard!$E$14+D259*Scorecard!$E$15+E259*Scorecard!$E$16+F259*Scorecard!$E$17</f>
        <v>3.359259279512</v>
      </c>
      <c r="J259" s="0" t="str">
        <f aca="false">IF(AND(G259&gt;=H259,G259&gt;=I259),"Distribution",IF(I259&gt;=H259,"Prof. services","Manufacturing"))</f>
        <v>Distribution</v>
      </c>
      <c r="L259" s="46" t="n">
        <v>0.191465</v>
      </c>
      <c r="M259" s="46" t="n">
        <v>0.221965</v>
      </c>
      <c r="N259" s="46" t="n">
        <v>0.216191</v>
      </c>
      <c r="O259" s="46" t="n">
        <v>0.200357</v>
      </c>
      <c r="P259" s="46" t="n">
        <v>0.063172</v>
      </c>
      <c r="Q259" s="46" t="n">
        <v>0.106851</v>
      </c>
      <c r="R259" s="47" t="n">
        <f aca="false">L259*Scorecard!$C$12+M259*Scorecard!$C$13+N259*Scorecard!$C$14+O259*Scorecard!$C$15+P259*Scorecard!$C$16+Q259*Scorecard!$C$17</f>
        <v>3.86398426952357</v>
      </c>
      <c r="S259" s="47" t="n">
        <f aca="false">L259*Scorecard!$D$12+M259*Scorecard!$D$13+N259*Scorecard!$D$14+O259*Scorecard!$D$15+P259*Scorecard!$D$16+Q259*Scorecard!$D$17</f>
        <v>2.886027462643</v>
      </c>
      <c r="T259" s="47" t="n">
        <f aca="false">L259*Scorecard!$E$12+M259*Scorecard!$E$13+N259*Scorecard!$E$14+O259*Scorecard!$E$15+P259*Scorecard!$E$16+Q259*Scorecard!$E$17</f>
        <v>3.97236468379041</v>
      </c>
      <c r="U259" s="0" t="str">
        <f aca="false">IF(AND(R259&gt;=S259,R259&gt;=T259),"Distribution",IF(T259&gt;=S259,"Prof. services","Manufacturing"))</f>
        <v>Prof. services</v>
      </c>
    </row>
    <row r="260" customFormat="false" ht="15" hidden="false" customHeight="false" outlineLevel="0" collapsed="false">
      <c r="A260" s="46" t="n">
        <v>0.372152</v>
      </c>
      <c r="B260" s="46" t="n">
        <v>0.015225</v>
      </c>
      <c r="C260" s="46" t="n">
        <v>0.067403</v>
      </c>
      <c r="D260" s="46" t="n">
        <v>0.025055</v>
      </c>
      <c r="E260" s="46" t="n">
        <v>0.011834</v>
      </c>
      <c r="F260" s="46" t="n">
        <v>0.508331</v>
      </c>
      <c r="G260" s="47" t="n">
        <f aca="false">A260*Scorecard!$C$12+B260*Scorecard!$C$13+C260*Scorecard!$C$14+D260*Scorecard!$C$15+E260*Scorecard!$C$16+F260*Scorecard!$C$17</f>
        <v>2.35373909275186</v>
      </c>
      <c r="H260" s="47" t="n">
        <f aca="false">A260*Scorecard!$D$12+B260*Scorecard!$D$13+C260*Scorecard!$D$14+D260*Scorecard!$D$15+E260*Scorecard!$D$16+F260*Scorecard!$D$17</f>
        <v>2.49342476355584</v>
      </c>
      <c r="I260" s="47" t="n">
        <f aca="false">A260*Scorecard!$E$12+B260*Scorecard!$E$13+C260*Scorecard!$E$14+D260*Scorecard!$E$15+E260*Scorecard!$E$16+F260*Scorecard!$E$17</f>
        <v>4.64955312884461</v>
      </c>
      <c r="J260" s="0" t="str">
        <f aca="false">IF(AND(G260&gt;=H260,G260&gt;=I260),"Distribution",IF(I260&gt;=H260,"Prof. services","Manufacturing"))</f>
        <v>Prof. services</v>
      </c>
      <c r="L260" s="46" t="n">
        <v>0.147406</v>
      </c>
      <c r="M260" s="46" t="n">
        <v>0.080707</v>
      </c>
      <c r="N260" s="46" t="n">
        <v>0.257533</v>
      </c>
      <c r="O260" s="46" t="n">
        <v>0.189885</v>
      </c>
      <c r="P260" s="46" t="n">
        <v>0.153888</v>
      </c>
      <c r="Q260" s="46" t="n">
        <v>0.170581</v>
      </c>
      <c r="R260" s="47" t="n">
        <f aca="false">L260*Scorecard!$C$12+M260*Scorecard!$C$13+N260*Scorecard!$C$14+O260*Scorecard!$C$15+P260*Scorecard!$C$16+Q260*Scorecard!$C$17</f>
        <v>3.6640970978476</v>
      </c>
      <c r="S260" s="47" t="n">
        <f aca="false">L260*Scorecard!$D$12+M260*Scorecard!$D$13+N260*Scorecard!$D$14+O260*Scorecard!$D$15+P260*Scorecard!$D$16+Q260*Scorecard!$D$17</f>
        <v>2.99147072105381</v>
      </c>
      <c r="T260" s="47" t="n">
        <f aca="false">L260*Scorecard!$E$12+M260*Scorecard!$E$13+N260*Scorecard!$E$14+O260*Scorecard!$E$15+P260*Scorecard!$E$16+Q260*Scorecard!$E$17</f>
        <v>4.11353853240373</v>
      </c>
      <c r="U260" s="0" t="str">
        <f aca="false">IF(AND(R260&gt;=S260,R260&gt;=T260),"Distribution",IF(T260&gt;=S260,"Prof. services","Manufacturing"))</f>
        <v>Prof. services</v>
      </c>
    </row>
    <row r="261" customFormat="false" ht="15" hidden="false" customHeight="false" outlineLevel="0" collapsed="false">
      <c r="A261" s="46" t="n">
        <v>0.112116</v>
      </c>
      <c r="B261" s="46" t="n">
        <v>0.254501</v>
      </c>
      <c r="C261" s="46" t="n">
        <v>0.347022</v>
      </c>
      <c r="D261" s="46" t="n">
        <v>0.049671</v>
      </c>
      <c r="E261" s="46" t="n">
        <v>0.121658</v>
      </c>
      <c r="F261" s="46" t="n">
        <v>0.115033</v>
      </c>
      <c r="G261" s="47" t="n">
        <f aca="false">A261*Scorecard!$C$12+B261*Scorecard!$C$13+C261*Scorecard!$C$14+D261*Scorecard!$C$15+E261*Scorecard!$C$16+F261*Scorecard!$C$17</f>
        <v>3.8722996011172</v>
      </c>
      <c r="H261" s="47" t="n">
        <f aca="false">A261*Scorecard!$D$12+B261*Scorecard!$D$13+C261*Scorecard!$D$14+D261*Scorecard!$D$15+E261*Scorecard!$D$16+F261*Scorecard!$D$17</f>
        <v>2.61755896877294</v>
      </c>
      <c r="I261" s="47" t="n">
        <f aca="false">A261*Scorecard!$E$12+B261*Scorecard!$E$13+C261*Scorecard!$E$14+D261*Scorecard!$E$15+E261*Scorecard!$E$16+F261*Scorecard!$E$17</f>
        <v>3.84470778298397</v>
      </c>
      <c r="J261" s="0" t="str">
        <f aca="false">IF(AND(G261&gt;=H261,G261&gt;=I261),"Distribution",IF(I261&gt;=H261,"Prof. services","Manufacturing"))</f>
        <v>Distribution</v>
      </c>
      <c r="L261" s="46" t="n">
        <v>0.148948</v>
      </c>
      <c r="M261" s="46" t="n">
        <v>0.276708</v>
      </c>
      <c r="N261" s="46" t="n">
        <v>0.198523</v>
      </c>
      <c r="O261" s="46" t="n">
        <v>0.149621</v>
      </c>
      <c r="P261" s="46" t="n">
        <v>0.05345</v>
      </c>
      <c r="Q261" s="46" t="n">
        <v>0.17275</v>
      </c>
      <c r="R261" s="47" t="n">
        <f aca="false">L261*Scorecard!$C$12+M261*Scorecard!$C$13+N261*Scorecard!$C$14+O261*Scorecard!$C$15+P261*Scorecard!$C$16+Q261*Scorecard!$C$17</f>
        <v>3.81272047585719</v>
      </c>
      <c r="S261" s="47" t="n">
        <f aca="false">L261*Scorecard!$D$12+M261*Scorecard!$D$13+N261*Scorecard!$D$14+O261*Scorecard!$D$15+P261*Scorecard!$D$16+Q261*Scorecard!$D$17</f>
        <v>2.614947296098</v>
      </c>
      <c r="T261" s="47" t="n">
        <f aca="false">L261*Scorecard!$E$12+M261*Scorecard!$E$13+N261*Scorecard!$E$14+O261*Scorecard!$E$15+P261*Scorecard!$E$16+Q261*Scorecard!$E$17</f>
        <v>3.85032693056218</v>
      </c>
      <c r="U261" s="0" t="str">
        <f aca="false">IF(AND(R261&gt;=S261,R261&gt;=T261),"Distribution",IF(T261&gt;=S261,"Prof. services","Manufacturing"))</f>
        <v>Prof. services</v>
      </c>
    </row>
    <row r="262" customFormat="false" ht="15" hidden="false" customHeight="false" outlineLevel="0" collapsed="false">
      <c r="A262" s="46" t="n">
        <v>0.085347</v>
      </c>
      <c r="B262" s="46" t="n">
        <v>0.150951</v>
      </c>
      <c r="C262" s="46" t="n">
        <v>0.092868</v>
      </c>
      <c r="D262" s="46" t="n">
        <v>0.385917</v>
      </c>
      <c r="E262" s="46" t="n">
        <v>0.165172</v>
      </c>
      <c r="F262" s="46" t="n">
        <v>0.119745</v>
      </c>
      <c r="G262" s="47" t="n">
        <f aca="false">A262*Scorecard!$C$12+B262*Scorecard!$C$13+C262*Scorecard!$C$14+D262*Scorecard!$C$15+E262*Scorecard!$C$16+F262*Scorecard!$C$17</f>
        <v>4.14375218286908</v>
      </c>
      <c r="H262" s="47" t="n">
        <f aca="false">A262*Scorecard!$D$12+B262*Scorecard!$D$13+C262*Scorecard!$D$14+D262*Scorecard!$D$15+E262*Scorecard!$D$16+F262*Scorecard!$D$17</f>
        <v>3.15199137153672</v>
      </c>
      <c r="I262" s="47" t="n">
        <f aca="false">A262*Scorecard!$E$12+B262*Scorecard!$E$13+C262*Scorecard!$E$14+D262*Scorecard!$E$15+E262*Scorecard!$E$16+F262*Scorecard!$E$17</f>
        <v>3.74301195629972</v>
      </c>
      <c r="J262" s="0" t="str">
        <f aca="false">IF(AND(G262&gt;=H262,G262&gt;=I262),"Distribution",IF(I262&gt;=H262,"Prof. services","Manufacturing"))</f>
        <v>Distribution</v>
      </c>
      <c r="L262" s="46" t="n">
        <v>0.224007</v>
      </c>
      <c r="M262" s="46" t="n">
        <v>0.244938</v>
      </c>
      <c r="N262" s="46" t="n">
        <v>0.125899</v>
      </c>
      <c r="O262" s="46" t="n">
        <v>0.159506</v>
      </c>
      <c r="P262" s="46" t="n">
        <v>0.129478</v>
      </c>
      <c r="Q262" s="46" t="n">
        <v>0.116172</v>
      </c>
      <c r="R262" s="47" t="n">
        <f aca="false">L262*Scorecard!$C$12+M262*Scorecard!$C$13+N262*Scorecard!$C$14+O262*Scorecard!$C$15+P262*Scorecard!$C$16+Q262*Scorecard!$C$17</f>
        <v>3.76888420544312</v>
      </c>
      <c r="S262" s="47" t="n">
        <f aca="false">L262*Scorecard!$D$12+M262*Scorecard!$D$13+N262*Scorecard!$D$14+O262*Scorecard!$D$15+P262*Scorecard!$D$16+Q262*Scorecard!$D$17</f>
        <v>2.83386723116164</v>
      </c>
      <c r="T262" s="47" t="n">
        <f aca="false">L262*Scorecard!$E$12+M262*Scorecard!$E$13+N262*Scorecard!$E$14+O262*Scorecard!$E$15+P262*Scorecard!$E$16+Q262*Scorecard!$E$17</f>
        <v>3.75896924321071</v>
      </c>
      <c r="U262" s="0" t="str">
        <f aca="false">IF(AND(R262&gt;=S262,R262&gt;=T262),"Distribution",IF(T262&gt;=S262,"Prof. services","Manufacturing"))</f>
        <v>Distribution</v>
      </c>
    </row>
    <row r="263" customFormat="false" ht="15" hidden="false" customHeight="false" outlineLevel="0" collapsed="false">
      <c r="A263" s="46" t="n">
        <v>0.042797</v>
      </c>
      <c r="B263" s="46" t="n">
        <v>0.236918</v>
      </c>
      <c r="C263" s="46" t="n">
        <v>0.080271</v>
      </c>
      <c r="D263" s="46" t="n">
        <v>0.081048</v>
      </c>
      <c r="E263" s="46" t="n">
        <v>0.549207</v>
      </c>
      <c r="F263" s="46" t="n">
        <v>0.009759</v>
      </c>
      <c r="G263" s="47" t="n">
        <f aca="false">A263*Scorecard!$C$12+B263*Scorecard!$C$13+C263*Scorecard!$C$14+D263*Scorecard!$C$15+E263*Scorecard!$C$16+F263*Scorecard!$C$17</f>
        <v>4.22141278967331</v>
      </c>
      <c r="H263" s="47" t="n">
        <f aca="false">A263*Scorecard!$D$12+B263*Scorecard!$D$13+C263*Scorecard!$D$14+D263*Scorecard!$D$15+E263*Scorecard!$D$16+F263*Scorecard!$D$17</f>
        <v>2.93491012757834</v>
      </c>
      <c r="I263" s="47" t="n">
        <f aca="false">A263*Scorecard!$E$12+B263*Scorecard!$E$13+C263*Scorecard!$E$14+D263*Scorecard!$E$15+E263*Scorecard!$E$16+F263*Scorecard!$E$17</f>
        <v>2.78154285950148</v>
      </c>
      <c r="J263" s="0" t="str">
        <f aca="false">IF(AND(G263&gt;=H263,G263&gt;=I263),"Distribution",IF(I263&gt;=H263,"Prof. services","Manufacturing"))</f>
        <v>Distribution</v>
      </c>
      <c r="L263" s="46" t="n">
        <v>0.166304</v>
      </c>
      <c r="M263" s="46" t="n">
        <v>0.288351</v>
      </c>
      <c r="N263" s="46" t="n">
        <v>0.25107</v>
      </c>
      <c r="O263" s="46" t="n">
        <v>0.097127</v>
      </c>
      <c r="P263" s="46" t="n">
        <v>0.140406</v>
      </c>
      <c r="Q263" s="46" t="n">
        <v>0.056741</v>
      </c>
      <c r="R263" s="47" t="n">
        <f aca="false">L263*Scorecard!$C$12+M263*Scorecard!$C$13+N263*Scorecard!$C$14+O263*Scorecard!$C$15+P263*Scorecard!$C$16+Q263*Scorecard!$C$17</f>
        <v>3.97264242834381</v>
      </c>
      <c r="S263" s="47" t="n">
        <f aca="false">L263*Scorecard!$D$12+M263*Scorecard!$D$13+N263*Scorecard!$D$14+O263*Scorecard!$D$15+P263*Scorecard!$D$16+Q263*Scorecard!$D$17</f>
        <v>2.75116223641566</v>
      </c>
      <c r="T263" s="47" t="n">
        <f aca="false">L263*Scorecard!$E$12+M263*Scorecard!$E$13+N263*Scorecard!$E$14+O263*Scorecard!$E$15+P263*Scorecard!$E$16+Q263*Scorecard!$E$17</f>
        <v>3.68684249442312</v>
      </c>
      <c r="U263" s="0" t="str">
        <f aca="false">IF(AND(R263&gt;=S263,R263&gt;=T263),"Distribution",IF(T263&gt;=S263,"Prof. services","Manufacturing"))</f>
        <v>Distribution</v>
      </c>
    </row>
    <row r="264" customFormat="false" ht="15" hidden="false" customHeight="false" outlineLevel="0" collapsed="false">
      <c r="A264" s="46" t="n">
        <v>0.117066</v>
      </c>
      <c r="B264" s="46" t="n">
        <v>0.205986</v>
      </c>
      <c r="C264" s="46" t="n">
        <v>0.307852</v>
      </c>
      <c r="D264" s="46" t="n">
        <v>0.295018</v>
      </c>
      <c r="E264" s="46" t="n">
        <v>0.072425</v>
      </c>
      <c r="F264" s="46" t="n">
        <v>0.001652</v>
      </c>
      <c r="G264" s="47" t="n">
        <f aca="false">A264*Scorecard!$C$12+B264*Scorecard!$C$13+C264*Scorecard!$C$14+D264*Scorecard!$C$15+E264*Scorecard!$C$16+F264*Scorecard!$C$17</f>
        <v>4.2869755305254</v>
      </c>
      <c r="H264" s="47" t="n">
        <f aca="false">A264*Scorecard!$D$12+B264*Scorecard!$D$13+C264*Scorecard!$D$14+D264*Scorecard!$D$15+E264*Scorecard!$D$16+F264*Scorecard!$D$17</f>
        <v>3.13132808947433</v>
      </c>
      <c r="I264" s="47" t="n">
        <f aca="false">A264*Scorecard!$E$12+B264*Scorecard!$E$13+C264*Scorecard!$E$14+D264*Scorecard!$E$15+E264*Scorecard!$E$16+F264*Scorecard!$E$17</f>
        <v>3.96710237131324</v>
      </c>
      <c r="J264" s="0" t="str">
        <f aca="false">IF(AND(G264&gt;=H264,G264&gt;=I264),"Distribution",IF(I264&gt;=H264,"Prof. services","Manufacturing"))</f>
        <v>Distribution</v>
      </c>
      <c r="L264" s="46" t="n">
        <v>0.236665</v>
      </c>
      <c r="M264" s="46" t="n">
        <v>0.154918</v>
      </c>
      <c r="N264" s="46" t="n">
        <v>0.131733</v>
      </c>
      <c r="O264" s="46" t="n">
        <v>0.13521</v>
      </c>
      <c r="P264" s="46" t="n">
        <v>0.205939</v>
      </c>
      <c r="Q264" s="46" t="n">
        <v>0.135535</v>
      </c>
      <c r="R264" s="47" t="n">
        <f aca="false">L264*Scorecard!$C$12+M264*Scorecard!$C$13+N264*Scorecard!$C$14+O264*Scorecard!$C$15+P264*Scorecard!$C$16+Q264*Scorecard!$C$17</f>
        <v>3.59305762492777</v>
      </c>
      <c r="S264" s="47" t="n">
        <f aca="false">L264*Scorecard!$D$12+M264*Scorecard!$D$13+N264*Scorecard!$D$14+O264*Scorecard!$D$15+P264*Scorecard!$D$16+Q264*Scorecard!$D$17</f>
        <v>2.94566511141009</v>
      </c>
      <c r="T264" s="47" t="n">
        <f aca="false">L264*Scorecard!$E$12+M264*Scorecard!$E$13+N264*Scorecard!$E$14+O264*Scorecard!$E$15+P264*Scorecard!$E$16+Q264*Scorecard!$E$17</f>
        <v>3.82456091067489</v>
      </c>
      <c r="U264" s="0" t="str">
        <f aca="false">IF(AND(R264&gt;=S264,R264&gt;=T264),"Distribution",IF(T264&gt;=S264,"Prof. services","Manufacturing"))</f>
        <v>Prof. services</v>
      </c>
    </row>
    <row r="265" customFormat="false" ht="15" hidden="false" customHeight="false" outlineLevel="0" collapsed="false">
      <c r="A265" s="46" t="n">
        <v>0.354</v>
      </c>
      <c r="B265" s="46" t="n">
        <v>0.285367</v>
      </c>
      <c r="C265" s="46" t="n">
        <v>0.029531</v>
      </c>
      <c r="D265" s="46" t="n">
        <v>0.22645</v>
      </c>
      <c r="E265" s="46" t="n">
        <v>0.065796</v>
      </c>
      <c r="F265" s="46" t="n">
        <v>0.038857</v>
      </c>
      <c r="G265" s="47" t="n">
        <f aca="false">A265*Scorecard!$C$12+B265*Scorecard!$C$13+C265*Scorecard!$C$14+D265*Scorecard!$C$15+E265*Scorecard!$C$16+F265*Scorecard!$C$17</f>
        <v>3.79690195161697</v>
      </c>
      <c r="H265" s="47" t="n">
        <f aca="false">A265*Scorecard!$D$12+B265*Scorecard!$D$13+C265*Scorecard!$D$14+D265*Scorecard!$D$15+E265*Scorecard!$D$16+F265*Scorecard!$D$17</f>
        <v>3.03129527253315</v>
      </c>
      <c r="I265" s="47" t="n">
        <f aca="false">A265*Scorecard!$E$12+B265*Scorecard!$E$13+C265*Scorecard!$E$14+D265*Scorecard!$E$15+E265*Scorecard!$E$16+F265*Scorecard!$E$17</f>
        <v>3.79523547822775</v>
      </c>
      <c r="J265" s="0" t="str">
        <f aca="false">IF(AND(G265&gt;=H265,G265&gt;=I265),"Distribution",IF(I265&gt;=H265,"Prof. services","Manufacturing"))</f>
        <v>Distribution</v>
      </c>
      <c r="L265" s="46" t="n">
        <v>0.162962</v>
      </c>
      <c r="M265" s="46" t="n">
        <v>0.360196</v>
      </c>
      <c r="N265" s="46" t="n">
        <v>0.133112</v>
      </c>
      <c r="O265" s="46" t="n">
        <v>0.105746</v>
      </c>
      <c r="P265" s="46" t="n">
        <v>0.217936</v>
      </c>
      <c r="Q265" s="46" t="n">
        <v>0.020049</v>
      </c>
      <c r="R265" s="47" t="n">
        <f aca="false">L265*Scorecard!$C$12+M265*Scorecard!$C$13+N265*Scorecard!$C$14+O265*Scorecard!$C$15+P265*Scorecard!$C$16+Q265*Scorecard!$C$17</f>
        <v>4.13251407600397</v>
      </c>
      <c r="S265" s="47" t="n">
        <f aca="false">L265*Scorecard!$D$12+M265*Scorecard!$D$13+N265*Scorecard!$D$14+O265*Scorecard!$D$15+P265*Scorecard!$D$16+Q265*Scorecard!$D$17</f>
        <v>2.7319802351552</v>
      </c>
      <c r="T265" s="47" t="n">
        <f aca="false">L265*Scorecard!$E$12+M265*Scorecard!$E$13+N265*Scorecard!$E$14+O265*Scorecard!$E$15+P265*Scorecard!$E$16+Q265*Scorecard!$E$17</f>
        <v>3.28465070733085</v>
      </c>
      <c r="U265" s="0" t="str">
        <f aca="false">IF(AND(R265&gt;=S265,R265&gt;=T265),"Distribution",IF(T265&gt;=S265,"Prof. services","Manufacturing"))</f>
        <v>Distribution</v>
      </c>
    </row>
    <row r="266" customFormat="false" ht="15" hidden="false" customHeight="false" outlineLevel="0" collapsed="false">
      <c r="A266" s="46" t="n">
        <v>0.176032</v>
      </c>
      <c r="B266" s="46" t="n">
        <v>0.231325</v>
      </c>
      <c r="C266" s="46" t="n">
        <v>0.199708</v>
      </c>
      <c r="D266" s="46" t="n">
        <v>0.075955</v>
      </c>
      <c r="E266" s="46" t="n">
        <v>0.191005</v>
      </c>
      <c r="F266" s="46" t="n">
        <v>0.125975</v>
      </c>
      <c r="G266" s="47" t="n">
        <f aca="false">A266*Scorecard!$C$12+B266*Scorecard!$C$13+C266*Scorecard!$C$14+D266*Scorecard!$C$15+E266*Scorecard!$C$16+F266*Scorecard!$C$17</f>
        <v>3.7384698896131</v>
      </c>
      <c r="H266" s="47" t="n">
        <f aca="false">A266*Scorecard!$D$12+B266*Scorecard!$D$13+C266*Scorecard!$D$14+D266*Scorecard!$D$15+E266*Scorecard!$D$16+F266*Scorecard!$D$17</f>
        <v>2.73169295218747</v>
      </c>
      <c r="I266" s="47" t="n">
        <f aca="false">A266*Scorecard!$E$12+B266*Scorecard!$E$13+C266*Scorecard!$E$14+D266*Scorecard!$E$15+E266*Scorecard!$E$16+F266*Scorecard!$E$17</f>
        <v>3.6989805404069</v>
      </c>
      <c r="J266" s="0" t="str">
        <f aca="false">IF(AND(G266&gt;=H266,G266&gt;=I266),"Distribution",IF(I266&gt;=H266,"Prof. services","Manufacturing"))</f>
        <v>Distribution</v>
      </c>
      <c r="L266" s="46" t="n">
        <v>0.172964</v>
      </c>
      <c r="M266" s="46" t="n">
        <v>0.151624</v>
      </c>
      <c r="N266" s="46" t="n">
        <v>0.320238</v>
      </c>
      <c r="O266" s="46" t="n">
        <v>0.071685</v>
      </c>
      <c r="P266" s="46" t="n">
        <v>0.075918</v>
      </c>
      <c r="Q266" s="46" t="n">
        <v>0.207571</v>
      </c>
      <c r="R266" s="47" t="n">
        <f aca="false">L266*Scorecard!$C$12+M266*Scorecard!$C$13+N266*Scorecard!$C$14+O266*Scorecard!$C$15+P266*Scorecard!$C$16+Q266*Scorecard!$C$17</f>
        <v>3.49682933336576</v>
      </c>
      <c r="S266" s="47" t="n">
        <f aca="false">L266*Scorecard!$D$12+M266*Scorecard!$D$13+N266*Scorecard!$D$14+O266*Scorecard!$D$15+P266*Scorecard!$D$16+Q266*Scorecard!$D$17</f>
        <v>2.68359828722939</v>
      </c>
      <c r="T266" s="47" t="n">
        <f aca="false">L266*Scorecard!$E$12+M266*Scorecard!$E$13+N266*Scorecard!$E$14+O266*Scorecard!$E$15+P266*Scorecard!$E$16+Q266*Scorecard!$E$17</f>
        <v>4.19783765870505</v>
      </c>
      <c r="U266" s="0" t="str">
        <f aca="false">IF(AND(R266&gt;=S266,R266&gt;=T266),"Distribution",IF(T266&gt;=S266,"Prof. services","Manufacturing"))</f>
        <v>Prof. services</v>
      </c>
    </row>
    <row r="267" customFormat="false" ht="15" hidden="false" customHeight="false" outlineLevel="0" collapsed="false">
      <c r="A267" s="46" t="n">
        <v>0.119981</v>
      </c>
      <c r="B267" s="46" t="n">
        <v>0.212315</v>
      </c>
      <c r="C267" s="46" t="n">
        <v>0.150808</v>
      </c>
      <c r="D267" s="46" t="n">
        <v>0.166079</v>
      </c>
      <c r="E267" s="46" t="n">
        <v>0.273818</v>
      </c>
      <c r="F267" s="46" t="n">
        <v>0.076999</v>
      </c>
      <c r="G267" s="47" t="n">
        <f aca="false">A267*Scorecard!$C$12+B267*Scorecard!$C$13+C267*Scorecard!$C$14+D267*Scorecard!$C$15+E267*Scorecard!$C$16+F267*Scorecard!$C$17</f>
        <v>4.00842848895468</v>
      </c>
      <c r="H267" s="47" t="n">
        <f aca="false">A267*Scorecard!$D$12+B267*Scorecard!$D$13+C267*Scorecard!$D$14+D267*Scorecard!$D$15+E267*Scorecard!$D$16+F267*Scorecard!$D$17</f>
        <v>2.92860215215456</v>
      </c>
      <c r="I267" s="47" t="n">
        <f aca="false">A267*Scorecard!$E$12+B267*Scorecard!$E$13+C267*Scorecard!$E$14+D267*Scorecard!$E$15+E267*Scorecard!$E$16+F267*Scorecard!$E$17</f>
        <v>3.48196506552977</v>
      </c>
      <c r="J267" s="0" t="str">
        <f aca="false">IF(AND(G267&gt;=H267,G267&gt;=I267),"Distribution",IF(I267&gt;=H267,"Prof. services","Manufacturing"))</f>
        <v>Distribution</v>
      </c>
      <c r="L267" s="46" t="n">
        <v>0.137744</v>
      </c>
      <c r="M267" s="46" t="n">
        <v>0.243369</v>
      </c>
      <c r="N267" s="46" t="n">
        <v>0.128509</v>
      </c>
      <c r="O267" s="46" t="n">
        <v>0.081275</v>
      </c>
      <c r="P267" s="46" t="n">
        <v>0.196021</v>
      </c>
      <c r="Q267" s="46" t="n">
        <v>0.213082</v>
      </c>
      <c r="R267" s="47" t="n">
        <f aca="false">L267*Scorecard!$C$12+M267*Scorecard!$C$13+N267*Scorecard!$C$14+O267*Scorecard!$C$15+P267*Scorecard!$C$16+Q267*Scorecard!$C$17</f>
        <v>3.65053883563709</v>
      </c>
      <c r="S267" s="47" t="n">
        <f aca="false">L267*Scorecard!$D$12+M267*Scorecard!$D$13+N267*Scorecard!$D$14+O267*Scorecard!$D$15+P267*Scorecard!$D$16+Q267*Scorecard!$D$17</f>
        <v>2.56549393283879</v>
      </c>
      <c r="T267" s="47" t="n">
        <f aca="false">L267*Scorecard!$E$12+M267*Scorecard!$E$13+N267*Scorecard!$E$14+O267*Scorecard!$E$15+P267*Scorecard!$E$16+Q267*Scorecard!$E$17</f>
        <v>3.6029705306506</v>
      </c>
      <c r="U267" s="0" t="str">
        <f aca="false">IF(AND(R267&gt;=S267,R267&gt;=T267),"Distribution",IF(T267&gt;=S267,"Prof. services","Manufacturing"))</f>
        <v>Distribution</v>
      </c>
    </row>
    <row r="268" customFormat="false" ht="15" hidden="false" customHeight="false" outlineLevel="0" collapsed="false">
      <c r="A268" s="46" t="n">
        <v>0.13143</v>
      </c>
      <c r="B268" s="46" t="n">
        <v>0.18356</v>
      </c>
      <c r="C268" s="46" t="n">
        <v>0.315357</v>
      </c>
      <c r="D268" s="46" t="n">
        <v>0.052395</v>
      </c>
      <c r="E268" s="46" t="n">
        <v>0.260094</v>
      </c>
      <c r="F268" s="46" t="n">
        <v>0.057163</v>
      </c>
      <c r="G268" s="47" t="n">
        <f aca="false">A268*Scorecard!$C$12+B268*Scorecard!$C$13+C268*Scorecard!$C$14+D268*Scorecard!$C$15+E268*Scorecard!$C$16+F268*Scorecard!$C$17</f>
        <v>3.88504912568084</v>
      </c>
      <c r="H268" s="47" t="n">
        <f aca="false">A268*Scorecard!$D$12+B268*Scorecard!$D$13+C268*Scorecard!$D$14+D268*Scorecard!$D$15+E268*Scorecard!$D$16+F268*Scorecard!$D$17</f>
        <v>2.87289714433283</v>
      </c>
      <c r="I268" s="47" t="n">
        <f aca="false">A268*Scorecard!$E$12+B268*Scorecard!$E$13+C268*Scorecard!$E$14+D268*Scorecard!$E$15+E268*Scorecard!$E$16+F268*Scorecard!$E$17</f>
        <v>3.70619020823754</v>
      </c>
      <c r="J268" s="0" t="str">
        <f aca="false">IF(AND(G268&gt;=H268,G268&gt;=I268),"Distribution",IF(I268&gt;=H268,"Prof. services","Manufacturing"))</f>
        <v>Distribution</v>
      </c>
      <c r="L268" s="46" t="n">
        <v>0.353867</v>
      </c>
      <c r="M268" s="46" t="n">
        <v>0.172745</v>
      </c>
      <c r="N268" s="46" t="n">
        <v>0.212117</v>
      </c>
      <c r="O268" s="46" t="n">
        <v>0.097056</v>
      </c>
      <c r="P268" s="46" t="n">
        <v>0.105663</v>
      </c>
      <c r="Q268" s="46" t="n">
        <v>0.058552</v>
      </c>
      <c r="R268" s="47" t="n">
        <f aca="false">L268*Scorecard!$C$12+M268*Scorecard!$C$13+N268*Scorecard!$C$14+O268*Scorecard!$C$15+P268*Scorecard!$C$16+Q268*Scorecard!$C$17</f>
        <v>3.51573135351368</v>
      </c>
      <c r="S268" s="47" t="n">
        <f aca="false">L268*Scorecard!$D$12+M268*Scorecard!$D$13+N268*Scorecard!$D$14+O268*Scorecard!$D$15+P268*Scorecard!$D$16+Q268*Scorecard!$D$17</f>
        <v>3.03420494432965</v>
      </c>
      <c r="T268" s="47" t="n">
        <f aca="false">L268*Scorecard!$E$12+M268*Scorecard!$E$13+N268*Scorecard!$E$14+O268*Scorecard!$E$15+P268*Scorecard!$E$16+Q268*Scorecard!$E$17</f>
        <v>4.11108451559552</v>
      </c>
      <c r="U268" s="0" t="str">
        <f aca="false">IF(AND(R268&gt;=S268,R268&gt;=T268),"Distribution",IF(T268&gt;=S268,"Prof. services","Manufacturing"))</f>
        <v>Prof. services</v>
      </c>
    </row>
    <row r="269" customFormat="false" ht="15" hidden="false" customHeight="false" outlineLevel="0" collapsed="false">
      <c r="A269" s="46" t="n">
        <v>0.048059</v>
      </c>
      <c r="B269" s="46" t="n">
        <v>0.066549</v>
      </c>
      <c r="C269" s="46" t="n">
        <v>0.014049</v>
      </c>
      <c r="D269" s="46" t="n">
        <v>0.261061</v>
      </c>
      <c r="E269" s="46" t="n">
        <v>0.238765</v>
      </c>
      <c r="F269" s="46" t="n">
        <v>0.371518</v>
      </c>
      <c r="G269" s="47" t="n">
        <f aca="false">A269*Scorecard!$C$12+B269*Scorecard!$C$13+C269*Scorecard!$C$14+D269*Scorecard!$C$15+E269*Scorecard!$C$16+F269*Scorecard!$C$17</f>
        <v>3.49807111463209</v>
      </c>
      <c r="H269" s="47" t="n">
        <f aca="false">A269*Scorecard!$D$12+B269*Scorecard!$D$13+C269*Scorecard!$D$14+D269*Scorecard!$D$15+E269*Scorecard!$D$16+F269*Scorecard!$D$17</f>
        <v>2.75638444224625</v>
      </c>
      <c r="I269" s="47" t="n">
        <f aca="false">A269*Scorecard!$E$12+B269*Scorecard!$E$13+C269*Scorecard!$E$14+D269*Scorecard!$E$15+E269*Scorecard!$E$16+F269*Scorecard!$E$17</f>
        <v>3.76795364566504</v>
      </c>
      <c r="J269" s="0" t="str">
        <f aca="false">IF(AND(G269&gt;=H269,G269&gt;=I269),"Distribution",IF(I269&gt;=H269,"Prof. services","Manufacturing"))</f>
        <v>Prof. services</v>
      </c>
      <c r="L269" s="46" t="n">
        <v>0.185307</v>
      </c>
      <c r="M269" s="46" t="n">
        <v>0.233739</v>
      </c>
      <c r="N269" s="46" t="n">
        <v>0.07317</v>
      </c>
      <c r="O269" s="46" t="n">
        <v>0.163953</v>
      </c>
      <c r="P269" s="46" t="n">
        <v>0.227778</v>
      </c>
      <c r="Q269" s="46" t="n">
        <v>0.116054</v>
      </c>
      <c r="R269" s="47" t="n">
        <f aca="false">L269*Scorecard!$C$12+M269*Scorecard!$C$13+N269*Scorecard!$C$14+O269*Scorecard!$C$15+P269*Scorecard!$C$16+Q269*Scorecard!$C$17</f>
        <v>3.83203275734262</v>
      </c>
      <c r="S269" s="47" t="n">
        <f aca="false">L269*Scorecard!$D$12+M269*Scorecard!$D$13+N269*Scorecard!$D$14+O269*Scorecard!$D$15+P269*Scorecard!$D$16+Q269*Scorecard!$D$17</f>
        <v>2.863208401097</v>
      </c>
      <c r="T269" s="47" t="n">
        <f aca="false">L269*Scorecard!$E$12+M269*Scorecard!$E$13+N269*Scorecard!$E$14+O269*Scorecard!$E$15+P269*Scorecard!$E$16+Q269*Scorecard!$E$17</f>
        <v>3.52538641303023</v>
      </c>
      <c r="U269" s="0" t="str">
        <f aca="false">IF(AND(R269&gt;=S269,R269&gt;=T269),"Distribution",IF(T269&gt;=S269,"Prof. services","Manufacturing"))</f>
        <v>Distribution</v>
      </c>
    </row>
    <row r="270" customFormat="false" ht="15" hidden="false" customHeight="false" outlineLevel="0" collapsed="false">
      <c r="A270" s="46" t="n">
        <v>0.22709</v>
      </c>
      <c r="B270" s="46" t="n">
        <v>0.286275</v>
      </c>
      <c r="C270" s="46" t="n">
        <v>0.088957</v>
      </c>
      <c r="D270" s="46" t="n">
        <v>0.00724</v>
      </c>
      <c r="E270" s="46" t="n">
        <v>0.335014</v>
      </c>
      <c r="F270" s="46" t="n">
        <v>0.055424</v>
      </c>
      <c r="G270" s="47" t="n">
        <f aca="false">A270*Scorecard!$C$12+B270*Scorecard!$C$13+C270*Scorecard!$C$14+D270*Scorecard!$C$15+E270*Scorecard!$C$16+F270*Scorecard!$C$17</f>
        <v>3.77390176147655</v>
      </c>
      <c r="H270" s="47" t="n">
        <f aca="false">A270*Scorecard!$D$12+B270*Scorecard!$D$13+C270*Scorecard!$D$14+D270*Scorecard!$D$15+E270*Scorecard!$D$16+F270*Scorecard!$D$17</f>
        <v>2.75722139211596</v>
      </c>
      <c r="I270" s="47" t="n">
        <f aca="false">A270*Scorecard!$E$12+B270*Scorecard!$E$13+C270*Scorecard!$E$14+D270*Scorecard!$E$15+E270*Scorecard!$E$16+F270*Scorecard!$E$17</f>
        <v>3.24965666893882</v>
      </c>
      <c r="J270" s="0" t="str">
        <f aca="false">IF(AND(G270&gt;=H270,G270&gt;=I270),"Distribution",IF(I270&gt;=H270,"Prof. services","Manufacturing"))</f>
        <v>Distribution</v>
      </c>
      <c r="L270" s="46" t="n">
        <v>0.180842</v>
      </c>
      <c r="M270" s="46" t="n">
        <v>0.192497</v>
      </c>
      <c r="N270" s="46" t="n">
        <v>0.11425</v>
      </c>
      <c r="O270" s="46" t="n">
        <v>0.095947</v>
      </c>
      <c r="P270" s="46" t="n">
        <v>0.370463</v>
      </c>
      <c r="Q270" s="46" t="n">
        <v>0.046002</v>
      </c>
      <c r="R270" s="47" t="n">
        <f aca="false">L270*Scorecard!$C$12+M270*Scorecard!$C$13+N270*Scorecard!$C$14+O270*Scorecard!$C$15+P270*Scorecard!$C$16+Q270*Scorecard!$C$17</f>
        <v>3.87092582101784</v>
      </c>
      <c r="S270" s="47" t="n">
        <f aca="false">L270*Scorecard!$D$12+M270*Scorecard!$D$13+N270*Scorecard!$D$14+O270*Scorecard!$D$15+P270*Scorecard!$D$16+Q270*Scorecard!$D$17</f>
        <v>2.9960764947713</v>
      </c>
      <c r="T270" s="47" t="n">
        <f aca="false">L270*Scorecard!$E$12+M270*Scorecard!$E$13+N270*Scorecard!$E$14+O270*Scorecard!$E$15+P270*Scorecard!$E$16+Q270*Scorecard!$E$17</f>
        <v>3.35535957892401</v>
      </c>
      <c r="U270" s="0" t="str">
        <f aca="false">IF(AND(R270&gt;=S270,R270&gt;=T270),"Distribution",IF(T270&gt;=S270,"Prof. services","Manufacturing"))</f>
        <v>Distribution</v>
      </c>
    </row>
    <row r="271" customFormat="false" ht="15" hidden="false" customHeight="false" outlineLevel="0" collapsed="false">
      <c r="A271" s="46" t="n">
        <v>0.043246</v>
      </c>
      <c r="B271" s="46" t="n">
        <v>0.746248</v>
      </c>
      <c r="C271" s="46" t="n">
        <v>0.024854</v>
      </c>
      <c r="D271" s="46" t="n">
        <v>0.013926</v>
      </c>
      <c r="E271" s="46" t="n">
        <v>0.01173</v>
      </c>
      <c r="F271" s="46" t="n">
        <v>0.159997</v>
      </c>
      <c r="G271" s="47" t="n">
        <f aca="false">A271*Scorecard!$C$12+B271*Scorecard!$C$13+C271*Scorecard!$C$14+D271*Scorecard!$C$15+E271*Scorecard!$C$16+F271*Scorecard!$C$17</f>
        <v>4.36234058327014</v>
      </c>
      <c r="H271" s="47" t="n">
        <f aca="false">A271*Scorecard!$D$12+B271*Scorecard!$D$13+C271*Scorecard!$D$14+D271*Scorecard!$D$15+E271*Scorecard!$D$16+F271*Scorecard!$D$17</f>
        <v>1.68848517210428</v>
      </c>
      <c r="I271" s="47" t="n">
        <f aca="false">A271*Scorecard!$E$12+B271*Scorecard!$E$13+C271*Scorecard!$E$14+D271*Scorecard!$E$15+E271*Scorecard!$E$16+F271*Scorecard!$E$17</f>
        <v>2.73118444982984</v>
      </c>
      <c r="J271" s="0" t="str">
        <f aca="false">IF(AND(G271&gt;=H271,G271&gt;=I271),"Distribution",IF(I271&gt;=H271,"Prof. services","Manufacturing"))</f>
        <v>Distribution</v>
      </c>
      <c r="L271" s="46" t="n">
        <v>0.280408</v>
      </c>
      <c r="M271" s="46" t="n">
        <v>0.119486</v>
      </c>
      <c r="N271" s="46" t="n">
        <v>0.295124</v>
      </c>
      <c r="O271" s="46" t="n">
        <v>0.108063</v>
      </c>
      <c r="P271" s="46" t="n">
        <v>0.160586</v>
      </c>
      <c r="Q271" s="46" t="n">
        <v>0.036334</v>
      </c>
      <c r="R271" s="47" t="n">
        <f aca="false">L271*Scorecard!$C$12+M271*Scorecard!$C$13+N271*Scorecard!$C$14+O271*Scorecard!$C$15+P271*Scorecard!$C$16+Q271*Scorecard!$C$17</f>
        <v>3.6501466011102</v>
      </c>
      <c r="S271" s="47" t="n">
        <f aca="false">L271*Scorecard!$D$12+M271*Scorecard!$D$13+N271*Scorecard!$D$14+O271*Scorecard!$D$15+P271*Scorecard!$D$16+Q271*Scorecard!$D$17</f>
        <v>3.13000336002651</v>
      </c>
      <c r="T271" s="47" t="n">
        <f aca="false">L271*Scorecard!$E$12+M271*Scorecard!$E$13+N271*Scorecard!$E$14+O271*Scorecard!$E$15+P271*Scorecard!$E$16+Q271*Scorecard!$E$17</f>
        <v>4.11968746057028</v>
      </c>
      <c r="U271" s="0" t="str">
        <f aca="false">IF(AND(R271&gt;=S271,R271&gt;=T271),"Distribution",IF(T271&gt;=S271,"Prof. services","Manufacturing"))</f>
        <v>Prof. services</v>
      </c>
    </row>
    <row r="272" customFormat="false" ht="15" hidden="false" customHeight="false" outlineLevel="0" collapsed="false">
      <c r="A272" s="46" t="n">
        <v>0.101912</v>
      </c>
      <c r="B272" s="46" t="n">
        <v>0.092343</v>
      </c>
      <c r="C272" s="46" t="n">
        <v>0.181566</v>
      </c>
      <c r="D272" s="46" t="n">
        <v>0.024394</v>
      </c>
      <c r="E272" s="46" t="n">
        <v>0.032248</v>
      </c>
      <c r="F272" s="46" t="n">
        <v>0.567537</v>
      </c>
      <c r="G272" s="47" t="n">
        <f aca="false">A272*Scorecard!$C$12+B272*Scorecard!$C$13+C272*Scorecard!$C$14+D272*Scorecard!$C$15+E272*Scorecard!$C$16+F272*Scorecard!$C$17</f>
        <v>2.79821994663613</v>
      </c>
      <c r="H272" s="47" t="n">
        <f aca="false">A272*Scorecard!$D$12+B272*Scorecard!$D$13+C272*Scorecard!$D$14+D272*Scorecard!$D$15+E272*Scorecard!$D$16+F272*Scorecard!$D$17</f>
        <v>2.11639417971616</v>
      </c>
      <c r="I272" s="47" t="n">
        <f aca="false">A272*Scorecard!$E$12+B272*Scorecard!$E$13+C272*Scorecard!$E$14+D272*Scorecard!$E$15+E272*Scorecard!$E$16+F272*Scorecard!$E$17</f>
        <v>4.34430575882178</v>
      </c>
      <c r="J272" s="0" t="str">
        <f aca="false">IF(AND(G272&gt;=H272,G272&gt;=I272),"Distribution",IF(I272&gt;=H272,"Prof. services","Manufacturing"))</f>
        <v>Prof. services</v>
      </c>
      <c r="L272" s="46" t="n">
        <v>0.186361</v>
      </c>
      <c r="M272" s="46" t="n">
        <v>0.187957</v>
      </c>
      <c r="N272" s="46" t="n">
        <v>0.175765</v>
      </c>
      <c r="O272" s="46" t="n">
        <v>0.172407</v>
      </c>
      <c r="P272" s="46" t="n">
        <v>0.230944</v>
      </c>
      <c r="Q272" s="46" t="n">
        <v>0.046568</v>
      </c>
      <c r="R272" s="47" t="n">
        <f aca="false">L272*Scorecard!$C$12+M272*Scorecard!$C$13+N272*Scorecard!$C$14+O272*Scorecard!$C$15+P272*Scorecard!$C$16+Q272*Scorecard!$C$17</f>
        <v>3.93178354231156</v>
      </c>
      <c r="S272" s="47" t="n">
        <f aca="false">L272*Scorecard!$D$12+M272*Scorecard!$D$13+N272*Scorecard!$D$14+O272*Scorecard!$D$15+P272*Scorecard!$D$16+Q272*Scorecard!$D$17</f>
        <v>3.04769752542145</v>
      </c>
      <c r="T272" s="47" t="n">
        <f aca="false">L272*Scorecard!$E$12+M272*Scorecard!$E$13+N272*Scorecard!$E$14+O272*Scorecard!$E$15+P272*Scorecard!$E$16+Q272*Scorecard!$E$17</f>
        <v>3.67627528316207</v>
      </c>
      <c r="U272" s="0" t="str">
        <f aca="false">IF(AND(R272&gt;=S272,R272&gt;=T272),"Distribution",IF(T272&gt;=S272,"Prof. services","Manufacturing"))</f>
        <v>Distribution</v>
      </c>
    </row>
    <row r="273" customFormat="false" ht="15" hidden="false" customHeight="false" outlineLevel="0" collapsed="false">
      <c r="A273" s="46" t="n">
        <v>0.285533</v>
      </c>
      <c r="B273" s="46" t="n">
        <v>0.111578</v>
      </c>
      <c r="C273" s="46" t="n">
        <v>0.329606</v>
      </c>
      <c r="D273" s="46" t="n">
        <v>0.010682</v>
      </c>
      <c r="E273" s="46" t="n">
        <v>0.108756</v>
      </c>
      <c r="F273" s="46" t="n">
        <v>0.153846</v>
      </c>
      <c r="G273" s="47" t="n">
        <f aca="false">A273*Scorecard!$C$12+B273*Scorecard!$C$13+C273*Scorecard!$C$14+D273*Scorecard!$C$15+E273*Scorecard!$C$16+F273*Scorecard!$C$17</f>
        <v>3.30060852802274</v>
      </c>
      <c r="H273" s="47" t="n">
        <f aca="false">A273*Scorecard!$D$12+B273*Scorecard!$D$13+C273*Scorecard!$D$14+D273*Scorecard!$D$15+E273*Scorecard!$D$16+F273*Scorecard!$D$17</f>
        <v>2.83898167535253</v>
      </c>
      <c r="I273" s="47" t="n">
        <f aca="false">A273*Scorecard!$E$12+B273*Scorecard!$E$13+C273*Scorecard!$E$14+D273*Scorecard!$E$15+E273*Scorecard!$E$16+F273*Scorecard!$E$17</f>
        <v>4.30328471935606</v>
      </c>
      <c r="J273" s="0" t="str">
        <f aca="false">IF(AND(G273&gt;=H273,G273&gt;=I273),"Distribution",IF(I273&gt;=H273,"Prof. services","Manufacturing"))</f>
        <v>Prof. services</v>
      </c>
      <c r="L273" s="46" t="n">
        <v>0.260158</v>
      </c>
      <c r="M273" s="46" t="n">
        <v>0.14929</v>
      </c>
      <c r="N273" s="46" t="n">
        <v>0.118597</v>
      </c>
      <c r="O273" s="46" t="n">
        <v>0.222346</v>
      </c>
      <c r="P273" s="46" t="n">
        <v>0.11812</v>
      </c>
      <c r="Q273" s="46" t="n">
        <v>0.131489</v>
      </c>
      <c r="R273" s="47" t="n">
        <f aca="false">L273*Scorecard!$C$12+M273*Scorecard!$C$13+N273*Scorecard!$C$14+O273*Scorecard!$C$15+P273*Scorecard!$C$16+Q273*Scorecard!$C$17</f>
        <v>3.64036988989483</v>
      </c>
      <c r="S273" s="47" t="n">
        <f aca="false">L273*Scorecard!$D$12+M273*Scorecard!$D$13+N273*Scorecard!$D$14+O273*Scorecard!$D$15+P273*Scorecard!$D$16+Q273*Scorecard!$D$17</f>
        <v>3.04729925156307</v>
      </c>
      <c r="T273" s="47" t="n">
        <f aca="false">L273*Scorecard!$E$12+M273*Scorecard!$E$13+N273*Scorecard!$E$14+O273*Scorecard!$E$15+P273*Scorecard!$E$16+Q273*Scorecard!$E$17</f>
        <v>4.00411562857753</v>
      </c>
      <c r="U273" s="0" t="str">
        <f aca="false">IF(AND(R273&gt;=S273,R273&gt;=T273),"Distribution",IF(T273&gt;=S273,"Prof. services","Manufacturing"))</f>
        <v>Prof. services</v>
      </c>
    </row>
    <row r="274" customFormat="false" ht="15" hidden="false" customHeight="false" outlineLevel="0" collapsed="false">
      <c r="A274" s="46" t="n">
        <v>0.360877</v>
      </c>
      <c r="B274" s="46" t="n">
        <v>0.167455</v>
      </c>
      <c r="C274" s="46" t="n">
        <v>0.163953</v>
      </c>
      <c r="D274" s="46" t="n">
        <v>0.067138</v>
      </c>
      <c r="E274" s="46" t="n">
        <v>0.214199</v>
      </c>
      <c r="F274" s="46" t="n">
        <v>0.026378</v>
      </c>
      <c r="G274" s="47" t="n">
        <f aca="false">A274*Scorecard!$C$12+B274*Scorecard!$C$13+C274*Scorecard!$C$14+D274*Scorecard!$C$15+E274*Scorecard!$C$16+F274*Scorecard!$C$17</f>
        <v>3.53225325354429</v>
      </c>
      <c r="H274" s="47" t="n">
        <f aca="false">A274*Scorecard!$D$12+B274*Scorecard!$D$13+C274*Scorecard!$D$14+D274*Scorecard!$D$15+E274*Scorecard!$D$16+F274*Scorecard!$D$17</f>
        <v>3.09658105165647</v>
      </c>
      <c r="I274" s="47" t="n">
        <f aca="false">A274*Scorecard!$E$12+B274*Scorecard!$E$13+C274*Scorecard!$E$14+D274*Scorecard!$E$15+E274*Scorecard!$E$16+F274*Scorecard!$E$17</f>
        <v>3.87796218971398</v>
      </c>
      <c r="J274" s="0" t="str">
        <f aca="false">IF(AND(G274&gt;=H274,G274&gt;=I274),"Distribution",IF(I274&gt;=H274,"Prof. services","Manufacturing"))</f>
        <v>Prof. services</v>
      </c>
      <c r="L274" s="46" t="n">
        <v>0.213401</v>
      </c>
      <c r="M274" s="46" t="n">
        <v>0.090037</v>
      </c>
      <c r="N274" s="46" t="n">
        <v>0.226724</v>
      </c>
      <c r="O274" s="46" t="n">
        <v>0.232116</v>
      </c>
      <c r="P274" s="46" t="n">
        <v>0.189046</v>
      </c>
      <c r="Q274" s="46" t="n">
        <v>0.048676</v>
      </c>
      <c r="R274" s="47" t="n">
        <f aca="false">L274*Scorecard!$C$12+M274*Scorecard!$C$13+N274*Scorecard!$C$14+O274*Scorecard!$C$15+P274*Scorecard!$C$16+Q274*Scorecard!$C$17</f>
        <v>3.84067615669495</v>
      </c>
      <c r="S274" s="47" t="n">
        <f aca="false">L274*Scorecard!$D$12+M274*Scorecard!$D$13+N274*Scorecard!$D$14+O274*Scorecard!$D$15+P274*Scorecard!$D$16+Q274*Scorecard!$D$17</f>
        <v>3.26452448538313</v>
      </c>
      <c r="T274" s="47" t="n">
        <f aca="false">L274*Scorecard!$E$12+M274*Scorecard!$E$13+N274*Scorecard!$E$14+O274*Scorecard!$E$15+P274*Scorecard!$E$16+Q274*Scorecard!$E$17</f>
        <v>4.01860667420646</v>
      </c>
      <c r="U274" s="0" t="str">
        <f aca="false">IF(AND(R274&gt;=S274,R274&gt;=T274),"Distribution",IF(T274&gt;=S274,"Prof. services","Manufacturing"))</f>
        <v>Prof. services</v>
      </c>
    </row>
    <row r="275" customFormat="false" ht="15" hidden="false" customHeight="false" outlineLevel="0" collapsed="false">
      <c r="A275" s="46" t="n">
        <v>0.269848</v>
      </c>
      <c r="B275" s="46" t="n">
        <v>0.093853</v>
      </c>
      <c r="C275" s="46" t="n">
        <v>0.015822</v>
      </c>
      <c r="D275" s="46" t="n">
        <v>0.049442</v>
      </c>
      <c r="E275" s="46" t="n">
        <v>0.086229</v>
      </c>
      <c r="F275" s="46" t="n">
        <v>0.484805</v>
      </c>
      <c r="G275" s="47" t="n">
        <f aca="false">A275*Scorecard!$C$12+B275*Scorecard!$C$13+C275*Scorecard!$C$14+D275*Scorecard!$C$15+E275*Scorecard!$C$16+F275*Scorecard!$C$17</f>
        <v>2.68795075170604</v>
      </c>
      <c r="H275" s="47" t="n">
        <f aca="false">A275*Scorecard!$D$12+B275*Scorecard!$D$13+C275*Scorecard!$D$14+D275*Scorecard!$D$15+E275*Scorecard!$D$16+F275*Scorecard!$D$17</f>
        <v>2.39614289606145</v>
      </c>
      <c r="I275" s="47" t="n">
        <f aca="false">A275*Scorecard!$E$12+B275*Scorecard!$E$13+C275*Scorecard!$E$14+D275*Scorecard!$E$15+E275*Scorecard!$E$16+F275*Scorecard!$E$17</f>
        <v>4.21643792198806</v>
      </c>
      <c r="J275" s="0" t="str">
        <f aca="false">IF(AND(G275&gt;=H275,G275&gt;=I275),"Distribution",IF(I275&gt;=H275,"Prof. services","Manufacturing"))</f>
        <v>Prof. services</v>
      </c>
      <c r="L275" s="46" t="n">
        <v>0.233089</v>
      </c>
      <c r="M275" s="46" t="n">
        <v>0.243927</v>
      </c>
      <c r="N275" s="46" t="n">
        <v>0.224531</v>
      </c>
      <c r="O275" s="46" t="n">
        <v>0.085871</v>
      </c>
      <c r="P275" s="46" t="n">
        <v>0.115616</v>
      </c>
      <c r="Q275" s="46" t="n">
        <v>0.096966</v>
      </c>
      <c r="R275" s="47" t="n">
        <f aca="false">L275*Scorecard!$C$12+M275*Scorecard!$C$13+N275*Scorecard!$C$14+O275*Scorecard!$C$15+P275*Scorecard!$C$16+Q275*Scorecard!$C$17</f>
        <v>3.716302475925</v>
      </c>
      <c r="S275" s="47" t="n">
        <f aca="false">L275*Scorecard!$D$12+M275*Scorecard!$D$13+N275*Scorecard!$D$14+O275*Scorecard!$D$15+P275*Scorecard!$D$16+Q275*Scorecard!$D$17</f>
        <v>2.78032927574991</v>
      </c>
      <c r="T275" s="47" t="n">
        <f aca="false">L275*Scorecard!$E$12+M275*Scorecard!$E$13+N275*Scorecard!$E$14+O275*Scorecard!$E$15+P275*Scorecard!$E$16+Q275*Scorecard!$E$17</f>
        <v>3.86999553687221</v>
      </c>
      <c r="U275" s="0" t="str">
        <f aca="false">IF(AND(R275&gt;=S275,R275&gt;=T275),"Distribution",IF(T275&gt;=S275,"Prof. services","Manufacturing"))</f>
        <v>Prof. services</v>
      </c>
    </row>
    <row r="276" customFormat="false" ht="15" hidden="false" customHeight="false" outlineLevel="0" collapsed="false">
      <c r="A276" s="46" t="n">
        <v>0.112619</v>
      </c>
      <c r="B276" s="46" t="n">
        <v>0.156843</v>
      </c>
      <c r="C276" s="46" t="n">
        <v>0.462289</v>
      </c>
      <c r="D276" s="46" t="n">
        <v>0.136867</v>
      </c>
      <c r="E276" s="46" t="n">
        <v>0.007586</v>
      </c>
      <c r="F276" s="46" t="n">
        <v>0.123796</v>
      </c>
      <c r="G276" s="47" t="n">
        <f aca="false">A276*Scorecard!$C$12+B276*Scorecard!$C$13+C276*Scorecard!$C$14+D276*Scorecard!$C$15+E276*Scorecard!$C$16+F276*Scorecard!$C$17</f>
        <v>3.84340219394393</v>
      </c>
      <c r="H276" s="47" t="n">
        <f aca="false">A276*Scorecard!$D$12+B276*Scorecard!$D$13+C276*Scorecard!$D$14+D276*Scorecard!$D$15+E276*Scorecard!$D$16+F276*Scorecard!$D$17</f>
        <v>2.81424625900708</v>
      </c>
      <c r="I276" s="47" t="n">
        <f aca="false">A276*Scorecard!$E$12+B276*Scorecard!$E$13+C276*Scorecard!$E$14+D276*Scorecard!$E$15+E276*Scorecard!$E$16+F276*Scorecard!$E$17</f>
        <v>4.35245116868978</v>
      </c>
      <c r="J276" s="0" t="str">
        <f aca="false">IF(AND(G276&gt;=H276,G276&gt;=I276),"Distribution",IF(I276&gt;=H276,"Prof. services","Manufacturing"))</f>
        <v>Prof. services</v>
      </c>
      <c r="L276" s="46" t="n">
        <v>0.263338</v>
      </c>
      <c r="M276" s="46" t="n">
        <v>0.189863</v>
      </c>
      <c r="N276" s="46" t="n">
        <v>0.071507</v>
      </c>
      <c r="O276" s="46" t="n">
        <v>0.05992</v>
      </c>
      <c r="P276" s="46" t="n">
        <v>0.137803</v>
      </c>
      <c r="Q276" s="46" t="n">
        <v>0.277569</v>
      </c>
      <c r="R276" s="47" t="n">
        <f aca="false">L276*Scorecard!$C$12+M276*Scorecard!$C$13+N276*Scorecard!$C$14+O276*Scorecard!$C$15+P276*Scorecard!$C$16+Q276*Scorecard!$C$17</f>
        <v>3.22063284454494</v>
      </c>
      <c r="S276" s="47" t="n">
        <f aca="false">L276*Scorecard!$D$12+M276*Scorecard!$D$13+N276*Scorecard!$D$14+O276*Scorecard!$D$15+P276*Scorecard!$D$16+Q276*Scorecard!$D$17</f>
        <v>2.58790961691586</v>
      </c>
      <c r="T276" s="47" t="n">
        <f aca="false">L276*Scorecard!$E$12+M276*Scorecard!$E$13+N276*Scorecard!$E$14+O276*Scorecard!$E$15+P276*Scorecard!$E$16+Q276*Scorecard!$E$17</f>
        <v>3.89768664298799</v>
      </c>
      <c r="U276" s="0" t="str">
        <f aca="false">IF(AND(R276&gt;=S276,R276&gt;=T276),"Distribution",IF(T276&gt;=S276,"Prof. services","Manufacturing"))</f>
        <v>Prof. services</v>
      </c>
    </row>
    <row r="277" customFormat="false" ht="15" hidden="false" customHeight="false" outlineLevel="0" collapsed="false">
      <c r="A277" s="46" t="n">
        <v>0.139954</v>
      </c>
      <c r="B277" s="46" t="n">
        <v>0.035583</v>
      </c>
      <c r="C277" s="46" t="n">
        <v>0.016688</v>
      </c>
      <c r="D277" s="46" t="n">
        <v>0.076794</v>
      </c>
      <c r="E277" s="46" t="n">
        <v>0.586495</v>
      </c>
      <c r="F277" s="46" t="n">
        <v>0.144486</v>
      </c>
      <c r="G277" s="47" t="n">
        <f aca="false">A277*Scorecard!$C$12+B277*Scorecard!$C$13+C277*Scorecard!$C$14+D277*Scorecard!$C$15+E277*Scorecard!$C$16+F277*Scorecard!$C$17</f>
        <v>3.57148580412034</v>
      </c>
      <c r="H277" s="47" t="n">
        <f aca="false">A277*Scorecard!$D$12+B277*Scorecard!$D$13+C277*Scorecard!$D$14+D277*Scorecard!$D$15+E277*Scorecard!$D$16+F277*Scorecard!$D$17</f>
        <v>3.10670555853078</v>
      </c>
      <c r="I277" s="47" t="n">
        <f aca="false">A277*Scorecard!$E$12+B277*Scorecard!$E$13+C277*Scorecard!$E$14+D277*Scorecard!$E$15+E277*Scorecard!$E$16+F277*Scorecard!$E$17</f>
        <v>3.19725698491429</v>
      </c>
      <c r="J277" s="0" t="str">
        <f aca="false">IF(AND(G277&gt;=H277,G277&gt;=I277),"Distribution",IF(I277&gt;=H277,"Prof. services","Manufacturing"))</f>
        <v>Distribution</v>
      </c>
      <c r="L277" s="46" t="n">
        <v>0.289865</v>
      </c>
      <c r="M277" s="46" t="n">
        <v>0.267307</v>
      </c>
      <c r="N277" s="46" t="n">
        <v>0.173979</v>
      </c>
      <c r="O277" s="46" t="n">
        <v>0.144838</v>
      </c>
      <c r="P277" s="46" t="n">
        <v>0.058896</v>
      </c>
      <c r="Q277" s="46" t="n">
        <v>0.065116</v>
      </c>
      <c r="R277" s="47" t="n">
        <f aca="false">L277*Scorecard!$C$12+M277*Scorecard!$C$13+N277*Scorecard!$C$14+O277*Scorecard!$C$15+P277*Scorecard!$C$16+Q277*Scorecard!$C$17</f>
        <v>3.76015586624422</v>
      </c>
      <c r="S277" s="47" t="n">
        <f aca="false">L277*Scorecard!$D$12+M277*Scorecard!$D$13+N277*Scorecard!$D$14+O277*Scorecard!$D$15+P277*Scorecard!$D$16+Q277*Scorecard!$D$17</f>
        <v>2.87987314295949</v>
      </c>
      <c r="T277" s="47" t="n">
        <f aca="false">L277*Scorecard!$E$12+M277*Scorecard!$E$13+N277*Scorecard!$E$14+O277*Scorecard!$E$15+P277*Scorecard!$E$16+Q277*Scorecard!$E$17</f>
        <v>3.92065772299428</v>
      </c>
      <c r="U277" s="0" t="str">
        <f aca="false">IF(AND(R277&gt;=S277,R277&gt;=T277),"Distribution",IF(T277&gt;=S277,"Prof. services","Manufacturing"))</f>
        <v>Prof. services</v>
      </c>
    </row>
    <row r="278" customFormat="false" ht="15" hidden="false" customHeight="false" outlineLevel="0" collapsed="false">
      <c r="A278" s="46" t="n">
        <v>0.249761</v>
      </c>
      <c r="B278" s="46" t="n">
        <v>0.180432</v>
      </c>
      <c r="C278" s="46" t="n">
        <v>0.051772</v>
      </c>
      <c r="D278" s="46" t="n">
        <v>0.116822</v>
      </c>
      <c r="E278" s="46" t="n">
        <v>0.357455</v>
      </c>
      <c r="F278" s="46" t="n">
        <v>0.043757</v>
      </c>
      <c r="G278" s="47" t="n">
        <f aca="false">A278*Scorecard!$C$12+B278*Scorecard!$C$13+C278*Scorecard!$C$14+D278*Scorecard!$C$15+E278*Scorecard!$C$16+F278*Scorecard!$C$17</f>
        <v>3.76016263816612</v>
      </c>
      <c r="H278" s="47" t="n">
        <f aca="false">A278*Scorecard!$D$12+B278*Scorecard!$D$13+C278*Scorecard!$D$14+D278*Scorecard!$D$15+E278*Scorecard!$D$16+F278*Scorecard!$D$17</f>
        <v>3.08290172404053</v>
      </c>
      <c r="I278" s="47" t="n">
        <f aca="false">A278*Scorecard!$E$12+B278*Scorecard!$E$13+C278*Scorecard!$E$14+D278*Scorecard!$E$15+E278*Scorecard!$E$16+F278*Scorecard!$E$17</f>
        <v>3.40840484416491</v>
      </c>
      <c r="J278" s="0" t="str">
        <f aca="false">IF(AND(G278&gt;=H278,G278&gt;=I278),"Distribution",IF(I278&gt;=H278,"Prof. services","Manufacturing"))</f>
        <v>Distribution</v>
      </c>
      <c r="L278" s="46" t="n">
        <v>0.2419</v>
      </c>
      <c r="M278" s="46" t="n">
        <v>0.228474</v>
      </c>
      <c r="N278" s="46" t="n">
        <v>0.159497</v>
      </c>
      <c r="O278" s="46" t="n">
        <v>0.145335</v>
      </c>
      <c r="P278" s="46" t="n">
        <v>0.157464</v>
      </c>
      <c r="Q278" s="46" t="n">
        <v>0.06733</v>
      </c>
      <c r="R278" s="47" t="n">
        <f aca="false">L278*Scorecard!$C$12+M278*Scorecard!$C$13+N278*Scorecard!$C$14+O278*Scorecard!$C$15+P278*Scorecard!$C$16+Q278*Scorecard!$C$17</f>
        <v>3.8037255502716</v>
      </c>
      <c r="S278" s="47" t="n">
        <f aca="false">L278*Scorecard!$D$12+M278*Scorecard!$D$13+N278*Scorecard!$D$14+O278*Scorecard!$D$15+P278*Scorecard!$D$16+Q278*Scorecard!$D$17</f>
        <v>2.93658566593271</v>
      </c>
      <c r="T278" s="47" t="n">
        <f aca="false">L278*Scorecard!$E$12+M278*Scorecard!$E$13+N278*Scorecard!$E$14+O278*Scorecard!$E$15+P278*Scorecard!$E$16+Q278*Scorecard!$E$17</f>
        <v>3.7679499766822</v>
      </c>
      <c r="U278" s="0" t="str">
        <f aca="false">IF(AND(R278&gt;=S278,R278&gt;=T278),"Distribution",IF(T278&gt;=S278,"Prof. services","Manufacturing"))</f>
        <v>Distribution</v>
      </c>
    </row>
    <row r="279" customFormat="false" ht="15" hidden="false" customHeight="false" outlineLevel="0" collapsed="false">
      <c r="A279" s="46" t="n">
        <v>0.003898</v>
      </c>
      <c r="B279" s="46" t="n">
        <v>0.524181</v>
      </c>
      <c r="C279" s="46" t="n">
        <v>0.034407</v>
      </c>
      <c r="D279" s="46" t="n">
        <v>0.318991</v>
      </c>
      <c r="E279" s="46" t="n">
        <v>0.061688</v>
      </c>
      <c r="F279" s="46" t="n">
        <v>0.056836</v>
      </c>
      <c r="G279" s="47" t="n">
        <f aca="false">A279*Scorecard!$C$12+B279*Scorecard!$C$13+C279*Scorecard!$C$14+D279*Scorecard!$C$15+E279*Scorecard!$C$16+F279*Scorecard!$C$17</f>
        <v>4.72248754441074</v>
      </c>
      <c r="H279" s="47" t="n">
        <f aca="false">A279*Scorecard!$D$12+B279*Scorecard!$D$13+C279*Scorecard!$D$14+D279*Scorecard!$D$15+E279*Scorecard!$D$16+F279*Scorecard!$D$17</f>
        <v>2.52036687314946</v>
      </c>
      <c r="I279" s="47" t="n">
        <f aca="false">A279*Scorecard!$E$12+B279*Scorecard!$E$13+C279*Scorecard!$E$14+D279*Scorecard!$E$15+E279*Scorecard!$E$16+F279*Scorecard!$E$17</f>
        <v>3.03311600959047</v>
      </c>
      <c r="J279" s="0" t="str">
        <f aca="false">IF(AND(G279&gt;=H279,G279&gt;=I279),"Distribution",IF(I279&gt;=H279,"Prof. services","Manufacturing"))</f>
        <v>Distribution</v>
      </c>
      <c r="L279" s="46" t="n">
        <v>0.273052</v>
      </c>
      <c r="M279" s="46" t="n">
        <v>0.24488</v>
      </c>
      <c r="N279" s="46" t="n">
        <v>0.190715</v>
      </c>
      <c r="O279" s="46" t="n">
        <v>0.085598</v>
      </c>
      <c r="P279" s="46" t="n">
        <v>0.130856</v>
      </c>
      <c r="Q279" s="46" t="n">
        <v>0.074899</v>
      </c>
      <c r="R279" s="47" t="n">
        <f aca="false">L279*Scorecard!$C$12+M279*Scorecard!$C$13+N279*Scorecard!$C$14+O279*Scorecard!$C$15+P279*Scorecard!$C$16+Q279*Scorecard!$C$17</f>
        <v>3.68918250601389</v>
      </c>
      <c r="S279" s="47" t="n">
        <f aca="false">L279*Scorecard!$D$12+M279*Scorecard!$D$13+N279*Scorecard!$D$14+O279*Scorecard!$D$15+P279*Scorecard!$D$16+Q279*Scorecard!$D$17</f>
        <v>2.84316080675945</v>
      </c>
      <c r="T279" s="47" t="n">
        <f aca="false">L279*Scorecard!$E$12+M279*Scorecard!$E$13+N279*Scorecard!$E$14+O279*Scorecard!$E$15+P279*Scorecard!$E$16+Q279*Scorecard!$E$17</f>
        <v>3.83787679984803</v>
      </c>
      <c r="U279" s="0" t="str">
        <f aca="false">IF(AND(R279&gt;=S279,R279&gt;=T279),"Distribution",IF(T279&gt;=S279,"Prof. services","Manufacturing"))</f>
        <v>Prof. services</v>
      </c>
    </row>
    <row r="280" customFormat="false" ht="15" hidden="false" customHeight="false" outlineLevel="0" collapsed="false">
      <c r="A280" s="46" t="n">
        <v>0.134309</v>
      </c>
      <c r="B280" s="46" t="n">
        <v>0.109897</v>
      </c>
      <c r="C280" s="46" t="n">
        <v>0.41746</v>
      </c>
      <c r="D280" s="46" t="n">
        <v>0.068824</v>
      </c>
      <c r="E280" s="46" t="n">
        <v>0.020989</v>
      </c>
      <c r="F280" s="46" t="n">
        <v>0.24852</v>
      </c>
      <c r="G280" s="47" t="n">
        <f aca="false">A280*Scorecard!$C$12+B280*Scorecard!$C$13+C280*Scorecard!$C$14+D280*Scorecard!$C$15+E280*Scorecard!$C$16+F280*Scorecard!$C$17</f>
        <v>3.43991888462351</v>
      </c>
      <c r="H280" s="47" t="n">
        <f aca="false">A280*Scorecard!$D$12+B280*Scorecard!$D$13+C280*Scorecard!$D$14+D280*Scorecard!$D$15+E280*Scorecard!$D$16+F280*Scorecard!$D$17</f>
        <v>2.63764889597223</v>
      </c>
      <c r="I280" s="47" t="n">
        <f aca="false">A280*Scorecard!$E$12+B280*Scorecard!$E$13+C280*Scorecard!$E$14+D280*Scorecard!$E$15+E280*Scorecard!$E$16+F280*Scorecard!$E$17</f>
        <v>4.44621661382493</v>
      </c>
      <c r="J280" s="0" t="str">
        <f aca="false">IF(AND(G280&gt;=H280,G280&gt;=I280),"Distribution",IF(I280&gt;=H280,"Prof. services","Manufacturing"))</f>
        <v>Prof. services</v>
      </c>
      <c r="L280" s="46" t="n">
        <v>0.138796</v>
      </c>
      <c r="M280" s="46" t="n">
        <v>0.086851</v>
      </c>
      <c r="N280" s="46" t="n">
        <v>0.310995</v>
      </c>
      <c r="O280" s="46" t="n">
        <v>0.24145</v>
      </c>
      <c r="P280" s="46" t="n">
        <v>0.124382</v>
      </c>
      <c r="Q280" s="46" t="n">
        <v>0.097527</v>
      </c>
      <c r="R280" s="47" t="n">
        <f aca="false">L280*Scorecard!$C$12+M280*Scorecard!$C$13+N280*Scorecard!$C$14+O280*Scorecard!$C$15+P280*Scorecard!$C$16+Q280*Scorecard!$C$17</f>
        <v>3.88341622063455</v>
      </c>
      <c r="S280" s="47" t="n">
        <f aca="false">L280*Scorecard!$D$12+M280*Scorecard!$D$13+N280*Scorecard!$D$14+O280*Scorecard!$D$15+P280*Scorecard!$D$16+Q280*Scorecard!$D$17</f>
        <v>3.13600367148621</v>
      </c>
      <c r="T280" s="47" t="n">
        <f aca="false">L280*Scorecard!$E$12+M280*Scorecard!$E$13+N280*Scorecard!$E$14+O280*Scorecard!$E$15+P280*Scorecard!$E$16+Q280*Scorecard!$E$17</f>
        <v>4.16798293456421</v>
      </c>
      <c r="U280" s="0" t="str">
        <f aca="false">IF(AND(R280&gt;=S280,R280&gt;=T280),"Distribution",IF(T280&gt;=S280,"Prof. services","Manufacturing"))</f>
        <v>Prof. services</v>
      </c>
    </row>
    <row r="281" customFormat="false" ht="15" hidden="false" customHeight="false" outlineLevel="0" collapsed="false">
      <c r="A281" s="46" t="n">
        <v>0.23441</v>
      </c>
      <c r="B281" s="46" t="n">
        <v>0.007252</v>
      </c>
      <c r="C281" s="46" t="n">
        <v>0.232685</v>
      </c>
      <c r="D281" s="46" t="n">
        <v>0.339958</v>
      </c>
      <c r="E281" s="46" t="n">
        <v>0.077784</v>
      </c>
      <c r="F281" s="46" t="n">
        <v>0.107911</v>
      </c>
      <c r="G281" s="47" t="n">
        <f aca="false">A281*Scorecard!$C$12+B281*Scorecard!$C$13+C281*Scorecard!$C$14+D281*Scorecard!$C$15+E281*Scorecard!$C$16+F281*Scorecard!$C$17</f>
        <v>3.70944665708626</v>
      </c>
      <c r="H281" s="47" t="n">
        <f aca="false">A281*Scorecard!$D$12+B281*Scorecard!$D$13+C281*Scorecard!$D$14+D281*Scorecard!$D$15+E281*Scorecard!$D$16+F281*Scorecard!$D$17</f>
        <v>3.40156491824642</v>
      </c>
      <c r="I281" s="47" t="n">
        <f aca="false">A281*Scorecard!$E$12+B281*Scorecard!$E$13+C281*Scorecard!$E$14+D281*Scorecard!$E$15+E281*Scorecard!$E$16+F281*Scorecard!$E$17</f>
        <v>4.43359933345343</v>
      </c>
      <c r="J281" s="0" t="str">
        <f aca="false">IF(AND(G281&gt;=H281,G281&gt;=I281),"Distribution",IF(I281&gt;=H281,"Prof. services","Manufacturing"))</f>
        <v>Prof. services</v>
      </c>
      <c r="L281" s="46" t="n">
        <v>0.208339</v>
      </c>
      <c r="M281" s="46" t="n">
        <v>0.164458</v>
      </c>
      <c r="N281" s="46" t="n">
        <v>0.196461</v>
      </c>
      <c r="O281" s="46" t="n">
        <v>0.167794</v>
      </c>
      <c r="P281" s="46" t="n">
        <v>0.137283</v>
      </c>
      <c r="Q281" s="46" t="n">
        <v>0.125665</v>
      </c>
      <c r="R281" s="47" t="n">
        <f aca="false">L281*Scorecard!$C$12+M281*Scorecard!$C$13+N281*Scorecard!$C$14+O281*Scorecard!$C$15+P281*Scorecard!$C$16+Q281*Scorecard!$C$17</f>
        <v>3.70590882888398</v>
      </c>
      <c r="S281" s="47" t="n">
        <f aca="false">L281*Scorecard!$D$12+M281*Scorecard!$D$13+N281*Scorecard!$D$14+O281*Scorecard!$D$15+P281*Scorecard!$D$16+Q281*Scorecard!$D$17</f>
        <v>2.94227508658883</v>
      </c>
      <c r="T281" s="47" t="n">
        <f aca="false">L281*Scorecard!$E$12+M281*Scorecard!$E$13+N281*Scorecard!$E$14+O281*Scorecard!$E$15+P281*Scorecard!$E$16+Q281*Scorecard!$E$17</f>
        <v>3.95790884079174</v>
      </c>
      <c r="U281" s="0" t="str">
        <f aca="false">IF(AND(R281&gt;=S281,R281&gt;=T281),"Distribution",IF(T281&gt;=S281,"Prof. services","Manufacturing"))</f>
        <v>Prof. services</v>
      </c>
    </row>
    <row r="282" customFormat="false" ht="15" hidden="false" customHeight="false" outlineLevel="0" collapsed="false">
      <c r="A282" s="46" t="n">
        <v>0.021397</v>
      </c>
      <c r="B282" s="46" t="n">
        <v>0.056615</v>
      </c>
      <c r="C282" s="46" t="n">
        <v>0.187128</v>
      </c>
      <c r="D282" s="46" t="n">
        <v>0.005186</v>
      </c>
      <c r="E282" s="46" t="n">
        <v>0.248023</v>
      </c>
      <c r="F282" s="46" t="n">
        <v>0.481651</v>
      </c>
      <c r="G282" s="47" t="n">
        <f aca="false">A282*Scorecard!$C$12+B282*Scorecard!$C$13+C282*Scorecard!$C$14+D282*Scorecard!$C$15+E282*Scorecard!$C$16+F282*Scorecard!$C$17</f>
        <v>3.05998409485805</v>
      </c>
      <c r="H282" s="47" t="n">
        <f aca="false">A282*Scorecard!$D$12+B282*Scorecard!$D$13+C282*Scorecard!$D$14+D282*Scorecard!$D$15+E282*Scorecard!$D$16+F282*Scorecard!$D$17</f>
        <v>2.29535590020792</v>
      </c>
      <c r="I282" s="47" t="n">
        <f aca="false">A282*Scorecard!$E$12+B282*Scorecard!$E$13+C282*Scorecard!$E$14+D282*Scorecard!$E$15+E282*Scorecard!$E$16+F282*Scorecard!$E$17</f>
        <v>3.93064352061476</v>
      </c>
      <c r="J282" s="0" t="str">
        <f aca="false">IF(AND(G282&gt;=H282,G282&gt;=I282),"Distribution",IF(I282&gt;=H282,"Prof. services","Manufacturing"))</f>
        <v>Prof. services</v>
      </c>
      <c r="L282" s="46" t="n">
        <v>0.113689</v>
      </c>
      <c r="M282" s="46" t="n">
        <v>0.15017</v>
      </c>
      <c r="N282" s="46" t="n">
        <v>0.401671</v>
      </c>
      <c r="O282" s="46" t="n">
        <v>0.175707</v>
      </c>
      <c r="P282" s="46" t="n">
        <v>0.121044</v>
      </c>
      <c r="Q282" s="46" t="n">
        <v>0.037719</v>
      </c>
      <c r="R282" s="47" t="n">
        <f aca="false">L282*Scorecard!$C$12+M282*Scorecard!$C$13+N282*Scorecard!$C$14+O282*Scorecard!$C$15+P282*Scorecard!$C$16+Q282*Scorecard!$C$17</f>
        <v>4.0457971786847</v>
      </c>
      <c r="S282" s="47" t="n">
        <f aca="false">L282*Scorecard!$D$12+M282*Scorecard!$D$13+N282*Scorecard!$D$14+O282*Scorecard!$D$15+P282*Scorecard!$D$16+Q282*Scorecard!$D$17</f>
        <v>3.03686684964408</v>
      </c>
      <c r="T282" s="47" t="n">
        <f aca="false">L282*Scorecard!$E$12+M282*Scorecard!$E$13+N282*Scorecard!$E$14+O282*Scorecard!$E$15+P282*Scorecard!$E$16+Q282*Scorecard!$E$17</f>
        <v>4.0796578399977</v>
      </c>
      <c r="U282" s="0" t="str">
        <f aca="false">IF(AND(R282&gt;=S282,R282&gt;=T282),"Distribution",IF(T282&gt;=S282,"Prof. services","Manufacturing"))</f>
        <v>Prof. services</v>
      </c>
    </row>
    <row r="283" customFormat="false" ht="15" hidden="false" customHeight="false" outlineLevel="0" collapsed="false">
      <c r="A283" s="46" t="n">
        <v>0.027369</v>
      </c>
      <c r="B283" s="46" t="n">
        <v>0.13689</v>
      </c>
      <c r="C283" s="46" t="n">
        <v>0.055551</v>
      </c>
      <c r="D283" s="46" t="n">
        <v>0.155998</v>
      </c>
      <c r="E283" s="46" t="n">
        <v>0.372884</v>
      </c>
      <c r="F283" s="46" t="n">
        <v>0.251308</v>
      </c>
      <c r="G283" s="47" t="n">
        <f aca="false">A283*Scorecard!$C$12+B283*Scorecard!$C$13+C283*Scorecard!$C$14+D283*Scorecard!$C$15+E283*Scorecard!$C$16+F283*Scorecard!$C$17</f>
        <v>3.74100740969154</v>
      </c>
      <c r="H283" s="47" t="n">
        <f aca="false">A283*Scorecard!$D$12+B283*Scorecard!$D$13+C283*Scorecard!$D$14+D283*Scorecard!$D$15+E283*Scorecard!$D$16+F283*Scorecard!$D$17</f>
        <v>2.74052877830984</v>
      </c>
      <c r="I283" s="47" t="n">
        <f aca="false">A283*Scorecard!$E$12+B283*Scorecard!$E$13+C283*Scorecard!$E$14+D283*Scorecard!$E$15+E283*Scorecard!$E$16+F283*Scorecard!$E$17</f>
        <v>3.35595236015023</v>
      </c>
      <c r="J283" s="0" t="str">
        <f aca="false">IF(AND(G283&gt;=H283,G283&gt;=I283),"Distribution",IF(I283&gt;=H283,"Prof. services","Manufacturing"))</f>
        <v>Distribution</v>
      </c>
      <c r="L283" s="46" t="n">
        <v>0.224285</v>
      </c>
      <c r="M283" s="46" t="n">
        <v>0.32067</v>
      </c>
      <c r="N283" s="46" t="n">
        <v>0.293877</v>
      </c>
      <c r="O283" s="46" t="n">
        <v>0.058201</v>
      </c>
      <c r="P283" s="46" t="n">
        <v>0.068382</v>
      </c>
      <c r="Q283" s="46" t="n">
        <v>0.034586</v>
      </c>
      <c r="R283" s="47" t="n">
        <f aca="false">L283*Scorecard!$C$12+M283*Scorecard!$C$13+N283*Scorecard!$C$14+O283*Scorecard!$C$15+P283*Scorecard!$C$16+Q283*Scorecard!$C$17</f>
        <v>3.90598680147857</v>
      </c>
      <c r="S283" s="47" t="n">
        <f aca="false">L283*Scorecard!$D$12+M283*Scorecard!$D$13+N283*Scorecard!$D$14+O283*Scorecard!$D$15+P283*Scorecard!$D$16+Q283*Scorecard!$D$17</f>
        <v>2.70511880693568</v>
      </c>
      <c r="T283" s="47" t="n">
        <f aca="false">L283*Scorecard!$E$12+M283*Scorecard!$E$13+N283*Scorecard!$E$14+O283*Scorecard!$E$15+P283*Scorecard!$E$16+Q283*Scorecard!$E$17</f>
        <v>3.82959572494869</v>
      </c>
      <c r="U283" s="0" t="str">
        <f aca="false">IF(AND(R283&gt;=S283,R283&gt;=T283),"Distribution",IF(T283&gt;=S283,"Prof. services","Manufacturing"))</f>
        <v>Distribution</v>
      </c>
    </row>
    <row r="284" customFormat="false" ht="15" hidden="false" customHeight="false" outlineLevel="0" collapsed="false">
      <c r="A284" s="46" t="n">
        <v>0.096281</v>
      </c>
      <c r="B284" s="46" t="n">
        <v>0.039104</v>
      </c>
      <c r="C284" s="46" t="n">
        <v>0.740716</v>
      </c>
      <c r="D284" s="46" t="n">
        <v>0.056405</v>
      </c>
      <c r="E284" s="46" t="n">
        <v>0.066547</v>
      </c>
      <c r="F284" s="46" t="n">
        <v>0.000947</v>
      </c>
      <c r="G284" s="47" t="n">
        <f aca="false">A284*Scorecard!$C$12+B284*Scorecard!$C$13+C284*Scorecard!$C$14+D284*Scorecard!$C$15+E284*Scorecard!$C$16+F284*Scorecard!$C$17</f>
        <v>3.92030782693964</v>
      </c>
      <c r="H284" s="47" t="n">
        <f aca="false">A284*Scorecard!$D$12+B284*Scorecard!$D$13+C284*Scorecard!$D$14+D284*Scorecard!$D$15+E284*Scorecard!$D$16+F284*Scorecard!$D$17</f>
        <v>3.0909617254883</v>
      </c>
      <c r="I284" s="47" t="n">
        <f aca="false">A284*Scorecard!$E$12+B284*Scorecard!$E$13+C284*Scorecard!$E$14+D284*Scorecard!$E$15+E284*Scorecard!$E$16+F284*Scorecard!$E$17</f>
        <v>4.6624724971884</v>
      </c>
      <c r="J284" s="0" t="str">
        <f aca="false">IF(AND(G284&gt;=H284,G284&gt;=I284),"Distribution",IF(I284&gt;=H284,"Prof. services","Manufacturing"))</f>
        <v>Prof. services</v>
      </c>
      <c r="L284" s="46" t="n">
        <v>0.247991</v>
      </c>
      <c r="M284" s="46" t="n">
        <v>0.102244</v>
      </c>
      <c r="N284" s="46" t="n">
        <v>0.133102</v>
      </c>
      <c r="O284" s="46" t="n">
        <v>0.138757</v>
      </c>
      <c r="P284" s="46" t="n">
        <v>0.248719</v>
      </c>
      <c r="Q284" s="46" t="n">
        <v>0.129188</v>
      </c>
      <c r="R284" s="47" t="n">
        <f aca="false">L284*Scorecard!$C$12+M284*Scorecard!$C$13+N284*Scorecard!$C$14+O284*Scorecard!$C$15+P284*Scorecard!$C$16+Q284*Scorecard!$C$17</f>
        <v>3.53624166340804</v>
      </c>
      <c r="S284" s="47" t="n">
        <f aca="false">L284*Scorecard!$D$12+M284*Scorecard!$D$13+N284*Scorecard!$D$14+O284*Scorecard!$D$15+P284*Scorecard!$D$16+Q284*Scorecard!$D$17</f>
        <v>3.06009992285412</v>
      </c>
      <c r="T284" s="47" t="n">
        <f aca="false">L284*Scorecard!$E$12+M284*Scorecard!$E$13+N284*Scorecard!$E$14+O284*Scorecard!$E$15+P284*Scorecard!$E$16+Q284*Scorecard!$E$17</f>
        <v>3.86216320776582</v>
      </c>
      <c r="U284" s="0" t="str">
        <f aca="false">IF(AND(R284&gt;=S284,R284&gt;=T284),"Distribution",IF(T284&gt;=S284,"Prof. services","Manufacturing"))</f>
        <v>Prof. services</v>
      </c>
    </row>
    <row r="285" customFormat="false" ht="15" hidden="false" customHeight="false" outlineLevel="0" collapsed="false">
      <c r="A285" s="46" t="n">
        <v>0.403687</v>
      </c>
      <c r="B285" s="46" t="n">
        <v>0.137966</v>
      </c>
      <c r="C285" s="46" t="n">
        <v>0.180673</v>
      </c>
      <c r="D285" s="46" t="n">
        <v>0.175751</v>
      </c>
      <c r="E285" s="46" t="n">
        <v>0.048367</v>
      </c>
      <c r="F285" s="46" t="n">
        <v>0.053557</v>
      </c>
      <c r="G285" s="47" t="n">
        <f aca="false">A285*Scorecard!$C$12+B285*Scorecard!$C$13+C285*Scorecard!$C$14+D285*Scorecard!$C$15+E285*Scorecard!$C$16+F285*Scorecard!$C$17</f>
        <v>3.47996464303221</v>
      </c>
      <c r="H285" s="47" t="n">
        <f aca="false">A285*Scorecard!$D$12+B285*Scorecard!$D$13+C285*Scorecard!$D$14+D285*Scorecard!$D$15+E285*Scorecard!$D$16+F285*Scorecard!$D$17</f>
        <v>3.19881425305394</v>
      </c>
      <c r="I285" s="47" t="n">
        <f aca="false">A285*Scorecard!$E$12+B285*Scorecard!$E$13+C285*Scorecard!$E$14+D285*Scorecard!$E$15+E285*Scorecard!$E$16+F285*Scorecard!$E$17</f>
        <v>4.30060606450475</v>
      </c>
      <c r="J285" s="0" t="str">
        <f aca="false">IF(AND(G285&gt;=H285,G285&gt;=I285),"Distribution",IF(I285&gt;=H285,"Prof. services","Manufacturing"))</f>
        <v>Prof. services</v>
      </c>
      <c r="L285" s="46" t="n">
        <v>0.153512</v>
      </c>
      <c r="M285" s="46" t="n">
        <v>0.238192</v>
      </c>
      <c r="N285" s="46" t="n">
        <v>0.372608</v>
      </c>
      <c r="O285" s="46" t="n">
        <v>0.129296</v>
      </c>
      <c r="P285" s="46" t="n">
        <v>0.06354</v>
      </c>
      <c r="Q285" s="46" t="n">
        <v>0.042853</v>
      </c>
      <c r="R285" s="47" t="n">
        <f aca="false">L285*Scorecard!$C$12+M285*Scorecard!$C$13+N285*Scorecard!$C$14+O285*Scorecard!$C$15+P285*Scorecard!$C$16+Q285*Scorecard!$C$17</f>
        <v>4.00546221077013</v>
      </c>
      <c r="S285" s="47" t="n">
        <f aca="false">L285*Scorecard!$D$12+M285*Scorecard!$D$13+N285*Scorecard!$D$14+O285*Scorecard!$D$15+P285*Scorecard!$D$16+Q285*Scorecard!$D$17</f>
        <v>2.85045741152535</v>
      </c>
      <c r="T285" s="47" t="n">
        <f aca="false">L285*Scorecard!$E$12+M285*Scorecard!$E$13+N285*Scorecard!$E$14+O285*Scorecard!$E$15+P285*Scorecard!$E$16+Q285*Scorecard!$E$17</f>
        <v>4.01611935259089</v>
      </c>
      <c r="U285" s="0" t="str">
        <f aca="false">IF(AND(R285&gt;=S285,R285&gt;=T285),"Distribution",IF(T285&gt;=S285,"Prof. services","Manufacturing"))</f>
        <v>Prof. services</v>
      </c>
    </row>
    <row r="286" customFormat="false" ht="15" hidden="false" customHeight="false" outlineLevel="0" collapsed="false">
      <c r="A286" s="46" t="n">
        <v>0.21162</v>
      </c>
      <c r="B286" s="46" t="n">
        <v>0.162022</v>
      </c>
      <c r="C286" s="46" t="n">
        <v>0.010556</v>
      </c>
      <c r="D286" s="46" t="n">
        <v>0.086999</v>
      </c>
      <c r="E286" s="46" t="n">
        <v>0.412188</v>
      </c>
      <c r="F286" s="46" t="n">
        <v>0.116615</v>
      </c>
      <c r="G286" s="47" t="n">
        <f aca="false">A286*Scorecard!$C$12+B286*Scorecard!$C$13+C286*Scorecard!$C$14+D286*Scorecard!$C$15+E286*Scorecard!$C$16+F286*Scorecard!$C$17</f>
        <v>3.63487198209374</v>
      </c>
      <c r="H286" s="47" t="n">
        <f aca="false">A286*Scorecard!$D$12+B286*Scorecard!$D$13+C286*Scorecard!$D$14+D286*Scorecard!$D$15+E286*Scorecard!$D$16+F286*Scorecard!$D$17</f>
        <v>2.95977716976988</v>
      </c>
      <c r="I286" s="47" t="n">
        <f aca="false">A286*Scorecard!$E$12+B286*Scorecard!$E$13+C286*Scorecard!$E$14+D286*Scorecard!$E$15+E286*Scorecard!$E$16+F286*Scorecard!$E$17</f>
        <v>3.30389448393225</v>
      </c>
      <c r="J286" s="0" t="str">
        <f aca="false">IF(AND(G286&gt;=H286,G286&gt;=I286),"Distribution",IF(I286&gt;=H286,"Prof. services","Manufacturing"))</f>
        <v>Distribution</v>
      </c>
      <c r="L286" s="46" t="n">
        <v>0.182125</v>
      </c>
      <c r="M286" s="46" t="n">
        <v>0.20006</v>
      </c>
      <c r="N286" s="46" t="n">
        <v>0.239178</v>
      </c>
      <c r="O286" s="46" t="n">
        <v>0.23113</v>
      </c>
      <c r="P286" s="46" t="n">
        <v>0.093666</v>
      </c>
      <c r="Q286" s="46" t="n">
        <v>0.053841</v>
      </c>
      <c r="R286" s="47" t="n">
        <f aca="false">L286*Scorecard!$C$12+M286*Scorecard!$C$13+N286*Scorecard!$C$14+O286*Scorecard!$C$15+P286*Scorecard!$C$16+Q286*Scorecard!$C$17</f>
        <v>3.99568040272102</v>
      </c>
      <c r="S286" s="47" t="n">
        <f aca="false">L286*Scorecard!$D$12+M286*Scorecard!$D$13+N286*Scorecard!$D$14+O286*Scorecard!$D$15+P286*Scorecard!$D$16+Q286*Scorecard!$D$17</f>
        <v>3.038038142055</v>
      </c>
      <c r="T286" s="47" t="n">
        <f aca="false">L286*Scorecard!$E$12+M286*Scorecard!$E$13+N286*Scorecard!$E$14+O286*Scorecard!$E$15+P286*Scorecard!$E$16+Q286*Scorecard!$E$17</f>
        <v>3.95481426038917</v>
      </c>
      <c r="U286" s="0" t="str">
        <f aca="false">IF(AND(R286&gt;=S286,R286&gt;=T286),"Distribution",IF(T286&gt;=S286,"Prof. services","Manufacturing"))</f>
        <v>Distribution</v>
      </c>
    </row>
    <row r="287" customFormat="false" ht="15" hidden="false" customHeight="false" outlineLevel="0" collapsed="false">
      <c r="A287" s="46" t="n">
        <v>0.112914</v>
      </c>
      <c r="B287" s="46" t="n">
        <v>0.034262</v>
      </c>
      <c r="C287" s="46" t="n">
        <v>0.450013</v>
      </c>
      <c r="D287" s="46" t="n">
        <v>0.273442</v>
      </c>
      <c r="E287" s="46" t="n">
        <v>0.080049</v>
      </c>
      <c r="F287" s="46" t="n">
        <v>0.04932</v>
      </c>
      <c r="G287" s="47" t="n">
        <f aca="false">A287*Scorecard!$C$12+B287*Scorecard!$C$13+C287*Scorecard!$C$14+D287*Scorecard!$C$15+E287*Scorecard!$C$16+F287*Scorecard!$C$17</f>
        <v>4.00581718973695</v>
      </c>
      <c r="H287" s="47" t="n">
        <f aca="false">A287*Scorecard!$D$12+B287*Scorecard!$D$13+C287*Scorecard!$D$14+D287*Scorecard!$D$15+E287*Scorecard!$D$16+F287*Scorecard!$D$17</f>
        <v>3.29240862515504</v>
      </c>
      <c r="I287" s="47" t="n">
        <f aca="false">A287*Scorecard!$E$12+B287*Scorecard!$E$13+C287*Scorecard!$E$14+D287*Scorecard!$E$15+E287*Scorecard!$E$16+F287*Scorecard!$E$17</f>
        <v>4.43478525626914</v>
      </c>
      <c r="J287" s="0" t="str">
        <f aca="false">IF(AND(G287&gt;=H287,G287&gt;=I287),"Distribution",IF(I287&gt;=H287,"Prof. services","Manufacturing"))</f>
        <v>Prof. services</v>
      </c>
      <c r="L287" s="46" t="n">
        <v>0.233699</v>
      </c>
      <c r="M287" s="46" t="n">
        <v>0.14724</v>
      </c>
      <c r="N287" s="46" t="n">
        <v>0.126687</v>
      </c>
      <c r="O287" s="46" t="n">
        <v>0.119975</v>
      </c>
      <c r="P287" s="46" t="n">
        <v>0.242006</v>
      </c>
      <c r="Q287" s="46" t="n">
        <v>0.130393</v>
      </c>
      <c r="R287" s="47" t="n">
        <f aca="false">L287*Scorecard!$C$12+M287*Scorecard!$C$13+N287*Scorecard!$C$14+O287*Scorecard!$C$15+P287*Scorecard!$C$16+Q287*Scorecard!$C$17</f>
        <v>3.5857674672258</v>
      </c>
      <c r="S287" s="47" t="n">
        <f aca="false">L287*Scorecard!$D$12+M287*Scorecard!$D$13+N287*Scorecard!$D$14+O287*Scorecard!$D$15+P287*Scorecard!$D$16+Q287*Scorecard!$D$17</f>
        <v>2.95732928624663</v>
      </c>
      <c r="T287" s="47" t="n">
        <f aca="false">L287*Scorecard!$E$12+M287*Scorecard!$E$13+N287*Scorecard!$E$14+O287*Scorecard!$E$15+P287*Scorecard!$E$16+Q287*Scorecard!$E$17</f>
        <v>3.76576678538591</v>
      </c>
      <c r="U287" s="0" t="str">
        <f aca="false">IF(AND(R287&gt;=S287,R287&gt;=T287),"Distribution",IF(T287&gt;=S287,"Prof. services","Manufacturing"))</f>
        <v>Prof. services</v>
      </c>
    </row>
    <row r="288" customFormat="false" ht="15" hidden="false" customHeight="false" outlineLevel="0" collapsed="false">
      <c r="A288" s="46" t="n">
        <v>0.097832</v>
      </c>
      <c r="B288" s="46" t="n">
        <v>0.158555</v>
      </c>
      <c r="C288" s="46" t="n">
        <v>0.050195</v>
      </c>
      <c r="D288" s="46" t="n">
        <v>0.084657</v>
      </c>
      <c r="E288" s="46" t="n">
        <v>0.015014</v>
      </c>
      <c r="F288" s="46" t="n">
        <v>0.593747</v>
      </c>
      <c r="G288" s="47" t="n">
        <f aca="false">A288*Scorecard!$C$12+B288*Scorecard!$C$13+C288*Scorecard!$C$14+D288*Scorecard!$C$15+E288*Scorecard!$C$16+F288*Scorecard!$C$17</f>
        <v>2.87961900482088</v>
      </c>
      <c r="H288" s="47" t="n">
        <f aca="false">A288*Scorecard!$D$12+B288*Scorecard!$D$13+C288*Scorecard!$D$14+D288*Scorecard!$D$15+E288*Scorecard!$D$16+F288*Scorecard!$D$17</f>
        <v>2.03901805865193</v>
      </c>
      <c r="I288" s="47" t="n">
        <f aca="false">A288*Scorecard!$E$12+B288*Scorecard!$E$13+C288*Scorecard!$E$14+D288*Scorecard!$E$15+E288*Scorecard!$E$16+F288*Scorecard!$E$17</f>
        <v>4.13638646637695</v>
      </c>
      <c r="J288" s="0" t="str">
        <f aca="false">IF(AND(G288&gt;=H288,G288&gt;=I288),"Distribution",IF(I288&gt;=H288,"Prof. services","Manufacturing"))</f>
        <v>Prof. services</v>
      </c>
      <c r="L288" s="46" t="n">
        <v>0.167817</v>
      </c>
      <c r="M288" s="46" t="n">
        <v>0.244341</v>
      </c>
      <c r="N288" s="46" t="n">
        <v>0.146929</v>
      </c>
      <c r="O288" s="46" t="n">
        <v>0.205326</v>
      </c>
      <c r="P288" s="46" t="n">
        <v>0.213099</v>
      </c>
      <c r="Q288" s="46" t="n">
        <v>0.022488</v>
      </c>
      <c r="R288" s="47" t="n">
        <f aca="false">L288*Scorecard!$C$12+M288*Scorecard!$C$13+N288*Scorecard!$C$14+O288*Scorecard!$C$15+P288*Scorecard!$C$16+Q288*Scorecard!$C$17</f>
        <v>4.10261800676696</v>
      </c>
      <c r="S288" s="47" t="n">
        <f aca="false">L288*Scorecard!$D$12+M288*Scorecard!$D$13+N288*Scorecard!$D$14+O288*Scorecard!$D$15+P288*Scorecard!$D$16+Q288*Scorecard!$D$17</f>
        <v>3.01908986339457</v>
      </c>
      <c r="T288" s="47" t="n">
        <f aca="false">L288*Scorecard!$E$12+M288*Scorecard!$E$13+N288*Scorecard!$E$14+O288*Scorecard!$E$15+P288*Scorecard!$E$16+Q288*Scorecard!$E$17</f>
        <v>3.54623816755105</v>
      </c>
      <c r="U288" s="0" t="str">
        <f aca="false">IF(AND(R288&gt;=S288,R288&gt;=T288),"Distribution",IF(T288&gt;=S288,"Prof. services","Manufacturing"))</f>
        <v>Distribution</v>
      </c>
    </row>
    <row r="289" customFormat="false" ht="15" hidden="false" customHeight="false" outlineLevel="0" collapsed="false">
      <c r="A289" s="46" t="n">
        <v>0.014882</v>
      </c>
      <c r="B289" s="46" t="n">
        <v>0.009011</v>
      </c>
      <c r="C289" s="46" t="n">
        <v>0.330629</v>
      </c>
      <c r="D289" s="46" t="n">
        <v>0.131766</v>
      </c>
      <c r="E289" s="46" t="n">
        <v>0.219191</v>
      </c>
      <c r="F289" s="46" t="n">
        <v>0.294521</v>
      </c>
      <c r="G289" s="47" t="n">
        <f aca="false">A289*Scorecard!$C$12+B289*Scorecard!$C$13+C289*Scorecard!$C$14+D289*Scorecard!$C$15+E289*Scorecard!$C$16+F289*Scorecard!$C$17</f>
        <v>3.52494718776826</v>
      </c>
      <c r="H289" s="47" t="n">
        <f aca="false">A289*Scorecard!$D$12+B289*Scorecard!$D$13+C289*Scorecard!$D$14+D289*Scorecard!$D$15+E289*Scorecard!$D$16+F289*Scorecard!$D$17</f>
        <v>2.7801246764274</v>
      </c>
      <c r="I289" s="47" t="n">
        <f aca="false">A289*Scorecard!$E$12+B289*Scorecard!$E$13+C289*Scorecard!$E$14+D289*Scorecard!$E$15+E289*Scorecard!$E$16+F289*Scorecard!$E$17</f>
        <v>4.13217639929894</v>
      </c>
      <c r="J289" s="0" t="str">
        <f aca="false">IF(AND(G289&gt;=H289,G289&gt;=I289),"Distribution",IF(I289&gt;=H289,"Prof. services","Manufacturing"))</f>
        <v>Prof. services</v>
      </c>
      <c r="L289" s="46" t="n">
        <v>0.098499</v>
      </c>
      <c r="M289" s="46" t="n">
        <v>0.135277</v>
      </c>
      <c r="N289" s="46" t="n">
        <v>0.337265</v>
      </c>
      <c r="O289" s="46" t="n">
        <v>0.139333</v>
      </c>
      <c r="P289" s="46" t="n">
        <v>0.130924</v>
      </c>
      <c r="Q289" s="46" t="n">
        <v>0.158702</v>
      </c>
      <c r="R289" s="47" t="n">
        <f aca="false">L289*Scorecard!$C$12+M289*Scorecard!$C$13+N289*Scorecard!$C$14+O289*Scorecard!$C$15+P289*Scorecard!$C$16+Q289*Scorecard!$C$17</f>
        <v>3.77990639530881</v>
      </c>
      <c r="S289" s="47" t="n">
        <f aca="false">L289*Scorecard!$D$12+M289*Scorecard!$D$13+N289*Scorecard!$D$14+O289*Scorecard!$D$15+P289*Scorecard!$D$16+Q289*Scorecard!$D$17</f>
        <v>2.82889832535896</v>
      </c>
      <c r="T289" s="47" t="n">
        <f aca="false">L289*Scorecard!$E$12+M289*Scorecard!$E$13+N289*Scorecard!$E$14+O289*Scorecard!$E$15+P289*Scorecard!$E$16+Q289*Scorecard!$E$17</f>
        <v>4.06605045210674</v>
      </c>
      <c r="U289" s="0" t="str">
        <f aca="false">IF(AND(R289&gt;=S289,R289&gt;=T289),"Distribution",IF(T289&gt;=S289,"Prof. services","Manufacturing"))</f>
        <v>Prof. services</v>
      </c>
    </row>
    <row r="290" customFormat="false" ht="15" hidden="false" customHeight="false" outlineLevel="0" collapsed="false">
      <c r="A290" s="46" t="n">
        <v>0.079573</v>
      </c>
      <c r="B290" s="46" t="n">
        <v>0.156493</v>
      </c>
      <c r="C290" s="46" t="n">
        <v>0.085326</v>
      </c>
      <c r="D290" s="46" t="n">
        <v>0.44035</v>
      </c>
      <c r="E290" s="46" t="n">
        <v>0.196243</v>
      </c>
      <c r="F290" s="46" t="n">
        <v>0.042016</v>
      </c>
      <c r="G290" s="47" t="n">
        <f aca="false">A290*Scorecard!$C$12+B290*Scorecard!$C$13+C290*Scorecard!$C$14+D290*Scorecard!$C$15+E290*Scorecard!$C$16+F290*Scorecard!$C$17</f>
        <v>4.36958246521191</v>
      </c>
      <c r="H290" s="47" t="n">
        <f aca="false">A290*Scorecard!$D$12+B290*Scorecard!$D$13+C290*Scorecard!$D$14+D290*Scorecard!$D$15+E290*Scorecard!$D$16+F290*Scorecard!$D$17</f>
        <v>3.32982619053918</v>
      </c>
      <c r="I290" s="47" t="n">
        <f aca="false">A290*Scorecard!$E$12+B290*Scorecard!$E$13+C290*Scorecard!$E$14+D290*Scorecard!$E$15+E290*Scorecard!$E$16+F290*Scorecard!$E$17</f>
        <v>3.63758896370499</v>
      </c>
      <c r="J290" s="0" t="str">
        <f aca="false">IF(AND(G290&gt;=H290,G290&gt;=I290),"Distribution",IF(I290&gt;=H290,"Prof. services","Manufacturing"))</f>
        <v>Distribution</v>
      </c>
      <c r="L290" s="46" t="n">
        <v>0.175448</v>
      </c>
      <c r="M290" s="46" t="n">
        <v>0.242286</v>
      </c>
      <c r="N290" s="46" t="n">
        <v>0.284511</v>
      </c>
      <c r="O290" s="46" t="n">
        <v>0.10128</v>
      </c>
      <c r="P290" s="46" t="n">
        <v>0.089409</v>
      </c>
      <c r="Q290" s="46" t="n">
        <v>0.107066</v>
      </c>
      <c r="R290" s="47" t="n">
        <f aca="false">L290*Scorecard!$C$12+M290*Scorecard!$C$13+N290*Scorecard!$C$14+O290*Scorecard!$C$15+P290*Scorecard!$C$16+Q290*Scorecard!$C$17</f>
        <v>3.81362509794151</v>
      </c>
      <c r="S290" s="47" t="n">
        <f aca="false">L290*Scorecard!$D$12+M290*Scorecard!$D$13+N290*Scorecard!$D$14+O290*Scorecard!$D$15+P290*Scorecard!$D$16+Q290*Scorecard!$D$17</f>
        <v>2.73867013812822</v>
      </c>
      <c r="T290" s="47" t="n">
        <f aca="false">L290*Scorecard!$E$12+M290*Scorecard!$E$13+N290*Scorecard!$E$14+O290*Scorecard!$E$15+P290*Scorecard!$E$16+Q290*Scorecard!$E$17</f>
        <v>3.92666948428561</v>
      </c>
      <c r="U290" s="0" t="str">
        <f aca="false">IF(AND(R290&gt;=S290,R290&gt;=T290),"Distribution",IF(T290&gt;=S290,"Prof. services","Manufacturing"))</f>
        <v>Prof. services</v>
      </c>
    </row>
    <row r="291" customFormat="false" ht="15" hidden="false" customHeight="false" outlineLevel="0" collapsed="false">
      <c r="A291" s="46" t="n">
        <v>0.181019</v>
      </c>
      <c r="B291" s="46" t="n">
        <v>0.055878</v>
      </c>
      <c r="C291" s="46" t="n">
        <v>0.320409</v>
      </c>
      <c r="D291" s="46" t="n">
        <v>0.070123</v>
      </c>
      <c r="E291" s="46" t="n">
        <v>0.183189</v>
      </c>
      <c r="F291" s="46" t="n">
        <v>0.189383</v>
      </c>
      <c r="G291" s="47" t="n">
        <f aca="false">A291*Scorecard!$C$12+B291*Scorecard!$C$13+C291*Scorecard!$C$14+D291*Scorecard!$C$15+E291*Scorecard!$C$16+F291*Scorecard!$C$17</f>
        <v>3.42140221849365</v>
      </c>
      <c r="H291" s="47" t="n">
        <f aca="false">A291*Scorecard!$D$12+B291*Scorecard!$D$13+C291*Scorecard!$D$14+D291*Scorecard!$D$15+E291*Scorecard!$D$16+F291*Scorecard!$D$17</f>
        <v>2.89386771223509</v>
      </c>
      <c r="I291" s="47" t="n">
        <f aca="false">A291*Scorecard!$E$12+B291*Scorecard!$E$13+C291*Scorecard!$E$14+D291*Scorecard!$E$15+E291*Scorecard!$E$16+F291*Scorecard!$E$17</f>
        <v>4.19751232296744</v>
      </c>
      <c r="J291" s="0" t="str">
        <f aca="false">IF(AND(G291&gt;=H291,G291&gt;=I291),"Distribution",IF(I291&gt;=H291,"Prof. services","Manufacturing"))</f>
        <v>Prof. services</v>
      </c>
      <c r="L291" s="46" t="n">
        <v>0.177934</v>
      </c>
      <c r="M291" s="46" t="n">
        <v>0.224471</v>
      </c>
      <c r="N291" s="46" t="n">
        <v>0.104941</v>
      </c>
      <c r="O291" s="46" t="n">
        <v>0.084224</v>
      </c>
      <c r="P291" s="46" t="n">
        <v>0.27344</v>
      </c>
      <c r="Q291" s="46" t="n">
        <v>0.134989</v>
      </c>
      <c r="R291" s="47" t="n">
        <f aca="false">L291*Scorecard!$C$12+M291*Scorecard!$C$13+N291*Scorecard!$C$14+O291*Scorecard!$C$15+P291*Scorecard!$C$16+Q291*Scorecard!$C$17</f>
        <v>3.71842926248874</v>
      </c>
      <c r="S291" s="47" t="n">
        <f aca="false">L291*Scorecard!$D$12+M291*Scorecard!$D$13+N291*Scorecard!$D$14+O291*Scorecard!$D$15+P291*Scorecard!$D$16+Q291*Scorecard!$D$17</f>
        <v>2.76676405248183</v>
      </c>
      <c r="T291" s="47" t="n">
        <f aca="false">L291*Scorecard!$E$12+M291*Scorecard!$E$13+N291*Scorecard!$E$14+O291*Scorecard!$E$15+P291*Scorecard!$E$16+Q291*Scorecard!$E$17</f>
        <v>3.4874391784344</v>
      </c>
      <c r="U291" s="0" t="str">
        <f aca="false">IF(AND(R291&gt;=S291,R291&gt;=T291),"Distribution",IF(T291&gt;=S291,"Prof. services","Manufacturing"))</f>
        <v>Distribution</v>
      </c>
    </row>
    <row r="292" customFormat="false" ht="15" hidden="false" customHeight="false" outlineLevel="0" collapsed="false">
      <c r="A292" s="46" t="n">
        <v>0.183742</v>
      </c>
      <c r="B292" s="46" t="n">
        <v>0.0641</v>
      </c>
      <c r="C292" s="46" t="n">
        <v>0.167823</v>
      </c>
      <c r="D292" s="46" t="n">
        <v>0.42143</v>
      </c>
      <c r="E292" s="46" t="n">
        <v>0.066815</v>
      </c>
      <c r="F292" s="46" t="n">
        <v>0.09609</v>
      </c>
      <c r="G292" s="47" t="n">
        <f aca="false">A292*Scorecard!$C$12+B292*Scorecard!$C$13+C292*Scorecard!$C$14+D292*Scorecard!$C$15+E292*Scorecard!$C$16+F292*Scorecard!$C$17</f>
        <v>3.96261177966103</v>
      </c>
      <c r="H292" s="47" t="n">
        <f aca="false">A292*Scorecard!$D$12+B292*Scorecard!$D$13+C292*Scorecard!$D$14+D292*Scorecard!$D$15+E292*Scorecard!$D$16+F292*Scorecard!$D$17</f>
        <v>3.39115776560886</v>
      </c>
      <c r="I292" s="47" t="n">
        <f aca="false">A292*Scorecard!$E$12+B292*Scorecard!$E$13+C292*Scorecard!$E$14+D292*Scorecard!$E$15+E292*Scorecard!$E$16+F292*Scorecard!$E$17</f>
        <v>4.23718749046615</v>
      </c>
      <c r="J292" s="0" t="str">
        <f aca="false">IF(AND(G292&gt;=H292,G292&gt;=I292),"Distribution",IF(I292&gt;=H292,"Prof. services","Manufacturing"))</f>
        <v>Prof. services</v>
      </c>
      <c r="L292" s="46" t="n">
        <v>0.21371</v>
      </c>
      <c r="M292" s="46" t="n">
        <v>0.355392</v>
      </c>
      <c r="N292" s="46" t="n">
        <v>0.142644</v>
      </c>
      <c r="O292" s="46" t="n">
        <v>0.146435</v>
      </c>
      <c r="P292" s="46" t="n">
        <v>0.026405</v>
      </c>
      <c r="Q292" s="46" t="n">
        <v>0.115413</v>
      </c>
      <c r="R292" s="47" t="n">
        <f aca="false">L292*Scorecard!$C$12+M292*Scorecard!$C$13+N292*Scorecard!$C$14+O292*Scorecard!$C$15+P292*Scorecard!$C$16+Q292*Scorecard!$C$17</f>
        <v>3.88631595228831</v>
      </c>
      <c r="S292" s="47" t="n">
        <f aca="false">L292*Scorecard!$D$12+M292*Scorecard!$D$13+N292*Scorecard!$D$14+O292*Scorecard!$D$15+P292*Scorecard!$D$16+Q292*Scorecard!$D$17</f>
        <v>2.61292018763846</v>
      </c>
      <c r="T292" s="47" t="n">
        <f aca="false">L292*Scorecard!$E$12+M292*Scorecard!$E$13+N292*Scorecard!$E$14+O292*Scorecard!$E$15+P292*Scorecard!$E$16+Q292*Scorecard!$E$17</f>
        <v>3.72751084539158</v>
      </c>
      <c r="U292" s="0" t="str">
        <f aca="false">IF(AND(R292&gt;=S292,R292&gt;=T292),"Distribution",IF(T292&gt;=S292,"Prof. services","Manufacturing"))</f>
        <v>Distribution</v>
      </c>
    </row>
    <row r="293" customFormat="false" ht="15" hidden="false" customHeight="false" outlineLevel="0" collapsed="false">
      <c r="A293" s="46" t="n">
        <v>0.139775</v>
      </c>
      <c r="B293" s="46" t="n">
        <v>0.02651</v>
      </c>
      <c r="C293" s="46" t="n">
        <v>0.351444</v>
      </c>
      <c r="D293" s="46" t="n">
        <v>0.168186</v>
      </c>
      <c r="E293" s="46" t="n">
        <v>0.168731</v>
      </c>
      <c r="F293" s="46" t="n">
        <v>0.145354</v>
      </c>
      <c r="G293" s="47" t="n">
        <f aca="false">A293*Scorecard!$C$12+B293*Scorecard!$C$13+C293*Scorecard!$C$14+D293*Scorecard!$C$15+E293*Scorecard!$C$16+F293*Scorecard!$C$17</f>
        <v>3.65239100667306</v>
      </c>
      <c r="H293" s="47" t="n">
        <f aca="false">A293*Scorecard!$D$12+B293*Scorecard!$D$13+C293*Scorecard!$D$14+D293*Scorecard!$D$15+E293*Scorecard!$D$16+F293*Scorecard!$D$17</f>
        <v>3.08544838750862</v>
      </c>
      <c r="I293" s="47" t="n">
        <f aca="false">A293*Scorecard!$E$12+B293*Scorecard!$E$13+C293*Scorecard!$E$14+D293*Scorecard!$E$15+E293*Scorecard!$E$16+F293*Scorecard!$E$17</f>
        <v>4.26055688846911</v>
      </c>
      <c r="J293" s="0" t="str">
        <f aca="false">IF(AND(G293&gt;=H293,G293&gt;=I293),"Distribution",IF(I293&gt;=H293,"Prof. services","Manufacturing"))</f>
        <v>Prof. services</v>
      </c>
      <c r="L293" s="46" t="n">
        <v>0.172708</v>
      </c>
      <c r="M293" s="46" t="n">
        <v>0.175277</v>
      </c>
      <c r="N293" s="46" t="n">
        <v>0.265848</v>
      </c>
      <c r="O293" s="46" t="n">
        <v>0.232874</v>
      </c>
      <c r="P293" s="46" t="n">
        <v>0.116806</v>
      </c>
      <c r="Q293" s="46" t="n">
        <v>0.036487</v>
      </c>
      <c r="R293" s="47" t="n">
        <f aca="false">L293*Scorecard!$C$12+M293*Scorecard!$C$13+N293*Scorecard!$C$14+O293*Scorecard!$C$15+P293*Scorecard!$C$16+Q293*Scorecard!$C$17</f>
        <v>4.02430013701656</v>
      </c>
      <c r="S293" s="47" t="n">
        <f aca="false">L293*Scorecard!$D$12+M293*Scorecard!$D$13+N293*Scorecard!$D$14+O293*Scorecard!$D$15+P293*Scorecard!$D$16+Q293*Scorecard!$D$17</f>
        <v>3.10478034380299</v>
      </c>
      <c r="T293" s="47" t="n">
        <f aca="false">L293*Scorecard!$E$12+M293*Scorecard!$E$13+N293*Scorecard!$E$14+O293*Scorecard!$E$15+P293*Scorecard!$E$16+Q293*Scorecard!$E$17</f>
        <v>3.97159248798027</v>
      </c>
      <c r="U293" s="0" t="str">
        <f aca="false">IF(AND(R293&gt;=S293,R293&gt;=T293),"Distribution",IF(T293&gt;=S293,"Prof. services","Manufacturing"))</f>
        <v>Distribution</v>
      </c>
    </row>
    <row r="294" customFormat="false" ht="15" hidden="false" customHeight="false" outlineLevel="0" collapsed="false">
      <c r="A294" s="46" t="n">
        <v>0.087994</v>
      </c>
      <c r="B294" s="46" t="n">
        <v>0.144063</v>
      </c>
      <c r="C294" s="46" t="n">
        <v>0.169539</v>
      </c>
      <c r="D294" s="46" t="n">
        <v>0.182116</v>
      </c>
      <c r="E294" s="46" t="n">
        <v>0.327608</v>
      </c>
      <c r="F294" s="46" t="n">
        <v>0.088679</v>
      </c>
      <c r="G294" s="47" t="n">
        <f aca="false">A294*Scorecard!$C$12+B294*Scorecard!$C$13+C294*Scorecard!$C$14+D294*Scorecard!$C$15+E294*Scorecard!$C$16+F294*Scorecard!$C$17</f>
        <v>3.99042654512029</v>
      </c>
      <c r="H294" s="47" t="n">
        <f aca="false">A294*Scorecard!$D$12+B294*Scorecard!$D$13+C294*Scorecard!$D$14+D294*Scorecard!$D$15+E294*Scorecard!$D$16+F294*Scorecard!$D$17</f>
        <v>3.02889164985583</v>
      </c>
      <c r="I294" s="47" t="n">
        <f aca="false">A294*Scorecard!$E$12+B294*Scorecard!$E$13+C294*Scorecard!$E$14+D294*Scorecard!$E$15+E294*Scorecard!$E$16+F294*Scorecard!$E$17</f>
        <v>3.51553950239164</v>
      </c>
      <c r="J294" s="0" t="str">
        <f aca="false">IF(AND(G294&gt;=H294,G294&gt;=I294),"Distribution",IF(I294&gt;=H294,"Prof. services","Manufacturing"))</f>
        <v>Distribution</v>
      </c>
      <c r="L294" s="46" t="n">
        <v>0.098645</v>
      </c>
      <c r="M294" s="46" t="n">
        <v>0.075543</v>
      </c>
      <c r="N294" s="46" t="n">
        <v>0.37659</v>
      </c>
      <c r="O294" s="46" t="n">
        <v>0.203098</v>
      </c>
      <c r="P294" s="46" t="n">
        <v>0.182286</v>
      </c>
      <c r="Q294" s="46" t="n">
        <v>0.063838</v>
      </c>
      <c r="R294" s="47" t="n">
        <f aca="false">L294*Scorecard!$C$12+M294*Scorecard!$C$13+N294*Scorecard!$C$14+O294*Scorecard!$C$15+P294*Scorecard!$C$16+Q294*Scorecard!$C$17</f>
        <v>3.97340259322671</v>
      </c>
      <c r="S294" s="47" t="n">
        <f aca="false">L294*Scorecard!$D$12+M294*Scorecard!$D$13+N294*Scorecard!$D$14+O294*Scorecard!$D$15+P294*Scorecard!$D$16+Q294*Scorecard!$D$17</f>
        <v>3.15188927575254</v>
      </c>
      <c r="T294" s="47" t="n">
        <f aca="false">L294*Scorecard!$E$12+M294*Scorecard!$E$13+N294*Scorecard!$E$14+O294*Scorecard!$E$15+P294*Scorecard!$E$16+Q294*Scorecard!$E$17</f>
        <v>4.09498695526131</v>
      </c>
      <c r="U294" s="0" t="str">
        <f aca="false">IF(AND(R294&gt;=S294,R294&gt;=T294),"Distribution",IF(T294&gt;=S294,"Prof. services","Manufacturing"))</f>
        <v>Prof. services</v>
      </c>
    </row>
    <row r="295" customFormat="false" ht="15" hidden="false" customHeight="false" outlineLevel="0" collapsed="false">
      <c r="A295" s="46" t="n">
        <v>0.069894</v>
      </c>
      <c r="B295" s="46" t="n">
        <v>0.402734</v>
      </c>
      <c r="C295" s="46" t="n">
        <v>0.3305</v>
      </c>
      <c r="D295" s="46" t="n">
        <v>0.041236</v>
      </c>
      <c r="E295" s="46" t="n">
        <v>0.127028</v>
      </c>
      <c r="F295" s="46" t="n">
        <v>0.028608</v>
      </c>
      <c r="G295" s="47" t="n">
        <f aca="false">A295*Scorecard!$C$12+B295*Scorecard!$C$13+C295*Scorecard!$C$14+D295*Scorecard!$C$15+E295*Scorecard!$C$16+F295*Scorecard!$C$17</f>
        <v>4.26094380324383</v>
      </c>
      <c r="H295" s="47" t="n">
        <f aca="false">A295*Scorecard!$D$12+B295*Scorecard!$D$13+C295*Scorecard!$D$14+D295*Scorecard!$D$15+E295*Scorecard!$D$16+F295*Scorecard!$D$17</f>
        <v>2.48883103307648</v>
      </c>
      <c r="I295" s="47" t="n">
        <f aca="false">A295*Scorecard!$E$12+B295*Scorecard!$E$13+C295*Scorecard!$E$14+D295*Scorecard!$E$15+E295*Scorecard!$E$16+F295*Scorecard!$E$17</f>
        <v>3.45438904535155</v>
      </c>
      <c r="J295" s="0" t="str">
        <f aca="false">IF(AND(G295&gt;=H295,G295&gt;=I295),"Distribution",IF(I295&gt;=H295,"Prof. services","Manufacturing"))</f>
        <v>Distribution</v>
      </c>
      <c r="L295" s="46" t="n">
        <v>0.156275</v>
      </c>
      <c r="M295" s="46" t="n">
        <v>0.304215</v>
      </c>
      <c r="N295" s="46" t="n">
        <v>0.094023</v>
      </c>
      <c r="O295" s="46" t="n">
        <v>0.119838</v>
      </c>
      <c r="P295" s="46" t="n">
        <v>0.253653</v>
      </c>
      <c r="Q295" s="46" t="n">
        <v>0.071995</v>
      </c>
      <c r="R295" s="47" t="n">
        <f aca="false">L295*Scorecard!$C$12+M295*Scorecard!$C$13+N295*Scorecard!$C$14+O295*Scorecard!$C$15+P295*Scorecard!$C$16+Q295*Scorecard!$C$17</f>
        <v>3.99876177136707</v>
      </c>
      <c r="S295" s="47" t="n">
        <f aca="false">L295*Scorecard!$D$12+M295*Scorecard!$D$13+N295*Scorecard!$D$14+O295*Scorecard!$D$15+P295*Scorecard!$D$16+Q295*Scorecard!$D$17</f>
        <v>2.7618848829764</v>
      </c>
      <c r="T295" s="47" t="n">
        <f aca="false">L295*Scorecard!$E$12+M295*Scorecard!$E$13+N295*Scorecard!$E$14+O295*Scorecard!$E$15+P295*Scorecard!$E$16+Q295*Scorecard!$E$17</f>
        <v>3.31262128172462</v>
      </c>
      <c r="U295" s="0" t="str">
        <f aca="false">IF(AND(R295&gt;=S295,R295&gt;=T295),"Distribution",IF(T295&gt;=S295,"Prof. services","Manufacturing"))</f>
        <v>Distribution</v>
      </c>
    </row>
    <row r="296" customFormat="false" ht="15" hidden="false" customHeight="false" outlineLevel="0" collapsed="false">
      <c r="A296" s="46" t="n">
        <v>0.050132</v>
      </c>
      <c r="B296" s="46" t="n">
        <v>0.047773</v>
      </c>
      <c r="C296" s="46" t="n">
        <v>0.130866</v>
      </c>
      <c r="D296" s="46" t="n">
        <v>0.323709</v>
      </c>
      <c r="E296" s="46" t="n">
        <v>0.077829</v>
      </c>
      <c r="F296" s="46" t="n">
        <v>0.369691</v>
      </c>
      <c r="G296" s="47" t="n">
        <f aca="false">A296*Scorecard!$C$12+B296*Scorecard!$C$13+C296*Scorecard!$C$14+D296*Scorecard!$C$15+E296*Scorecard!$C$16+F296*Scorecard!$C$17</f>
        <v>3.5418616850691</v>
      </c>
      <c r="H296" s="47" t="n">
        <f aca="false">A296*Scorecard!$D$12+B296*Scorecard!$D$13+C296*Scorecard!$D$14+D296*Scorecard!$D$15+E296*Scorecard!$D$16+F296*Scorecard!$D$17</f>
        <v>2.80755264539403</v>
      </c>
      <c r="I296" s="47" t="n">
        <f aca="false">A296*Scorecard!$E$12+B296*Scorecard!$E$13+C296*Scorecard!$E$14+D296*Scorecard!$E$15+E296*Scorecard!$E$16+F296*Scorecard!$E$17</f>
        <v>4.19965002325344</v>
      </c>
      <c r="J296" s="0" t="str">
        <f aca="false">IF(AND(G296&gt;=H296,G296&gt;=I296),"Distribution",IF(I296&gt;=H296,"Prof. services","Manufacturing"))</f>
        <v>Prof. services</v>
      </c>
      <c r="L296" s="46" t="n">
        <v>0.296824</v>
      </c>
      <c r="M296" s="46" t="n">
        <v>0.220466</v>
      </c>
      <c r="N296" s="46" t="n">
        <v>0.059335</v>
      </c>
      <c r="O296" s="46" t="n">
        <v>0.157177</v>
      </c>
      <c r="P296" s="46" t="n">
        <v>0.172562</v>
      </c>
      <c r="Q296" s="46" t="n">
        <v>0.093636</v>
      </c>
      <c r="R296" s="47" t="n">
        <f aca="false">L296*Scorecard!$C$12+M296*Scorecard!$C$13+N296*Scorecard!$C$14+O296*Scorecard!$C$15+P296*Scorecard!$C$16+Q296*Scorecard!$C$17</f>
        <v>3.65608356700214</v>
      </c>
      <c r="S296" s="47" t="n">
        <f aca="false">L296*Scorecard!$D$12+M296*Scorecard!$D$13+N296*Scorecard!$D$14+O296*Scorecard!$D$15+P296*Scorecard!$D$16+Q296*Scorecard!$D$17</f>
        <v>2.9641681399058</v>
      </c>
      <c r="T296" s="47" t="n">
        <f aca="false">L296*Scorecard!$E$12+M296*Scorecard!$E$13+N296*Scorecard!$E$14+O296*Scorecard!$E$15+P296*Scorecard!$E$16+Q296*Scorecard!$E$17</f>
        <v>3.72766474200608</v>
      </c>
      <c r="U296" s="0" t="str">
        <f aca="false">IF(AND(R296&gt;=S296,R296&gt;=T296),"Distribution",IF(T296&gt;=S296,"Prof. services","Manufacturing"))</f>
        <v>Prof. services</v>
      </c>
    </row>
    <row r="297" customFormat="false" ht="15" hidden="false" customHeight="false" outlineLevel="0" collapsed="false">
      <c r="A297" s="46" t="n">
        <v>0.286555</v>
      </c>
      <c r="B297" s="46" t="n">
        <v>0.097036</v>
      </c>
      <c r="C297" s="46" t="n">
        <v>0.14655</v>
      </c>
      <c r="D297" s="46" t="n">
        <v>0.123293</v>
      </c>
      <c r="E297" s="46" t="n">
        <v>0.230696</v>
      </c>
      <c r="F297" s="46" t="n">
        <v>0.115869</v>
      </c>
      <c r="G297" s="47" t="n">
        <f aca="false">A297*Scorecard!$C$12+B297*Scorecard!$C$13+C297*Scorecard!$C$14+D297*Scorecard!$C$15+E297*Scorecard!$C$16+F297*Scorecard!$C$17</f>
        <v>3.47278391344803</v>
      </c>
      <c r="H297" s="47" t="n">
        <f aca="false">A297*Scorecard!$D$12+B297*Scorecard!$D$13+C297*Scorecard!$D$14+D297*Scorecard!$D$15+E297*Scorecard!$D$16+F297*Scorecard!$D$17</f>
        <v>3.08945362524422</v>
      </c>
      <c r="I297" s="47" t="n">
        <f aca="false">A297*Scorecard!$E$12+B297*Scorecard!$E$13+C297*Scorecard!$E$14+D297*Scorecard!$E$15+E297*Scorecard!$E$16+F297*Scorecard!$E$17</f>
        <v>3.94477630000768</v>
      </c>
      <c r="J297" s="0" t="str">
        <f aca="false">IF(AND(G297&gt;=H297,G297&gt;=I297),"Distribution",IF(I297&gt;=H297,"Prof. services","Manufacturing"))</f>
        <v>Prof. services</v>
      </c>
      <c r="L297" s="46" t="n">
        <v>0.127147</v>
      </c>
      <c r="M297" s="46" t="n">
        <v>0.199738</v>
      </c>
      <c r="N297" s="46" t="n">
        <v>0.084459</v>
      </c>
      <c r="O297" s="46" t="n">
        <v>0.128095</v>
      </c>
      <c r="P297" s="46" t="n">
        <v>0.223179</v>
      </c>
      <c r="Q297" s="46" t="n">
        <v>0.237381</v>
      </c>
      <c r="R297" s="47" t="n">
        <f aca="false">L297*Scorecard!$C$12+M297*Scorecard!$C$13+N297*Scorecard!$C$14+O297*Scorecard!$C$15+P297*Scorecard!$C$16+Q297*Scorecard!$C$17</f>
        <v>3.62420058676057</v>
      </c>
      <c r="S297" s="47" t="n">
        <f aca="false">L297*Scorecard!$D$12+M297*Scorecard!$D$13+N297*Scorecard!$D$14+O297*Scorecard!$D$15+P297*Scorecard!$D$16+Q297*Scorecard!$D$17</f>
        <v>2.65078623964442</v>
      </c>
      <c r="T297" s="47" t="n">
        <f aca="false">L297*Scorecard!$E$12+M297*Scorecard!$E$13+N297*Scorecard!$E$14+O297*Scorecard!$E$15+P297*Scorecard!$E$16+Q297*Scorecard!$E$17</f>
        <v>3.60472309938758</v>
      </c>
      <c r="U297" s="0" t="str">
        <f aca="false">IF(AND(R297&gt;=S297,R297&gt;=T297),"Distribution",IF(T297&gt;=S297,"Prof. services","Manufacturing"))</f>
        <v>Distribution</v>
      </c>
    </row>
    <row r="298" customFormat="false" ht="15" hidden="false" customHeight="false" outlineLevel="0" collapsed="false">
      <c r="A298" s="46" t="n">
        <v>0.214953</v>
      </c>
      <c r="B298" s="46" t="n">
        <v>0.275509</v>
      </c>
      <c r="C298" s="46" t="n">
        <v>0.261019</v>
      </c>
      <c r="D298" s="46" t="n">
        <v>0.088945</v>
      </c>
      <c r="E298" s="46" t="n">
        <v>0.007358</v>
      </c>
      <c r="F298" s="46" t="n">
        <v>0.152215</v>
      </c>
      <c r="G298" s="47" t="n">
        <f aca="false">A298*Scorecard!$C$12+B298*Scorecard!$C$13+C298*Scorecard!$C$14+D298*Scorecard!$C$15+E298*Scorecard!$C$16+F298*Scorecard!$C$17</f>
        <v>3.67310153456193</v>
      </c>
      <c r="H298" s="47" t="n">
        <f aca="false">A298*Scorecard!$D$12+B298*Scorecard!$D$13+C298*Scorecard!$D$14+D298*Scorecard!$D$15+E298*Scorecard!$D$16+F298*Scorecard!$D$17</f>
        <v>2.60554100175111</v>
      </c>
      <c r="I298" s="47" t="n">
        <f aca="false">A298*Scorecard!$E$12+B298*Scorecard!$E$13+C298*Scorecard!$E$14+D298*Scorecard!$E$15+E298*Scorecard!$E$16+F298*Scorecard!$E$17</f>
        <v>4.03766770615037</v>
      </c>
      <c r="J298" s="0" t="str">
        <f aca="false">IF(AND(G298&gt;=H298,G298&gt;=I298),"Distribution",IF(I298&gt;=H298,"Prof. services","Manufacturing"))</f>
        <v>Prof. services</v>
      </c>
      <c r="L298" s="46" t="n">
        <v>0.341637</v>
      </c>
      <c r="M298" s="46" t="n">
        <v>0.124868</v>
      </c>
      <c r="N298" s="46" t="n">
        <v>0.100458</v>
      </c>
      <c r="O298" s="46" t="n">
        <v>0.157801</v>
      </c>
      <c r="P298" s="46" t="n">
        <v>0.145888</v>
      </c>
      <c r="Q298" s="46" t="n">
        <v>0.129349</v>
      </c>
      <c r="R298" s="47" t="n">
        <f aca="false">L298*Scorecard!$C$12+M298*Scorecard!$C$13+N298*Scorecard!$C$14+O298*Scorecard!$C$15+P298*Scorecard!$C$16+Q298*Scorecard!$C$17</f>
        <v>3.40902352792533</v>
      </c>
      <c r="S298" s="47" t="n">
        <f aca="false">L298*Scorecard!$D$12+M298*Scorecard!$D$13+N298*Scorecard!$D$14+O298*Scorecard!$D$15+P298*Scorecard!$D$16+Q298*Scorecard!$D$17</f>
        <v>3.07552664913569</v>
      </c>
      <c r="T298" s="47" t="n">
        <f aca="false">L298*Scorecard!$E$12+M298*Scorecard!$E$13+N298*Scorecard!$E$14+O298*Scorecard!$E$15+P298*Scorecard!$E$16+Q298*Scorecard!$E$17</f>
        <v>4.05532273099822</v>
      </c>
      <c r="U298" s="0" t="str">
        <f aca="false">IF(AND(R298&gt;=S298,R298&gt;=T298),"Distribution",IF(T298&gt;=S298,"Prof. services","Manufacturing"))</f>
        <v>Prof. services</v>
      </c>
    </row>
    <row r="299" customFormat="false" ht="15" hidden="false" customHeight="false" outlineLevel="0" collapsed="false">
      <c r="A299" s="46" t="n">
        <v>0.04294</v>
      </c>
      <c r="B299" s="46" t="n">
        <v>0.573375</v>
      </c>
      <c r="C299" s="46" t="n">
        <v>0.08035</v>
      </c>
      <c r="D299" s="46" t="n">
        <v>0.085151</v>
      </c>
      <c r="E299" s="46" t="n">
        <v>0.104581</v>
      </c>
      <c r="F299" s="46" t="n">
        <v>0.113604</v>
      </c>
      <c r="G299" s="47" t="n">
        <f aca="false">A299*Scorecard!$C$12+B299*Scorecard!$C$13+C299*Scorecard!$C$14+D299*Scorecard!$C$15+E299*Scorecard!$C$16+F299*Scorecard!$C$17</f>
        <v>4.35402938763399</v>
      </c>
      <c r="H299" s="47" t="n">
        <f aca="false">A299*Scorecard!$D$12+B299*Scorecard!$D$13+C299*Scorecard!$D$14+D299*Scorecard!$D$15+E299*Scorecard!$D$16+F299*Scorecard!$D$17</f>
        <v>2.13075858992676</v>
      </c>
      <c r="I299" s="47" t="n">
        <f aca="false">A299*Scorecard!$E$12+B299*Scorecard!$E$13+C299*Scorecard!$E$14+D299*Scorecard!$E$15+E299*Scorecard!$E$16+F299*Scorecard!$E$17</f>
        <v>2.94435348070064</v>
      </c>
      <c r="J299" s="0" t="str">
        <f aca="false">IF(AND(G299&gt;=H299,G299&gt;=I299),"Distribution",IF(I299&gt;=H299,"Prof. services","Manufacturing"))</f>
        <v>Distribution</v>
      </c>
      <c r="L299" s="46" t="n">
        <v>0.172806</v>
      </c>
      <c r="M299" s="46" t="n">
        <v>0.233276</v>
      </c>
      <c r="N299" s="46" t="n">
        <v>0.228051</v>
      </c>
      <c r="O299" s="46" t="n">
        <v>0.138626</v>
      </c>
      <c r="P299" s="46" t="n">
        <v>0.065134</v>
      </c>
      <c r="Q299" s="46" t="n">
        <v>0.162107</v>
      </c>
      <c r="R299" s="47" t="n">
        <f aca="false">L299*Scorecard!$C$12+M299*Scorecard!$C$13+N299*Scorecard!$C$14+O299*Scorecard!$C$15+P299*Scorecard!$C$16+Q299*Scorecard!$C$17</f>
        <v>3.73663473561899</v>
      </c>
      <c r="S299" s="47" t="n">
        <f aca="false">L299*Scorecard!$D$12+M299*Scorecard!$D$13+N299*Scorecard!$D$14+O299*Scorecard!$D$15+P299*Scorecard!$D$16+Q299*Scorecard!$D$17</f>
        <v>2.70302909642606</v>
      </c>
      <c r="T299" s="47" t="n">
        <f aca="false">L299*Scorecard!$E$12+M299*Scorecard!$E$13+N299*Scorecard!$E$14+O299*Scorecard!$E$15+P299*Scorecard!$E$16+Q299*Scorecard!$E$17</f>
        <v>3.95857422294959</v>
      </c>
      <c r="U299" s="0" t="str">
        <f aca="false">IF(AND(R299&gt;=S299,R299&gt;=T299),"Distribution",IF(T299&gt;=S299,"Prof. services","Manufacturing"))</f>
        <v>Prof. services</v>
      </c>
    </row>
    <row r="300" customFormat="false" ht="15" hidden="false" customHeight="false" outlineLevel="0" collapsed="false">
      <c r="A300" s="46" t="n">
        <v>0.031243</v>
      </c>
      <c r="B300" s="46" t="n">
        <v>0.115623</v>
      </c>
      <c r="C300" s="46" t="n">
        <v>0.014809</v>
      </c>
      <c r="D300" s="46" t="n">
        <v>0.000246</v>
      </c>
      <c r="E300" s="46" t="n">
        <v>0.12927</v>
      </c>
      <c r="F300" s="46" t="n">
        <v>0.708808</v>
      </c>
      <c r="G300" s="47" t="n">
        <f aca="false">A300*Scorecard!$C$12+B300*Scorecard!$C$13+C300*Scorecard!$C$14+D300*Scorecard!$C$15+E300*Scorecard!$C$16+F300*Scorecard!$C$17</f>
        <v>2.64201115444455</v>
      </c>
      <c r="H300" s="47" t="n">
        <f aca="false">A300*Scorecard!$D$12+B300*Scorecard!$D$13+C300*Scorecard!$D$14+D300*Scorecard!$D$15+E300*Scorecard!$D$16+F300*Scorecard!$D$17</f>
        <v>1.82724695920616</v>
      </c>
      <c r="I300" s="47" t="n">
        <f aca="false">A300*Scorecard!$E$12+B300*Scorecard!$E$13+C300*Scorecard!$E$14+D300*Scorecard!$E$15+E300*Scorecard!$E$16+F300*Scorecard!$E$17</f>
        <v>3.96818131313418</v>
      </c>
      <c r="J300" s="0" t="str">
        <f aca="false">IF(AND(G300&gt;=H300,G300&gt;=I300),"Distribution",IF(I300&gt;=H300,"Prof. services","Manufacturing"))</f>
        <v>Prof. services</v>
      </c>
      <c r="L300" s="46" t="n">
        <v>0.15804</v>
      </c>
      <c r="M300" s="46" t="n">
        <v>0.202387</v>
      </c>
      <c r="N300" s="46" t="n">
        <v>0.222538</v>
      </c>
      <c r="O300" s="46" t="n">
        <v>0.102099</v>
      </c>
      <c r="P300" s="46" t="n">
        <v>0.151253</v>
      </c>
      <c r="Q300" s="46" t="n">
        <v>0.163683</v>
      </c>
      <c r="R300" s="47" t="n">
        <f aca="false">L300*Scorecard!$C$12+M300*Scorecard!$C$13+N300*Scorecard!$C$14+O300*Scorecard!$C$15+P300*Scorecard!$C$16+Q300*Scorecard!$C$17</f>
        <v>3.69264574619646</v>
      </c>
      <c r="S300" s="47" t="n">
        <f aca="false">L300*Scorecard!$D$12+M300*Scorecard!$D$13+N300*Scorecard!$D$14+O300*Scorecard!$D$15+P300*Scorecard!$D$16+Q300*Scorecard!$D$17</f>
        <v>2.72369705389661</v>
      </c>
      <c r="T300" s="47" t="n">
        <f aca="false">L300*Scorecard!$E$12+M300*Scorecard!$E$13+N300*Scorecard!$E$14+O300*Scorecard!$E$15+P300*Scorecard!$E$16+Q300*Scorecard!$E$17</f>
        <v>3.84749212445878</v>
      </c>
      <c r="U300" s="0" t="str">
        <f aca="false">IF(AND(R300&gt;=S300,R300&gt;=T300),"Distribution",IF(T300&gt;=S300,"Prof. services","Manufacturing"))</f>
        <v>Prof. services</v>
      </c>
    </row>
    <row r="301" customFormat="false" ht="15" hidden="false" customHeight="false" outlineLevel="0" collapsed="false">
      <c r="A301" s="46" t="n">
        <v>0.218201</v>
      </c>
      <c r="B301" s="46" t="n">
        <v>0.025028</v>
      </c>
      <c r="C301" s="46" t="n">
        <v>0.117678</v>
      </c>
      <c r="D301" s="46" t="n">
        <v>0.069135</v>
      </c>
      <c r="E301" s="46" t="n">
        <v>0.439664</v>
      </c>
      <c r="F301" s="46" t="n">
        <v>0.130294</v>
      </c>
      <c r="G301" s="47" t="n">
        <f aca="false">A301*Scorecard!$C$12+B301*Scorecard!$C$13+C301*Scorecard!$C$14+D301*Scorecard!$C$15+E301*Scorecard!$C$16+F301*Scorecard!$C$17</f>
        <v>3.4408100882423</v>
      </c>
      <c r="H301" s="47" t="n">
        <f aca="false">A301*Scorecard!$D$12+B301*Scorecard!$D$13+C301*Scorecard!$D$14+D301*Scorecard!$D$15+E301*Scorecard!$D$16+F301*Scorecard!$D$17</f>
        <v>3.13771257627361</v>
      </c>
      <c r="I301" s="47" t="n">
        <f aca="false">A301*Scorecard!$E$12+B301*Scorecard!$E$13+C301*Scorecard!$E$14+D301*Scorecard!$E$15+E301*Scorecard!$E$16+F301*Scorecard!$E$17</f>
        <v>3.63265622427086</v>
      </c>
      <c r="J301" s="0" t="str">
        <f aca="false">IF(AND(G301&gt;=H301,G301&gt;=I301),"Distribution",IF(I301&gt;=H301,"Prof. services","Manufacturing"))</f>
        <v>Prof. services</v>
      </c>
      <c r="L301" s="46" t="n">
        <v>0.301983</v>
      </c>
      <c r="M301" s="46" t="n">
        <v>0.161131</v>
      </c>
      <c r="N301" s="46" t="n">
        <v>0.166387</v>
      </c>
      <c r="O301" s="46" t="n">
        <v>0.119342</v>
      </c>
      <c r="P301" s="46" t="n">
        <v>0.13466</v>
      </c>
      <c r="Q301" s="46" t="n">
        <v>0.116497</v>
      </c>
      <c r="R301" s="47" t="n">
        <f aca="false">L301*Scorecard!$C$12+M301*Scorecard!$C$13+N301*Scorecard!$C$14+O301*Scorecard!$C$15+P301*Scorecard!$C$16+Q301*Scorecard!$C$17</f>
        <v>3.5039052934298</v>
      </c>
      <c r="S301" s="47" t="n">
        <f aca="false">L301*Scorecard!$D$12+M301*Scorecard!$D$13+N301*Scorecard!$D$14+O301*Scorecard!$D$15+P301*Scorecard!$D$16+Q301*Scorecard!$D$17</f>
        <v>2.96591301234435</v>
      </c>
      <c r="T301" s="47" t="n">
        <f aca="false">L301*Scorecard!$E$12+M301*Scorecard!$E$13+N301*Scorecard!$E$14+O301*Scorecard!$E$15+P301*Scorecard!$E$16+Q301*Scorecard!$E$17</f>
        <v>4.01955511709382</v>
      </c>
      <c r="U301" s="0" t="str">
        <f aca="false">IF(AND(R301&gt;=S301,R301&gt;=T301),"Distribution",IF(T301&gt;=S301,"Prof. services","Manufacturing"))</f>
        <v>Prof. services</v>
      </c>
    </row>
    <row r="302" customFormat="false" ht="15" hidden="false" customHeight="false" outlineLevel="0" collapsed="false">
      <c r="A302" s="46" t="n">
        <v>0.168926</v>
      </c>
      <c r="B302" s="46" t="n">
        <v>0.089943</v>
      </c>
      <c r="C302" s="46" t="n">
        <v>0.167801</v>
      </c>
      <c r="D302" s="46" t="n">
        <v>0.155768</v>
      </c>
      <c r="E302" s="46" t="n">
        <v>0.357685</v>
      </c>
      <c r="F302" s="46" t="n">
        <v>0.059877</v>
      </c>
      <c r="G302" s="47" t="n">
        <f aca="false">A302*Scorecard!$C$12+B302*Scorecard!$C$13+C302*Scorecard!$C$14+D302*Scorecard!$C$15+E302*Scorecard!$C$16+F302*Scorecard!$C$17</f>
        <v>3.82188779095155</v>
      </c>
      <c r="H302" s="47" t="n">
        <f aca="false">A302*Scorecard!$D$12+B302*Scorecard!$D$13+C302*Scorecard!$D$14+D302*Scorecard!$D$15+E302*Scorecard!$D$16+F302*Scorecard!$D$17</f>
        <v>3.18631557143716</v>
      </c>
      <c r="I302" s="47" t="n">
        <f aca="false">A302*Scorecard!$E$12+B302*Scorecard!$E$13+C302*Scorecard!$E$14+D302*Scorecard!$E$15+E302*Scorecard!$E$16+F302*Scorecard!$E$17</f>
        <v>3.6273909896381</v>
      </c>
      <c r="J302" s="0" t="str">
        <f aca="false">IF(AND(G302&gt;=H302,G302&gt;=I302),"Distribution",IF(I302&gt;=H302,"Prof. services","Manufacturing"))</f>
        <v>Distribution</v>
      </c>
      <c r="L302" s="46" t="n">
        <v>0.159421</v>
      </c>
      <c r="M302" s="46" t="n">
        <v>0.296053</v>
      </c>
      <c r="N302" s="46" t="n">
        <v>0.278176</v>
      </c>
      <c r="O302" s="46" t="n">
        <v>0.108494</v>
      </c>
      <c r="P302" s="46" t="n">
        <v>0.108173</v>
      </c>
      <c r="Q302" s="46" t="n">
        <v>0.049682</v>
      </c>
      <c r="R302" s="47" t="n">
        <f aca="false">L302*Scorecard!$C$12+M302*Scorecard!$C$13+N302*Scorecard!$C$14+O302*Scorecard!$C$15+P302*Scorecard!$C$16+Q302*Scorecard!$C$17</f>
        <v>4.01821892650206</v>
      </c>
      <c r="S302" s="47" t="n">
        <f aca="false">L302*Scorecard!$D$12+M302*Scorecard!$D$13+N302*Scorecard!$D$14+O302*Scorecard!$D$15+P302*Scorecard!$D$16+Q302*Scorecard!$D$17</f>
        <v>2.74805803378434</v>
      </c>
      <c r="T302" s="47" t="n">
        <f aca="false">L302*Scorecard!$E$12+M302*Scorecard!$E$13+N302*Scorecard!$E$14+O302*Scorecard!$E$15+P302*Scorecard!$E$16+Q302*Scorecard!$E$17</f>
        <v>3.74467732714238</v>
      </c>
      <c r="U302" s="0" t="str">
        <f aca="false">IF(AND(R302&gt;=S302,R302&gt;=T302),"Distribution",IF(T302&gt;=S302,"Prof. services","Manufacturing"))</f>
        <v>Distribution</v>
      </c>
    </row>
    <row r="303" customFormat="false" ht="15" hidden="false" customHeight="false" outlineLevel="0" collapsed="false">
      <c r="A303" s="46" t="n">
        <v>0.101789</v>
      </c>
      <c r="B303" s="46" t="n">
        <v>0.154869</v>
      </c>
      <c r="C303" s="46" t="n">
        <v>0.17743</v>
      </c>
      <c r="D303" s="46" t="n">
        <v>0.055338</v>
      </c>
      <c r="E303" s="46" t="n">
        <v>0.192</v>
      </c>
      <c r="F303" s="46" t="n">
        <v>0.318574</v>
      </c>
      <c r="G303" s="47" t="n">
        <f aca="false">A303*Scorecard!$C$12+B303*Scorecard!$C$13+C303*Scorecard!$C$14+D303*Scorecard!$C$15+E303*Scorecard!$C$16+F303*Scorecard!$C$17</f>
        <v>3.38983734839023</v>
      </c>
      <c r="H303" s="47" t="n">
        <f aca="false">A303*Scorecard!$D$12+B303*Scorecard!$D$13+C303*Scorecard!$D$14+D303*Scorecard!$D$15+E303*Scorecard!$D$16+F303*Scorecard!$D$17</f>
        <v>2.48497849622717</v>
      </c>
      <c r="I303" s="47" t="n">
        <f aca="false">A303*Scorecard!$E$12+B303*Scorecard!$E$13+C303*Scorecard!$E$14+D303*Scorecard!$E$15+E303*Scorecard!$E$16+F303*Scorecard!$E$17</f>
        <v>3.8371171667931</v>
      </c>
      <c r="J303" s="0" t="str">
        <f aca="false">IF(AND(G303&gt;=H303,G303&gt;=I303),"Distribution",IF(I303&gt;=H303,"Prof. services","Manufacturing"))</f>
        <v>Prof. services</v>
      </c>
      <c r="L303" s="46" t="n">
        <v>0.247173</v>
      </c>
      <c r="M303" s="46" t="n">
        <v>0.170827</v>
      </c>
      <c r="N303" s="46" t="n">
        <v>0.15621</v>
      </c>
      <c r="O303" s="46" t="n">
        <v>0.186088</v>
      </c>
      <c r="P303" s="46" t="n">
        <v>0.079535</v>
      </c>
      <c r="Q303" s="46" t="n">
        <v>0.160167</v>
      </c>
      <c r="R303" s="47" t="n">
        <f aca="false">L303*Scorecard!$C$12+M303*Scorecard!$C$13+N303*Scorecard!$C$14+O303*Scorecard!$C$15+P303*Scorecard!$C$16+Q303*Scorecard!$C$17</f>
        <v>3.59166607507351</v>
      </c>
      <c r="S303" s="47" t="n">
        <f aca="false">L303*Scorecard!$D$12+M303*Scorecard!$D$13+N303*Scorecard!$D$14+O303*Scorecard!$D$15+P303*Scorecard!$D$16+Q303*Scorecard!$D$17</f>
        <v>2.90854252131934</v>
      </c>
      <c r="T303" s="47" t="n">
        <f aca="false">L303*Scorecard!$E$12+M303*Scorecard!$E$13+N303*Scorecard!$E$14+O303*Scorecard!$E$15+P303*Scorecard!$E$16+Q303*Scorecard!$E$17</f>
        <v>4.06104612344087</v>
      </c>
      <c r="U303" s="0" t="str">
        <f aca="false">IF(AND(R303&gt;=S303,R303&gt;=T303),"Distribution",IF(T303&gt;=S303,"Prof. services","Manufacturing"))</f>
        <v>Prof. services</v>
      </c>
    </row>
    <row r="304" customFormat="false" ht="15" hidden="false" customHeight="false" outlineLevel="0" collapsed="false">
      <c r="A304" s="46" t="n">
        <v>0.035992</v>
      </c>
      <c r="B304" s="46" t="n">
        <v>0.257613</v>
      </c>
      <c r="C304" s="46" t="n">
        <v>0.213728</v>
      </c>
      <c r="D304" s="46" t="n">
        <v>0.197918</v>
      </c>
      <c r="E304" s="46" t="n">
        <v>0.167013</v>
      </c>
      <c r="F304" s="46" t="n">
        <v>0.127735</v>
      </c>
      <c r="G304" s="47" t="n">
        <f aca="false">A304*Scorecard!$C$12+B304*Scorecard!$C$13+C304*Scorecard!$C$14+D304*Scorecard!$C$15+E304*Scorecard!$C$16+F304*Scorecard!$C$17</f>
        <v>4.1352708867192</v>
      </c>
      <c r="H304" s="47" t="n">
        <f aca="false">A304*Scorecard!$D$12+B304*Scorecard!$D$13+C304*Scorecard!$D$14+D304*Scorecard!$D$15+E304*Scorecard!$D$16+F304*Scorecard!$D$17</f>
        <v>2.73028037950623</v>
      </c>
      <c r="I304" s="47" t="n">
        <f aca="false">A304*Scorecard!$E$12+B304*Scorecard!$E$13+C304*Scorecard!$E$14+D304*Scorecard!$E$15+E304*Scorecard!$E$16+F304*Scorecard!$E$17</f>
        <v>3.58453314096352</v>
      </c>
      <c r="J304" s="0" t="str">
        <f aca="false">IF(AND(G304&gt;=H304,G304&gt;=I304),"Distribution",IF(I304&gt;=H304,"Prof. services","Manufacturing"))</f>
        <v>Distribution</v>
      </c>
      <c r="L304" s="46" t="n">
        <v>0.202704</v>
      </c>
      <c r="M304" s="46" t="n">
        <v>0.299831</v>
      </c>
      <c r="N304" s="46" t="n">
        <v>0.179877</v>
      </c>
      <c r="O304" s="46" t="n">
        <v>0.165875</v>
      </c>
      <c r="P304" s="46" t="n">
        <v>0.028296</v>
      </c>
      <c r="Q304" s="46" t="n">
        <v>0.123417</v>
      </c>
      <c r="R304" s="47" t="n">
        <f aca="false">L304*Scorecard!$C$12+M304*Scorecard!$C$13+N304*Scorecard!$C$14+O304*Scorecard!$C$15+P304*Scorecard!$C$16+Q304*Scorecard!$C$17</f>
        <v>3.85400190924454</v>
      </c>
      <c r="S304" s="47" t="n">
        <f aca="false">L304*Scorecard!$D$12+M304*Scorecard!$D$13+N304*Scorecard!$D$14+O304*Scorecard!$D$15+P304*Scorecard!$D$16+Q304*Scorecard!$D$17</f>
        <v>2.70017923493967</v>
      </c>
      <c r="T304" s="47" t="n">
        <f aca="false">L304*Scorecard!$E$12+M304*Scorecard!$E$13+N304*Scorecard!$E$14+O304*Scorecard!$E$15+P304*Scorecard!$E$16+Q304*Scorecard!$E$17</f>
        <v>3.86199200133288</v>
      </c>
      <c r="U304" s="0" t="str">
        <f aca="false">IF(AND(R304&gt;=S304,R304&gt;=T304),"Distribution",IF(T304&gt;=S304,"Prof. services","Manufacturing"))</f>
        <v>Prof. services</v>
      </c>
    </row>
    <row r="305" customFormat="false" ht="15" hidden="false" customHeight="false" outlineLevel="0" collapsed="false">
      <c r="A305" s="46" t="n">
        <v>0.087485</v>
      </c>
      <c r="B305" s="46" t="n">
        <v>0.145027</v>
      </c>
      <c r="C305" s="46" t="n">
        <v>0.253252</v>
      </c>
      <c r="D305" s="46" t="n">
        <v>0.075138</v>
      </c>
      <c r="E305" s="46" t="n">
        <v>0.024093</v>
      </c>
      <c r="F305" s="46" t="n">
        <v>0.415005</v>
      </c>
      <c r="G305" s="47" t="n">
        <f aca="false">A305*Scorecard!$C$12+B305*Scorecard!$C$13+C305*Scorecard!$C$14+D305*Scorecard!$C$15+E305*Scorecard!$C$16+F305*Scorecard!$C$17</f>
        <v>3.23268075237913</v>
      </c>
      <c r="H305" s="47" t="n">
        <f aca="false">A305*Scorecard!$D$12+B305*Scorecard!$D$13+C305*Scorecard!$D$14+D305*Scorecard!$D$15+E305*Scorecard!$D$16+F305*Scorecard!$D$17</f>
        <v>2.31260865960899</v>
      </c>
      <c r="I305" s="47" t="n">
        <f aca="false">A305*Scorecard!$E$12+B305*Scorecard!$E$13+C305*Scorecard!$E$14+D305*Scorecard!$E$15+E305*Scorecard!$E$16+F305*Scorecard!$E$17</f>
        <v>4.24840458241064</v>
      </c>
      <c r="J305" s="0" t="str">
        <f aca="false">IF(AND(G305&gt;=H305,G305&gt;=I305),"Distribution",IF(I305&gt;=H305,"Prof. services","Manufacturing"))</f>
        <v>Prof. services</v>
      </c>
      <c r="L305" s="46" t="n">
        <v>0.256374</v>
      </c>
      <c r="M305" s="46" t="n">
        <v>0.167543</v>
      </c>
      <c r="N305" s="46" t="n">
        <v>0.126275</v>
      </c>
      <c r="O305" s="46" t="n">
        <v>0.132808</v>
      </c>
      <c r="P305" s="46" t="n">
        <v>0.179994</v>
      </c>
      <c r="Q305" s="46" t="n">
        <v>0.137006</v>
      </c>
      <c r="R305" s="47" t="n">
        <f aca="false">L305*Scorecard!$C$12+M305*Scorecard!$C$13+N305*Scorecard!$C$14+O305*Scorecard!$C$15+P305*Scorecard!$C$16+Q305*Scorecard!$C$17</f>
        <v>3.56486214385833</v>
      </c>
      <c r="S305" s="47" t="n">
        <f aca="false">L305*Scorecard!$D$12+M305*Scorecard!$D$13+N305*Scorecard!$D$14+O305*Scorecard!$D$15+P305*Scorecard!$D$16+Q305*Scorecard!$D$17</f>
        <v>2.92609823502402</v>
      </c>
      <c r="T305" s="47" t="n">
        <f aca="false">L305*Scorecard!$E$12+M305*Scorecard!$E$13+N305*Scorecard!$E$14+O305*Scorecard!$E$15+P305*Scorecard!$E$16+Q305*Scorecard!$E$17</f>
        <v>3.85871559183126</v>
      </c>
      <c r="U305" s="0" t="str">
        <f aca="false">IF(AND(R305&gt;=S305,R305&gt;=T305),"Distribution",IF(T305&gt;=S305,"Prof. services","Manufacturing"))</f>
        <v>Prof. services</v>
      </c>
    </row>
    <row r="306" customFormat="false" ht="15" hidden="false" customHeight="false" outlineLevel="0" collapsed="false">
      <c r="A306" s="46" t="n">
        <v>0.411746</v>
      </c>
      <c r="B306" s="46" t="n">
        <v>0.071219</v>
      </c>
      <c r="C306" s="46" t="n">
        <v>0.0793</v>
      </c>
      <c r="D306" s="46" t="n">
        <v>0.248957</v>
      </c>
      <c r="E306" s="46" t="n">
        <v>0.092934</v>
      </c>
      <c r="F306" s="46" t="n">
        <v>0.095844</v>
      </c>
      <c r="G306" s="47" t="n">
        <f aca="false">A306*Scorecard!$C$12+B306*Scorecard!$C$13+C306*Scorecard!$C$14+D306*Scorecard!$C$15+E306*Scorecard!$C$16+F306*Scorecard!$C$17</f>
        <v>3.38733932810306</v>
      </c>
      <c r="H306" s="47" t="n">
        <f aca="false">A306*Scorecard!$D$12+B306*Scorecard!$D$13+C306*Scorecard!$D$14+D306*Scorecard!$D$15+E306*Scorecard!$D$16+F306*Scorecard!$D$17</f>
        <v>3.34049344557154</v>
      </c>
      <c r="I306" s="47" t="n">
        <f aca="false">A306*Scorecard!$E$12+B306*Scorecard!$E$13+C306*Scorecard!$E$14+D306*Scorecard!$E$15+E306*Scorecard!$E$16+F306*Scorecard!$E$17</f>
        <v>4.29135692799174</v>
      </c>
      <c r="J306" s="0" t="str">
        <f aca="false">IF(AND(G306&gt;=H306,G306&gt;=I306),"Distribution",IF(I306&gt;=H306,"Prof. services","Manufacturing"))</f>
        <v>Prof. services</v>
      </c>
      <c r="L306" s="46" t="n">
        <v>0.064806</v>
      </c>
      <c r="M306" s="46" t="n">
        <v>0.406986</v>
      </c>
      <c r="N306" s="46" t="n">
        <v>0.114923</v>
      </c>
      <c r="O306" s="46" t="n">
        <v>0.150813</v>
      </c>
      <c r="P306" s="46" t="n">
        <v>0.197309</v>
      </c>
      <c r="Q306" s="46" t="n">
        <v>0.065163</v>
      </c>
      <c r="R306" s="47" t="n">
        <f aca="false">L306*Scorecard!$C$12+M306*Scorecard!$C$13+N306*Scorecard!$C$14+O306*Scorecard!$C$15+P306*Scorecard!$C$16+Q306*Scorecard!$C$17</f>
        <v>4.31082127580364</v>
      </c>
      <c r="S306" s="47" t="n">
        <f aca="false">L306*Scorecard!$D$12+M306*Scorecard!$D$13+N306*Scorecard!$D$14+O306*Scorecard!$D$15+P306*Scorecard!$D$16+Q306*Scorecard!$D$17</f>
        <v>2.5745332465596</v>
      </c>
      <c r="T306" s="47" t="n">
        <f aca="false">L306*Scorecard!$E$12+M306*Scorecard!$E$13+N306*Scorecard!$E$14+O306*Scorecard!$E$15+P306*Scorecard!$E$16+Q306*Scorecard!$E$17</f>
        <v>3.14487425661834</v>
      </c>
      <c r="U306" s="0" t="str">
        <f aca="false">IF(AND(R306&gt;=S306,R306&gt;=T306),"Distribution",IF(T306&gt;=S306,"Prof. services","Manufacturing"))</f>
        <v>Distribution</v>
      </c>
    </row>
    <row r="307" customFormat="false" ht="15" hidden="false" customHeight="false" outlineLevel="0" collapsed="false">
      <c r="A307" s="46" t="n">
        <v>0.26959</v>
      </c>
      <c r="B307" s="46" t="n">
        <v>0.092731</v>
      </c>
      <c r="C307" s="46" t="n">
        <v>0.28396</v>
      </c>
      <c r="D307" s="46" t="n">
        <v>0.083455</v>
      </c>
      <c r="E307" s="46" t="n">
        <v>0.152543</v>
      </c>
      <c r="F307" s="46" t="n">
        <v>0.117722</v>
      </c>
      <c r="G307" s="47" t="n">
        <f aca="false">A307*Scorecard!$C$12+B307*Scorecard!$C$13+C307*Scorecard!$C$14+D307*Scorecard!$C$15+E307*Scorecard!$C$16+F307*Scorecard!$C$17</f>
        <v>3.45548015538537</v>
      </c>
      <c r="H307" s="47" t="n">
        <f aca="false">A307*Scorecard!$D$12+B307*Scorecard!$D$13+C307*Scorecard!$D$14+D307*Scorecard!$D$15+E307*Scorecard!$D$16+F307*Scorecard!$D$17</f>
        <v>3.00976661478299</v>
      </c>
      <c r="I307" s="47" t="n">
        <f aca="false">A307*Scorecard!$E$12+B307*Scorecard!$E$13+C307*Scorecard!$E$14+D307*Scorecard!$E$15+E307*Scorecard!$E$16+F307*Scorecard!$E$17</f>
        <v>4.19794737999798</v>
      </c>
      <c r="J307" s="0" t="str">
        <f aca="false">IF(AND(G307&gt;=H307,G307&gt;=I307),"Distribution",IF(I307&gt;=H307,"Prof. services","Manufacturing"))</f>
        <v>Prof. services</v>
      </c>
      <c r="L307" s="46" t="n">
        <v>0.289758</v>
      </c>
      <c r="M307" s="46" t="n">
        <v>0.081747</v>
      </c>
      <c r="N307" s="46" t="n">
        <v>0.067475</v>
      </c>
      <c r="O307" s="46" t="n">
        <v>0.232078</v>
      </c>
      <c r="P307" s="46" t="n">
        <v>0.218585</v>
      </c>
      <c r="Q307" s="46" t="n">
        <v>0.110357</v>
      </c>
      <c r="R307" s="47" t="n">
        <f aca="false">L307*Scorecard!$C$12+M307*Scorecard!$C$13+N307*Scorecard!$C$14+O307*Scorecard!$C$15+P307*Scorecard!$C$16+Q307*Scorecard!$C$17</f>
        <v>3.57154246777014</v>
      </c>
      <c r="S307" s="47" t="n">
        <f aca="false">L307*Scorecard!$D$12+M307*Scorecard!$D$13+N307*Scorecard!$D$14+O307*Scorecard!$D$15+P307*Scorecard!$D$16+Q307*Scorecard!$D$17</f>
        <v>3.24468617930382</v>
      </c>
      <c r="T307" s="47" t="n">
        <f aca="false">L307*Scorecard!$E$12+M307*Scorecard!$E$13+N307*Scorecard!$E$14+O307*Scorecard!$E$15+P307*Scorecard!$E$16+Q307*Scorecard!$E$17</f>
        <v>3.93286589204602</v>
      </c>
      <c r="U307" s="0" t="str">
        <f aca="false">IF(AND(R307&gt;=S307,R307&gt;=T307),"Distribution",IF(T307&gt;=S307,"Prof. services","Manufacturing"))</f>
        <v>Prof. services</v>
      </c>
    </row>
    <row r="308" customFormat="false" ht="15" hidden="false" customHeight="false" outlineLevel="0" collapsed="false">
      <c r="A308" s="46" t="n">
        <v>0.007751</v>
      </c>
      <c r="B308" s="46" t="n">
        <v>0.200704</v>
      </c>
      <c r="C308" s="46" t="n">
        <v>0.038251</v>
      </c>
      <c r="D308" s="46" t="n">
        <v>0.035314</v>
      </c>
      <c r="E308" s="46" t="n">
        <v>0.631474</v>
      </c>
      <c r="F308" s="46" t="n">
        <v>0.086506</v>
      </c>
      <c r="G308" s="47" t="n">
        <f aca="false">A308*Scorecard!$C$12+B308*Scorecard!$C$13+C308*Scorecard!$C$14+D308*Scorecard!$C$15+E308*Scorecard!$C$16+F308*Scorecard!$C$17</f>
        <v>4.04905408946323</v>
      </c>
      <c r="H308" s="47" t="n">
        <f aca="false">A308*Scorecard!$D$12+B308*Scorecard!$D$13+C308*Scorecard!$D$14+D308*Scorecard!$D$15+E308*Scorecard!$D$16+F308*Scorecard!$D$17</f>
        <v>2.82547608349961</v>
      </c>
      <c r="I308" s="47" t="n">
        <f aca="false">A308*Scorecard!$E$12+B308*Scorecard!$E$13+C308*Scorecard!$E$14+D308*Scorecard!$E$15+E308*Scorecard!$E$16+F308*Scorecard!$E$17</f>
        <v>2.66615580153071</v>
      </c>
      <c r="J308" s="0" t="str">
        <f aca="false">IF(AND(G308&gt;=H308,G308&gt;=I308),"Distribution",IF(I308&gt;=H308,"Prof. services","Manufacturing"))</f>
        <v>Distribution</v>
      </c>
      <c r="L308" s="46" t="n">
        <v>0.206724</v>
      </c>
      <c r="M308" s="46" t="n">
        <v>0.270746</v>
      </c>
      <c r="N308" s="46" t="n">
        <v>0.243164</v>
      </c>
      <c r="O308" s="46" t="n">
        <v>0.102592</v>
      </c>
      <c r="P308" s="46" t="n">
        <v>0.11816</v>
      </c>
      <c r="Q308" s="46" t="n">
        <v>0.058614</v>
      </c>
      <c r="R308" s="47" t="n">
        <f aca="false">L308*Scorecard!$C$12+M308*Scorecard!$C$13+N308*Scorecard!$C$14+O308*Scorecard!$C$15+P308*Scorecard!$C$16+Q308*Scorecard!$C$17</f>
        <v>3.88400385191544</v>
      </c>
      <c r="S308" s="47" t="n">
        <f aca="false">L308*Scorecard!$D$12+M308*Scorecard!$D$13+N308*Scorecard!$D$14+O308*Scorecard!$D$15+P308*Scorecard!$D$16+Q308*Scorecard!$D$17</f>
        <v>2.8003914452934</v>
      </c>
      <c r="T308" s="47" t="n">
        <f aca="false">L308*Scorecard!$E$12+M308*Scorecard!$E$13+N308*Scorecard!$E$14+O308*Scorecard!$E$15+P308*Scorecard!$E$16+Q308*Scorecard!$E$17</f>
        <v>3.79129024225587</v>
      </c>
      <c r="U308" s="0" t="str">
        <f aca="false">IF(AND(R308&gt;=S308,R308&gt;=T308),"Distribution",IF(T308&gt;=S308,"Prof. services","Manufacturing"))</f>
        <v>Distribution</v>
      </c>
    </row>
    <row r="309" customFormat="false" ht="15" hidden="false" customHeight="false" outlineLevel="0" collapsed="false">
      <c r="A309" s="46" t="n">
        <v>0.025788</v>
      </c>
      <c r="B309" s="46" t="n">
        <v>0.270479</v>
      </c>
      <c r="C309" s="46" t="n">
        <v>0.199908</v>
      </c>
      <c r="D309" s="46" t="n">
        <v>0.312752</v>
      </c>
      <c r="E309" s="46" t="n">
        <v>0.100149</v>
      </c>
      <c r="F309" s="46" t="n">
        <v>0.090926</v>
      </c>
      <c r="G309" s="47" t="n">
        <f aca="false">A309*Scorecard!$C$12+B309*Scorecard!$C$13+C309*Scorecard!$C$14+D309*Scorecard!$C$15+E309*Scorecard!$C$16+F309*Scorecard!$C$17</f>
        <v>4.35496823223813</v>
      </c>
      <c r="H309" s="47" t="n">
        <f aca="false">A309*Scorecard!$D$12+B309*Scorecard!$D$13+C309*Scorecard!$D$14+D309*Scorecard!$D$15+E309*Scorecard!$D$16+F309*Scorecard!$D$17</f>
        <v>2.8700993124361</v>
      </c>
      <c r="I309" s="47" t="n">
        <f aca="false">A309*Scorecard!$E$12+B309*Scorecard!$E$13+C309*Scorecard!$E$14+D309*Scorecard!$E$15+E309*Scorecard!$E$16+F309*Scorecard!$E$17</f>
        <v>3.64827076878568</v>
      </c>
      <c r="J309" s="0" t="str">
        <f aca="false">IF(AND(G309&gt;=H309,G309&gt;=I309),"Distribution",IF(I309&gt;=H309,"Prof. services","Manufacturing"))</f>
        <v>Distribution</v>
      </c>
      <c r="L309" s="46" t="n">
        <v>0.15904</v>
      </c>
      <c r="M309" s="46" t="n">
        <v>0.256639</v>
      </c>
      <c r="N309" s="46" t="n">
        <v>0.167415</v>
      </c>
      <c r="O309" s="46" t="n">
        <v>0.198584</v>
      </c>
      <c r="P309" s="46" t="n">
        <v>0.129089</v>
      </c>
      <c r="Q309" s="46" t="n">
        <v>0.089232</v>
      </c>
      <c r="R309" s="47" t="n">
        <f aca="false">L309*Scorecard!$C$12+M309*Scorecard!$C$13+N309*Scorecard!$C$14+O309*Scorecard!$C$15+P309*Scorecard!$C$16+Q309*Scorecard!$C$17</f>
        <v>3.99048073193549</v>
      </c>
      <c r="S309" s="47" t="n">
        <f aca="false">L309*Scorecard!$D$12+M309*Scorecard!$D$13+N309*Scorecard!$D$14+O309*Scorecard!$D$15+P309*Scorecard!$D$16+Q309*Scorecard!$D$17</f>
        <v>2.8589057515063</v>
      </c>
      <c r="T309" s="47" t="n">
        <f aca="false">L309*Scorecard!$E$12+M309*Scorecard!$E$13+N309*Scorecard!$E$14+O309*Scorecard!$E$15+P309*Scorecard!$E$16+Q309*Scorecard!$E$17</f>
        <v>3.70715942732314</v>
      </c>
      <c r="U309" s="0" t="str">
        <f aca="false">IF(AND(R309&gt;=S309,R309&gt;=T309),"Distribution",IF(T309&gt;=S309,"Prof. services","Manufacturing"))</f>
        <v>Distribution</v>
      </c>
    </row>
    <row r="310" customFormat="false" ht="15" hidden="false" customHeight="false" outlineLevel="0" collapsed="false">
      <c r="A310" s="46" t="n">
        <v>0.021027</v>
      </c>
      <c r="B310" s="46" t="n">
        <v>0.281288</v>
      </c>
      <c r="C310" s="46" t="n">
        <v>0.006439</v>
      </c>
      <c r="D310" s="46" t="n">
        <v>0.337062</v>
      </c>
      <c r="E310" s="46" t="n">
        <v>0.038262</v>
      </c>
      <c r="F310" s="46" t="n">
        <v>0.315921</v>
      </c>
      <c r="G310" s="47" t="n">
        <f aca="false">A310*Scorecard!$C$12+B310*Scorecard!$C$13+C310*Scorecard!$C$14+D310*Scorecard!$C$15+E310*Scorecard!$C$16+F310*Scorecard!$C$17</f>
        <v>3.9486551001346</v>
      </c>
      <c r="H310" s="47" t="n">
        <f aca="false">A310*Scorecard!$D$12+B310*Scorecard!$D$13+C310*Scorecard!$D$14+D310*Scorecard!$D$15+E310*Scorecard!$D$16+F310*Scorecard!$D$17</f>
        <v>2.52074186480612</v>
      </c>
      <c r="I310" s="47" t="n">
        <f aca="false">A310*Scorecard!$E$12+B310*Scorecard!$E$13+C310*Scorecard!$E$14+D310*Scorecard!$E$15+E310*Scorecard!$E$16+F310*Scorecard!$E$17</f>
        <v>3.64938756339414</v>
      </c>
      <c r="J310" s="0" t="str">
        <f aca="false">IF(AND(G310&gt;=H310,G310&gt;=I310),"Distribution",IF(I310&gt;=H310,"Prof. services","Manufacturing"))</f>
        <v>Distribution</v>
      </c>
      <c r="L310" s="46" t="n">
        <v>0.11159</v>
      </c>
      <c r="M310" s="46" t="n">
        <v>0.222301</v>
      </c>
      <c r="N310" s="46" t="n">
        <v>0.06896</v>
      </c>
      <c r="O310" s="46" t="n">
        <v>0.20509</v>
      </c>
      <c r="P310" s="46" t="n">
        <v>0.31217</v>
      </c>
      <c r="Q310" s="46" t="n">
        <v>0.079889</v>
      </c>
      <c r="R310" s="47" t="n">
        <f aca="false">L310*Scorecard!$C$12+M310*Scorecard!$C$13+N310*Scorecard!$C$14+O310*Scorecard!$C$15+P310*Scorecard!$C$16+Q310*Scorecard!$C$17</f>
        <v>4.06674940861847</v>
      </c>
      <c r="S310" s="47" t="n">
        <f aca="false">L310*Scorecard!$D$12+M310*Scorecard!$D$13+N310*Scorecard!$D$14+O310*Scorecard!$D$15+P310*Scorecard!$D$16+Q310*Scorecard!$D$17</f>
        <v>2.9616802190878</v>
      </c>
      <c r="T310" s="47" t="n">
        <f aca="false">L310*Scorecard!$E$12+M310*Scorecard!$E$13+N310*Scorecard!$E$14+O310*Scorecard!$E$15+P310*Scorecard!$E$16+Q310*Scorecard!$E$17</f>
        <v>3.31692355355064</v>
      </c>
      <c r="U310" s="0" t="str">
        <f aca="false">IF(AND(R310&gt;=S310,R310&gt;=T310),"Distribution",IF(T310&gt;=S310,"Prof. services","Manufacturing"))</f>
        <v>Distribution</v>
      </c>
    </row>
    <row r="311" customFormat="false" ht="15" hidden="false" customHeight="false" outlineLevel="0" collapsed="false">
      <c r="A311" s="46" t="n">
        <v>0.324702</v>
      </c>
      <c r="B311" s="46" t="n">
        <v>0.279833</v>
      </c>
      <c r="C311" s="46" t="n">
        <v>0.0099</v>
      </c>
      <c r="D311" s="46" t="n">
        <v>0.110687</v>
      </c>
      <c r="E311" s="46" t="n">
        <v>0.269502</v>
      </c>
      <c r="F311" s="46" t="n">
        <v>0.005376</v>
      </c>
      <c r="G311" s="47" t="n">
        <f aca="false">A311*Scorecard!$C$12+B311*Scorecard!$C$13+C311*Scorecard!$C$14+D311*Scorecard!$C$15+E311*Scorecard!$C$16+F311*Scorecard!$C$17</f>
        <v>3.79529976943484</v>
      </c>
      <c r="H311" s="47" t="n">
        <f aca="false">A311*Scorecard!$D$12+B311*Scorecard!$D$13+C311*Scorecard!$D$14+D311*Scorecard!$D$15+E311*Scorecard!$D$16+F311*Scorecard!$D$17</f>
        <v>3.00435753540715</v>
      </c>
      <c r="I311" s="47" t="n">
        <f aca="false">A311*Scorecard!$E$12+B311*Scorecard!$E$13+C311*Scorecard!$E$14+D311*Scorecard!$E$15+E311*Scorecard!$E$16+F311*Scorecard!$E$17</f>
        <v>3.38143358414425</v>
      </c>
      <c r="J311" s="0" t="str">
        <f aca="false">IF(AND(G311&gt;=H311,G311&gt;=I311),"Distribution",IF(I311&gt;=H311,"Prof. services","Manufacturing"))</f>
        <v>Distribution</v>
      </c>
      <c r="L311" s="46" t="n">
        <v>0.195049</v>
      </c>
      <c r="M311" s="46" t="n">
        <v>0.095019</v>
      </c>
      <c r="N311" s="46" t="n">
        <v>0.154496</v>
      </c>
      <c r="O311" s="46" t="n">
        <v>0.218995</v>
      </c>
      <c r="P311" s="46" t="n">
        <v>0.2339</v>
      </c>
      <c r="Q311" s="46" t="n">
        <v>0.102541</v>
      </c>
      <c r="R311" s="47" t="n">
        <f aca="false">L311*Scorecard!$C$12+M311*Scorecard!$C$13+N311*Scorecard!$C$14+O311*Scorecard!$C$15+P311*Scorecard!$C$16+Q311*Scorecard!$C$17</f>
        <v>3.75784101841226</v>
      </c>
      <c r="S311" s="47" t="n">
        <f aca="false">L311*Scorecard!$D$12+M311*Scorecard!$D$13+N311*Scorecard!$D$14+O311*Scorecard!$D$15+P311*Scorecard!$D$16+Q311*Scorecard!$D$17</f>
        <v>3.1638885205142</v>
      </c>
      <c r="T311" s="47" t="n">
        <f aca="false">L311*Scorecard!$E$12+M311*Scorecard!$E$13+N311*Scorecard!$E$14+O311*Scorecard!$E$15+P311*Scorecard!$E$16+Q311*Scorecard!$E$17</f>
        <v>3.86870503975777</v>
      </c>
      <c r="U311" s="0" t="str">
        <f aca="false">IF(AND(R311&gt;=S311,R311&gt;=T311),"Distribution",IF(T311&gt;=S311,"Prof. services","Manufacturing"))</f>
        <v>Prof. services</v>
      </c>
    </row>
    <row r="312" customFormat="false" ht="15" hidden="false" customHeight="false" outlineLevel="0" collapsed="false">
      <c r="A312" s="46" t="n">
        <v>0.055009</v>
      </c>
      <c r="B312" s="46" t="n">
        <v>0.074762</v>
      </c>
      <c r="C312" s="46" t="n">
        <v>0.304349</v>
      </c>
      <c r="D312" s="46" t="n">
        <v>0.038792</v>
      </c>
      <c r="E312" s="46" t="n">
        <v>0.031971</v>
      </c>
      <c r="F312" s="46" t="n">
        <v>0.495117</v>
      </c>
      <c r="G312" s="47" t="n">
        <f aca="false">A312*Scorecard!$C$12+B312*Scorecard!$C$13+C312*Scorecard!$C$14+D312*Scorecard!$C$15+E312*Scorecard!$C$16+F312*Scorecard!$C$17</f>
        <v>3.02430301551836</v>
      </c>
      <c r="H312" s="47" t="n">
        <f aca="false">A312*Scorecard!$D$12+B312*Scorecard!$D$13+C312*Scorecard!$D$14+D312*Scorecard!$D$15+E312*Scorecard!$D$16+F312*Scorecard!$D$17</f>
        <v>2.23700694791165</v>
      </c>
      <c r="I312" s="47" t="n">
        <f aca="false">A312*Scorecard!$E$12+B312*Scorecard!$E$13+C312*Scorecard!$E$14+D312*Scorecard!$E$15+E312*Scorecard!$E$16+F312*Scorecard!$E$17</f>
        <v>4.41977498946716</v>
      </c>
      <c r="J312" s="0" t="str">
        <f aca="false">IF(AND(G312&gt;=H312,G312&gt;=I312),"Distribution",IF(I312&gt;=H312,"Prof. services","Manufacturing"))</f>
        <v>Prof. services</v>
      </c>
      <c r="L312" s="46" t="n">
        <v>0.207087</v>
      </c>
      <c r="M312" s="46" t="n">
        <v>0.10134</v>
      </c>
      <c r="N312" s="46" t="n">
        <v>0.173776</v>
      </c>
      <c r="O312" s="46" t="n">
        <v>0.207207</v>
      </c>
      <c r="P312" s="46" t="n">
        <v>0.143918</v>
      </c>
      <c r="Q312" s="46" t="n">
        <v>0.166672</v>
      </c>
      <c r="R312" s="47" t="n">
        <f aca="false">L312*Scorecard!$C$12+M312*Scorecard!$C$13+N312*Scorecard!$C$14+O312*Scorecard!$C$15+P312*Scorecard!$C$16+Q312*Scorecard!$C$17</f>
        <v>3.60244344673871</v>
      </c>
      <c r="S312" s="47" t="n">
        <f aca="false">L312*Scorecard!$D$12+M312*Scorecard!$D$13+N312*Scorecard!$D$14+O312*Scorecard!$D$15+P312*Scorecard!$D$16+Q312*Scorecard!$D$17</f>
        <v>3.02251560216151</v>
      </c>
      <c r="T312" s="47" t="n">
        <f aca="false">L312*Scorecard!$E$12+M312*Scorecard!$E$13+N312*Scorecard!$E$14+O312*Scorecard!$E$15+P312*Scorecard!$E$16+Q312*Scorecard!$E$17</f>
        <v>4.06826841923217</v>
      </c>
      <c r="U312" s="0" t="str">
        <f aca="false">IF(AND(R312&gt;=S312,R312&gt;=T312),"Distribution",IF(T312&gt;=S312,"Prof. services","Manufacturing"))</f>
        <v>Prof. services</v>
      </c>
    </row>
    <row r="313" customFormat="false" ht="15" hidden="false" customHeight="false" outlineLevel="0" collapsed="false">
      <c r="A313" s="46" t="n">
        <v>0.089059</v>
      </c>
      <c r="B313" s="46" t="n">
        <v>0.089481</v>
      </c>
      <c r="C313" s="46" t="n">
        <v>0.280879</v>
      </c>
      <c r="D313" s="46" t="n">
        <v>0.239386</v>
      </c>
      <c r="E313" s="46" t="n">
        <v>0.113222</v>
      </c>
      <c r="F313" s="46" t="n">
        <v>0.187972</v>
      </c>
      <c r="G313" s="47" t="n">
        <f aca="false">A313*Scorecard!$C$12+B313*Scorecard!$C$13+C313*Scorecard!$C$14+D313*Scorecard!$C$15+E313*Scorecard!$C$16+F313*Scorecard!$C$17</f>
        <v>3.79261152993236</v>
      </c>
      <c r="H313" s="47" t="n">
        <f aca="false">A313*Scorecard!$D$12+B313*Scorecard!$D$13+C313*Scorecard!$D$14+D313*Scorecard!$D$15+E313*Scorecard!$D$16+F313*Scorecard!$D$17</f>
        <v>2.95741943637582</v>
      </c>
      <c r="I313" s="47" t="n">
        <f aca="false">A313*Scorecard!$E$12+B313*Scorecard!$E$13+C313*Scorecard!$E$14+D313*Scorecard!$E$15+E313*Scorecard!$E$16+F313*Scorecard!$E$17</f>
        <v>4.14667291576977</v>
      </c>
      <c r="J313" s="0" t="str">
        <f aca="false">IF(AND(G313&gt;=H313,G313&gt;=I313),"Distribution",IF(I313&gt;=H313,"Prof. services","Manufacturing"))</f>
        <v>Prof. services</v>
      </c>
      <c r="L313" s="46" t="n">
        <v>0.386304</v>
      </c>
      <c r="M313" s="46" t="n">
        <v>0.247469</v>
      </c>
      <c r="N313" s="46" t="n">
        <v>0.036893</v>
      </c>
      <c r="O313" s="46" t="n">
        <v>0.24282</v>
      </c>
      <c r="P313" s="46" t="n">
        <v>0.075904</v>
      </c>
      <c r="Q313" s="46" t="n">
        <v>0.01061</v>
      </c>
      <c r="R313" s="47" t="n">
        <f aca="false">L313*Scorecard!$C$12+M313*Scorecard!$C$13+N313*Scorecard!$C$14+O313*Scorecard!$C$15+P313*Scorecard!$C$16+Q313*Scorecard!$C$17</f>
        <v>3.77371629093063</v>
      </c>
      <c r="S313" s="47" t="n">
        <f aca="false">L313*Scorecard!$D$12+M313*Scorecard!$D$13+N313*Scorecard!$D$14+O313*Scorecard!$D$15+P313*Scorecard!$D$16+Q313*Scorecard!$D$17</f>
        <v>3.17420604266933</v>
      </c>
      <c r="T313" s="47" t="n">
        <f aca="false">L313*Scorecard!$E$12+M313*Scorecard!$E$13+N313*Scorecard!$E$14+O313*Scorecard!$E$15+P313*Scorecard!$E$16+Q313*Scorecard!$E$17</f>
        <v>3.87769481298796</v>
      </c>
      <c r="U313" s="0" t="str">
        <f aca="false">IF(AND(R313&gt;=S313,R313&gt;=T313),"Distribution",IF(T313&gt;=S313,"Prof. services","Manufacturing"))</f>
        <v>Prof. services</v>
      </c>
    </row>
    <row r="314" customFormat="false" ht="15" hidden="false" customHeight="false" outlineLevel="0" collapsed="false">
      <c r="A314" s="46" t="n">
        <v>0.172333</v>
      </c>
      <c r="B314" s="46" t="n">
        <v>0.505695</v>
      </c>
      <c r="C314" s="46" t="n">
        <v>0.06395</v>
      </c>
      <c r="D314" s="46" t="n">
        <v>0.064045</v>
      </c>
      <c r="E314" s="46" t="n">
        <v>0.186396</v>
      </c>
      <c r="F314" s="46" t="n">
        <v>0.007581</v>
      </c>
      <c r="G314" s="47" t="n">
        <f aca="false">A314*Scorecard!$C$12+B314*Scorecard!$C$13+C314*Scorecard!$C$14+D314*Scorecard!$C$15+E314*Scorecard!$C$16+F314*Scorecard!$C$17</f>
        <v>4.24437614236443</v>
      </c>
      <c r="H314" s="47" t="n">
        <f aca="false">A314*Scorecard!$D$12+B314*Scorecard!$D$13+C314*Scorecard!$D$14+D314*Scorecard!$D$15+E314*Scorecard!$D$16+F314*Scorecard!$D$17</f>
        <v>2.47968682159642</v>
      </c>
      <c r="I314" s="47" t="n">
        <f aca="false">A314*Scorecard!$E$12+B314*Scorecard!$E$13+C314*Scorecard!$E$14+D314*Scorecard!$E$15+E314*Scorecard!$E$16+F314*Scorecard!$E$17</f>
        <v>2.99144870093209</v>
      </c>
      <c r="J314" s="0" t="str">
        <f aca="false">IF(AND(G314&gt;=H314,G314&gt;=I314),"Distribution",IF(I314&gt;=H314,"Prof. services","Manufacturing"))</f>
        <v>Distribution</v>
      </c>
      <c r="L314" s="46" t="n">
        <v>0.077611</v>
      </c>
      <c r="M314" s="46" t="n">
        <v>0.307934</v>
      </c>
      <c r="N314" s="46" t="n">
        <v>0.240206</v>
      </c>
      <c r="O314" s="46" t="n">
        <v>0.160595</v>
      </c>
      <c r="P314" s="46" t="n">
        <v>0.191156</v>
      </c>
      <c r="Q314" s="46" t="n">
        <v>0.022497</v>
      </c>
      <c r="R314" s="47" t="n">
        <f aca="false">L314*Scorecard!$C$12+M314*Scorecard!$C$13+N314*Scorecard!$C$14+O314*Scorecard!$C$15+P314*Scorecard!$C$16+Q314*Scorecard!$C$17</f>
        <v>4.28383009319193</v>
      </c>
      <c r="S314" s="47" t="n">
        <f aca="false">L314*Scorecard!$D$12+M314*Scorecard!$D$13+N314*Scorecard!$D$14+O314*Scorecard!$D$15+P314*Scorecard!$D$16+Q314*Scorecard!$D$17</f>
        <v>2.8049378737594</v>
      </c>
      <c r="T314" s="47" t="n">
        <f aca="false">L314*Scorecard!$E$12+M314*Scorecard!$E$13+N314*Scorecard!$E$14+O314*Scorecard!$E$15+P314*Scorecard!$E$16+Q314*Scorecard!$E$17</f>
        <v>3.45926628002361</v>
      </c>
      <c r="U314" s="0" t="str">
        <f aca="false">IF(AND(R314&gt;=S314,R314&gt;=T314),"Distribution",IF(T314&gt;=S314,"Prof. services","Manufacturing"))</f>
        <v>Distribution</v>
      </c>
    </row>
    <row r="315" customFormat="false" ht="15" hidden="false" customHeight="false" outlineLevel="0" collapsed="false">
      <c r="A315" s="46" t="n">
        <v>0.026737</v>
      </c>
      <c r="B315" s="46" t="n">
        <v>0.075969</v>
      </c>
      <c r="C315" s="46" t="n">
        <v>0.043658</v>
      </c>
      <c r="D315" s="46" t="n">
        <v>0.015088</v>
      </c>
      <c r="E315" s="46" t="n">
        <v>0.638028</v>
      </c>
      <c r="F315" s="46" t="n">
        <v>0.200519</v>
      </c>
      <c r="G315" s="47" t="n">
        <f aca="false">A315*Scorecard!$C$12+B315*Scorecard!$C$13+C315*Scorecard!$C$14+D315*Scorecard!$C$15+E315*Scorecard!$C$16+F315*Scorecard!$C$17</f>
        <v>3.64188801870447</v>
      </c>
      <c r="H315" s="47" t="n">
        <f aca="false">A315*Scorecard!$D$12+B315*Scorecard!$D$13+C315*Scorecard!$D$14+D315*Scorecard!$D$15+E315*Scorecard!$D$16+F315*Scorecard!$D$17</f>
        <v>2.83299246901956</v>
      </c>
      <c r="I315" s="47" t="n">
        <f aca="false">A315*Scorecard!$E$12+B315*Scorecard!$E$13+C315*Scorecard!$E$14+D315*Scorecard!$E$15+E315*Scorecard!$E$16+F315*Scorecard!$E$17</f>
        <v>2.96726008580843</v>
      </c>
      <c r="J315" s="0" t="str">
        <f aca="false">IF(AND(G315&gt;=H315,G315&gt;=I315),"Distribution",IF(I315&gt;=H315,"Prof. services","Manufacturing"))</f>
        <v>Distribution</v>
      </c>
      <c r="L315" s="46" t="n">
        <v>0.175009</v>
      </c>
      <c r="M315" s="46" t="n">
        <v>0.143862</v>
      </c>
      <c r="N315" s="46" t="n">
        <v>0.204719</v>
      </c>
      <c r="O315" s="46" t="n">
        <v>0.154862</v>
      </c>
      <c r="P315" s="46" t="n">
        <v>0.184404</v>
      </c>
      <c r="Q315" s="46" t="n">
        <v>0.137145</v>
      </c>
      <c r="R315" s="47" t="n">
        <f aca="false">L315*Scorecard!$C$12+M315*Scorecard!$C$13+N315*Scorecard!$C$14+O315*Scorecard!$C$15+P315*Scorecard!$C$16+Q315*Scorecard!$C$17</f>
        <v>3.70941930420208</v>
      </c>
      <c r="S315" s="47" t="n">
        <f aca="false">L315*Scorecard!$D$12+M315*Scorecard!$D$13+N315*Scorecard!$D$14+O315*Scorecard!$D$15+P315*Scorecard!$D$16+Q315*Scorecard!$D$17</f>
        <v>2.93469300805365</v>
      </c>
      <c r="T315" s="47" t="n">
        <f aca="false">L315*Scorecard!$E$12+M315*Scorecard!$E$13+N315*Scorecard!$E$14+O315*Scorecard!$E$15+P315*Scorecard!$E$16+Q315*Scorecard!$E$17</f>
        <v>3.89655316791326</v>
      </c>
      <c r="U315" s="0" t="str">
        <f aca="false">IF(AND(R315&gt;=S315,R315&gt;=T315),"Distribution",IF(T315&gt;=S315,"Prof. services","Manufacturing"))</f>
        <v>Prof. services</v>
      </c>
    </row>
    <row r="316" customFormat="false" ht="15" hidden="false" customHeight="false" outlineLevel="0" collapsed="false">
      <c r="A316" s="46" t="n">
        <v>0.042901</v>
      </c>
      <c r="B316" s="46" t="n">
        <v>0.262923</v>
      </c>
      <c r="C316" s="46" t="n">
        <v>0.36794</v>
      </c>
      <c r="D316" s="46" t="n">
        <v>0.198837</v>
      </c>
      <c r="E316" s="46" t="n">
        <v>0.008081</v>
      </c>
      <c r="F316" s="46" t="n">
        <v>0.119319</v>
      </c>
      <c r="G316" s="47" t="n">
        <f aca="false">A316*Scorecard!$C$12+B316*Scorecard!$C$13+C316*Scorecard!$C$14+D316*Scorecard!$C$15+E316*Scorecard!$C$16+F316*Scorecard!$C$17</f>
        <v>4.14590358819017</v>
      </c>
      <c r="H316" s="47" t="n">
        <f aca="false">A316*Scorecard!$D$12+B316*Scorecard!$D$13+C316*Scorecard!$D$14+D316*Scorecard!$D$15+E316*Scorecard!$D$16+F316*Scorecard!$D$17</f>
        <v>2.68759033121048</v>
      </c>
      <c r="I316" s="47" t="n">
        <f aca="false">A316*Scorecard!$E$12+B316*Scorecard!$E$13+C316*Scorecard!$E$14+D316*Scorecard!$E$15+E316*Scorecard!$E$16+F316*Scorecard!$E$17</f>
        <v>3.99653225512454</v>
      </c>
      <c r="J316" s="0" t="str">
        <f aca="false">IF(AND(G316&gt;=H316,G316&gt;=I316),"Distribution",IF(I316&gt;=H316,"Prof. services","Manufacturing"))</f>
        <v>Distribution</v>
      </c>
      <c r="L316" s="46" t="n">
        <v>0.132493</v>
      </c>
      <c r="M316" s="46" t="n">
        <v>0.288934</v>
      </c>
      <c r="N316" s="46" t="n">
        <v>0.316969</v>
      </c>
      <c r="O316" s="46" t="n">
        <v>0.116827</v>
      </c>
      <c r="P316" s="46" t="n">
        <v>0.110102</v>
      </c>
      <c r="Q316" s="46" t="n">
        <v>0.034675</v>
      </c>
      <c r="R316" s="47" t="n">
        <f aca="false">L316*Scorecard!$C$12+M316*Scorecard!$C$13+N316*Scorecard!$C$14+O316*Scorecard!$C$15+P316*Scorecard!$C$16+Q316*Scorecard!$C$17</f>
        <v>4.09792171052143</v>
      </c>
      <c r="S316" s="47" t="n">
        <f aca="false">L316*Scorecard!$D$12+M316*Scorecard!$D$13+N316*Scorecard!$D$14+O316*Scorecard!$D$15+P316*Scorecard!$D$16+Q316*Scorecard!$D$17</f>
        <v>2.77375952600106</v>
      </c>
      <c r="T316" s="47" t="n">
        <f aca="false">L316*Scorecard!$E$12+M316*Scorecard!$E$13+N316*Scorecard!$E$14+O316*Scorecard!$E$15+P316*Scorecard!$E$16+Q316*Scorecard!$E$17</f>
        <v>3.76054766559067</v>
      </c>
      <c r="U316" s="0" t="str">
        <f aca="false">IF(AND(R316&gt;=S316,R316&gt;=T316),"Distribution",IF(T316&gt;=S316,"Prof. services","Manufacturing"))</f>
        <v>Distribution</v>
      </c>
    </row>
    <row r="317" customFormat="false" ht="15" hidden="false" customHeight="false" outlineLevel="0" collapsed="false">
      <c r="A317" s="46" t="n">
        <v>0.144512</v>
      </c>
      <c r="B317" s="46" t="n">
        <v>0.150295</v>
      </c>
      <c r="C317" s="46" t="n">
        <v>0.023433</v>
      </c>
      <c r="D317" s="46" t="n">
        <v>0.246315</v>
      </c>
      <c r="E317" s="46" t="n">
        <v>0.418493</v>
      </c>
      <c r="F317" s="46" t="n">
        <v>0.016952</v>
      </c>
      <c r="G317" s="47" t="n">
        <f aca="false">A317*Scorecard!$C$12+B317*Scorecard!$C$13+C317*Scorecard!$C$14+D317*Scorecard!$C$15+E317*Scorecard!$C$16+F317*Scorecard!$C$17</f>
        <v>4.10258233911885</v>
      </c>
      <c r="H317" s="47" t="n">
        <f aca="false">A317*Scorecard!$D$12+B317*Scorecard!$D$13+C317*Scorecard!$D$14+D317*Scorecard!$D$15+E317*Scorecard!$D$16+F317*Scorecard!$D$17</f>
        <v>3.26907822309507</v>
      </c>
      <c r="I317" s="47" t="n">
        <f aca="false">A317*Scorecard!$E$12+B317*Scorecard!$E$13+C317*Scorecard!$E$14+D317*Scorecard!$E$15+E317*Scorecard!$E$16+F317*Scorecard!$E$17</f>
        <v>3.2374640551517</v>
      </c>
      <c r="J317" s="0" t="str">
        <f aca="false">IF(AND(G317&gt;=H317,G317&gt;=I317),"Distribution",IF(I317&gt;=H317,"Prof. services","Manufacturing"))</f>
        <v>Distribution</v>
      </c>
      <c r="L317" s="46" t="n">
        <v>0.122647</v>
      </c>
      <c r="M317" s="46" t="n">
        <v>0.348761</v>
      </c>
      <c r="N317" s="46" t="n">
        <v>0.111541</v>
      </c>
      <c r="O317" s="46" t="n">
        <v>0.077394</v>
      </c>
      <c r="P317" s="46" t="n">
        <v>0.19053</v>
      </c>
      <c r="Q317" s="46" t="n">
        <v>0.149126</v>
      </c>
      <c r="R317" s="47" t="n">
        <f aca="false">L317*Scorecard!$C$12+M317*Scorecard!$C$13+N317*Scorecard!$C$14+O317*Scorecard!$C$15+P317*Scorecard!$C$16+Q317*Scorecard!$C$17</f>
        <v>3.90713265093493</v>
      </c>
      <c r="S317" s="47" t="n">
        <f aca="false">L317*Scorecard!$D$12+M317*Scorecard!$D$13+N317*Scorecard!$D$14+O317*Scorecard!$D$15+P317*Scorecard!$D$16+Q317*Scorecard!$D$17</f>
        <v>2.48693588176631</v>
      </c>
      <c r="T317" s="47" t="n">
        <f aca="false">L317*Scorecard!$E$12+M317*Scorecard!$E$13+N317*Scorecard!$E$14+O317*Scorecard!$E$15+P317*Scorecard!$E$16+Q317*Scorecard!$E$17</f>
        <v>3.34976636353503</v>
      </c>
      <c r="U317" s="0" t="str">
        <f aca="false">IF(AND(R317&gt;=S317,R317&gt;=T317),"Distribution",IF(T317&gt;=S317,"Prof. services","Manufacturing"))</f>
        <v>Distribution</v>
      </c>
    </row>
    <row r="318" customFormat="false" ht="15" hidden="false" customHeight="false" outlineLevel="0" collapsed="false">
      <c r="A318" s="46" t="n">
        <v>0.034478</v>
      </c>
      <c r="B318" s="46" t="n">
        <v>0.001271</v>
      </c>
      <c r="C318" s="46" t="n">
        <v>0.189281</v>
      </c>
      <c r="D318" s="46" t="n">
        <v>0.523793</v>
      </c>
      <c r="E318" s="46" t="n">
        <v>0.002192</v>
      </c>
      <c r="F318" s="46" t="n">
        <v>0.248985</v>
      </c>
      <c r="G318" s="47" t="n">
        <f aca="false">A318*Scorecard!$C$12+B318*Scorecard!$C$13+C318*Scorecard!$C$14+D318*Scorecard!$C$15+E318*Scorecard!$C$16+F318*Scorecard!$C$17</f>
        <v>3.96503310831031</v>
      </c>
      <c r="H318" s="47" t="n">
        <f aca="false">A318*Scorecard!$D$12+B318*Scorecard!$D$13+C318*Scorecard!$D$14+D318*Scorecard!$D$15+E318*Scorecard!$D$16+F318*Scorecard!$D$17</f>
        <v>3.25448415021869</v>
      </c>
      <c r="I318" s="47" t="n">
        <f aca="false">A318*Scorecard!$E$12+B318*Scorecard!$E$13+C318*Scorecard!$E$14+D318*Scorecard!$E$15+E318*Scorecard!$E$16+F318*Scorecard!$E$17</f>
        <v>4.42817409803327</v>
      </c>
      <c r="J318" s="0" t="str">
        <f aca="false">IF(AND(G318&gt;=H318,G318&gt;=I318),"Distribution",IF(I318&gt;=H318,"Prof. services","Manufacturing"))</f>
        <v>Prof. services</v>
      </c>
      <c r="L318" s="46" t="n">
        <v>0.250237</v>
      </c>
      <c r="M318" s="46" t="n">
        <v>0.154307</v>
      </c>
      <c r="N318" s="46" t="n">
        <v>0.136131</v>
      </c>
      <c r="O318" s="46" t="n">
        <v>0.193095</v>
      </c>
      <c r="P318" s="46" t="n">
        <v>0.173818</v>
      </c>
      <c r="Q318" s="46" t="n">
        <v>0.092411</v>
      </c>
      <c r="R318" s="47" t="n">
        <f aca="false">L318*Scorecard!$C$12+M318*Scorecard!$C$13+N318*Scorecard!$C$14+O318*Scorecard!$C$15+P318*Scorecard!$C$16+Q318*Scorecard!$C$17</f>
        <v>3.7121458313779</v>
      </c>
      <c r="S318" s="47" t="n">
        <f aca="false">L318*Scorecard!$D$12+M318*Scorecard!$D$13+N318*Scorecard!$D$14+O318*Scorecard!$D$15+P318*Scorecard!$D$16+Q318*Scorecard!$D$17</f>
        <v>3.07653325515247</v>
      </c>
      <c r="T318" s="47" t="n">
        <f aca="false">L318*Scorecard!$E$12+M318*Scorecard!$E$13+N318*Scorecard!$E$14+O318*Scorecard!$E$15+P318*Scorecard!$E$16+Q318*Scorecard!$E$17</f>
        <v>3.88514541680831</v>
      </c>
      <c r="U318" s="0" t="str">
        <f aca="false">IF(AND(R318&gt;=S318,R318&gt;=T318),"Distribution",IF(T318&gt;=S318,"Prof. services","Manufacturing"))</f>
        <v>Prof. services</v>
      </c>
    </row>
    <row r="319" customFormat="false" ht="15" hidden="false" customHeight="false" outlineLevel="0" collapsed="false">
      <c r="A319" s="46" t="n">
        <v>0.060133</v>
      </c>
      <c r="B319" s="46" t="n">
        <v>0.295348</v>
      </c>
      <c r="C319" s="46" t="n">
        <v>0.383827</v>
      </c>
      <c r="D319" s="46" t="n">
        <v>0.165485</v>
      </c>
      <c r="E319" s="46" t="n">
        <v>0.01373</v>
      </c>
      <c r="F319" s="46" t="n">
        <v>0.081476</v>
      </c>
      <c r="G319" s="47" t="n">
        <f aca="false">A319*Scorecard!$C$12+B319*Scorecard!$C$13+C319*Scorecard!$C$14+D319*Scorecard!$C$15+E319*Scorecard!$C$16+F319*Scorecard!$C$17</f>
        <v>4.18963674244515</v>
      </c>
      <c r="H319" s="47" t="n">
        <f aca="false">A319*Scorecard!$D$12+B319*Scorecard!$D$13+C319*Scorecard!$D$14+D319*Scorecard!$D$15+E319*Scorecard!$D$16+F319*Scorecard!$D$17</f>
        <v>2.67033477393637</v>
      </c>
      <c r="I319" s="47" t="n">
        <f aca="false">A319*Scorecard!$E$12+B319*Scorecard!$E$13+C319*Scorecard!$E$14+D319*Scorecard!$E$15+E319*Scorecard!$E$16+F319*Scorecard!$E$17</f>
        <v>3.9350174239359</v>
      </c>
      <c r="J319" s="0" t="str">
        <f aca="false">IF(AND(G319&gt;=H319,G319&gt;=I319),"Distribution",IF(I319&gt;=H319,"Prof. services","Manufacturing"))</f>
        <v>Distribution</v>
      </c>
      <c r="L319" s="46" t="n">
        <v>0.291188</v>
      </c>
      <c r="M319" s="46" t="n">
        <v>0.191915</v>
      </c>
      <c r="N319" s="46" t="n">
        <v>0.108132</v>
      </c>
      <c r="O319" s="46" t="n">
        <v>0.126196</v>
      </c>
      <c r="P319" s="46" t="n">
        <v>0.198955</v>
      </c>
      <c r="Q319" s="46" t="n">
        <v>0.083614</v>
      </c>
      <c r="R319" s="47" t="n">
        <f aca="false">L319*Scorecard!$C$12+M319*Scorecard!$C$13+N319*Scorecard!$C$14+O319*Scorecard!$C$15+P319*Scorecard!$C$16+Q319*Scorecard!$C$17</f>
        <v>3.62674044737696</v>
      </c>
      <c r="S319" s="47" t="n">
        <f aca="false">L319*Scorecard!$D$12+M319*Scorecard!$D$13+N319*Scorecard!$D$14+O319*Scorecard!$D$15+P319*Scorecard!$D$16+Q319*Scorecard!$D$17</f>
        <v>2.9912661788995</v>
      </c>
      <c r="T319" s="47" t="n">
        <f aca="false">L319*Scorecard!$E$12+M319*Scorecard!$E$13+N319*Scorecard!$E$14+O319*Scorecard!$E$15+P319*Scorecard!$E$16+Q319*Scorecard!$E$17</f>
        <v>3.77029200866083</v>
      </c>
      <c r="U319" s="0" t="str">
        <f aca="false">IF(AND(R319&gt;=S319,R319&gt;=T319),"Distribution",IF(T319&gt;=S319,"Prof. services","Manufacturing"))</f>
        <v>Prof. services</v>
      </c>
    </row>
    <row r="320" customFormat="false" ht="15" hidden="false" customHeight="false" outlineLevel="0" collapsed="false">
      <c r="A320" s="46" t="n">
        <v>0.019796</v>
      </c>
      <c r="B320" s="46" t="n">
        <v>0.495716</v>
      </c>
      <c r="C320" s="46" t="n">
        <v>0.067152</v>
      </c>
      <c r="D320" s="46" t="n">
        <v>0.026559</v>
      </c>
      <c r="E320" s="46" t="n">
        <v>0.037388</v>
      </c>
      <c r="F320" s="46" t="n">
        <v>0.353389</v>
      </c>
      <c r="G320" s="47" t="n">
        <f aca="false">A320*Scorecard!$C$12+B320*Scorecard!$C$13+C320*Scorecard!$C$14+D320*Scorecard!$C$15+E320*Scorecard!$C$16+F320*Scorecard!$C$17</f>
        <v>3.77986391768986</v>
      </c>
      <c r="H320" s="47" t="n">
        <f aca="false">A320*Scorecard!$D$12+B320*Scorecard!$D$13+C320*Scorecard!$D$14+D320*Scorecard!$D$15+E320*Scorecard!$D$16+F320*Scorecard!$D$17</f>
        <v>1.7821304784842</v>
      </c>
      <c r="I320" s="47" t="n">
        <f aca="false">A320*Scorecard!$E$12+B320*Scorecard!$E$13+C320*Scorecard!$E$14+D320*Scorecard!$E$15+E320*Scorecard!$E$16+F320*Scorecard!$E$17</f>
        <v>3.27592901860495</v>
      </c>
      <c r="J320" s="0" t="str">
        <f aca="false">IF(AND(G320&gt;=H320,G320&gt;=I320),"Distribution",IF(I320&gt;=H320,"Prof. services","Manufacturing"))</f>
        <v>Distribution</v>
      </c>
      <c r="L320" s="46" t="n">
        <v>0.22524</v>
      </c>
      <c r="M320" s="46" t="n">
        <v>0.243982</v>
      </c>
      <c r="N320" s="46" t="n">
        <v>0.167101</v>
      </c>
      <c r="O320" s="46" t="n">
        <v>0.132015</v>
      </c>
      <c r="P320" s="46" t="n">
        <v>0.113569</v>
      </c>
      <c r="Q320" s="46" t="n">
        <v>0.118092</v>
      </c>
      <c r="R320" s="47" t="n">
        <f aca="false">L320*Scorecard!$C$12+M320*Scorecard!$C$13+N320*Scorecard!$C$14+O320*Scorecard!$C$15+P320*Scorecard!$C$16+Q320*Scorecard!$C$17</f>
        <v>3.73437378785934</v>
      </c>
      <c r="S320" s="47" t="n">
        <f aca="false">L320*Scorecard!$D$12+M320*Scorecard!$D$13+N320*Scorecard!$D$14+O320*Scorecard!$D$15+P320*Scorecard!$D$16+Q320*Scorecard!$D$17</f>
        <v>2.79610593237903</v>
      </c>
      <c r="T320" s="47" t="n">
        <f aca="false">L320*Scorecard!$E$12+M320*Scorecard!$E$13+N320*Scorecard!$E$14+O320*Scorecard!$E$15+P320*Scorecard!$E$16+Q320*Scorecard!$E$17</f>
        <v>3.82615674986014</v>
      </c>
      <c r="U320" s="0" t="str">
        <f aca="false">IF(AND(R320&gt;=S320,R320&gt;=T320),"Distribution",IF(T320&gt;=S320,"Prof. services","Manufacturing"))</f>
        <v>Prof. services</v>
      </c>
    </row>
    <row r="321" customFormat="false" ht="15" hidden="false" customHeight="false" outlineLevel="0" collapsed="false">
      <c r="A321" s="46" t="n">
        <v>0.019001</v>
      </c>
      <c r="B321" s="46" t="n">
        <v>0.216454</v>
      </c>
      <c r="C321" s="46" t="n">
        <v>0.364653</v>
      </c>
      <c r="D321" s="46" t="n">
        <v>0.08566</v>
      </c>
      <c r="E321" s="46" t="n">
        <v>0.18013</v>
      </c>
      <c r="F321" s="46" t="n">
        <v>0.134102</v>
      </c>
      <c r="G321" s="47" t="n">
        <f aca="false">A321*Scorecard!$C$12+B321*Scorecard!$C$13+C321*Scorecard!$C$14+D321*Scorecard!$C$15+E321*Scorecard!$C$16+F321*Scorecard!$C$17</f>
        <v>3.99970792902733</v>
      </c>
      <c r="H321" s="47" t="n">
        <f aca="false">A321*Scorecard!$D$12+B321*Scorecard!$D$13+C321*Scorecard!$D$14+D321*Scorecard!$D$15+E321*Scorecard!$D$16+F321*Scorecard!$D$17</f>
        <v>2.64570708168652</v>
      </c>
      <c r="I321" s="47" t="n">
        <f aca="false">A321*Scorecard!$E$12+B321*Scorecard!$E$13+C321*Scorecard!$E$14+D321*Scorecard!$E$15+E321*Scorecard!$E$16+F321*Scorecard!$E$17</f>
        <v>3.75856759272602</v>
      </c>
      <c r="J321" s="0" t="str">
        <f aca="false">IF(AND(G321&gt;=H321,G321&gt;=I321),"Distribution",IF(I321&gt;=H321,"Prof. services","Manufacturing"))</f>
        <v>Distribution</v>
      </c>
      <c r="L321" s="46" t="n">
        <v>0.17786</v>
      </c>
      <c r="M321" s="46" t="n">
        <v>0.248627</v>
      </c>
      <c r="N321" s="46" t="n">
        <v>0.225615</v>
      </c>
      <c r="O321" s="46" t="n">
        <v>0.050205</v>
      </c>
      <c r="P321" s="46" t="n">
        <v>0.193382</v>
      </c>
      <c r="Q321" s="46" t="n">
        <v>0.10431</v>
      </c>
      <c r="R321" s="47" t="n">
        <f aca="false">L321*Scorecard!$C$12+M321*Scorecard!$C$13+N321*Scorecard!$C$14+O321*Scorecard!$C$15+P321*Scorecard!$C$16+Q321*Scorecard!$C$17</f>
        <v>3.77005746354405</v>
      </c>
      <c r="S321" s="47" t="n">
        <f aca="false">L321*Scorecard!$D$12+M321*Scorecard!$D$13+N321*Scorecard!$D$14+O321*Scorecard!$D$15+P321*Scorecard!$D$16+Q321*Scorecard!$D$17</f>
        <v>2.71040767213265</v>
      </c>
      <c r="T321" s="47" t="n">
        <f aca="false">L321*Scorecard!$E$12+M321*Scorecard!$E$13+N321*Scorecard!$E$14+O321*Scorecard!$E$15+P321*Scorecard!$E$16+Q321*Scorecard!$E$17</f>
        <v>3.67524011906288</v>
      </c>
      <c r="U321" s="0" t="str">
        <f aca="false">IF(AND(R321&gt;=S321,R321&gt;=T321),"Distribution",IF(T321&gt;=S321,"Prof. services","Manufacturing"))</f>
        <v>Distribution</v>
      </c>
    </row>
    <row r="322" customFormat="false" ht="15" hidden="false" customHeight="false" outlineLevel="0" collapsed="false">
      <c r="A322" s="46" t="n">
        <v>0.261762</v>
      </c>
      <c r="B322" s="46" t="n">
        <v>0.219523</v>
      </c>
      <c r="C322" s="46" t="n">
        <v>0.03001</v>
      </c>
      <c r="D322" s="46" t="n">
        <v>0.145902</v>
      </c>
      <c r="E322" s="46" t="n">
        <v>0.083261</v>
      </c>
      <c r="F322" s="46" t="n">
        <v>0.259542</v>
      </c>
      <c r="G322" s="47" t="n">
        <f aca="false">A322*Scorecard!$C$12+B322*Scorecard!$C$13+C322*Scorecard!$C$14+D322*Scorecard!$C$15+E322*Scorecard!$C$16+F322*Scorecard!$C$17</f>
        <v>3.37516566702023</v>
      </c>
      <c r="H322" s="47" t="n">
        <f aca="false">A322*Scorecard!$D$12+B322*Scorecard!$D$13+C322*Scorecard!$D$14+D322*Scorecard!$D$15+E322*Scorecard!$D$16+F322*Scorecard!$D$17</f>
        <v>2.65074500945491</v>
      </c>
      <c r="I322" s="47" t="n">
        <f aca="false">A322*Scorecard!$E$12+B322*Scorecard!$E$13+C322*Scorecard!$E$14+D322*Scorecard!$E$15+E322*Scorecard!$E$16+F322*Scorecard!$E$17</f>
        <v>3.89498407792283</v>
      </c>
      <c r="J322" s="0" t="str">
        <f aca="false">IF(AND(G322&gt;=H322,G322&gt;=I322),"Distribution",IF(I322&gt;=H322,"Prof. services","Manufacturing"))</f>
        <v>Prof. services</v>
      </c>
      <c r="L322" s="46" t="n">
        <v>0.386556</v>
      </c>
      <c r="M322" s="46" t="n">
        <v>0.13566</v>
      </c>
      <c r="N322" s="46" t="n">
        <v>0.259644</v>
      </c>
      <c r="O322" s="46" t="n">
        <v>0.135249</v>
      </c>
      <c r="P322" s="46" t="n">
        <v>0.06138</v>
      </c>
      <c r="Q322" s="46" t="n">
        <v>0.021511</v>
      </c>
      <c r="R322" s="47" t="n">
        <f aca="false">L322*Scorecard!$C$12+M322*Scorecard!$C$13+N322*Scorecard!$C$14+O322*Scorecard!$C$15+P322*Scorecard!$C$16+Q322*Scorecard!$C$17</f>
        <v>3.53208068733687</v>
      </c>
      <c r="S322" s="47" t="n">
        <f aca="false">L322*Scorecard!$D$12+M322*Scorecard!$D$13+N322*Scorecard!$D$14+O322*Scorecard!$D$15+P322*Scorecard!$D$16+Q322*Scorecard!$D$17</f>
        <v>3.19647658136625</v>
      </c>
      <c r="T322" s="47" t="n">
        <f aca="false">L322*Scorecard!$E$12+M322*Scorecard!$E$13+N322*Scorecard!$E$14+O322*Scorecard!$E$15+P322*Scorecard!$E$16+Q322*Scorecard!$E$17</f>
        <v>4.32240904246207</v>
      </c>
      <c r="U322" s="0" t="str">
        <f aca="false">IF(AND(R322&gt;=S322,R322&gt;=T322),"Distribution",IF(T322&gt;=S322,"Prof. services","Manufacturing"))</f>
        <v>Prof. services</v>
      </c>
    </row>
    <row r="323" customFormat="false" ht="15" hidden="false" customHeight="false" outlineLevel="0" collapsed="false">
      <c r="A323" s="46" t="n">
        <v>0.235466</v>
      </c>
      <c r="B323" s="46" t="n">
        <v>0.045782</v>
      </c>
      <c r="C323" s="46" t="n">
        <v>0.055476</v>
      </c>
      <c r="D323" s="46" t="n">
        <v>0.06589</v>
      </c>
      <c r="E323" s="46" t="n">
        <v>0.262846</v>
      </c>
      <c r="F323" s="46" t="n">
        <v>0.334539</v>
      </c>
      <c r="G323" s="47" t="n">
        <f aca="false">A323*Scorecard!$C$12+B323*Scorecard!$C$13+C323*Scorecard!$C$14+D323*Scorecard!$C$15+E323*Scorecard!$C$16+F323*Scorecard!$C$17</f>
        <v>3.01874784202667</v>
      </c>
      <c r="H323" s="47" t="n">
        <f aca="false">A323*Scorecard!$D$12+B323*Scorecard!$D$13+C323*Scorecard!$D$14+D323*Scorecard!$D$15+E323*Scorecard!$D$16+F323*Scorecard!$D$17</f>
        <v>2.74889878118692</v>
      </c>
      <c r="I323" s="47" t="n">
        <f aca="false">A323*Scorecard!$E$12+B323*Scorecard!$E$13+C323*Scorecard!$E$14+D323*Scorecard!$E$15+E323*Scorecard!$E$16+F323*Scorecard!$E$17</f>
        <v>3.94507590937954</v>
      </c>
      <c r="J323" s="0" t="str">
        <f aca="false">IF(AND(G323&gt;=H323,G323&gt;=I323),"Distribution",IF(I323&gt;=H323,"Prof. services","Manufacturing"))</f>
        <v>Prof. services</v>
      </c>
      <c r="L323" s="46" t="n">
        <v>0.308413</v>
      </c>
      <c r="M323" s="46" t="n">
        <v>0.19126</v>
      </c>
      <c r="N323" s="46" t="n">
        <v>0.15792</v>
      </c>
      <c r="O323" s="46" t="n">
        <v>0.052727</v>
      </c>
      <c r="P323" s="46" t="n">
        <v>0.240024</v>
      </c>
      <c r="Q323" s="46" t="n">
        <v>0.049656</v>
      </c>
      <c r="R323" s="47" t="n">
        <f aca="false">L323*Scorecard!$C$12+M323*Scorecard!$C$13+N323*Scorecard!$C$14+O323*Scorecard!$C$15+P323*Scorecard!$C$16+Q323*Scorecard!$C$17</f>
        <v>3.58952720173177</v>
      </c>
      <c r="S323" s="47" t="n">
        <f aca="false">L323*Scorecard!$D$12+M323*Scorecard!$D$13+N323*Scorecard!$D$14+O323*Scorecard!$D$15+P323*Scorecard!$D$16+Q323*Scorecard!$D$17</f>
        <v>2.98320321951407</v>
      </c>
      <c r="T323" s="47" t="n">
        <f aca="false">L323*Scorecard!$E$12+M323*Scorecard!$E$13+N323*Scorecard!$E$14+O323*Scorecard!$E$15+P323*Scorecard!$E$16+Q323*Scorecard!$E$17</f>
        <v>3.74104916879431</v>
      </c>
      <c r="U323" s="0" t="str">
        <f aca="false">IF(AND(R323&gt;=S323,R323&gt;=T323),"Distribution",IF(T323&gt;=S323,"Prof. services","Manufacturing"))</f>
        <v>Prof. services</v>
      </c>
    </row>
    <row r="324" customFormat="false" ht="15" hidden="false" customHeight="false" outlineLevel="0" collapsed="false">
      <c r="A324" s="46" t="n">
        <v>0.024438</v>
      </c>
      <c r="B324" s="46" t="n">
        <v>0.381943</v>
      </c>
      <c r="C324" s="46" t="n">
        <v>0.250964</v>
      </c>
      <c r="D324" s="46" t="n">
        <v>0.015659</v>
      </c>
      <c r="E324" s="46" t="n">
        <v>0.180695</v>
      </c>
      <c r="F324" s="46" t="n">
        <v>0.146301</v>
      </c>
      <c r="G324" s="47" t="n">
        <f aca="false">A324*Scorecard!$C$12+B324*Scorecard!$C$13+C324*Scorecard!$C$14+D324*Scorecard!$C$15+E324*Scorecard!$C$16+F324*Scorecard!$C$17</f>
        <v>4.06101125149044</v>
      </c>
      <c r="H324" s="47" t="n">
        <f aca="false">A324*Scorecard!$D$12+B324*Scorecard!$D$13+C324*Scorecard!$D$14+D324*Scorecard!$D$15+E324*Scorecard!$D$16+F324*Scorecard!$D$17</f>
        <v>2.30175295934394</v>
      </c>
      <c r="I324" s="47" t="n">
        <f aca="false">A324*Scorecard!$E$12+B324*Scorecard!$E$13+C324*Scorecard!$E$14+D324*Scorecard!$E$15+E324*Scorecard!$E$16+F324*Scorecard!$E$17</f>
        <v>3.33359643786065</v>
      </c>
      <c r="J324" s="0" t="str">
        <f aca="false">IF(AND(G324&gt;=H324,G324&gt;=I324),"Distribution",IF(I324&gt;=H324,"Prof. services","Manufacturing"))</f>
        <v>Distribution</v>
      </c>
      <c r="L324" s="46" t="n">
        <v>0.185768</v>
      </c>
      <c r="M324" s="46" t="n">
        <v>0.170718</v>
      </c>
      <c r="N324" s="46" t="n">
        <v>0.342368</v>
      </c>
      <c r="O324" s="46" t="n">
        <v>0.119112</v>
      </c>
      <c r="P324" s="46" t="n">
        <v>0.091698</v>
      </c>
      <c r="Q324" s="46" t="n">
        <v>0.090336</v>
      </c>
      <c r="R324" s="47" t="n">
        <f aca="false">L324*Scorecard!$C$12+M324*Scorecard!$C$13+N324*Scorecard!$C$14+O324*Scorecard!$C$15+P324*Scorecard!$C$16+Q324*Scorecard!$C$17</f>
        <v>3.77477295076831</v>
      </c>
      <c r="S324" s="47" t="n">
        <f aca="false">L324*Scorecard!$D$12+M324*Scorecard!$D$13+N324*Scorecard!$D$14+O324*Scorecard!$D$15+P324*Scorecard!$D$16+Q324*Scorecard!$D$17</f>
        <v>2.89941177334426</v>
      </c>
      <c r="T324" s="47" t="n">
        <f aca="false">L324*Scorecard!$E$12+M324*Scorecard!$E$13+N324*Scorecard!$E$14+O324*Scorecard!$E$15+P324*Scorecard!$E$16+Q324*Scorecard!$E$17</f>
        <v>4.11982494733471</v>
      </c>
      <c r="U324" s="0" t="str">
        <f aca="false">IF(AND(R324&gt;=S324,R324&gt;=T324),"Distribution",IF(T324&gt;=S324,"Prof. services","Manufacturing"))</f>
        <v>Prof. services</v>
      </c>
    </row>
    <row r="325" customFormat="false" ht="15" hidden="false" customHeight="false" outlineLevel="0" collapsed="false">
      <c r="A325" s="46" t="n">
        <v>0.209213</v>
      </c>
      <c r="B325" s="46" t="n">
        <v>0.022823</v>
      </c>
      <c r="C325" s="46" t="n">
        <v>0.293585</v>
      </c>
      <c r="D325" s="46" t="n">
        <v>0.218786</v>
      </c>
      <c r="E325" s="46" t="n">
        <v>0.088282</v>
      </c>
      <c r="F325" s="46" t="n">
        <v>0.167311</v>
      </c>
      <c r="G325" s="47" t="n">
        <f aca="false">A325*Scorecard!$C$12+B325*Scorecard!$C$13+C325*Scorecard!$C$14+D325*Scorecard!$C$15+E325*Scorecard!$C$16+F325*Scorecard!$C$17</f>
        <v>3.53040061641989</v>
      </c>
      <c r="H325" s="47" t="n">
        <f aca="false">A325*Scorecard!$D$12+B325*Scorecard!$D$13+C325*Scorecard!$D$14+D325*Scorecard!$D$15+E325*Scorecard!$D$16+F325*Scorecard!$D$17</f>
        <v>3.13567459769773</v>
      </c>
      <c r="I325" s="47" t="n">
        <f aca="false">A325*Scorecard!$E$12+B325*Scorecard!$E$13+C325*Scorecard!$E$14+D325*Scorecard!$E$15+E325*Scorecard!$E$16+F325*Scorecard!$E$17</f>
        <v>4.43241532532599</v>
      </c>
      <c r="J325" s="0" t="str">
        <f aca="false">IF(AND(G325&gt;=H325,G325&gt;=I325),"Distribution",IF(I325&gt;=H325,"Prof. services","Manufacturing"))</f>
        <v>Prof. services</v>
      </c>
      <c r="L325" s="46" t="n">
        <v>0.183147</v>
      </c>
      <c r="M325" s="46" t="n">
        <v>0.421947</v>
      </c>
      <c r="N325" s="46" t="n">
        <v>0.154117</v>
      </c>
      <c r="O325" s="46" t="n">
        <v>0.059126</v>
      </c>
      <c r="P325" s="46" t="n">
        <v>0.095464</v>
      </c>
      <c r="Q325" s="46" t="n">
        <v>0.086199</v>
      </c>
      <c r="R325" s="47" t="n">
        <f aca="false">L325*Scorecard!$C$12+M325*Scorecard!$C$13+N325*Scorecard!$C$14+O325*Scorecard!$C$15+P325*Scorecard!$C$16+Q325*Scorecard!$C$17</f>
        <v>3.97900778814631</v>
      </c>
      <c r="S325" s="47" t="n">
        <f aca="false">L325*Scorecard!$D$12+M325*Scorecard!$D$13+N325*Scorecard!$D$14+O325*Scorecard!$D$15+P325*Scorecard!$D$16+Q325*Scorecard!$D$17</f>
        <v>2.45860381129737</v>
      </c>
      <c r="T325" s="47" t="n">
        <f aca="false">L325*Scorecard!$E$12+M325*Scorecard!$E$13+N325*Scorecard!$E$14+O325*Scorecard!$E$15+P325*Scorecard!$E$16+Q325*Scorecard!$E$17</f>
        <v>3.43956148111017</v>
      </c>
      <c r="U325" s="0" t="str">
        <f aca="false">IF(AND(R325&gt;=S325,R325&gt;=T325),"Distribution",IF(T325&gt;=S325,"Prof. services","Manufacturing"))</f>
        <v>Distribution</v>
      </c>
    </row>
    <row r="326" customFormat="false" ht="15" hidden="false" customHeight="false" outlineLevel="0" collapsed="false">
      <c r="A326" s="46" t="n">
        <v>0.228825</v>
      </c>
      <c r="B326" s="46" t="n">
        <v>0.007332</v>
      </c>
      <c r="C326" s="46" t="n">
        <v>0.085206</v>
      </c>
      <c r="D326" s="46" t="n">
        <v>0.286368</v>
      </c>
      <c r="E326" s="46" t="n">
        <v>0.087319</v>
      </c>
      <c r="F326" s="46" t="n">
        <v>0.30495</v>
      </c>
      <c r="G326" s="47" t="n">
        <f aca="false">A326*Scorecard!$C$12+B326*Scorecard!$C$13+C326*Scorecard!$C$14+D326*Scorecard!$C$15+E326*Scorecard!$C$16+F326*Scorecard!$C$17</f>
        <v>3.27191173673377</v>
      </c>
      <c r="H326" s="47" t="n">
        <f aca="false">A326*Scorecard!$D$12+B326*Scorecard!$D$13+C326*Scorecard!$D$14+D326*Scorecard!$D$15+E326*Scorecard!$D$16+F326*Scorecard!$D$17</f>
        <v>3.04333751408818</v>
      </c>
      <c r="I326" s="47" t="n">
        <f aca="false">A326*Scorecard!$E$12+B326*Scorecard!$E$13+C326*Scorecard!$E$14+D326*Scorecard!$E$15+E326*Scorecard!$E$16+F326*Scorecard!$E$17</f>
        <v>4.35421845118434</v>
      </c>
      <c r="J326" s="0" t="str">
        <f aca="false">IF(AND(G326&gt;=H326,G326&gt;=I326),"Distribution",IF(I326&gt;=H326,"Prof. services","Manufacturing"))</f>
        <v>Prof. services</v>
      </c>
      <c r="L326" s="46" t="n">
        <v>0.224675</v>
      </c>
      <c r="M326" s="46" t="n">
        <v>0.085811</v>
      </c>
      <c r="N326" s="46" t="n">
        <v>0.151063</v>
      </c>
      <c r="O326" s="46" t="n">
        <v>0.309681</v>
      </c>
      <c r="P326" s="46" t="n">
        <v>0.083985</v>
      </c>
      <c r="Q326" s="46" t="n">
        <v>0.144786</v>
      </c>
      <c r="R326" s="47" t="n">
        <f aca="false">L326*Scorecard!$C$12+M326*Scorecard!$C$13+N326*Scorecard!$C$14+O326*Scorecard!$C$15+P326*Scorecard!$C$16+Q326*Scorecard!$C$17</f>
        <v>3.70150579591679</v>
      </c>
      <c r="S326" s="47" t="n">
        <f aca="false">L326*Scorecard!$D$12+M326*Scorecard!$D$13+N326*Scorecard!$D$14+O326*Scorecard!$D$15+P326*Scorecard!$D$16+Q326*Scorecard!$D$17</f>
        <v>3.18892485473073</v>
      </c>
      <c r="T326" s="47" t="n">
        <f aca="false">L326*Scorecard!$E$12+M326*Scorecard!$E$13+N326*Scorecard!$E$14+O326*Scorecard!$E$15+P326*Scorecard!$E$16+Q326*Scorecard!$E$17</f>
        <v>4.19803578578984</v>
      </c>
      <c r="U326" s="0" t="str">
        <f aca="false">IF(AND(R326&gt;=S326,R326&gt;=T326),"Distribution",IF(T326&gt;=S326,"Prof. services","Manufacturing"))</f>
        <v>Prof. services</v>
      </c>
    </row>
    <row r="327" customFormat="false" ht="15" hidden="false" customHeight="false" outlineLevel="0" collapsed="false">
      <c r="A327" s="46" t="n">
        <v>0.02693</v>
      </c>
      <c r="B327" s="46" t="n">
        <v>0.221833</v>
      </c>
      <c r="C327" s="46" t="n">
        <v>0.417576</v>
      </c>
      <c r="D327" s="46" t="n">
        <v>0.022965</v>
      </c>
      <c r="E327" s="46" t="n">
        <v>0.265162</v>
      </c>
      <c r="F327" s="46" t="n">
        <v>0.045534</v>
      </c>
      <c r="G327" s="47" t="n">
        <f aca="false">A327*Scorecard!$C$12+B327*Scorecard!$C$13+C327*Scorecard!$C$14+D327*Scorecard!$C$15+E327*Scorecard!$C$16+F327*Scorecard!$C$17</f>
        <v>4.10525561595211</v>
      </c>
      <c r="H327" s="47" t="n">
        <f aca="false">A327*Scorecard!$D$12+B327*Scorecard!$D$13+C327*Scorecard!$D$14+D327*Scorecard!$D$15+E327*Scorecard!$D$16+F327*Scorecard!$D$17</f>
        <v>2.7314883715849</v>
      </c>
      <c r="I327" s="47" t="n">
        <f aca="false">A327*Scorecard!$E$12+B327*Scorecard!$E$13+C327*Scorecard!$E$14+D327*Scorecard!$E$15+E327*Scorecard!$E$16+F327*Scorecard!$E$17</f>
        <v>3.61303791487843</v>
      </c>
      <c r="J327" s="0" t="str">
        <f aca="false">IF(AND(G327&gt;=H327,G327&gt;=I327),"Distribution",IF(I327&gt;=H327,"Prof. services","Manufacturing"))</f>
        <v>Distribution</v>
      </c>
      <c r="L327" s="46" t="n">
        <v>0.201125</v>
      </c>
      <c r="M327" s="46" t="n">
        <v>0.234352</v>
      </c>
      <c r="N327" s="46" t="n">
        <v>0.113195</v>
      </c>
      <c r="O327" s="46" t="n">
        <v>0.151226</v>
      </c>
      <c r="P327" s="46" t="n">
        <v>0.192899</v>
      </c>
      <c r="Q327" s="46" t="n">
        <v>0.107203</v>
      </c>
      <c r="R327" s="47" t="n">
        <f aca="false">L327*Scorecard!$C$12+M327*Scorecard!$C$13+N327*Scorecard!$C$14+O327*Scorecard!$C$15+P327*Scorecard!$C$16+Q327*Scorecard!$C$17</f>
        <v>3.80914413176261</v>
      </c>
      <c r="S327" s="47" t="n">
        <f aca="false">L327*Scorecard!$D$12+M327*Scorecard!$D$13+N327*Scorecard!$D$14+O327*Scorecard!$D$15+P327*Scorecard!$D$16+Q327*Scorecard!$D$17</f>
        <v>2.85965071921676</v>
      </c>
      <c r="T327" s="47" t="n">
        <f aca="false">L327*Scorecard!$E$12+M327*Scorecard!$E$13+N327*Scorecard!$E$14+O327*Scorecard!$E$15+P327*Scorecard!$E$16+Q327*Scorecard!$E$17</f>
        <v>3.63169321331223</v>
      </c>
      <c r="U327" s="0" t="str">
        <f aca="false">IF(AND(R327&gt;=S327,R327&gt;=T327),"Distribution",IF(T327&gt;=S327,"Prof. services","Manufacturing"))</f>
        <v>Distribution</v>
      </c>
    </row>
    <row r="328" customFormat="false" ht="15" hidden="false" customHeight="false" outlineLevel="0" collapsed="false">
      <c r="A328" s="46" t="n">
        <v>0.078308</v>
      </c>
      <c r="B328" s="46" t="n">
        <v>0.06611</v>
      </c>
      <c r="C328" s="46" t="n">
        <v>0.332182</v>
      </c>
      <c r="D328" s="46" t="n">
        <v>0.00933</v>
      </c>
      <c r="E328" s="46" t="n">
        <v>0.18006</v>
      </c>
      <c r="F328" s="46" t="n">
        <v>0.33401</v>
      </c>
      <c r="G328" s="47" t="n">
        <f aca="false">A328*Scorecard!$C$12+B328*Scorecard!$C$13+C328*Scorecard!$C$14+D328*Scorecard!$C$15+E328*Scorecard!$C$16+F328*Scorecard!$C$17</f>
        <v>3.26646448325204</v>
      </c>
      <c r="H328" s="47" t="n">
        <f aca="false">A328*Scorecard!$D$12+B328*Scorecard!$D$13+C328*Scorecard!$D$14+D328*Scorecard!$D$15+E328*Scorecard!$D$16+F328*Scorecard!$D$17</f>
        <v>2.52230082527557</v>
      </c>
      <c r="I328" s="47" t="n">
        <f aca="false">A328*Scorecard!$E$12+B328*Scorecard!$E$13+C328*Scorecard!$E$14+D328*Scorecard!$E$15+E328*Scorecard!$E$16+F328*Scorecard!$E$17</f>
        <v>4.15493105650068</v>
      </c>
      <c r="J328" s="0" t="str">
        <f aca="false">IF(AND(G328&gt;=H328,G328&gt;=I328),"Distribution",IF(I328&gt;=H328,"Prof. services","Manufacturing"))</f>
        <v>Prof. services</v>
      </c>
      <c r="L328" s="46" t="n">
        <v>0.197249</v>
      </c>
      <c r="M328" s="46" t="n">
        <v>0.270202</v>
      </c>
      <c r="N328" s="46" t="n">
        <v>0.116037</v>
      </c>
      <c r="O328" s="46" t="n">
        <v>0.180803</v>
      </c>
      <c r="P328" s="46" t="n">
        <v>0.043701</v>
      </c>
      <c r="Q328" s="46" t="n">
        <v>0.192009</v>
      </c>
      <c r="R328" s="47" t="n">
        <f aca="false">L328*Scorecard!$C$12+M328*Scorecard!$C$13+N328*Scorecard!$C$14+O328*Scorecard!$C$15+P328*Scorecard!$C$16+Q328*Scorecard!$C$17</f>
        <v>3.71193998703813</v>
      </c>
      <c r="S328" s="47" t="n">
        <f aca="false">L328*Scorecard!$D$12+M328*Scorecard!$D$13+N328*Scorecard!$D$14+O328*Scorecard!$D$15+P328*Scorecard!$D$16+Q328*Scorecard!$D$17</f>
        <v>2.66058039574938</v>
      </c>
      <c r="T328" s="47" t="n">
        <f aca="false">L328*Scorecard!$E$12+M328*Scorecard!$E$13+N328*Scorecard!$E$14+O328*Scorecard!$E$15+P328*Scorecard!$E$16+Q328*Scorecard!$E$17</f>
        <v>3.85934362241351</v>
      </c>
      <c r="U328" s="0" t="str">
        <f aca="false">IF(AND(R328&gt;=S328,R328&gt;=T328),"Distribution",IF(T328&gt;=S328,"Prof. services","Manufacturing"))</f>
        <v>Prof. services</v>
      </c>
    </row>
    <row r="329" customFormat="false" ht="15" hidden="false" customHeight="false" outlineLevel="0" collapsed="false">
      <c r="A329" s="46" t="n">
        <v>0.203633</v>
      </c>
      <c r="B329" s="46" t="n">
        <v>0.080479</v>
      </c>
      <c r="C329" s="46" t="n">
        <v>0.132884</v>
      </c>
      <c r="D329" s="46" t="n">
        <v>0.070119</v>
      </c>
      <c r="E329" s="46" t="n">
        <v>0.096814</v>
      </c>
      <c r="F329" s="46" t="n">
        <v>0.416071</v>
      </c>
      <c r="G329" s="47" t="n">
        <f aca="false">A329*Scorecard!$C$12+B329*Scorecard!$C$13+C329*Scorecard!$C$14+D329*Scorecard!$C$15+E329*Scorecard!$C$16+F329*Scorecard!$C$17</f>
        <v>2.9519136959961</v>
      </c>
      <c r="H329" s="47" t="n">
        <f aca="false">A329*Scorecard!$D$12+B329*Scorecard!$D$13+C329*Scorecard!$D$14+D329*Scorecard!$D$15+E329*Scorecard!$D$16+F329*Scorecard!$D$17</f>
        <v>2.50304792107621</v>
      </c>
      <c r="I329" s="47" t="n">
        <f aca="false">A329*Scorecard!$E$12+B329*Scorecard!$E$13+C329*Scorecard!$E$14+D329*Scorecard!$E$15+E329*Scorecard!$E$16+F329*Scorecard!$E$17</f>
        <v>4.24375767081985</v>
      </c>
      <c r="J329" s="0" t="str">
        <f aca="false">IF(AND(G329&gt;=H329,G329&gt;=I329),"Distribution",IF(I329&gt;=H329,"Prof. services","Manufacturing"))</f>
        <v>Prof. services</v>
      </c>
      <c r="L329" s="46" t="n">
        <v>0.207886</v>
      </c>
      <c r="M329" s="46" t="n">
        <v>0.306175</v>
      </c>
      <c r="N329" s="46" t="n">
        <v>0.051065</v>
      </c>
      <c r="O329" s="46" t="n">
        <v>0.220622</v>
      </c>
      <c r="P329" s="46" t="n">
        <v>0.10883</v>
      </c>
      <c r="Q329" s="46" t="n">
        <v>0.105422</v>
      </c>
      <c r="R329" s="47" t="n">
        <f aca="false">L329*Scorecard!$C$12+M329*Scorecard!$C$13+N329*Scorecard!$C$14+O329*Scorecard!$C$15+P329*Scorecard!$C$16+Q329*Scorecard!$C$17</f>
        <v>3.9417552353442</v>
      </c>
      <c r="S329" s="47" t="n">
        <f aca="false">L329*Scorecard!$D$12+M329*Scorecard!$D$13+N329*Scorecard!$D$14+O329*Scorecard!$D$15+P329*Scorecard!$D$16+Q329*Scorecard!$D$17</f>
        <v>2.81129439179975</v>
      </c>
      <c r="T329" s="47" t="n">
        <f aca="false">L329*Scorecard!$E$12+M329*Scorecard!$E$13+N329*Scorecard!$E$14+O329*Scorecard!$E$15+P329*Scorecard!$E$16+Q329*Scorecard!$E$17</f>
        <v>3.59222698481904</v>
      </c>
      <c r="U329" s="0" t="str">
        <f aca="false">IF(AND(R329&gt;=S329,R329&gt;=T329),"Distribution",IF(T329&gt;=S329,"Prof. services","Manufacturing"))</f>
        <v>Distribution</v>
      </c>
    </row>
    <row r="330" customFormat="false" ht="15" hidden="false" customHeight="false" outlineLevel="0" collapsed="false">
      <c r="A330" s="46" t="n">
        <v>0.12633</v>
      </c>
      <c r="B330" s="46" t="n">
        <v>0.322579</v>
      </c>
      <c r="C330" s="46" t="n">
        <v>0.065329</v>
      </c>
      <c r="D330" s="46" t="n">
        <v>0.006438</v>
      </c>
      <c r="E330" s="46" t="n">
        <v>0.182206</v>
      </c>
      <c r="F330" s="46" t="n">
        <v>0.297119</v>
      </c>
      <c r="G330" s="47" t="n">
        <f aca="false">A330*Scorecard!$C$12+B330*Scorecard!$C$13+C330*Scorecard!$C$14+D330*Scorecard!$C$15+E330*Scorecard!$C$16+F330*Scorecard!$C$17</f>
        <v>3.50738719841179</v>
      </c>
      <c r="H330" s="47" t="n">
        <f aca="false">A330*Scorecard!$D$12+B330*Scorecard!$D$13+C330*Scorecard!$D$14+D330*Scorecard!$D$15+E330*Scorecard!$D$16+F330*Scorecard!$D$17</f>
        <v>2.221768164161</v>
      </c>
      <c r="I330" s="47" t="n">
        <f aca="false">A330*Scorecard!$E$12+B330*Scorecard!$E$13+C330*Scorecard!$E$14+D330*Scorecard!$E$15+E330*Scorecard!$E$16+F330*Scorecard!$E$17</f>
        <v>3.43257722250834</v>
      </c>
      <c r="J330" s="0" t="str">
        <f aca="false">IF(AND(G330&gt;=H330,G330&gt;=I330),"Distribution",IF(I330&gt;=H330,"Prof. services","Manufacturing"))</f>
        <v>Distribution</v>
      </c>
      <c r="L330" s="46" t="n">
        <v>0.222977</v>
      </c>
      <c r="M330" s="46" t="n">
        <v>0.165244</v>
      </c>
      <c r="N330" s="46" t="n">
        <v>0.211928</v>
      </c>
      <c r="O330" s="46" t="n">
        <v>0.106217</v>
      </c>
      <c r="P330" s="46" t="n">
        <v>0.22098</v>
      </c>
      <c r="Q330" s="46" t="n">
        <v>0.072655</v>
      </c>
      <c r="R330" s="47" t="n">
        <f aca="false">L330*Scorecard!$C$12+M330*Scorecard!$C$13+N330*Scorecard!$C$14+O330*Scorecard!$C$15+P330*Scorecard!$C$16+Q330*Scorecard!$C$17</f>
        <v>3.72479322013191</v>
      </c>
      <c r="S330" s="47" t="n">
        <f aca="false">L330*Scorecard!$D$12+M330*Scorecard!$D$13+N330*Scorecard!$D$14+O330*Scorecard!$D$15+P330*Scorecard!$D$16+Q330*Scorecard!$D$17</f>
        <v>2.98689734515397</v>
      </c>
      <c r="T330" s="47" t="n">
        <f aca="false">L330*Scorecard!$E$12+M330*Scorecard!$E$13+N330*Scorecard!$E$14+O330*Scorecard!$E$15+P330*Scorecard!$E$16+Q330*Scorecard!$E$17</f>
        <v>3.81043821177525</v>
      </c>
      <c r="U330" s="0" t="str">
        <f aca="false">IF(AND(R330&gt;=S330,R330&gt;=T330),"Distribution",IF(T330&gt;=S330,"Prof. services","Manufacturing"))</f>
        <v>Prof. services</v>
      </c>
    </row>
    <row r="331" customFormat="false" ht="15" hidden="false" customHeight="false" outlineLevel="0" collapsed="false">
      <c r="A331" s="46" t="n">
        <v>0.038007</v>
      </c>
      <c r="B331" s="46" t="n">
        <v>0.430289</v>
      </c>
      <c r="C331" s="46" t="n">
        <v>0.046622</v>
      </c>
      <c r="D331" s="46" t="n">
        <v>0.13648</v>
      </c>
      <c r="E331" s="46" t="n">
        <v>0.310049</v>
      </c>
      <c r="F331" s="46" t="n">
        <v>0.038553</v>
      </c>
      <c r="G331" s="47" t="n">
        <f aca="false">A331*Scorecard!$C$12+B331*Scorecard!$C$13+C331*Scorecard!$C$14+D331*Scorecard!$C$15+E331*Scorecard!$C$16+F331*Scorecard!$C$17</f>
        <v>4.42124985798335</v>
      </c>
      <c r="H331" s="47" t="n">
        <f aca="false">A331*Scorecard!$D$12+B331*Scorecard!$D$13+C331*Scorecard!$D$14+D331*Scorecard!$D$15+E331*Scorecard!$D$16+F331*Scorecard!$D$17</f>
        <v>2.5827558716477</v>
      </c>
      <c r="I331" s="47" t="n">
        <f aca="false">A331*Scorecard!$E$12+B331*Scorecard!$E$13+C331*Scorecard!$E$14+D331*Scorecard!$E$15+E331*Scorecard!$E$16+F331*Scorecard!$E$17</f>
        <v>2.80251024790972</v>
      </c>
      <c r="J331" s="0" t="str">
        <f aca="false">IF(AND(G331&gt;=H331,G331&gt;=I331),"Distribution",IF(I331&gt;=H331,"Prof. services","Manufacturing"))</f>
        <v>Distribution</v>
      </c>
      <c r="L331" s="46" t="n">
        <v>0.209526</v>
      </c>
      <c r="M331" s="46" t="n">
        <v>0.211191</v>
      </c>
      <c r="N331" s="46" t="n">
        <v>0.221193</v>
      </c>
      <c r="O331" s="46" t="n">
        <v>0.081156</v>
      </c>
      <c r="P331" s="46" t="n">
        <v>0.097819</v>
      </c>
      <c r="Q331" s="46" t="n">
        <v>0.179114</v>
      </c>
      <c r="R331" s="47" t="n">
        <f aca="false">L331*Scorecard!$C$12+M331*Scorecard!$C$13+N331*Scorecard!$C$14+O331*Scorecard!$C$15+P331*Scorecard!$C$16+Q331*Scorecard!$C$17</f>
        <v>3.55696521195621</v>
      </c>
      <c r="S331" s="47" t="n">
        <f aca="false">L331*Scorecard!$D$12+M331*Scorecard!$D$13+N331*Scorecard!$D$14+O331*Scorecard!$D$15+P331*Scorecard!$D$16+Q331*Scorecard!$D$17</f>
        <v>2.67928594842689</v>
      </c>
      <c r="T331" s="47" t="n">
        <f aca="false">L331*Scorecard!$E$12+M331*Scorecard!$E$13+N331*Scorecard!$E$14+O331*Scorecard!$E$15+P331*Scorecard!$E$16+Q331*Scorecard!$E$17</f>
        <v>3.97445165735091</v>
      </c>
      <c r="U331" s="0" t="str">
        <f aca="false">IF(AND(R331&gt;=S331,R331&gt;=T331),"Distribution",IF(T331&gt;=S331,"Prof. services","Manufacturing"))</f>
        <v>Prof. services</v>
      </c>
    </row>
    <row r="332" customFormat="false" ht="15" hidden="false" customHeight="false" outlineLevel="0" collapsed="false">
      <c r="A332" s="46" t="n">
        <v>0.202129</v>
      </c>
      <c r="B332" s="46" t="n">
        <v>0.157681</v>
      </c>
      <c r="C332" s="46" t="n">
        <v>0.222174</v>
      </c>
      <c r="D332" s="46" t="n">
        <v>0.016607</v>
      </c>
      <c r="E332" s="46" t="n">
        <v>0.060298</v>
      </c>
      <c r="F332" s="46" t="n">
        <v>0.341111</v>
      </c>
      <c r="G332" s="47" t="n">
        <f aca="false">A332*Scorecard!$C$12+B332*Scorecard!$C$13+C332*Scorecard!$C$14+D332*Scorecard!$C$15+E332*Scorecard!$C$16+F332*Scorecard!$C$17</f>
        <v>3.1282309174446</v>
      </c>
      <c r="H332" s="47" t="n">
        <f aca="false">A332*Scorecard!$D$12+B332*Scorecard!$D$13+C332*Scorecard!$D$14+D332*Scorecard!$D$15+E332*Scorecard!$D$16+F332*Scorecard!$D$17</f>
        <v>2.42449440374486</v>
      </c>
      <c r="I332" s="47" t="n">
        <f aca="false">A332*Scorecard!$E$12+B332*Scorecard!$E$13+C332*Scorecard!$E$14+D332*Scorecard!$E$15+E332*Scorecard!$E$16+F332*Scorecard!$E$17</f>
        <v>4.20134269365669</v>
      </c>
      <c r="J332" s="0" t="str">
        <f aca="false">IF(AND(G332&gt;=H332,G332&gt;=I332),"Distribution",IF(I332&gt;=H332,"Prof. services","Manufacturing"))</f>
        <v>Prof. services</v>
      </c>
      <c r="L332" s="46" t="n">
        <v>0.252145</v>
      </c>
      <c r="M332" s="46" t="n">
        <v>0.245453</v>
      </c>
      <c r="N332" s="46" t="n">
        <v>0.218513</v>
      </c>
      <c r="O332" s="46" t="n">
        <v>0.103042</v>
      </c>
      <c r="P332" s="46" t="n">
        <v>0.097692</v>
      </c>
      <c r="Q332" s="46" t="n">
        <v>0.083154</v>
      </c>
      <c r="R332" s="47" t="n">
        <f aca="false">L332*Scorecard!$C$12+M332*Scorecard!$C$13+N332*Scorecard!$C$14+O332*Scorecard!$C$15+P332*Scorecard!$C$16+Q332*Scorecard!$C$17</f>
        <v>3.72831840416797</v>
      </c>
      <c r="S332" s="47" t="n">
        <f aca="false">L332*Scorecard!$D$12+M332*Scorecard!$D$13+N332*Scorecard!$D$14+O332*Scorecard!$D$15+P332*Scorecard!$D$16+Q332*Scorecard!$D$17</f>
        <v>2.82524435955941</v>
      </c>
      <c r="T332" s="47" t="n">
        <f aca="false">L332*Scorecard!$E$12+M332*Scorecard!$E$13+N332*Scorecard!$E$14+O332*Scorecard!$E$15+P332*Scorecard!$E$16+Q332*Scorecard!$E$17</f>
        <v>3.90595266082093</v>
      </c>
      <c r="U332" s="0" t="str">
        <f aca="false">IF(AND(R332&gt;=S332,R332&gt;=T332),"Distribution",IF(T332&gt;=S332,"Prof. services","Manufacturing"))</f>
        <v>Prof. services</v>
      </c>
    </row>
    <row r="333" customFormat="false" ht="15" hidden="false" customHeight="false" outlineLevel="0" collapsed="false">
      <c r="A333" s="46" t="n">
        <v>0.004914</v>
      </c>
      <c r="B333" s="46" t="n">
        <v>0.360005</v>
      </c>
      <c r="C333" s="46" t="n">
        <v>0.26974</v>
      </c>
      <c r="D333" s="46" t="n">
        <v>0.02006</v>
      </c>
      <c r="E333" s="46" t="n">
        <v>0.034625</v>
      </c>
      <c r="F333" s="46" t="n">
        <v>0.310655</v>
      </c>
      <c r="G333" s="47" t="n">
        <f aca="false">A333*Scorecard!$C$12+B333*Scorecard!$C$13+C333*Scorecard!$C$14+D333*Scorecard!$C$15+E333*Scorecard!$C$16+F333*Scorecard!$C$17</f>
        <v>3.7499057299216</v>
      </c>
      <c r="H333" s="47" t="n">
        <f aca="false">A333*Scorecard!$D$12+B333*Scorecard!$D$13+C333*Scorecard!$D$14+D333*Scorecard!$D$15+E333*Scorecard!$D$16+F333*Scorecard!$D$17</f>
        <v>2.03165616035481</v>
      </c>
      <c r="I333" s="47" t="n">
        <f aca="false">A333*Scorecard!$E$12+B333*Scorecard!$E$13+C333*Scorecard!$E$14+D333*Scorecard!$E$15+E333*Scorecard!$E$16+F333*Scorecard!$E$17</f>
        <v>3.70034032651999</v>
      </c>
      <c r="J333" s="0" t="str">
        <f aca="false">IF(AND(G333&gt;=H333,G333&gt;=I333),"Distribution",IF(I333&gt;=H333,"Prof. services","Manufacturing"))</f>
        <v>Distribution</v>
      </c>
      <c r="L333" s="46" t="n">
        <v>0.272591</v>
      </c>
      <c r="M333" s="46" t="n">
        <v>0.189114</v>
      </c>
      <c r="N333" s="46" t="n">
        <v>0.110953</v>
      </c>
      <c r="O333" s="46" t="n">
        <v>0.056641</v>
      </c>
      <c r="P333" s="46" t="n">
        <v>0.189174</v>
      </c>
      <c r="Q333" s="46" t="n">
        <v>0.181527</v>
      </c>
      <c r="R333" s="47" t="n">
        <f aca="false">L333*Scorecard!$C$12+M333*Scorecard!$C$13+N333*Scorecard!$C$14+O333*Scorecard!$C$15+P333*Scorecard!$C$16+Q333*Scorecard!$C$17</f>
        <v>3.3920333125882</v>
      </c>
      <c r="S333" s="47" t="n">
        <f aca="false">L333*Scorecard!$D$12+M333*Scorecard!$D$13+N333*Scorecard!$D$14+O333*Scorecard!$D$15+P333*Scorecard!$D$16+Q333*Scorecard!$D$17</f>
        <v>2.75253668907722</v>
      </c>
      <c r="T333" s="47" t="n">
        <f aca="false">L333*Scorecard!$E$12+M333*Scorecard!$E$13+N333*Scorecard!$E$14+O333*Scorecard!$E$15+P333*Scorecard!$E$16+Q333*Scorecard!$E$17</f>
        <v>3.81361300719294</v>
      </c>
      <c r="U333" s="0" t="str">
        <f aca="false">IF(AND(R333&gt;=S333,R333&gt;=T333),"Distribution",IF(T333&gt;=S333,"Prof. services","Manufacturing"))</f>
        <v>Prof. services</v>
      </c>
    </row>
    <row r="334" customFormat="false" ht="15" hidden="false" customHeight="false" outlineLevel="0" collapsed="false">
      <c r="A334" s="46" t="n">
        <v>0.215457</v>
      </c>
      <c r="B334" s="46" t="n">
        <v>0.178977</v>
      </c>
      <c r="C334" s="46" t="n">
        <v>0.10154</v>
      </c>
      <c r="D334" s="46" t="n">
        <v>0.186712</v>
      </c>
      <c r="E334" s="46" t="n">
        <v>0.144798</v>
      </c>
      <c r="F334" s="46" t="n">
        <v>0.172516</v>
      </c>
      <c r="G334" s="47" t="n">
        <f aca="false">A334*Scorecard!$C$12+B334*Scorecard!$C$13+C334*Scorecard!$C$14+D334*Scorecard!$C$15+E334*Scorecard!$C$16+F334*Scorecard!$C$17</f>
        <v>3.6328313273744</v>
      </c>
      <c r="H334" s="47" t="n">
        <f aca="false">A334*Scorecard!$D$12+B334*Scorecard!$D$13+C334*Scorecard!$D$14+D334*Scorecard!$D$15+E334*Scorecard!$D$16+F334*Scorecard!$D$17</f>
        <v>2.87931258252731</v>
      </c>
      <c r="I334" s="47" t="n">
        <f aca="false">A334*Scorecard!$E$12+B334*Scorecard!$E$13+C334*Scorecard!$E$14+D334*Scorecard!$E$15+E334*Scorecard!$E$16+F334*Scorecard!$E$17</f>
        <v>3.8568793231332</v>
      </c>
      <c r="J334" s="0" t="str">
        <f aca="false">IF(AND(G334&gt;=H334,G334&gt;=I334),"Distribution",IF(I334&gt;=H334,"Prof. services","Manufacturing"))</f>
        <v>Prof. services</v>
      </c>
      <c r="L334" s="46" t="n">
        <v>0.098289</v>
      </c>
      <c r="M334" s="46" t="n">
        <v>0.311473</v>
      </c>
      <c r="N334" s="46" t="n">
        <v>0.260257</v>
      </c>
      <c r="O334" s="46" t="n">
        <v>0.105923</v>
      </c>
      <c r="P334" s="46" t="n">
        <v>0.17805</v>
      </c>
      <c r="Q334" s="46" t="n">
        <v>0.046008</v>
      </c>
      <c r="R334" s="47" t="n">
        <f aca="false">L334*Scorecard!$C$12+M334*Scorecard!$C$13+N334*Scorecard!$C$14+O334*Scorecard!$C$15+P334*Scorecard!$C$16+Q334*Scorecard!$C$17</f>
        <v>4.14845839830362</v>
      </c>
      <c r="S334" s="47" t="n">
        <f aca="false">L334*Scorecard!$D$12+M334*Scorecard!$D$13+N334*Scorecard!$D$14+O334*Scorecard!$D$15+P334*Scorecard!$D$16+Q334*Scorecard!$D$17</f>
        <v>2.71036193579409</v>
      </c>
      <c r="T334" s="47" t="n">
        <f aca="false">L334*Scorecard!$E$12+M334*Scorecard!$E$13+N334*Scorecard!$E$14+O334*Scorecard!$E$15+P334*Scorecard!$E$16+Q334*Scorecard!$E$17</f>
        <v>3.51798817316152</v>
      </c>
      <c r="U334" s="0" t="str">
        <f aca="false">IF(AND(R334&gt;=S334,R334&gt;=T334),"Distribution",IF(T334&gt;=S334,"Prof. services","Manufacturing"))</f>
        <v>Distribution</v>
      </c>
    </row>
    <row r="335" customFormat="false" ht="15" hidden="false" customHeight="false" outlineLevel="0" collapsed="false">
      <c r="A335" s="46" t="n">
        <v>0.306323</v>
      </c>
      <c r="B335" s="46" t="n">
        <v>0.005996</v>
      </c>
      <c r="C335" s="46" t="n">
        <v>0.377055</v>
      </c>
      <c r="D335" s="46" t="n">
        <v>0.05829</v>
      </c>
      <c r="E335" s="46" t="n">
        <v>0.057223</v>
      </c>
      <c r="F335" s="46" t="n">
        <v>0.195113</v>
      </c>
      <c r="G335" s="47" t="n">
        <f aca="false">A335*Scorecard!$C$12+B335*Scorecard!$C$13+C335*Scorecard!$C$14+D335*Scorecard!$C$15+E335*Scorecard!$C$16+F335*Scorecard!$C$17</f>
        <v>3.12267423153719</v>
      </c>
      <c r="H335" s="47" t="n">
        <f aca="false">A335*Scorecard!$D$12+B335*Scorecard!$D$13+C335*Scorecard!$D$14+D335*Scorecard!$D$15+E335*Scorecard!$D$16+F335*Scorecard!$D$17</f>
        <v>2.98722509847459</v>
      </c>
      <c r="I335" s="47" t="n">
        <f aca="false">A335*Scorecard!$E$12+B335*Scorecard!$E$13+C335*Scorecard!$E$14+D335*Scorecard!$E$15+E335*Scorecard!$E$16+F335*Scorecard!$E$17</f>
        <v>4.683882797252</v>
      </c>
      <c r="J335" s="0" t="str">
        <f aca="false">IF(AND(G335&gt;=H335,G335&gt;=I335),"Distribution",IF(I335&gt;=H335,"Prof. services","Manufacturing"))</f>
        <v>Prof. services</v>
      </c>
      <c r="L335" s="46" t="n">
        <v>0.172252</v>
      </c>
      <c r="M335" s="46" t="n">
        <v>0.190508</v>
      </c>
      <c r="N335" s="46" t="n">
        <v>0.31005</v>
      </c>
      <c r="O335" s="46" t="n">
        <v>0.121419</v>
      </c>
      <c r="P335" s="46" t="n">
        <v>0.096946</v>
      </c>
      <c r="Q335" s="46" t="n">
        <v>0.108826</v>
      </c>
      <c r="R335" s="47" t="n">
        <f aca="false">L335*Scorecard!$C$12+M335*Scorecard!$C$13+N335*Scorecard!$C$14+O335*Scorecard!$C$15+P335*Scorecard!$C$16+Q335*Scorecard!$C$17</f>
        <v>3.78422294351957</v>
      </c>
      <c r="S335" s="47" t="n">
        <f aca="false">L335*Scorecard!$D$12+M335*Scorecard!$D$13+N335*Scorecard!$D$14+O335*Scorecard!$D$15+P335*Scorecard!$D$16+Q335*Scorecard!$D$17</f>
        <v>2.83746697416777</v>
      </c>
      <c r="T335" s="47" t="n">
        <f aca="false">L335*Scorecard!$E$12+M335*Scorecard!$E$13+N335*Scorecard!$E$14+O335*Scorecard!$E$15+P335*Scorecard!$E$16+Q335*Scorecard!$E$17</f>
        <v>4.03775400563664</v>
      </c>
      <c r="U335" s="0" t="str">
        <f aca="false">IF(AND(R335&gt;=S335,R335&gt;=T335),"Distribution",IF(T335&gt;=S335,"Prof. services","Manufacturing"))</f>
        <v>Prof. services</v>
      </c>
    </row>
    <row r="336" customFormat="false" ht="15" hidden="false" customHeight="false" outlineLevel="0" collapsed="false">
      <c r="A336" s="46" t="n">
        <v>0.51885</v>
      </c>
      <c r="B336" s="46" t="n">
        <v>0.216021</v>
      </c>
      <c r="C336" s="46" t="n">
        <v>0.073083</v>
      </c>
      <c r="D336" s="46" t="n">
        <v>0.028872</v>
      </c>
      <c r="E336" s="46" t="n">
        <v>0.142761</v>
      </c>
      <c r="F336" s="46" t="n">
        <v>0.020413</v>
      </c>
      <c r="G336" s="47" t="n">
        <f aca="false">A336*Scorecard!$C$12+B336*Scorecard!$C$13+C336*Scorecard!$C$14+D336*Scorecard!$C$15+E336*Scorecard!$C$16+F336*Scorecard!$C$17</f>
        <v>3.27012960069623</v>
      </c>
      <c r="H336" s="47" t="n">
        <f aca="false">A336*Scorecard!$D$12+B336*Scorecard!$D$13+C336*Scorecard!$D$14+D336*Scorecard!$D$15+E336*Scorecard!$D$16+F336*Scorecard!$D$17</f>
        <v>3.06886884042885</v>
      </c>
      <c r="I336" s="47" t="n">
        <f aca="false">A336*Scorecard!$E$12+B336*Scorecard!$E$13+C336*Scorecard!$E$14+D336*Scorecard!$E$15+E336*Scorecard!$E$16+F336*Scorecard!$E$17</f>
        <v>3.96377639560012</v>
      </c>
      <c r="J336" s="0" t="str">
        <f aca="false">IF(AND(G336&gt;=H336,G336&gt;=I336),"Distribution",IF(I336&gt;=H336,"Prof. services","Manufacturing"))</f>
        <v>Prof. services</v>
      </c>
      <c r="L336" s="46" t="n">
        <v>0.252914</v>
      </c>
      <c r="M336" s="46" t="n">
        <v>0.145217</v>
      </c>
      <c r="N336" s="46" t="n">
        <v>0.125553</v>
      </c>
      <c r="O336" s="46" t="n">
        <v>0.088476</v>
      </c>
      <c r="P336" s="46" t="n">
        <v>0.260067</v>
      </c>
      <c r="Q336" s="46" t="n">
        <v>0.127773</v>
      </c>
      <c r="R336" s="47" t="n">
        <f aca="false">L336*Scorecard!$C$12+M336*Scorecard!$C$13+N336*Scorecard!$C$14+O336*Scorecard!$C$15+P336*Scorecard!$C$16+Q336*Scorecard!$C$17</f>
        <v>3.52289819320129</v>
      </c>
      <c r="S336" s="47" t="n">
        <f aca="false">L336*Scorecard!$D$12+M336*Scorecard!$D$13+N336*Scorecard!$D$14+O336*Scorecard!$D$15+P336*Scorecard!$D$16+Q336*Scorecard!$D$17</f>
        <v>2.94654405722674</v>
      </c>
      <c r="T336" s="47" t="n">
        <f aca="false">L336*Scorecard!$E$12+M336*Scorecard!$E$13+N336*Scorecard!$E$14+O336*Scorecard!$E$15+P336*Scorecard!$E$16+Q336*Scorecard!$E$17</f>
        <v>3.75106112336791</v>
      </c>
      <c r="U336" s="0" t="str">
        <f aca="false">IF(AND(R336&gt;=S336,R336&gt;=T336),"Distribution",IF(T336&gt;=S336,"Prof. services","Manufacturing"))</f>
        <v>Prof. services</v>
      </c>
    </row>
    <row r="337" customFormat="false" ht="15" hidden="false" customHeight="false" outlineLevel="0" collapsed="false">
      <c r="A337" s="46" t="n">
        <v>0.258738</v>
      </c>
      <c r="B337" s="46" t="n">
        <v>0.047127</v>
      </c>
      <c r="C337" s="46" t="n">
        <v>0.175552</v>
      </c>
      <c r="D337" s="46" t="n">
        <v>0.222286</v>
      </c>
      <c r="E337" s="46" t="n">
        <v>0.116564</v>
      </c>
      <c r="F337" s="46" t="n">
        <v>0.179732</v>
      </c>
      <c r="G337" s="47" t="n">
        <f aca="false">A337*Scorecard!$C$12+B337*Scorecard!$C$13+C337*Scorecard!$C$14+D337*Scorecard!$C$15+E337*Scorecard!$C$16+F337*Scorecard!$C$17</f>
        <v>3.4442129101454</v>
      </c>
      <c r="H337" s="47" t="n">
        <f aca="false">A337*Scorecard!$D$12+B337*Scorecard!$D$13+C337*Scorecard!$D$14+D337*Scorecard!$D$15+E337*Scorecard!$D$16+F337*Scorecard!$D$17</f>
        <v>3.12675251450024</v>
      </c>
      <c r="I337" s="47" t="n">
        <f aca="false">A337*Scorecard!$E$12+B337*Scorecard!$E$13+C337*Scorecard!$E$14+D337*Scorecard!$E$15+E337*Scorecard!$E$16+F337*Scorecard!$E$17</f>
        <v>4.27796726501314</v>
      </c>
      <c r="J337" s="0" t="str">
        <f aca="false">IF(AND(G337&gt;=H337,G337&gt;=I337),"Distribution",IF(I337&gt;=H337,"Prof. services","Manufacturing"))</f>
        <v>Prof. services</v>
      </c>
      <c r="L337" s="46" t="n">
        <v>0.171784</v>
      </c>
      <c r="M337" s="46" t="n">
        <v>0.302627</v>
      </c>
      <c r="N337" s="46" t="n">
        <v>0.143251</v>
      </c>
      <c r="O337" s="46" t="n">
        <v>0.140014</v>
      </c>
      <c r="P337" s="46" t="n">
        <v>0.077455</v>
      </c>
      <c r="Q337" s="46" t="n">
        <v>0.16487</v>
      </c>
      <c r="R337" s="47" t="n">
        <f aca="false">L337*Scorecard!$C$12+M337*Scorecard!$C$13+N337*Scorecard!$C$14+O337*Scorecard!$C$15+P337*Scorecard!$C$16+Q337*Scorecard!$C$17</f>
        <v>3.8036913501937</v>
      </c>
      <c r="S337" s="47" t="n">
        <f aca="false">L337*Scorecard!$D$12+M337*Scorecard!$D$13+N337*Scorecard!$D$14+O337*Scorecard!$D$15+P337*Scorecard!$D$16+Q337*Scorecard!$D$17</f>
        <v>2.59983033126808</v>
      </c>
      <c r="T337" s="47" t="n">
        <f aca="false">L337*Scorecard!$E$12+M337*Scorecard!$E$13+N337*Scorecard!$E$14+O337*Scorecard!$E$15+P337*Scorecard!$E$16+Q337*Scorecard!$E$17</f>
        <v>3.72375663658707</v>
      </c>
      <c r="U337" s="0" t="str">
        <f aca="false">IF(AND(R337&gt;=S337,R337&gt;=T337),"Distribution",IF(T337&gt;=S337,"Prof. services","Manufacturing"))</f>
        <v>Distribution</v>
      </c>
    </row>
    <row r="338" customFormat="false" ht="15" hidden="false" customHeight="false" outlineLevel="0" collapsed="false">
      <c r="A338" s="46" t="n">
        <v>0.158707</v>
      </c>
      <c r="B338" s="46" t="n">
        <v>0.080843</v>
      </c>
      <c r="C338" s="46" t="n">
        <v>0.23958</v>
      </c>
      <c r="D338" s="46" t="n">
        <v>0.22208</v>
      </c>
      <c r="E338" s="46" t="n">
        <v>0.029065</v>
      </c>
      <c r="F338" s="46" t="n">
        <v>0.269726</v>
      </c>
      <c r="G338" s="47" t="n">
        <f aca="false">A338*Scorecard!$C$12+B338*Scorecard!$C$13+C338*Scorecard!$C$14+D338*Scorecard!$C$15+E338*Scorecard!$C$16+F338*Scorecard!$C$17</f>
        <v>3.47780013668439</v>
      </c>
      <c r="H338" s="47" t="n">
        <f aca="false">A338*Scorecard!$D$12+B338*Scorecard!$D$13+C338*Scorecard!$D$14+D338*Scorecard!$D$15+E338*Scorecard!$D$16+F338*Scorecard!$D$17</f>
        <v>2.84567954080422</v>
      </c>
      <c r="I338" s="47" t="n">
        <f aca="false">A338*Scorecard!$E$12+B338*Scorecard!$E$13+C338*Scorecard!$E$14+D338*Scorecard!$E$15+E338*Scorecard!$E$16+F338*Scorecard!$E$17</f>
        <v>4.36952981551187</v>
      </c>
      <c r="J338" s="0" t="str">
        <f aca="false">IF(AND(G338&gt;=H338,G338&gt;=I338),"Distribution",IF(I338&gt;=H338,"Prof. services","Manufacturing"))</f>
        <v>Prof. services</v>
      </c>
      <c r="L338" s="46" t="n">
        <v>0.183064</v>
      </c>
      <c r="M338" s="46" t="n">
        <v>0.184865</v>
      </c>
      <c r="N338" s="46" t="n">
        <v>0.305384</v>
      </c>
      <c r="O338" s="46" t="n">
        <v>0.050881</v>
      </c>
      <c r="P338" s="46" t="n">
        <v>0.090572</v>
      </c>
      <c r="Q338" s="46" t="n">
        <v>0.185235</v>
      </c>
      <c r="R338" s="47" t="n">
        <f aca="false">L338*Scorecard!$C$12+M338*Scorecard!$C$13+N338*Scorecard!$C$14+O338*Scorecard!$C$15+P338*Scorecard!$C$16+Q338*Scorecard!$C$17</f>
        <v>3.53576218932997</v>
      </c>
      <c r="S338" s="47" t="n">
        <f aca="false">L338*Scorecard!$D$12+M338*Scorecard!$D$13+N338*Scorecard!$D$14+O338*Scorecard!$D$15+P338*Scorecard!$D$16+Q338*Scorecard!$D$17</f>
        <v>2.65468312464224</v>
      </c>
      <c r="T338" s="47" t="n">
        <f aca="false">L338*Scorecard!$E$12+M338*Scorecard!$E$13+N338*Scorecard!$E$14+O338*Scorecard!$E$15+P338*Scorecard!$E$16+Q338*Scorecard!$E$17</f>
        <v>4.09173577023916</v>
      </c>
      <c r="U338" s="0" t="str">
        <f aca="false">IF(AND(R338&gt;=S338,R338&gt;=T338),"Distribution",IF(T338&gt;=S338,"Prof. services","Manufacturing"))</f>
        <v>Prof. services</v>
      </c>
    </row>
    <row r="339" customFormat="false" ht="15" hidden="false" customHeight="false" outlineLevel="0" collapsed="false">
      <c r="A339" s="46" t="n">
        <v>0.066316</v>
      </c>
      <c r="B339" s="46" t="n">
        <v>0.395556</v>
      </c>
      <c r="C339" s="46" t="n">
        <v>0.272658</v>
      </c>
      <c r="D339" s="46" t="n">
        <v>0.106516</v>
      </c>
      <c r="E339" s="46" t="n">
        <v>0.138064</v>
      </c>
      <c r="F339" s="46" t="n">
        <v>0.020891</v>
      </c>
      <c r="G339" s="47" t="n">
        <f aca="false">A339*Scorecard!$C$12+B339*Scorecard!$C$13+C339*Scorecard!$C$14+D339*Scorecard!$C$15+E339*Scorecard!$C$16+F339*Scorecard!$C$17</f>
        <v>4.34092425426958</v>
      </c>
      <c r="H339" s="47" t="n">
        <f aca="false">A339*Scorecard!$D$12+B339*Scorecard!$D$13+C339*Scorecard!$D$14+D339*Scorecard!$D$15+E339*Scorecard!$D$16+F339*Scorecard!$D$17</f>
        <v>2.5880697638475</v>
      </c>
      <c r="I339" s="47" t="n">
        <f aca="false">A339*Scorecard!$E$12+B339*Scorecard!$E$13+C339*Scorecard!$E$14+D339*Scorecard!$E$15+E339*Scorecard!$E$16+F339*Scorecard!$E$17</f>
        <v>3.39489729685877</v>
      </c>
      <c r="J339" s="0" t="str">
        <f aca="false">IF(AND(G339&gt;=H339,G339&gt;=I339),"Distribution",IF(I339&gt;=H339,"Prof. services","Manufacturing"))</f>
        <v>Distribution</v>
      </c>
      <c r="L339" s="46" t="n">
        <v>0.115639</v>
      </c>
      <c r="M339" s="46" t="n">
        <v>0.425385</v>
      </c>
      <c r="N339" s="46" t="n">
        <v>0.191295</v>
      </c>
      <c r="O339" s="46" t="n">
        <v>0.048386</v>
      </c>
      <c r="P339" s="46" t="n">
        <v>0.027292</v>
      </c>
      <c r="Q339" s="46" t="n">
        <v>0.192003</v>
      </c>
      <c r="R339" s="47" t="n">
        <f aca="false">L339*Scorecard!$C$12+M339*Scorecard!$C$13+N339*Scorecard!$C$14+O339*Scorecard!$C$15+P339*Scorecard!$C$16+Q339*Scorecard!$C$17</f>
        <v>3.88161315087581</v>
      </c>
      <c r="S339" s="47" t="n">
        <f aca="false">L339*Scorecard!$D$12+M339*Scorecard!$D$13+N339*Scorecard!$D$14+O339*Scorecard!$D$15+P339*Scorecard!$D$16+Q339*Scorecard!$D$17</f>
        <v>2.21498795439763</v>
      </c>
      <c r="T339" s="47" t="n">
        <f aca="false">L339*Scorecard!$E$12+M339*Scorecard!$E$13+N339*Scorecard!$E$14+O339*Scorecard!$E$15+P339*Scorecard!$E$16+Q339*Scorecard!$E$17</f>
        <v>3.56754266700658</v>
      </c>
      <c r="U339" s="0" t="str">
        <f aca="false">IF(AND(R339&gt;=S339,R339&gt;=T339),"Distribution",IF(T339&gt;=S339,"Prof. services","Manufacturing"))</f>
        <v>Distribution</v>
      </c>
    </row>
    <row r="340" customFormat="false" ht="15" hidden="false" customHeight="false" outlineLevel="0" collapsed="false">
      <c r="A340" s="46" t="n">
        <v>0.101712</v>
      </c>
      <c r="B340" s="46" t="n">
        <v>0.088184</v>
      </c>
      <c r="C340" s="46" t="n">
        <v>0.069411</v>
      </c>
      <c r="D340" s="46" t="n">
        <v>0.092606</v>
      </c>
      <c r="E340" s="46" t="n">
        <v>0.625383</v>
      </c>
      <c r="F340" s="46" t="n">
        <v>0.022703</v>
      </c>
      <c r="G340" s="47" t="n">
        <f aca="false">A340*Scorecard!$C$12+B340*Scorecard!$C$13+C340*Scorecard!$C$14+D340*Scorecard!$C$15+E340*Scorecard!$C$16+F340*Scorecard!$C$17</f>
        <v>3.95229694948832</v>
      </c>
      <c r="H340" s="47" t="n">
        <f aca="false">A340*Scorecard!$D$12+B340*Scorecard!$D$13+C340*Scorecard!$D$14+D340*Scorecard!$D$15+E340*Scorecard!$D$16+F340*Scorecard!$D$17</f>
        <v>3.21642942409177</v>
      </c>
      <c r="I340" s="47" t="n">
        <f aca="false">A340*Scorecard!$E$12+B340*Scorecard!$E$13+C340*Scorecard!$E$14+D340*Scorecard!$E$15+E340*Scorecard!$E$16+F340*Scorecard!$E$17</f>
        <v>2.98996628281913</v>
      </c>
      <c r="J340" s="0" t="str">
        <f aca="false">IF(AND(G340&gt;=H340,G340&gt;=I340),"Distribution",IF(I340&gt;=H340,"Prof. services","Manufacturing"))</f>
        <v>Distribution</v>
      </c>
      <c r="L340" s="46" t="n">
        <v>0.248738</v>
      </c>
      <c r="M340" s="46" t="n">
        <v>0.214134</v>
      </c>
      <c r="N340" s="46" t="n">
        <v>0.248359</v>
      </c>
      <c r="O340" s="46" t="n">
        <v>0.062645</v>
      </c>
      <c r="P340" s="46" t="n">
        <v>0.167027</v>
      </c>
      <c r="Q340" s="46" t="n">
        <v>0.059097</v>
      </c>
      <c r="R340" s="47" t="n">
        <f aca="false">L340*Scorecard!$C$12+M340*Scorecard!$C$13+N340*Scorecard!$C$14+O340*Scorecard!$C$15+P340*Scorecard!$C$16+Q340*Scorecard!$C$17</f>
        <v>3.71085305275509</v>
      </c>
      <c r="S340" s="47" t="n">
        <f aca="false">L340*Scorecard!$D$12+M340*Scorecard!$D$13+N340*Scorecard!$D$14+O340*Scorecard!$D$15+P340*Scorecard!$D$16+Q340*Scorecard!$D$17</f>
        <v>2.88243868659506</v>
      </c>
      <c r="T340" s="47" t="n">
        <f aca="false">L340*Scorecard!$E$12+M340*Scorecard!$E$13+N340*Scorecard!$E$14+O340*Scorecard!$E$15+P340*Scorecard!$E$16+Q340*Scorecard!$E$17</f>
        <v>3.8569207916158</v>
      </c>
      <c r="U340" s="0" t="str">
        <f aca="false">IF(AND(R340&gt;=S340,R340&gt;=T340),"Distribution",IF(T340&gt;=S340,"Prof. services","Manufacturing"))</f>
        <v>Prof. services</v>
      </c>
    </row>
    <row r="341" customFormat="false" ht="15" hidden="false" customHeight="false" outlineLevel="0" collapsed="false">
      <c r="A341" s="46" t="n">
        <v>0.02073</v>
      </c>
      <c r="B341" s="46" t="n">
        <v>0.138123</v>
      </c>
      <c r="C341" s="46" t="n">
        <v>0.092195</v>
      </c>
      <c r="D341" s="46" t="n">
        <v>0.238571</v>
      </c>
      <c r="E341" s="46" t="n">
        <v>0.064599</v>
      </c>
      <c r="F341" s="46" t="n">
        <v>0.445781</v>
      </c>
      <c r="G341" s="47" t="n">
        <f aca="false">A341*Scorecard!$C$12+B341*Scorecard!$C$13+C341*Scorecard!$C$14+D341*Scorecard!$C$15+E341*Scorecard!$C$16+F341*Scorecard!$C$17</f>
        <v>3.44781370437011</v>
      </c>
      <c r="H341" s="47" t="n">
        <f aca="false">A341*Scorecard!$D$12+B341*Scorecard!$D$13+C341*Scorecard!$D$14+D341*Scorecard!$D$15+E341*Scorecard!$D$16+F341*Scorecard!$D$17</f>
        <v>2.43540839615826</v>
      </c>
      <c r="I341" s="47" t="n">
        <f aca="false">A341*Scorecard!$E$12+B341*Scorecard!$E$13+C341*Scorecard!$E$14+D341*Scorecard!$E$15+E341*Scorecard!$E$16+F341*Scorecard!$E$17</f>
        <v>4.00823667018664</v>
      </c>
      <c r="J341" s="0" t="str">
        <f aca="false">IF(AND(G341&gt;=H341,G341&gt;=I341),"Distribution",IF(I341&gt;=H341,"Prof. services","Manufacturing"))</f>
        <v>Prof. services</v>
      </c>
      <c r="L341" s="46" t="n">
        <v>0.226298</v>
      </c>
      <c r="M341" s="46" t="n">
        <v>0.192194</v>
      </c>
      <c r="N341" s="46" t="n">
        <v>0.247309</v>
      </c>
      <c r="O341" s="46" t="n">
        <v>0.146926</v>
      </c>
      <c r="P341" s="46" t="n">
        <v>0.131644</v>
      </c>
      <c r="Q341" s="46" t="n">
        <v>0.055629</v>
      </c>
      <c r="R341" s="47" t="n">
        <f aca="false">L341*Scorecard!$C$12+M341*Scorecard!$C$13+N341*Scorecard!$C$14+O341*Scorecard!$C$15+P341*Scorecard!$C$16+Q341*Scorecard!$C$17</f>
        <v>3.82052237277124</v>
      </c>
      <c r="S341" s="47" t="n">
        <f aca="false">L341*Scorecard!$D$12+M341*Scorecard!$D$13+N341*Scorecard!$D$14+O341*Scorecard!$D$15+P341*Scorecard!$D$16+Q341*Scorecard!$D$17</f>
        <v>2.99152277270318</v>
      </c>
      <c r="T341" s="47" t="n">
        <f aca="false">L341*Scorecard!$E$12+M341*Scorecard!$E$13+N341*Scorecard!$E$14+O341*Scorecard!$E$15+P341*Scorecard!$E$16+Q341*Scorecard!$E$17</f>
        <v>3.94565022533678</v>
      </c>
      <c r="U341" s="0" t="str">
        <f aca="false">IF(AND(R341&gt;=S341,R341&gt;=T341),"Distribution",IF(T341&gt;=S341,"Prof. services","Manufacturing"))</f>
        <v>Prof. services</v>
      </c>
    </row>
    <row r="342" customFormat="false" ht="15" hidden="false" customHeight="false" outlineLevel="0" collapsed="false">
      <c r="A342" s="46" t="n">
        <v>0.47504</v>
      </c>
      <c r="B342" s="46" t="n">
        <v>0.060076</v>
      </c>
      <c r="C342" s="46" t="n">
        <v>0.03897</v>
      </c>
      <c r="D342" s="46" t="n">
        <v>0.327543</v>
      </c>
      <c r="E342" s="46" t="n">
        <v>0.00977</v>
      </c>
      <c r="F342" s="46" t="n">
        <v>0.088601</v>
      </c>
      <c r="G342" s="47" t="n">
        <f aca="false">A342*Scorecard!$C$12+B342*Scorecard!$C$13+C342*Scorecard!$C$14+D342*Scorecard!$C$15+E342*Scorecard!$C$16+F342*Scorecard!$C$17</f>
        <v>3.35533822546928</v>
      </c>
      <c r="H342" s="47" t="n">
        <f aca="false">A342*Scorecard!$D$12+B342*Scorecard!$D$13+C342*Scorecard!$D$14+D342*Scorecard!$D$15+E342*Scorecard!$D$16+F342*Scorecard!$D$17</f>
        <v>3.47314545936668</v>
      </c>
      <c r="I342" s="47" t="n">
        <f aca="false">A342*Scorecard!$E$12+B342*Scorecard!$E$13+C342*Scorecard!$E$14+D342*Scorecard!$E$15+E342*Scorecard!$E$16+F342*Scorecard!$E$17</f>
        <v>4.4831025351514</v>
      </c>
      <c r="J342" s="0" t="str">
        <f aca="false">IF(AND(G342&gt;=H342,G342&gt;=I342),"Distribution",IF(I342&gt;=H342,"Prof. services","Manufacturing"))</f>
        <v>Prof. services</v>
      </c>
      <c r="L342" s="46" t="n">
        <v>0.143827</v>
      </c>
      <c r="M342" s="46" t="n">
        <v>0.129544</v>
      </c>
      <c r="N342" s="46" t="n">
        <v>0.175172</v>
      </c>
      <c r="O342" s="46" t="n">
        <v>0.320529</v>
      </c>
      <c r="P342" s="46" t="n">
        <v>0.135185</v>
      </c>
      <c r="Q342" s="46" t="n">
        <v>0.095743</v>
      </c>
      <c r="R342" s="47" t="n">
        <f aca="false">L342*Scorecard!$C$12+M342*Scorecard!$C$13+N342*Scorecard!$C$14+O342*Scorecard!$C$15+P342*Scorecard!$C$16+Q342*Scorecard!$C$17</f>
        <v>3.99969634888761</v>
      </c>
      <c r="S342" s="47" t="n">
        <f aca="false">L342*Scorecard!$D$12+M342*Scorecard!$D$13+N342*Scorecard!$D$14+O342*Scorecard!$D$15+P342*Scorecard!$D$16+Q342*Scorecard!$D$17</f>
        <v>3.17306372212563</v>
      </c>
      <c r="T342" s="47" t="n">
        <f aca="false">L342*Scorecard!$E$12+M342*Scorecard!$E$13+N342*Scorecard!$E$14+O342*Scorecard!$E$15+P342*Scorecard!$E$16+Q342*Scorecard!$E$17</f>
        <v>3.95119315067903</v>
      </c>
      <c r="U342" s="0" t="str">
        <f aca="false">IF(AND(R342&gt;=S342,R342&gt;=T342),"Distribution",IF(T342&gt;=S342,"Prof. services","Manufacturing"))</f>
        <v>Distribution</v>
      </c>
    </row>
    <row r="343" customFormat="false" ht="15" hidden="false" customHeight="false" outlineLevel="0" collapsed="false">
      <c r="A343" s="46" t="n">
        <v>0.271033</v>
      </c>
      <c r="B343" s="46" t="n">
        <v>0.018453</v>
      </c>
      <c r="C343" s="46" t="n">
        <v>0.116211</v>
      </c>
      <c r="D343" s="46" t="n">
        <v>0.084093</v>
      </c>
      <c r="E343" s="46" t="n">
        <v>0.448659</v>
      </c>
      <c r="F343" s="46" t="n">
        <v>0.061552</v>
      </c>
      <c r="G343" s="47" t="n">
        <f aca="false">A343*Scorecard!$C$12+B343*Scorecard!$C$13+C343*Scorecard!$C$14+D343*Scorecard!$C$15+E343*Scorecard!$C$16+F343*Scorecard!$C$17</f>
        <v>3.49158273480679</v>
      </c>
      <c r="H343" s="47" t="n">
        <f aca="false">A343*Scorecard!$D$12+B343*Scorecard!$D$13+C343*Scorecard!$D$14+D343*Scorecard!$D$15+E343*Scorecard!$D$16+F343*Scorecard!$D$17</f>
        <v>3.30591012233215</v>
      </c>
      <c r="I343" s="47" t="n">
        <f aca="false">A343*Scorecard!$E$12+B343*Scorecard!$E$13+C343*Scorecard!$E$14+D343*Scorecard!$E$15+E343*Scorecard!$E$16+F343*Scorecard!$E$17</f>
        <v>3.64944930687499</v>
      </c>
      <c r="J343" s="0" t="str">
        <f aca="false">IF(AND(G343&gt;=H343,G343&gt;=I343),"Distribution",IF(I343&gt;=H343,"Prof. services","Manufacturing"))</f>
        <v>Prof. services</v>
      </c>
      <c r="L343" s="46" t="n">
        <v>0.159229</v>
      </c>
      <c r="M343" s="46" t="n">
        <v>0.176699</v>
      </c>
      <c r="N343" s="46" t="n">
        <v>0.258957</v>
      </c>
      <c r="O343" s="46" t="n">
        <v>0.133497</v>
      </c>
      <c r="P343" s="46" t="n">
        <v>0.232226</v>
      </c>
      <c r="Q343" s="46" t="n">
        <v>0.039393</v>
      </c>
      <c r="R343" s="47" t="n">
        <f aca="false">L343*Scorecard!$C$12+M343*Scorecard!$C$13+N343*Scorecard!$C$14+O343*Scorecard!$C$15+P343*Scorecard!$C$16+Q343*Scorecard!$C$17</f>
        <v>3.94479952924017</v>
      </c>
      <c r="S343" s="47" t="n">
        <f aca="false">L343*Scorecard!$D$12+M343*Scorecard!$D$13+N343*Scorecard!$D$14+O343*Scorecard!$D$15+P343*Scorecard!$D$16+Q343*Scorecard!$D$17</f>
        <v>3.01281680398101</v>
      </c>
      <c r="T343" s="47" t="n">
        <f aca="false">L343*Scorecard!$E$12+M343*Scorecard!$E$13+N343*Scorecard!$E$14+O343*Scorecard!$E$15+P343*Scorecard!$E$16+Q343*Scorecard!$E$17</f>
        <v>3.7413369509596</v>
      </c>
      <c r="U343" s="0" t="str">
        <f aca="false">IF(AND(R343&gt;=S343,R343&gt;=T343),"Distribution",IF(T343&gt;=S343,"Prof. services","Manufacturing"))</f>
        <v>Distribution</v>
      </c>
    </row>
    <row r="344" customFormat="false" ht="15" hidden="false" customHeight="false" outlineLevel="0" collapsed="false">
      <c r="A344" s="46" t="n">
        <v>0.271109</v>
      </c>
      <c r="B344" s="46" t="n">
        <v>0.377192</v>
      </c>
      <c r="C344" s="46" t="n">
        <v>0.026123</v>
      </c>
      <c r="D344" s="46" t="n">
        <v>0.103871</v>
      </c>
      <c r="E344" s="46" t="n">
        <v>0.119067</v>
      </c>
      <c r="F344" s="46" t="n">
        <v>0.102638</v>
      </c>
      <c r="G344" s="47" t="n">
        <f aca="false">A344*Scorecard!$C$12+B344*Scorecard!$C$13+C344*Scorecard!$C$14+D344*Scorecard!$C$15+E344*Scorecard!$C$16+F344*Scorecard!$C$17</f>
        <v>3.78778693372295</v>
      </c>
      <c r="H344" s="47" t="n">
        <f aca="false">A344*Scorecard!$D$12+B344*Scorecard!$D$13+C344*Scorecard!$D$14+D344*Scorecard!$D$15+E344*Scorecard!$D$16+F344*Scorecard!$D$17</f>
        <v>2.61889219340718</v>
      </c>
      <c r="I344" s="47" t="n">
        <f aca="false">A344*Scorecard!$E$12+B344*Scorecard!$E$13+C344*Scorecard!$E$14+D344*Scorecard!$E$15+E344*Scorecard!$E$16+F344*Scorecard!$E$17</f>
        <v>3.45969568146023</v>
      </c>
      <c r="J344" s="0" t="str">
        <f aca="false">IF(AND(G344&gt;=H344,G344&gt;=I344),"Distribution",IF(I344&gt;=H344,"Prof. services","Manufacturing"))</f>
        <v>Distribution</v>
      </c>
      <c r="L344" s="46" t="n">
        <v>0.229473</v>
      </c>
      <c r="M344" s="46" t="n">
        <v>0.296485</v>
      </c>
      <c r="N344" s="46" t="n">
        <v>0.168472</v>
      </c>
      <c r="O344" s="46" t="n">
        <v>0.068966</v>
      </c>
      <c r="P344" s="46" t="n">
        <v>0.157738</v>
      </c>
      <c r="Q344" s="46" t="n">
        <v>0.078867</v>
      </c>
      <c r="R344" s="47" t="n">
        <f aca="false">L344*Scorecard!$C$12+M344*Scorecard!$C$13+N344*Scorecard!$C$14+O344*Scorecard!$C$15+P344*Scorecard!$C$16+Q344*Scorecard!$C$17</f>
        <v>3.79466632749266</v>
      </c>
      <c r="S344" s="47" t="n">
        <f aca="false">L344*Scorecard!$D$12+M344*Scorecard!$D$13+N344*Scorecard!$D$14+O344*Scorecard!$D$15+P344*Scorecard!$D$16+Q344*Scorecard!$D$17</f>
        <v>2.72067330954838</v>
      </c>
      <c r="T344" s="47" t="n">
        <f aca="false">L344*Scorecard!$E$12+M344*Scorecard!$E$13+N344*Scorecard!$E$14+O344*Scorecard!$E$15+P344*Scorecard!$E$16+Q344*Scorecard!$E$17</f>
        <v>3.6297202898077</v>
      </c>
      <c r="U344" s="0" t="str">
        <f aca="false">IF(AND(R344&gt;=S344,R344&gt;=T344),"Distribution",IF(T344&gt;=S344,"Prof. services","Manufacturing"))</f>
        <v>Distribution</v>
      </c>
    </row>
    <row r="345" customFormat="false" ht="15" hidden="false" customHeight="false" outlineLevel="0" collapsed="false">
      <c r="A345" s="46" t="n">
        <v>0.665108</v>
      </c>
      <c r="B345" s="46" t="n">
        <v>0.019418</v>
      </c>
      <c r="C345" s="46" t="n">
        <v>0.102682</v>
      </c>
      <c r="D345" s="46" t="n">
        <v>0.080545</v>
      </c>
      <c r="E345" s="46" t="n">
        <v>0.033503</v>
      </c>
      <c r="F345" s="46" t="n">
        <v>0.098745</v>
      </c>
      <c r="G345" s="47" t="n">
        <f aca="false">A345*Scorecard!$C$12+B345*Scorecard!$C$13+C345*Scorecard!$C$14+D345*Scorecard!$C$15+E345*Scorecard!$C$16+F345*Scorecard!$C$17</f>
        <v>2.70527311491543</v>
      </c>
      <c r="H345" s="47" t="n">
        <f aca="false">A345*Scorecard!$D$12+B345*Scorecard!$D$13+C345*Scorecard!$D$14+D345*Scorecard!$D$15+E345*Scorecard!$D$16+F345*Scorecard!$D$17</f>
        <v>3.36648538076189</v>
      </c>
      <c r="I345" s="47" t="n">
        <f aca="false">A345*Scorecard!$E$12+B345*Scorecard!$E$13+C345*Scorecard!$E$14+D345*Scorecard!$E$15+E345*Scorecard!$E$16+F345*Scorecard!$E$17</f>
        <v>4.73812626837981</v>
      </c>
      <c r="J345" s="0" t="str">
        <f aca="false">IF(AND(G345&gt;=H345,G345&gt;=I345),"Distribution",IF(I345&gt;=H345,"Prof. services","Manufacturing"))</f>
        <v>Prof. services</v>
      </c>
      <c r="L345" s="46" t="n">
        <v>0.167411</v>
      </c>
      <c r="M345" s="46" t="n">
        <v>0.210319</v>
      </c>
      <c r="N345" s="46" t="n">
        <v>0.12475</v>
      </c>
      <c r="O345" s="46" t="n">
        <v>0.081713</v>
      </c>
      <c r="P345" s="46" t="n">
        <v>0.323234</v>
      </c>
      <c r="Q345" s="46" t="n">
        <v>0.092573</v>
      </c>
      <c r="R345" s="47" t="n">
        <f aca="false">L345*Scorecard!$C$12+M345*Scorecard!$C$13+N345*Scorecard!$C$14+O345*Scorecard!$C$15+P345*Scorecard!$C$16+Q345*Scorecard!$C$17</f>
        <v>3.80554381255692</v>
      </c>
      <c r="S345" s="47" t="n">
        <f aca="false">L345*Scorecard!$D$12+M345*Scorecard!$D$13+N345*Scorecard!$D$14+O345*Scorecard!$D$15+P345*Scorecard!$D$16+Q345*Scorecard!$D$17</f>
        <v>2.85837343811307</v>
      </c>
      <c r="T345" s="47" t="n">
        <f aca="false">L345*Scorecard!$E$12+M345*Scorecard!$E$13+N345*Scorecard!$E$14+O345*Scorecard!$E$15+P345*Scorecard!$E$16+Q345*Scorecard!$E$17</f>
        <v>3.41866241243039</v>
      </c>
      <c r="U345" s="0" t="str">
        <f aca="false">IF(AND(R345&gt;=S345,R345&gt;=T345),"Distribution",IF(T345&gt;=S345,"Prof. services","Manufacturing"))</f>
        <v>Distribution</v>
      </c>
    </row>
    <row r="346" customFormat="false" ht="15" hidden="false" customHeight="false" outlineLevel="0" collapsed="false">
      <c r="A346" s="46" t="n">
        <v>0.170429</v>
      </c>
      <c r="B346" s="46" t="n">
        <v>0.175509</v>
      </c>
      <c r="C346" s="46" t="n">
        <v>0.013956</v>
      </c>
      <c r="D346" s="46" t="n">
        <v>0.325875</v>
      </c>
      <c r="E346" s="46" t="n">
        <v>0.077444</v>
      </c>
      <c r="F346" s="46" t="n">
        <v>0.236787</v>
      </c>
      <c r="G346" s="47" t="n">
        <f aca="false">A346*Scorecard!$C$12+B346*Scorecard!$C$13+C346*Scorecard!$C$14+D346*Scorecard!$C$15+E346*Scorecard!$C$16+F346*Scorecard!$C$17</f>
        <v>3.72103536951731</v>
      </c>
      <c r="H346" s="47" t="n">
        <f aca="false">A346*Scorecard!$D$12+B346*Scorecard!$D$13+C346*Scorecard!$D$14+D346*Scorecard!$D$15+E346*Scorecard!$D$16+F346*Scorecard!$D$17</f>
        <v>2.89701784077299</v>
      </c>
      <c r="I346" s="47" t="n">
        <f aca="false">A346*Scorecard!$E$12+B346*Scorecard!$E$13+C346*Scorecard!$E$14+D346*Scorecard!$E$15+E346*Scorecard!$E$16+F346*Scorecard!$E$17</f>
        <v>3.89800210288866</v>
      </c>
      <c r="J346" s="0" t="str">
        <f aca="false">IF(AND(G346&gt;=H346,G346&gt;=I346),"Distribution",IF(I346&gt;=H346,"Prof. services","Manufacturing"))</f>
        <v>Prof. services</v>
      </c>
      <c r="L346" s="46" t="n">
        <v>0.226406</v>
      </c>
      <c r="M346" s="46" t="n">
        <v>0.206018</v>
      </c>
      <c r="N346" s="46" t="n">
        <v>0.227583</v>
      </c>
      <c r="O346" s="46" t="n">
        <v>0.127725</v>
      </c>
      <c r="P346" s="46" t="n">
        <v>0.167897</v>
      </c>
      <c r="Q346" s="46" t="n">
        <v>0.044371</v>
      </c>
      <c r="R346" s="47" t="n">
        <f aca="false">L346*Scorecard!$C$12+M346*Scorecard!$C$13+N346*Scorecard!$C$14+O346*Scorecard!$C$15+P346*Scorecard!$C$16+Q346*Scorecard!$C$17</f>
        <v>3.83746697123105</v>
      </c>
      <c r="S346" s="47" t="n">
        <f aca="false">L346*Scorecard!$D$12+M346*Scorecard!$D$13+N346*Scorecard!$D$14+O346*Scorecard!$D$15+P346*Scorecard!$D$16+Q346*Scorecard!$D$17</f>
        <v>2.97758772532971</v>
      </c>
      <c r="T346" s="47" t="n">
        <f aca="false">L346*Scorecard!$E$12+M346*Scorecard!$E$13+N346*Scorecard!$E$14+O346*Scorecard!$E$15+P346*Scorecard!$E$16+Q346*Scorecard!$E$17</f>
        <v>3.83090235551654</v>
      </c>
      <c r="U346" s="0" t="str">
        <f aca="false">IF(AND(R346&gt;=S346,R346&gt;=T346),"Distribution",IF(T346&gt;=S346,"Prof. services","Manufacturing"))</f>
        <v>Distribution</v>
      </c>
    </row>
    <row r="347" customFormat="false" ht="15" hidden="false" customHeight="false" outlineLevel="0" collapsed="false">
      <c r="A347" s="46" t="n">
        <v>0.248213</v>
      </c>
      <c r="B347" s="46" t="n">
        <v>0.343715</v>
      </c>
      <c r="C347" s="46" t="n">
        <v>0.181224</v>
      </c>
      <c r="D347" s="46" t="n">
        <v>0.032761</v>
      </c>
      <c r="E347" s="46" t="n">
        <v>0.004505</v>
      </c>
      <c r="F347" s="46" t="n">
        <v>0.189582</v>
      </c>
      <c r="G347" s="47" t="n">
        <f aca="false">A347*Scorecard!$C$12+B347*Scorecard!$C$13+C347*Scorecard!$C$14+D347*Scorecard!$C$15+E347*Scorecard!$C$16+F347*Scorecard!$C$17</f>
        <v>3.5505250602421</v>
      </c>
      <c r="H347" s="47" t="n">
        <f aca="false">A347*Scorecard!$D$12+B347*Scorecard!$D$13+C347*Scorecard!$D$14+D347*Scorecard!$D$15+E347*Scorecard!$D$16+F347*Scorecard!$D$17</f>
        <v>2.4030941086289</v>
      </c>
      <c r="I347" s="47" t="n">
        <f aca="false">A347*Scorecard!$E$12+B347*Scorecard!$E$13+C347*Scorecard!$E$14+D347*Scorecard!$E$15+E347*Scorecard!$E$16+F347*Scorecard!$E$17</f>
        <v>3.87742851188242</v>
      </c>
      <c r="J347" s="0" t="str">
        <f aca="false">IF(AND(G347&gt;=H347,G347&gt;=I347),"Distribution",IF(I347&gt;=H347,"Prof. services","Manufacturing"))</f>
        <v>Prof. services</v>
      </c>
      <c r="L347" s="46" t="n">
        <v>0.119885</v>
      </c>
      <c r="M347" s="46" t="n">
        <v>0.179564</v>
      </c>
      <c r="N347" s="46" t="n">
        <v>0.253174</v>
      </c>
      <c r="O347" s="46" t="n">
        <v>0.171449</v>
      </c>
      <c r="P347" s="46" t="n">
        <v>0.197986</v>
      </c>
      <c r="Q347" s="46" t="n">
        <v>0.077941</v>
      </c>
      <c r="R347" s="47" t="n">
        <f aca="false">L347*Scorecard!$C$12+M347*Scorecard!$C$13+N347*Scorecard!$C$14+O347*Scorecard!$C$15+P347*Scorecard!$C$16+Q347*Scorecard!$C$17</f>
        <v>3.97933229032373</v>
      </c>
      <c r="S347" s="47" t="n">
        <f aca="false">L347*Scorecard!$D$12+M347*Scorecard!$D$13+N347*Scorecard!$D$14+O347*Scorecard!$D$15+P347*Scorecard!$D$16+Q347*Scorecard!$D$17</f>
        <v>2.95722125588285</v>
      </c>
      <c r="T347" s="47" t="n">
        <f aca="false">L347*Scorecard!$E$12+M347*Scorecard!$E$13+N347*Scorecard!$E$14+O347*Scorecard!$E$15+P347*Scorecard!$E$16+Q347*Scorecard!$E$17</f>
        <v>3.7733973717496</v>
      </c>
      <c r="U347" s="0" t="str">
        <f aca="false">IF(AND(R347&gt;=S347,R347&gt;=T347),"Distribution",IF(T347&gt;=S347,"Prof. services","Manufacturing"))</f>
        <v>Distribution</v>
      </c>
    </row>
    <row r="348" customFormat="false" ht="15" hidden="false" customHeight="false" outlineLevel="0" collapsed="false">
      <c r="A348" s="46" t="n">
        <v>0.133147</v>
      </c>
      <c r="B348" s="46" t="n">
        <v>0.293756</v>
      </c>
      <c r="C348" s="46" t="n">
        <v>0.110164</v>
      </c>
      <c r="D348" s="46" t="n">
        <v>0.037178</v>
      </c>
      <c r="E348" s="46" t="n">
        <v>0.224525</v>
      </c>
      <c r="F348" s="46" t="n">
        <v>0.201231</v>
      </c>
      <c r="G348" s="47" t="n">
        <f aca="false">A348*Scorecard!$C$12+B348*Scorecard!$C$13+C348*Scorecard!$C$14+D348*Scorecard!$C$15+E348*Scorecard!$C$16+F348*Scorecard!$C$17</f>
        <v>3.68880950119476</v>
      </c>
      <c r="H348" s="47" t="n">
        <f aca="false">A348*Scorecard!$D$12+B348*Scorecard!$D$13+C348*Scorecard!$D$14+D348*Scorecard!$D$15+E348*Scorecard!$D$16+F348*Scorecard!$D$17</f>
        <v>2.46305873105704</v>
      </c>
      <c r="I348" s="47" t="n">
        <f aca="false">A348*Scorecard!$E$12+B348*Scorecard!$E$13+C348*Scorecard!$E$14+D348*Scorecard!$E$15+E348*Scorecard!$E$16+F348*Scorecard!$E$17</f>
        <v>3.42485836472815</v>
      </c>
      <c r="J348" s="0" t="str">
        <f aca="false">IF(AND(G348&gt;=H348,G348&gt;=I348),"Distribution",IF(I348&gt;=H348,"Prof. services","Manufacturing"))</f>
        <v>Distribution</v>
      </c>
      <c r="L348" s="46" t="n">
        <v>0.098128</v>
      </c>
      <c r="M348" s="46" t="n">
        <v>0.228108</v>
      </c>
      <c r="N348" s="46" t="n">
        <v>0.141237</v>
      </c>
      <c r="O348" s="46" t="n">
        <v>0.195489</v>
      </c>
      <c r="P348" s="46" t="n">
        <v>0.240941</v>
      </c>
      <c r="Q348" s="46" t="n">
        <v>0.096097</v>
      </c>
      <c r="R348" s="47" t="n">
        <f aca="false">L348*Scorecard!$C$12+M348*Scorecard!$C$13+N348*Scorecard!$C$14+O348*Scorecard!$C$15+P348*Scorecard!$C$16+Q348*Scorecard!$C$17</f>
        <v>4.05477120059963</v>
      </c>
      <c r="S348" s="47" t="n">
        <f aca="false">L348*Scorecard!$D$12+M348*Scorecard!$D$13+N348*Scorecard!$D$14+O348*Scorecard!$D$15+P348*Scorecard!$D$16+Q348*Scorecard!$D$17</f>
        <v>2.88490207607495</v>
      </c>
      <c r="T348" s="47" t="n">
        <f aca="false">L348*Scorecard!$E$12+M348*Scorecard!$E$13+N348*Scorecard!$E$14+O348*Scorecard!$E$15+P348*Scorecard!$E$16+Q348*Scorecard!$E$17</f>
        <v>3.49009039414901</v>
      </c>
      <c r="U348" s="0" t="str">
        <f aca="false">IF(AND(R348&gt;=S348,R348&gt;=T348),"Distribution",IF(T348&gt;=S348,"Prof. services","Manufacturing"))</f>
        <v>Distribution</v>
      </c>
    </row>
    <row r="349" customFormat="false" ht="15" hidden="false" customHeight="false" outlineLevel="0" collapsed="false">
      <c r="A349" s="46" t="n">
        <v>0.169283</v>
      </c>
      <c r="B349" s="46" t="n">
        <v>0.287434</v>
      </c>
      <c r="C349" s="46" t="n">
        <v>0.160121</v>
      </c>
      <c r="D349" s="46" t="n">
        <v>0.086784</v>
      </c>
      <c r="E349" s="46" t="n">
        <v>0.180508</v>
      </c>
      <c r="F349" s="46" t="n">
        <v>0.11587</v>
      </c>
      <c r="G349" s="47" t="n">
        <f aca="false">A349*Scorecard!$C$12+B349*Scorecard!$C$13+C349*Scorecard!$C$14+D349*Scorecard!$C$15+E349*Scorecard!$C$16+F349*Scorecard!$C$17</f>
        <v>3.83776618586038</v>
      </c>
      <c r="H349" s="47" t="n">
        <f aca="false">A349*Scorecard!$D$12+B349*Scorecard!$D$13+C349*Scorecard!$D$14+D349*Scorecard!$D$15+E349*Scorecard!$D$16+F349*Scorecard!$D$17</f>
        <v>2.66720978150013</v>
      </c>
      <c r="I349" s="47" t="n">
        <f aca="false">A349*Scorecard!$E$12+B349*Scorecard!$E$13+C349*Scorecard!$E$14+D349*Scorecard!$E$15+E349*Scorecard!$E$16+F349*Scorecard!$E$17</f>
        <v>3.56162684915545</v>
      </c>
      <c r="J349" s="0" t="str">
        <f aca="false">IF(AND(G349&gt;=H349,G349&gt;=I349),"Distribution",IF(I349&gt;=H349,"Prof. services","Manufacturing"))</f>
        <v>Distribution</v>
      </c>
      <c r="L349" s="46" t="n">
        <v>0.090538</v>
      </c>
      <c r="M349" s="46" t="n">
        <v>0.156682</v>
      </c>
      <c r="N349" s="46" t="n">
        <v>0.411093</v>
      </c>
      <c r="O349" s="46" t="n">
        <v>0.143049</v>
      </c>
      <c r="P349" s="46" t="n">
        <v>0.148201</v>
      </c>
      <c r="Q349" s="46" t="n">
        <v>0.050437</v>
      </c>
      <c r="R349" s="47" t="n">
        <f aca="false">L349*Scorecard!$C$12+M349*Scorecard!$C$13+N349*Scorecard!$C$14+O349*Scorecard!$C$15+P349*Scorecard!$C$16+Q349*Scorecard!$C$17</f>
        <v>4.03588730884039</v>
      </c>
      <c r="S349" s="47" t="n">
        <f aca="false">L349*Scorecard!$D$12+M349*Scorecard!$D$13+N349*Scorecard!$D$14+O349*Scorecard!$D$15+P349*Scorecard!$D$16+Q349*Scorecard!$D$17</f>
        <v>2.96396904104678</v>
      </c>
      <c r="T349" s="47" t="n">
        <f aca="false">L349*Scorecard!$E$12+M349*Scorecard!$E$13+N349*Scorecard!$E$14+O349*Scorecard!$E$15+P349*Scorecard!$E$16+Q349*Scorecard!$E$17</f>
        <v>4.0094528345505</v>
      </c>
      <c r="U349" s="0" t="str">
        <f aca="false">IF(AND(R349&gt;=S349,R349&gt;=T349),"Distribution",IF(T349&gt;=S349,"Prof. services","Manufacturing"))</f>
        <v>Distribution</v>
      </c>
    </row>
    <row r="350" customFormat="false" ht="15" hidden="false" customHeight="false" outlineLevel="0" collapsed="false">
      <c r="A350" s="46" t="n">
        <v>0.567239</v>
      </c>
      <c r="B350" s="46" t="n">
        <v>0.06079</v>
      </c>
      <c r="C350" s="46" t="n">
        <v>0.037109</v>
      </c>
      <c r="D350" s="46" t="n">
        <v>0.150715</v>
      </c>
      <c r="E350" s="46" t="n">
        <v>0.029846</v>
      </c>
      <c r="F350" s="46" t="n">
        <v>0.154301</v>
      </c>
      <c r="G350" s="47" t="n">
        <f aca="false">A350*Scorecard!$C$12+B350*Scorecard!$C$13+C350*Scorecard!$C$14+D350*Scorecard!$C$15+E350*Scorecard!$C$16+F350*Scorecard!$C$17</f>
        <v>2.8818647106222</v>
      </c>
      <c r="H350" s="47" t="n">
        <f aca="false">A350*Scorecard!$D$12+B350*Scorecard!$D$13+C350*Scorecard!$D$14+D350*Scorecard!$D$15+E350*Scorecard!$D$16+F350*Scorecard!$D$17</f>
        <v>3.23641433181725</v>
      </c>
      <c r="I350" s="47" t="n">
        <f aca="false">A350*Scorecard!$E$12+B350*Scorecard!$E$13+C350*Scorecard!$E$14+D350*Scorecard!$E$15+E350*Scorecard!$E$16+F350*Scorecard!$E$17</f>
        <v>4.54247207736585</v>
      </c>
      <c r="J350" s="0" t="str">
        <f aca="false">IF(AND(G350&gt;=H350,G350&gt;=I350),"Distribution",IF(I350&gt;=H350,"Prof. services","Manufacturing"))</f>
        <v>Prof. services</v>
      </c>
      <c r="L350" s="46" t="n">
        <v>0.137457</v>
      </c>
      <c r="M350" s="46" t="n">
        <v>0.308536</v>
      </c>
      <c r="N350" s="46" t="n">
        <v>0.059609</v>
      </c>
      <c r="O350" s="46" t="n">
        <v>0.099136</v>
      </c>
      <c r="P350" s="46" t="n">
        <v>0.307936</v>
      </c>
      <c r="Q350" s="46" t="n">
        <v>0.087326</v>
      </c>
      <c r="R350" s="47" t="n">
        <f aca="false">L350*Scorecard!$C$12+M350*Scorecard!$C$13+N350*Scorecard!$C$14+O350*Scorecard!$C$15+P350*Scorecard!$C$16+Q350*Scorecard!$C$17</f>
        <v>3.98559543972998</v>
      </c>
      <c r="S350" s="47" t="n">
        <f aca="false">L350*Scorecard!$D$12+M350*Scorecard!$D$13+N350*Scorecard!$D$14+O350*Scorecard!$D$15+P350*Scorecard!$D$16+Q350*Scorecard!$D$17</f>
        <v>2.7141041867843</v>
      </c>
      <c r="T350" s="47" t="n">
        <f aca="false">L350*Scorecard!$E$12+M350*Scorecard!$E$13+N350*Scorecard!$E$14+O350*Scorecard!$E$15+P350*Scorecard!$E$16+Q350*Scorecard!$E$17</f>
        <v>3.16508529079108</v>
      </c>
      <c r="U350" s="0" t="str">
        <f aca="false">IF(AND(R350&gt;=S350,R350&gt;=T350),"Distribution",IF(T350&gt;=S350,"Prof. services","Manufacturing"))</f>
        <v>Distribution</v>
      </c>
    </row>
    <row r="351" customFormat="false" ht="15" hidden="false" customHeight="false" outlineLevel="0" collapsed="false">
      <c r="A351" s="46" t="n">
        <v>0.144726</v>
      </c>
      <c r="B351" s="46" t="n">
        <v>0.243158</v>
      </c>
      <c r="C351" s="46" t="n">
        <v>0.446431</v>
      </c>
      <c r="D351" s="46" t="n">
        <v>0.048368</v>
      </c>
      <c r="E351" s="46" t="n">
        <v>0.061482</v>
      </c>
      <c r="F351" s="46" t="n">
        <v>0.055836</v>
      </c>
      <c r="G351" s="47" t="n">
        <f aca="false">A351*Scorecard!$C$12+B351*Scorecard!$C$13+C351*Scorecard!$C$14+D351*Scorecard!$C$15+E351*Scorecard!$C$16+F351*Scorecard!$C$17</f>
        <v>3.919349136067</v>
      </c>
      <c r="H351" s="47" t="n">
        <f aca="false">A351*Scorecard!$D$12+B351*Scorecard!$D$13+C351*Scorecard!$D$14+D351*Scorecard!$D$15+E351*Scorecard!$D$16+F351*Scorecard!$D$17</f>
        <v>2.72335376612595</v>
      </c>
      <c r="I351" s="47" t="n">
        <f aca="false">A351*Scorecard!$E$12+B351*Scorecard!$E$13+C351*Scorecard!$E$14+D351*Scorecard!$E$15+E351*Scorecard!$E$16+F351*Scorecard!$E$17</f>
        <v>4.06848257010585</v>
      </c>
      <c r="J351" s="0" t="str">
        <f aca="false">IF(AND(G351&gt;=H351,G351&gt;=I351),"Distribution",IF(I351&gt;=H351,"Prof. services","Manufacturing"))</f>
        <v>Prof. services</v>
      </c>
      <c r="L351" s="46" t="n">
        <v>0.11607</v>
      </c>
      <c r="M351" s="46" t="n">
        <v>0.293758</v>
      </c>
      <c r="N351" s="46" t="n">
        <v>0.205364</v>
      </c>
      <c r="O351" s="46" t="n">
        <v>0.063849</v>
      </c>
      <c r="P351" s="46" t="n">
        <v>0.201271</v>
      </c>
      <c r="Q351" s="46" t="n">
        <v>0.119689</v>
      </c>
      <c r="R351" s="47" t="n">
        <f aca="false">L351*Scorecard!$C$12+M351*Scorecard!$C$13+N351*Scorecard!$C$14+O351*Scorecard!$C$15+P351*Scorecard!$C$16+Q351*Scorecard!$C$17</f>
        <v>3.90930534472933</v>
      </c>
      <c r="S351" s="47" t="n">
        <f aca="false">L351*Scorecard!$D$12+M351*Scorecard!$D$13+N351*Scorecard!$D$14+O351*Scorecard!$D$15+P351*Scorecard!$D$16+Q351*Scorecard!$D$17</f>
        <v>2.59721264739258</v>
      </c>
      <c r="T351" s="47" t="n">
        <f aca="false">L351*Scorecard!$E$12+M351*Scorecard!$E$13+N351*Scorecard!$E$14+O351*Scorecard!$E$15+P351*Scorecard!$E$16+Q351*Scorecard!$E$17</f>
        <v>3.5053402648477</v>
      </c>
      <c r="U351" s="0" t="str">
        <f aca="false">IF(AND(R351&gt;=S351,R351&gt;=T351),"Distribution",IF(T351&gt;=S351,"Prof. services","Manufacturing"))</f>
        <v>Distribution</v>
      </c>
    </row>
    <row r="352" customFormat="false" ht="15" hidden="false" customHeight="false" outlineLevel="0" collapsed="false">
      <c r="A352" s="46" t="n">
        <v>0.010332</v>
      </c>
      <c r="B352" s="46" t="n">
        <v>0.03835</v>
      </c>
      <c r="C352" s="46" t="n">
        <v>0.023549</v>
      </c>
      <c r="D352" s="46" t="n">
        <v>0.182218</v>
      </c>
      <c r="E352" s="46" t="n">
        <v>0.123977</v>
      </c>
      <c r="F352" s="46" t="n">
        <v>0.621574</v>
      </c>
      <c r="G352" s="47" t="n">
        <f aca="false">A352*Scorecard!$C$12+B352*Scorecard!$C$13+C352*Scorecard!$C$14+D352*Scorecard!$C$15+E352*Scorecard!$C$16+F352*Scorecard!$C$17</f>
        <v>2.95882225265567</v>
      </c>
      <c r="H352" s="47" t="n">
        <f aca="false">A352*Scorecard!$D$12+B352*Scorecard!$D$13+C352*Scorecard!$D$14+D352*Scorecard!$D$15+E352*Scorecard!$D$16+F352*Scorecard!$D$17</f>
        <v>2.26916909324766</v>
      </c>
      <c r="I352" s="47" t="n">
        <f aca="false">A352*Scorecard!$E$12+B352*Scorecard!$E$13+C352*Scorecard!$E$14+D352*Scorecard!$E$15+E352*Scorecard!$E$16+F352*Scorecard!$E$17</f>
        <v>4.09601472711776</v>
      </c>
      <c r="J352" s="0" t="str">
        <f aca="false">IF(AND(G352&gt;=H352,G352&gt;=I352),"Distribution",IF(I352&gt;=H352,"Prof. services","Manufacturing"))</f>
        <v>Prof. services</v>
      </c>
      <c r="L352" s="46" t="n">
        <v>0.189819</v>
      </c>
      <c r="M352" s="46" t="n">
        <v>0.231533</v>
      </c>
      <c r="N352" s="46" t="n">
        <v>0.108326</v>
      </c>
      <c r="O352" s="46" t="n">
        <v>0.161754</v>
      </c>
      <c r="P352" s="46" t="n">
        <v>0.148204</v>
      </c>
      <c r="Q352" s="46" t="n">
        <v>0.160364</v>
      </c>
      <c r="R352" s="47" t="n">
        <f aca="false">L352*Scorecard!$C$12+M352*Scorecard!$C$13+N352*Scorecard!$C$14+O352*Scorecard!$C$15+P352*Scorecard!$C$16+Q352*Scorecard!$C$17</f>
        <v>3.73088209299712</v>
      </c>
      <c r="S352" s="47" t="n">
        <f aca="false">L352*Scorecard!$D$12+M352*Scorecard!$D$13+N352*Scorecard!$D$14+O352*Scorecard!$D$15+P352*Scorecard!$D$16+Q352*Scorecard!$D$17</f>
        <v>2.77396168924066</v>
      </c>
      <c r="T352" s="47" t="n">
        <f aca="false">L352*Scorecard!$E$12+M352*Scorecard!$E$13+N352*Scorecard!$E$14+O352*Scorecard!$E$15+P352*Scorecard!$E$16+Q352*Scorecard!$E$17</f>
        <v>3.72360541402183</v>
      </c>
      <c r="U352" s="0" t="str">
        <f aca="false">IF(AND(R352&gt;=S352,R352&gt;=T352),"Distribution",IF(T352&gt;=S352,"Prof. services","Manufacturing"))</f>
        <v>Distribution</v>
      </c>
    </row>
    <row r="353" customFormat="false" ht="15" hidden="false" customHeight="false" outlineLevel="0" collapsed="false">
      <c r="A353" s="46" t="n">
        <v>0.011813</v>
      </c>
      <c r="B353" s="46" t="n">
        <v>0.132763</v>
      </c>
      <c r="C353" s="46" t="n">
        <v>0.210554</v>
      </c>
      <c r="D353" s="46" t="n">
        <v>0.379491</v>
      </c>
      <c r="E353" s="46" t="n">
        <v>0.109307</v>
      </c>
      <c r="F353" s="46" t="n">
        <v>0.156072</v>
      </c>
      <c r="G353" s="47" t="n">
        <f aca="false">A353*Scorecard!$C$12+B353*Scorecard!$C$13+C353*Scorecard!$C$14+D353*Scorecard!$C$15+E353*Scorecard!$C$16+F353*Scorecard!$C$17</f>
        <v>4.17884643153517</v>
      </c>
      <c r="H353" s="47" t="n">
        <f aca="false">A353*Scorecard!$D$12+B353*Scorecard!$D$13+C353*Scorecard!$D$14+D353*Scorecard!$D$15+E353*Scorecard!$D$16+F353*Scorecard!$D$17</f>
        <v>3.05016761274351</v>
      </c>
      <c r="I353" s="47" t="n">
        <f aca="false">A353*Scorecard!$E$12+B353*Scorecard!$E$13+C353*Scorecard!$E$14+D353*Scorecard!$E$15+E353*Scorecard!$E$16+F353*Scorecard!$E$17</f>
        <v>3.93149440328449</v>
      </c>
      <c r="J353" s="0" t="str">
        <f aca="false">IF(AND(G353&gt;=H353,G353&gt;=I353),"Distribution",IF(I353&gt;=H353,"Prof. services","Manufacturing"))</f>
        <v>Distribution</v>
      </c>
      <c r="L353" s="46" t="n">
        <v>0.136627</v>
      </c>
      <c r="M353" s="46" t="n">
        <v>0.313894</v>
      </c>
      <c r="N353" s="46" t="n">
        <v>0.264932</v>
      </c>
      <c r="O353" s="46" t="n">
        <v>0.130615</v>
      </c>
      <c r="P353" s="46" t="n">
        <v>0.140865</v>
      </c>
      <c r="Q353" s="46" t="n">
        <v>0.013067</v>
      </c>
      <c r="R353" s="47" t="n">
        <f aca="false">L353*Scorecard!$C$12+M353*Scorecard!$C$13+N353*Scorecard!$C$14+O353*Scorecard!$C$15+P353*Scorecard!$C$16+Q353*Scorecard!$C$17</f>
        <v>4.17244445156659</v>
      </c>
      <c r="S353" s="47" t="n">
        <f aca="false">L353*Scorecard!$D$12+M353*Scorecard!$D$13+N353*Scorecard!$D$14+O353*Scorecard!$D$15+P353*Scorecard!$D$16+Q353*Scorecard!$D$17</f>
        <v>2.79765311570862</v>
      </c>
      <c r="T353" s="47" t="n">
        <f aca="false">L353*Scorecard!$E$12+M353*Scorecard!$E$13+N353*Scorecard!$E$14+O353*Scorecard!$E$15+P353*Scorecard!$E$16+Q353*Scorecard!$E$17</f>
        <v>3.60601708616236</v>
      </c>
      <c r="U353" s="0" t="str">
        <f aca="false">IF(AND(R353&gt;=S353,R353&gt;=T353),"Distribution",IF(T353&gt;=S353,"Prof. services","Manufacturing"))</f>
        <v>Distribution</v>
      </c>
    </row>
    <row r="354" customFormat="false" ht="15" hidden="false" customHeight="false" outlineLevel="0" collapsed="false">
      <c r="A354" s="46" t="n">
        <v>0.054034</v>
      </c>
      <c r="B354" s="46" t="n">
        <v>0.233362</v>
      </c>
      <c r="C354" s="46" t="n">
        <v>0.053367</v>
      </c>
      <c r="D354" s="46" t="n">
        <v>0.25193</v>
      </c>
      <c r="E354" s="46" t="n">
        <v>0.253153</v>
      </c>
      <c r="F354" s="46" t="n">
        <v>0.154154</v>
      </c>
      <c r="G354" s="47" t="n">
        <f aca="false">A354*Scorecard!$C$12+B354*Scorecard!$C$13+C354*Scorecard!$C$14+D354*Scorecard!$C$15+E354*Scorecard!$C$16+F354*Scorecard!$C$17</f>
        <v>4.0797220294228</v>
      </c>
      <c r="H354" s="47" t="n">
        <f aca="false">A354*Scorecard!$D$12+B354*Scorecard!$D$13+C354*Scorecard!$D$14+D354*Scorecard!$D$15+E354*Scorecard!$D$16+F354*Scorecard!$D$17</f>
        <v>2.83021315395008</v>
      </c>
      <c r="I354" s="47" t="n">
        <f aca="false">A354*Scorecard!$E$12+B354*Scorecard!$E$13+C354*Scorecard!$E$14+D354*Scorecard!$E$15+E354*Scorecard!$E$16+F354*Scorecard!$E$17</f>
        <v>3.3662097708254</v>
      </c>
      <c r="J354" s="0" t="str">
        <f aca="false">IF(AND(G354&gt;=H354,G354&gt;=I354),"Distribution",IF(I354&gt;=H354,"Prof. services","Manufacturing"))</f>
        <v>Distribution</v>
      </c>
      <c r="L354" s="46" t="n">
        <v>0.148962</v>
      </c>
      <c r="M354" s="46" t="n">
        <v>0.20174</v>
      </c>
      <c r="N354" s="46" t="n">
        <v>0.132081</v>
      </c>
      <c r="O354" s="46" t="n">
        <v>0.179069</v>
      </c>
      <c r="P354" s="46" t="n">
        <v>0.135743</v>
      </c>
      <c r="Q354" s="46" t="n">
        <v>0.202405</v>
      </c>
      <c r="R354" s="47" t="n">
        <f aca="false">L354*Scorecard!$C$12+M354*Scorecard!$C$13+N354*Scorecard!$C$14+O354*Scorecard!$C$15+P354*Scorecard!$C$16+Q354*Scorecard!$C$17</f>
        <v>3.70786527565753</v>
      </c>
      <c r="S354" s="47" t="n">
        <f aca="false">L354*Scorecard!$D$12+M354*Scorecard!$D$13+N354*Scorecard!$D$14+O354*Scorecard!$D$15+P354*Scorecard!$D$16+Q354*Scorecard!$D$17</f>
        <v>2.7445223794966</v>
      </c>
      <c r="T354" s="47" t="n">
        <f aca="false">L354*Scorecard!$E$12+M354*Scorecard!$E$13+N354*Scorecard!$E$14+O354*Scorecard!$E$15+P354*Scorecard!$E$16+Q354*Scorecard!$E$17</f>
        <v>3.80701319597233</v>
      </c>
      <c r="U354" s="0" t="str">
        <f aca="false">IF(AND(R354&gt;=S354,R354&gt;=T354),"Distribution",IF(T354&gt;=S354,"Prof. services","Manufacturing"))</f>
        <v>Prof. services</v>
      </c>
    </row>
    <row r="355" customFormat="false" ht="15" hidden="false" customHeight="false" outlineLevel="0" collapsed="false">
      <c r="A355" s="46" t="n">
        <v>0.030281</v>
      </c>
      <c r="B355" s="46" t="n">
        <v>0.009724</v>
      </c>
      <c r="C355" s="46" t="n">
        <v>0.046897</v>
      </c>
      <c r="D355" s="46" t="n">
        <v>0.093091</v>
      </c>
      <c r="E355" s="46" t="n">
        <v>0.789075</v>
      </c>
      <c r="F355" s="46" t="n">
        <v>0.030932</v>
      </c>
      <c r="G355" s="47" t="n">
        <f aca="false">A355*Scorecard!$C$12+B355*Scorecard!$C$13+C355*Scorecard!$C$14+D355*Scorecard!$C$15+E355*Scorecard!$C$16+F355*Scorecard!$C$17</f>
        <v>3.9864447681636</v>
      </c>
      <c r="H355" s="47" t="n">
        <f aca="false">A355*Scorecard!$D$12+B355*Scorecard!$D$13+C355*Scorecard!$D$14+D355*Scorecard!$D$15+E355*Scorecard!$D$16+F355*Scorecard!$D$17</f>
        <v>3.32979931761405</v>
      </c>
      <c r="I355" s="47" t="n">
        <f aca="false">A355*Scorecard!$E$12+B355*Scorecard!$E$13+C355*Scorecard!$E$14+D355*Scorecard!$E$15+E355*Scorecard!$E$16+F355*Scorecard!$E$17</f>
        <v>2.7745579745806</v>
      </c>
      <c r="J355" s="0" t="str">
        <f aca="false">IF(AND(G355&gt;=H355,G355&gt;=I355),"Distribution",IF(I355&gt;=H355,"Prof. services","Manufacturing"))</f>
        <v>Distribution</v>
      </c>
      <c r="L355" s="46" t="n">
        <v>0.152148</v>
      </c>
      <c r="M355" s="46" t="n">
        <v>0.266839</v>
      </c>
      <c r="N355" s="46" t="n">
        <v>0.108607</v>
      </c>
      <c r="O355" s="46" t="n">
        <v>0.136352</v>
      </c>
      <c r="P355" s="46" t="n">
        <v>0.192285</v>
      </c>
      <c r="Q355" s="46" t="n">
        <v>0.143769</v>
      </c>
      <c r="R355" s="47" t="n">
        <f aca="false">L355*Scorecard!$C$12+M355*Scorecard!$C$13+N355*Scorecard!$C$14+O355*Scorecard!$C$15+P355*Scorecard!$C$16+Q355*Scorecard!$C$17</f>
        <v>3.84178443022209</v>
      </c>
      <c r="S355" s="47" t="n">
        <f aca="false">L355*Scorecard!$D$12+M355*Scorecard!$D$13+N355*Scorecard!$D$14+O355*Scorecard!$D$15+P355*Scorecard!$D$16+Q355*Scorecard!$D$17</f>
        <v>2.70626353437058</v>
      </c>
      <c r="T355" s="47" t="n">
        <f aca="false">L355*Scorecard!$E$12+M355*Scorecard!$E$13+N355*Scorecard!$E$14+O355*Scorecard!$E$15+P355*Scorecard!$E$16+Q355*Scorecard!$E$17</f>
        <v>3.5340613583331</v>
      </c>
      <c r="U355" s="0" t="str">
        <f aca="false">IF(AND(R355&gt;=S355,R355&gt;=T355),"Distribution",IF(T355&gt;=S355,"Prof. services","Manufacturing"))</f>
        <v>Distribution</v>
      </c>
    </row>
    <row r="356" customFormat="false" ht="15" hidden="false" customHeight="false" outlineLevel="0" collapsed="false">
      <c r="A356" s="46" t="n">
        <v>0.035181</v>
      </c>
      <c r="B356" s="46" t="n">
        <v>0.022276</v>
      </c>
      <c r="C356" s="46" t="n">
        <v>0.543879</v>
      </c>
      <c r="D356" s="46" t="n">
        <v>0.168329</v>
      </c>
      <c r="E356" s="46" t="n">
        <v>0.086578</v>
      </c>
      <c r="F356" s="46" t="n">
        <v>0.143757</v>
      </c>
      <c r="G356" s="47" t="n">
        <f aca="false">A356*Scorecard!$C$12+B356*Scorecard!$C$13+C356*Scorecard!$C$14+D356*Scorecard!$C$15+E356*Scorecard!$C$16+F356*Scorecard!$C$17</f>
        <v>3.83976469828485</v>
      </c>
      <c r="H356" s="47" t="n">
        <f aca="false">A356*Scorecard!$D$12+B356*Scorecard!$D$13+C356*Scorecard!$D$14+D356*Scorecard!$D$15+E356*Scorecard!$D$16+F356*Scorecard!$D$17</f>
        <v>2.9978908712899</v>
      </c>
      <c r="I356" s="47" t="n">
        <f aca="false">A356*Scorecard!$E$12+B356*Scorecard!$E$13+C356*Scorecard!$E$14+D356*Scorecard!$E$15+E356*Scorecard!$E$16+F356*Scorecard!$E$17</f>
        <v>4.49248576054124</v>
      </c>
      <c r="J356" s="0" t="str">
        <f aca="false">IF(AND(G356&gt;=H356,G356&gt;=I356),"Distribution",IF(I356&gt;=H356,"Prof. services","Manufacturing"))</f>
        <v>Prof. services</v>
      </c>
      <c r="L356" s="46" t="n">
        <v>0.147785</v>
      </c>
      <c r="M356" s="46" t="n">
        <v>0.277102</v>
      </c>
      <c r="N356" s="46" t="n">
        <v>0.302083</v>
      </c>
      <c r="O356" s="46" t="n">
        <v>0.08914</v>
      </c>
      <c r="P356" s="46" t="n">
        <v>0.116364</v>
      </c>
      <c r="Q356" s="46" t="n">
        <v>0.067525</v>
      </c>
      <c r="R356" s="47" t="n">
        <f aca="false">L356*Scorecard!$C$12+M356*Scorecard!$C$13+N356*Scorecard!$C$14+O356*Scorecard!$C$15+P356*Scorecard!$C$16+Q356*Scorecard!$C$17</f>
        <v>3.9651728924427</v>
      </c>
      <c r="S356" s="47" t="n">
        <f aca="false">L356*Scorecard!$D$12+M356*Scorecard!$D$13+N356*Scorecard!$D$14+O356*Scorecard!$D$15+P356*Scorecard!$D$16+Q356*Scorecard!$D$17</f>
        <v>2.72237821986724</v>
      </c>
      <c r="T356" s="47" t="n">
        <f aca="false">L356*Scorecard!$E$12+M356*Scorecard!$E$13+N356*Scorecard!$E$14+O356*Scorecard!$E$15+P356*Scorecard!$E$16+Q356*Scorecard!$E$17</f>
        <v>3.78458623003438</v>
      </c>
      <c r="U356" s="0" t="str">
        <f aca="false">IF(AND(R356&gt;=S356,R356&gt;=T356),"Distribution",IF(T356&gt;=S356,"Prof. services","Manufacturing"))</f>
        <v>Distribution</v>
      </c>
    </row>
    <row r="357" customFormat="false" ht="15" hidden="false" customHeight="false" outlineLevel="0" collapsed="false">
      <c r="A357" s="46" t="n">
        <v>0.079462</v>
      </c>
      <c r="B357" s="46" t="n">
        <v>0.108197</v>
      </c>
      <c r="C357" s="46" t="n">
        <v>0.190406</v>
      </c>
      <c r="D357" s="46" t="n">
        <v>0.049844</v>
      </c>
      <c r="E357" s="46" t="n">
        <v>0.263541</v>
      </c>
      <c r="F357" s="46" t="n">
        <v>0.30855</v>
      </c>
      <c r="G357" s="47" t="n">
        <f aca="false">A357*Scorecard!$C$12+B357*Scorecard!$C$13+C357*Scorecard!$C$14+D357*Scorecard!$C$15+E357*Scorecard!$C$16+F357*Scorecard!$C$17</f>
        <v>3.39790826679488</v>
      </c>
      <c r="H357" s="47" t="n">
        <f aca="false">A357*Scorecard!$D$12+B357*Scorecard!$D$13+C357*Scorecard!$D$14+D357*Scorecard!$D$15+E357*Scorecard!$D$16+F357*Scorecard!$D$17</f>
        <v>2.57280810232029</v>
      </c>
      <c r="I357" s="47" t="n">
        <f aca="false">A357*Scorecard!$E$12+B357*Scorecard!$E$13+C357*Scorecard!$E$14+D357*Scorecard!$E$15+E357*Scorecard!$E$16+F357*Scorecard!$E$17</f>
        <v>3.79015496665551</v>
      </c>
      <c r="J357" s="0" t="str">
        <f aca="false">IF(AND(G357&gt;=H357,G357&gt;=I357),"Distribution",IF(I357&gt;=H357,"Prof. services","Manufacturing"))</f>
        <v>Prof. services</v>
      </c>
      <c r="L357" s="46" t="n">
        <v>0.119386</v>
      </c>
      <c r="M357" s="46" t="n">
        <v>0.254978</v>
      </c>
      <c r="N357" s="46" t="n">
        <v>0.253748</v>
      </c>
      <c r="O357" s="46" t="n">
        <v>0.097273</v>
      </c>
      <c r="P357" s="46" t="n">
        <v>0.147852</v>
      </c>
      <c r="Q357" s="46" t="n">
        <v>0.126762</v>
      </c>
      <c r="R357" s="47" t="n">
        <f aca="false">L357*Scorecard!$C$12+M357*Scorecard!$C$13+N357*Scorecard!$C$14+O357*Scorecard!$C$15+P357*Scorecard!$C$16+Q357*Scorecard!$C$17</f>
        <v>3.88382649743995</v>
      </c>
      <c r="S357" s="47" t="n">
        <f aca="false">L357*Scorecard!$D$12+M357*Scorecard!$D$13+N357*Scorecard!$D$14+O357*Scorecard!$D$15+P357*Scorecard!$D$16+Q357*Scorecard!$D$17</f>
        <v>2.66788305125532</v>
      </c>
      <c r="T357" s="47" t="n">
        <f aca="false">L357*Scorecard!$E$12+M357*Scorecard!$E$13+N357*Scorecard!$E$14+O357*Scorecard!$E$15+P357*Scorecard!$E$16+Q357*Scorecard!$E$17</f>
        <v>3.72782093744994</v>
      </c>
      <c r="U357" s="0" t="str">
        <f aca="false">IF(AND(R357&gt;=S357,R357&gt;=T357),"Distribution",IF(T357&gt;=S357,"Prof. services","Manufacturing"))</f>
        <v>Distribution</v>
      </c>
    </row>
    <row r="358" customFormat="false" ht="15" hidden="false" customHeight="false" outlineLevel="0" collapsed="false">
      <c r="A358" s="46" t="n">
        <v>0.018516</v>
      </c>
      <c r="B358" s="46" t="n">
        <v>0.020178</v>
      </c>
      <c r="C358" s="46" t="n">
        <v>0.072472</v>
      </c>
      <c r="D358" s="46" t="n">
        <v>0.174002</v>
      </c>
      <c r="E358" s="46" t="n">
        <v>0.057393</v>
      </c>
      <c r="F358" s="46" t="n">
        <v>0.657439</v>
      </c>
      <c r="G358" s="47" t="n">
        <f aca="false">A358*Scorecard!$C$12+B358*Scorecard!$C$13+C358*Scorecard!$C$14+D358*Scorecard!$C$15+E358*Scorecard!$C$16+F358*Scorecard!$C$17</f>
        <v>2.8459729359439</v>
      </c>
      <c r="H358" s="47" t="n">
        <f aca="false">A358*Scorecard!$D$12+B358*Scorecard!$D$13+C358*Scorecard!$D$14+D358*Scorecard!$D$15+E358*Scorecard!$D$16+F358*Scorecard!$D$17</f>
        <v>2.21634788854289</v>
      </c>
      <c r="I358" s="47" t="n">
        <f aca="false">A358*Scorecard!$E$12+B358*Scorecard!$E$13+C358*Scorecard!$E$14+D358*Scorecard!$E$15+E358*Scorecard!$E$16+F358*Scorecard!$E$17</f>
        <v>4.31476240734433</v>
      </c>
      <c r="J358" s="0" t="str">
        <f aca="false">IF(AND(G358&gt;=H358,G358&gt;=I358),"Distribution",IF(I358&gt;=H358,"Prof. services","Manufacturing"))</f>
        <v>Prof. services</v>
      </c>
      <c r="L358" s="46" t="n">
        <v>0.247615</v>
      </c>
      <c r="M358" s="46" t="n">
        <v>0.195072</v>
      </c>
      <c r="N358" s="46" t="n">
        <v>0.160737</v>
      </c>
      <c r="O358" s="46" t="n">
        <v>0.230378</v>
      </c>
      <c r="P358" s="46" t="n">
        <v>0.079898</v>
      </c>
      <c r="Q358" s="46" t="n">
        <v>0.0863</v>
      </c>
      <c r="R358" s="47" t="n">
        <f aca="false">L358*Scorecard!$C$12+M358*Scorecard!$C$13+N358*Scorecard!$C$14+O358*Scorecard!$C$15+P358*Scorecard!$C$16+Q358*Scorecard!$C$17</f>
        <v>3.80713946877016</v>
      </c>
      <c r="S358" s="47" t="n">
        <f aca="false">L358*Scorecard!$D$12+M358*Scorecard!$D$13+N358*Scorecard!$D$14+O358*Scorecard!$D$15+P358*Scorecard!$D$16+Q358*Scorecard!$D$17</f>
        <v>3.03463611828759</v>
      </c>
      <c r="T358" s="47" t="n">
        <f aca="false">L358*Scorecard!$E$12+M358*Scorecard!$E$13+N358*Scorecard!$E$14+O358*Scorecard!$E$15+P358*Scorecard!$E$16+Q358*Scorecard!$E$17</f>
        <v>3.9902714467867</v>
      </c>
      <c r="U358" s="0" t="str">
        <f aca="false">IF(AND(R358&gt;=S358,R358&gt;=T358),"Distribution",IF(T358&gt;=S358,"Prof. services","Manufacturing"))</f>
        <v>Prof. services</v>
      </c>
    </row>
    <row r="359" customFormat="false" ht="15" hidden="false" customHeight="false" outlineLevel="0" collapsed="false">
      <c r="A359" s="46" t="n">
        <v>0.277622</v>
      </c>
      <c r="B359" s="46" t="n">
        <v>0.009117</v>
      </c>
      <c r="C359" s="46" t="n">
        <v>0.147852</v>
      </c>
      <c r="D359" s="46" t="n">
        <v>0.223672</v>
      </c>
      <c r="E359" s="46" t="n">
        <v>0.023015</v>
      </c>
      <c r="F359" s="46" t="n">
        <v>0.318721</v>
      </c>
      <c r="G359" s="47" t="n">
        <f aca="false">A359*Scorecard!$C$12+B359*Scorecard!$C$13+C359*Scorecard!$C$14+D359*Scorecard!$C$15+E359*Scorecard!$C$16+F359*Scorecard!$C$17</f>
        <v>3.09561944084126</v>
      </c>
      <c r="H359" s="47" t="n">
        <f aca="false">A359*Scorecard!$D$12+B359*Scorecard!$D$13+C359*Scorecard!$D$14+D359*Scorecard!$D$15+E359*Scorecard!$D$16+F359*Scorecard!$D$17</f>
        <v>2.95821739973919</v>
      </c>
      <c r="I359" s="47" t="n">
        <f aca="false">A359*Scorecard!$E$12+B359*Scorecard!$E$13+C359*Scorecard!$E$14+D359*Scorecard!$E$15+E359*Scorecard!$E$16+F359*Scorecard!$E$17</f>
        <v>4.56607930417396</v>
      </c>
      <c r="J359" s="0" t="str">
        <f aca="false">IF(AND(G359&gt;=H359,G359&gt;=I359),"Distribution",IF(I359&gt;=H359,"Prof. services","Manufacturing"))</f>
        <v>Prof. services</v>
      </c>
      <c r="L359" s="46" t="n">
        <v>0.186815</v>
      </c>
      <c r="M359" s="46" t="n">
        <v>0.121475</v>
      </c>
      <c r="N359" s="46" t="n">
        <v>0.219647</v>
      </c>
      <c r="O359" s="46" t="n">
        <v>0.151898</v>
      </c>
      <c r="P359" s="46" t="n">
        <v>0.101027</v>
      </c>
      <c r="Q359" s="46" t="n">
        <v>0.219139</v>
      </c>
      <c r="R359" s="47" t="n">
        <f aca="false">L359*Scorecard!$C$12+M359*Scorecard!$C$13+N359*Scorecard!$C$14+O359*Scorecard!$C$15+P359*Scorecard!$C$16+Q359*Scorecard!$C$17</f>
        <v>3.49882933583708</v>
      </c>
      <c r="S359" s="47" t="n">
        <f aca="false">L359*Scorecard!$D$12+M359*Scorecard!$D$13+N359*Scorecard!$D$14+O359*Scorecard!$D$15+P359*Scorecard!$D$16+Q359*Scorecard!$D$17</f>
        <v>2.82187980029181</v>
      </c>
      <c r="T359" s="47" t="n">
        <f aca="false">L359*Scorecard!$E$12+M359*Scorecard!$E$13+N359*Scorecard!$E$14+O359*Scorecard!$E$15+P359*Scorecard!$E$16+Q359*Scorecard!$E$17</f>
        <v>4.14474819001141</v>
      </c>
      <c r="U359" s="0" t="str">
        <f aca="false">IF(AND(R359&gt;=S359,R359&gt;=T359),"Distribution",IF(T359&gt;=S359,"Prof. services","Manufacturing"))</f>
        <v>Prof. services</v>
      </c>
    </row>
    <row r="360" customFormat="false" ht="15" hidden="false" customHeight="false" outlineLevel="0" collapsed="false">
      <c r="A360" s="46" t="n">
        <v>0.087435</v>
      </c>
      <c r="B360" s="46" t="n">
        <v>0.082992</v>
      </c>
      <c r="C360" s="46" t="n">
        <v>0.334761</v>
      </c>
      <c r="D360" s="46" t="n">
        <v>0.023569</v>
      </c>
      <c r="E360" s="46" t="n">
        <v>0.371504</v>
      </c>
      <c r="F360" s="46" t="n">
        <v>0.099738</v>
      </c>
      <c r="G360" s="47" t="n">
        <f aca="false">A360*Scorecard!$C$12+B360*Scorecard!$C$13+C360*Scorecard!$C$14+D360*Scorecard!$C$15+E360*Scorecard!$C$16+F360*Scorecard!$C$17</f>
        <v>3.74969675309217</v>
      </c>
      <c r="H360" s="47" t="n">
        <f aca="false">A360*Scorecard!$D$12+B360*Scorecard!$D$13+C360*Scorecard!$D$14+D360*Scorecard!$D$15+E360*Scorecard!$D$16+F360*Scorecard!$D$17</f>
        <v>2.93469306011831</v>
      </c>
      <c r="I360" s="47" t="n">
        <f aca="false">A360*Scorecard!$E$12+B360*Scorecard!$E$13+C360*Scorecard!$E$14+D360*Scorecard!$E$15+E360*Scorecard!$E$16+F360*Scorecard!$E$17</f>
        <v>3.70109682026872</v>
      </c>
      <c r="J360" s="0" t="str">
        <f aca="false">IF(AND(G360&gt;=H360,G360&gt;=I360),"Distribution",IF(I360&gt;=H360,"Prof. services","Manufacturing"))</f>
        <v>Distribution</v>
      </c>
      <c r="L360" s="46" t="n">
        <v>0.20188</v>
      </c>
      <c r="M360" s="46" t="n">
        <v>0.151997</v>
      </c>
      <c r="N360" s="46" t="n">
        <v>0.214687</v>
      </c>
      <c r="O360" s="46" t="n">
        <v>0.184987</v>
      </c>
      <c r="P360" s="46" t="n">
        <v>0.202507</v>
      </c>
      <c r="Q360" s="46" t="n">
        <v>0.043941</v>
      </c>
      <c r="R360" s="47" t="n">
        <f aca="false">L360*Scorecard!$C$12+M360*Scorecard!$C$13+N360*Scorecard!$C$14+O360*Scorecard!$C$15+P360*Scorecard!$C$16+Q360*Scorecard!$C$17</f>
        <v>3.88571112099558</v>
      </c>
      <c r="S360" s="47" t="n">
        <f aca="false">L360*Scorecard!$D$12+M360*Scorecard!$D$13+N360*Scorecard!$D$14+O360*Scorecard!$D$15+P360*Scorecard!$D$16+Q360*Scorecard!$D$17</f>
        <v>3.12094024434713</v>
      </c>
      <c r="T360" s="47" t="n">
        <f aca="false">L360*Scorecard!$E$12+M360*Scorecard!$E$13+N360*Scorecard!$E$14+O360*Scorecard!$E$15+P360*Scorecard!$E$16+Q360*Scorecard!$E$17</f>
        <v>3.84629641807007</v>
      </c>
      <c r="U360" s="0" t="str">
        <f aca="false">IF(AND(R360&gt;=S360,R360&gt;=T360),"Distribution",IF(T360&gt;=S360,"Prof. services","Manufacturing"))</f>
        <v>Distribution</v>
      </c>
    </row>
    <row r="361" customFormat="false" ht="15" hidden="false" customHeight="false" outlineLevel="0" collapsed="false">
      <c r="A361" s="46" t="n">
        <v>0.037815</v>
      </c>
      <c r="B361" s="46" t="n">
        <v>0.190531</v>
      </c>
      <c r="C361" s="46" t="n">
        <v>0.108192</v>
      </c>
      <c r="D361" s="46" t="n">
        <v>0.200553</v>
      </c>
      <c r="E361" s="46" t="n">
        <v>0.123978</v>
      </c>
      <c r="F361" s="46" t="n">
        <v>0.33893</v>
      </c>
      <c r="G361" s="47" t="n">
        <f aca="false">A361*Scorecard!$C$12+B361*Scorecard!$C$13+C361*Scorecard!$C$14+D361*Scorecard!$C$15+E361*Scorecard!$C$16+F361*Scorecard!$C$17</f>
        <v>3.64515246072146</v>
      </c>
      <c r="H361" s="47" t="n">
        <f aca="false">A361*Scorecard!$D$12+B361*Scorecard!$D$13+C361*Scorecard!$D$14+D361*Scorecard!$D$15+E361*Scorecard!$D$16+F361*Scorecard!$D$17</f>
        <v>2.50408766137975</v>
      </c>
      <c r="I361" s="47" t="n">
        <f aca="false">A361*Scorecard!$E$12+B361*Scorecard!$E$13+C361*Scorecard!$E$14+D361*Scorecard!$E$15+E361*Scorecard!$E$16+F361*Scorecard!$E$17</f>
        <v>3.78439323475911</v>
      </c>
      <c r="J361" s="0" t="str">
        <f aca="false">IF(AND(G361&gt;=H361,G361&gt;=I361),"Distribution",IF(I361&gt;=H361,"Prof. services","Manufacturing"))</f>
        <v>Prof. services</v>
      </c>
      <c r="L361" s="46" t="n">
        <v>0.261449</v>
      </c>
      <c r="M361" s="46" t="n">
        <v>0.168462</v>
      </c>
      <c r="N361" s="46" t="n">
        <v>0.199167</v>
      </c>
      <c r="O361" s="46" t="n">
        <v>0.095571</v>
      </c>
      <c r="P361" s="46" t="n">
        <v>0.132658</v>
      </c>
      <c r="Q361" s="46" t="n">
        <v>0.142693</v>
      </c>
      <c r="R361" s="47" t="n">
        <f aca="false">L361*Scorecard!$C$12+M361*Scorecard!$C$13+N361*Scorecard!$C$14+O361*Scorecard!$C$15+P361*Scorecard!$C$16+Q361*Scorecard!$C$17</f>
        <v>3.50803507148391</v>
      </c>
      <c r="S361" s="47" t="n">
        <f aca="false">L361*Scorecard!$D$12+M361*Scorecard!$D$13+N361*Scorecard!$D$14+O361*Scorecard!$D$15+P361*Scorecard!$D$16+Q361*Scorecard!$D$17</f>
        <v>2.8606548493514</v>
      </c>
      <c r="T361" s="47" t="n">
        <f aca="false">L361*Scorecard!$E$12+M361*Scorecard!$E$13+N361*Scorecard!$E$14+O361*Scorecard!$E$15+P361*Scorecard!$E$16+Q361*Scorecard!$E$17</f>
        <v>4.01058478662755</v>
      </c>
      <c r="U361" s="0" t="str">
        <f aca="false">IF(AND(R361&gt;=S361,R361&gt;=T361),"Distribution",IF(T361&gt;=S361,"Prof. services","Manufacturing"))</f>
        <v>Prof. services</v>
      </c>
    </row>
    <row r="362" customFormat="false" ht="15" hidden="false" customHeight="false" outlineLevel="0" collapsed="false">
      <c r="A362" s="46" t="n">
        <v>0.348152</v>
      </c>
      <c r="B362" s="46" t="n">
        <v>0.107422</v>
      </c>
      <c r="C362" s="46" t="n">
        <v>0.228729</v>
      </c>
      <c r="D362" s="46" t="n">
        <v>0.026778</v>
      </c>
      <c r="E362" s="46" t="n">
        <v>0.263457</v>
      </c>
      <c r="F362" s="46" t="n">
        <v>0.025462</v>
      </c>
      <c r="G362" s="47" t="n">
        <f aca="false">A362*Scorecard!$C$12+B362*Scorecard!$C$13+C362*Scorecard!$C$14+D362*Scorecard!$C$15+E362*Scorecard!$C$16+F362*Scorecard!$C$17</f>
        <v>3.45659743501512</v>
      </c>
      <c r="H362" s="47" t="n">
        <f aca="false">A362*Scorecard!$D$12+B362*Scorecard!$D$13+C362*Scorecard!$D$14+D362*Scorecard!$D$15+E362*Scorecard!$D$16+F362*Scorecard!$D$17</f>
        <v>3.14935615351318</v>
      </c>
      <c r="I362" s="47" t="n">
        <f aca="false">A362*Scorecard!$E$12+B362*Scorecard!$E$13+C362*Scorecard!$E$14+D362*Scorecard!$E$15+E362*Scorecard!$E$16+F362*Scorecard!$E$17</f>
        <v>3.9534321798416</v>
      </c>
      <c r="J362" s="0" t="str">
        <f aca="false">IF(AND(G362&gt;=H362,G362&gt;=I362),"Distribution",IF(I362&gt;=H362,"Prof. services","Manufacturing"))</f>
        <v>Prof. services</v>
      </c>
      <c r="L362" s="46" t="n">
        <v>0.327326</v>
      </c>
      <c r="M362" s="46" t="n">
        <v>0.165719</v>
      </c>
      <c r="N362" s="46" t="n">
        <v>0.115192</v>
      </c>
      <c r="O362" s="46" t="n">
        <v>0.281915</v>
      </c>
      <c r="P362" s="46" t="n">
        <v>0.086867</v>
      </c>
      <c r="Q362" s="46" t="n">
        <v>0.022982</v>
      </c>
      <c r="R362" s="47" t="n">
        <f aca="false">L362*Scorecard!$C$12+M362*Scorecard!$C$13+N362*Scorecard!$C$14+O362*Scorecard!$C$15+P362*Scorecard!$C$16+Q362*Scorecard!$C$17</f>
        <v>3.81248253201406</v>
      </c>
      <c r="S362" s="47" t="n">
        <f aca="false">L362*Scorecard!$D$12+M362*Scorecard!$D$13+N362*Scorecard!$D$14+O362*Scorecard!$D$15+P362*Scorecard!$D$16+Q362*Scorecard!$D$17</f>
        <v>3.28831240949248</v>
      </c>
      <c r="T362" s="47" t="n">
        <f aca="false">L362*Scorecard!$E$12+M362*Scorecard!$E$13+N362*Scorecard!$E$14+O362*Scorecard!$E$15+P362*Scorecard!$E$16+Q362*Scorecard!$E$17</f>
        <v>4.04467931805508</v>
      </c>
      <c r="U362" s="0" t="str">
        <f aca="false">IF(AND(R362&gt;=S362,R362&gt;=T362),"Distribution",IF(T362&gt;=S362,"Prof. services","Manufacturing"))</f>
        <v>Prof. services</v>
      </c>
    </row>
    <row r="363" customFormat="false" ht="15" hidden="false" customHeight="false" outlineLevel="0" collapsed="false">
      <c r="A363" s="46" t="n">
        <v>0.004066</v>
      </c>
      <c r="B363" s="46" t="n">
        <v>0.114953</v>
      </c>
      <c r="C363" s="46" t="n">
        <v>0.097157</v>
      </c>
      <c r="D363" s="46" t="n">
        <v>0.253548</v>
      </c>
      <c r="E363" s="46" t="n">
        <v>0.019029</v>
      </c>
      <c r="F363" s="46" t="n">
        <v>0.511247</v>
      </c>
      <c r="G363" s="47" t="n">
        <f aca="false">A363*Scorecard!$C$12+B363*Scorecard!$C$13+C363*Scorecard!$C$14+D363*Scorecard!$C$15+E363*Scorecard!$C$16+F363*Scorecard!$C$17</f>
        <v>3.3386881420149</v>
      </c>
      <c r="H363" s="47" t="n">
        <f aca="false">A363*Scorecard!$D$12+B363*Scorecard!$D$13+C363*Scorecard!$D$14+D363*Scorecard!$D$15+E363*Scorecard!$D$16+F363*Scorecard!$D$17</f>
        <v>2.36313121506294</v>
      </c>
      <c r="I363" s="47" t="n">
        <f aca="false">A363*Scorecard!$E$12+B363*Scorecard!$E$13+C363*Scorecard!$E$14+D363*Scorecard!$E$15+E363*Scorecard!$E$16+F363*Scorecard!$E$17</f>
        <v>4.15113691275724</v>
      </c>
      <c r="J363" s="0" t="str">
        <f aca="false">IF(AND(G363&gt;=H363,G363&gt;=I363),"Distribution",IF(I363&gt;=H363,"Prof. services","Manufacturing"))</f>
        <v>Prof. services</v>
      </c>
      <c r="L363" s="46" t="n">
        <v>0.21741</v>
      </c>
      <c r="M363" s="46" t="n">
        <v>0.09107</v>
      </c>
      <c r="N363" s="46" t="n">
        <v>0.430052</v>
      </c>
      <c r="O363" s="46" t="n">
        <v>0.069592</v>
      </c>
      <c r="P363" s="46" t="n">
        <v>0.134606</v>
      </c>
      <c r="Q363" s="46" t="n">
        <v>0.057271</v>
      </c>
      <c r="R363" s="47" t="n">
        <f aca="false">L363*Scorecard!$C$12+M363*Scorecard!$C$13+N363*Scorecard!$C$14+O363*Scorecard!$C$15+P363*Scorecard!$C$16+Q363*Scorecard!$C$17</f>
        <v>3.65478289952273</v>
      </c>
      <c r="S363" s="47" t="n">
        <f aca="false">L363*Scorecard!$D$12+M363*Scorecard!$D$13+N363*Scorecard!$D$14+O363*Scorecard!$D$15+P363*Scorecard!$D$16+Q363*Scorecard!$D$17</f>
        <v>3.04644144964025</v>
      </c>
      <c r="T363" s="47" t="n">
        <f aca="false">L363*Scorecard!$E$12+M363*Scorecard!$E$13+N363*Scorecard!$E$14+O363*Scorecard!$E$15+P363*Scorecard!$E$16+Q363*Scorecard!$E$17</f>
        <v>4.29236917042595</v>
      </c>
      <c r="U363" s="0" t="str">
        <f aca="false">IF(AND(R363&gt;=S363,R363&gt;=T363),"Distribution",IF(T363&gt;=S363,"Prof. services","Manufacturing"))</f>
        <v>Prof. services</v>
      </c>
    </row>
    <row r="364" customFormat="false" ht="15" hidden="false" customHeight="false" outlineLevel="0" collapsed="false">
      <c r="A364" s="46" t="n">
        <v>0.329255</v>
      </c>
      <c r="B364" s="46" t="n">
        <v>0.497954</v>
      </c>
      <c r="C364" s="46" t="n">
        <v>0.017965</v>
      </c>
      <c r="D364" s="46" t="n">
        <v>0.07706</v>
      </c>
      <c r="E364" s="46" t="n">
        <v>0.033687</v>
      </c>
      <c r="F364" s="46" t="n">
        <v>0.044079</v>
      </c>
      <c r="G364" s="47" t="n">
        <f aca="false">A364*Scorecard!$C$12+B364*Scorecard!$C$13+C364*Scorecard!$C$14+D364*Scorecard!$C$15+E364*Scorecard!$C$16+F364*Scorecard!$C$17</f>
        <v>3.89419230450465</v>
      </c>
      <c r="H364" s="47" t="n">
        <f aca="false">A364*Scorecard!$D$12+B364*Scorecard!$D$13+C364*Scorecard!$D$14+D364*Scorecard!$D$15+E364*Scorecard!$D$16+F364*Scorecard!$D$17</f>
        <v>2.50437745717956</v>
      </c>
      <c r="I364" s="47" t="n">
        <f aca="false">A364*Scorecard!$E$12+B364*Scorecard!$E$13+C364*Scorecard!$E$14+D364*Scorecard!$E$15+E364*Scorecard!$E$16+F364*Scorecard!$E$17</f>
        <v>3.39180451904632</v>
      </c>
      <c r="J364" s="0" t="str">
        <f aca="false">IF(AND(G364&gt;=H364,G364&gt;=I364),"Distribution",IF(I364&gt;=H364,"Prof. services","Manufacturing"))</f>
        <v>Distribution</v>
      </c>
      <c r="L364" s="46" t="n">
        <v>0.150616</v>
      </c>
      <c r="M364" s="46" t="n">
        <v>0.270558</v>
      </c>
      <c r="N364" s="46" t="n">
        <v>0.174186</v>
      </c>
      <c r="O364" s="46" t="n">
        <v>0.050855</v>
      </c>
      <c r="P364" s="46" t="n">
        <v>0.27182</v>
      </c>
      <c r="Q364" s="46" t="n">
        <v>0.081966</v>
      </c>
      <c r="R364" s="47" t="n">
        <f aca="false">L364*Scorecard!$C$12+M364*Scorecard!$C$13+N364*Scorecard!$C$14+O364*Scorecard!$C$15+P364*Scorecard!$C$16+Q364*Scorecard!$C$17</f>
        <v>3.88637405206989</v>
      </c>
      <c r="S364" s="47" t="n">
        <f aca="false">L364*Scorecard!$D$12+M364*Scorecard!$D$13+N364*Scorecard!$D$14+O364*Scorecard!$D$15+P364*Scorecard!$D$16+Q364*Scorecard!$D$17</f>
        <v>2.71991366544326</v>
      </c>
      <c r="T364" s="47" t="n">
        <f aca="false">L364*Scorecard!$E$12+M364*Scorecard!$E$13+N364*Scorecard!$E$14+O364*Scorecard!$E$15+P364*Scorecard!$E$16+Q364*Scorecard!$E$17</f>
        <v>3.41364628041751</v>
      </c>
      <c r="U364" s="0" t="str">
        <f aca="false">IF(AND(R364&gt;=S364,R364&gt;=T364),"Distribution",IF(T364&gt;=S364,"Prof. services","Manufacturing"))</f>
        <v>Distribution</v>
      </c>
    </row>
    <row r="365" customFormat="false" ht="15" hidden="false" customHeight="false" outlineLevel="0" collapsed="false">
      <c r="A365" s="46" t="n">
        <v>0.230235</v>
      </c>
      <c r="B365" s="46" t="n">
        <v>0.121031</v>
      </c>
      <c r="C365" s="46" t="n">
        <v>0.098589</v>
      </c>
      <c r="D365" s="46" t="n">
        <v>0.175599</v>
      </c>
      <c r="E365" s="46" t="n">
        <v>0.301484</v>
      </c>
      <c r="F365" s="46" t="n">
        <v>0.073062</v>
      </c>
      <c r="G365" s="47" t="n">
        <f aca="false">A365*Scorecard!$C$12+B365*Scorecard!$C$13+C365*Scorecard!$C$14+D365*Scorecard!$C$15+E365*Scorecard!$C$16+F365*Scorecard!$C$17</f>
        <v>3.7360797166258</v>
      </c>
      <c r="H365" s="47" t="n">
        <f aca="false">A365*Scorecard!$D$12+B365*Scorecard!$D$13+C365*Scorecard!$D$14+D365*Scorecard!$D$15+E365*Scorecard!$D$16+F365*Scorecard!$D$17</f>
        <v>3.16459603884547</v>
      </c>
      <c r="I365" s="47" t="n">
        <f aca="false">A365*Scorecard!$E$12+B365*Scorecard!$E$13+C365*Scorecard!$E$14+D365*Scorecard!$E$15+E365*Scorecard!$E$16+F365*Scorecard!$E$17</f>
        <v>3.66469502804734</v>
      </c>
      <c r="J365" s="0" t="str">
        <f aca="false">IF(AND(G365&gt;=H365,G365&gt;=I365),"Distribution",IF(I365&gt;=H365,"Prof. services","Manufacturing"))</f>
        <v>Distribution</v>
      </c>
      <c r="L365" s="46" t="n">
        <v>0.267117</v>
      </c>
      <c r="M365" s="46" t="n">
        <v>0.088607</v>
      </c>
      <c r="N365" s="46" t="n">
        <v>0.384965</v>
      </c>
      <c r="O365" s="46" t="n">
        <v>0.108886</v>
      </c>
      <c r="P365" s="46" t="n">
        <v>0.05376</v>
      </c>
      <c r="Q365" s="46" t="n">
        <v>0.096665</v>
      </c>
      <c r="R365" s="47" t="n">
        <f aca="false">L365*Scorecard!$C$12+M365*Scorecard!$C$13+N365*Scorecard!$C$14+O365*Scorecard!$C$15+P365*Scorecard!$C$16+Q365*Scorecard!$C$17</f>
        <v>3.52334859065274</v>
      </c>
      <c r="S365" s="47" t="n">
        <f aca="false">L365*Scorecard!$D$12+M365*Scorecard!$D$13+N365*Scorecard!$D$14+O365*Scorecard!$D$15+P365*Scorecard!$D$16+Q365*Scorecard!$D$17</f>
        <v>3.04241801541746</v>
      </c>
      <c r="T365" s="47" t="n">
        <f aca="false">L365*Scorecard!$E$12+M365*Scorecard!$E$13+N365*Scorecard!$E$14+O365*Scorecard!$E$15+P365*Scorecard!$E$16+Q365*Scorecard!$E$17</f>
        <v>4.46249362425195</v>
      </c>
      <c r="U365" s="0" t="str">
        <f aca="false">IF(AND(R365&gt;=S365,R365&gt;=T365),"Distribution",IF(T365&gt;=S365,"Prof. services","Manufacturing"))</f>
        <v>Prof. services</v>
      </c>
    </row>
    <row r="366" customFormat="false" ht="15" hidden="false" customHeight="false" outlineLevel="0" collapsed="false">
      <c r="A366" s="46" t="n">
        <v>0.042126</v>
      </c>
      <c r="B366" s="46" t="n">
        <v>0.065358</v>
      </c>
      <c r="C366" s="46" t="n">
        <v>0.214678</v>
      </c>
      <c r="D366" s="46" t="n">
        <v>0.079768</v>
      </c>
      <c r="E366" s="46" t="n">
        <v>0.287434</v>
      </c>
      <c r="F366" s="46" t="n">
        <v>0.310637</v>
      </c>
      <c r="G366" s="47" t="n">
        <f aca="false">A366*Scorecard!$C$12+B366*Scorecard!$C$13+C366*Scorecard!$C$14+D366*Scorecard!$C$15+E366*Scorecard!$C$16+F366*Scorecard!$C$17</f>
        <v>3.44802859924242</v>
      </c>
      <c r="H366" s="47" t="n">
        <f aca="false">A366*Scorecard!$D$12+B366*Scorecard!$D$13+C366*Scorecard!$D$14+D366*Scorecard!$D$15+E366*Scorecard!$D$16+F366*Scorecard!$D$17</f>
        <v>2.65192535559141</v>
      </c>
      <c r="I366" s="47" t="n">
        <f aca="false">A366*Scorecard!$E$12+B366*Scorecard!$E$13+C366*Scorecard!$E$14+D366*Scorecard!$E$15+E366*Scorecard!$E$16+F366*Scorecard!$E$17</f>
        <v>3.82357592984934</v>
      </c>
      <c r="J366" s="0" t="str">
        <f aca="false">IF(AND(G366&gt;=H366,G366&gt;=I366),"Distribution",IF(I366&gt;=H366,"Prof. services","Manufacturing"))</f>
        <v>Prof. services</v>
      </c>
      <c r="L366" s="46" t="n">
        <v>0.249286</v>
      </c>
      <c r="M366" s="46" t="n">
        <v>0.217774</v>
      </c>
      <c r="N366" s="46" t="n">
        <v>0.216167</v>
      </c>
      <c r="O366" s="46" t="n">
        <v>0.15887</v>
      </c>
      <c r="P366" s="46" t="n">
        <v>0.132233</v>
      </c>
      <c r="Q366" s="46" t="n">
        <v>0.02567</v>
      </c>
      <c r="R366" s="47" t="n">
        <f aca="false">L366*Scorecard!$C$12+M366*Scorecard!$C$13+N366*Scorecard!$C$14+O366*Scorecard!$C$15+P366*Scorecard!$C$16+Q366*Scorecard!$C$17</f>
        <v>3.87658564494008</v>
      </c>
      <c r="S366" s="47" t="n">
        <f aca="false">L366*Scorecard!$D$12+M366*Scorecard!$D$13+N366*Scorecard!$D$14+O366*Scorecard!$D$15+P366*Scorecard!$D$16+Q366*Scorecard!$D$17</f>
        <v>3.02727354275102</v>
      </c>
      <c r="T366" s="47" t="n">
        <f aca="false">L366*Scorecard!$E$12+M366*Scorecard!$E$13+N366*Scorecard!$E$14+O366*Scorecard!$E$15+P366*Scorecard!$E$16+Q366*Scorecard!$E$17</f>
        <v>3.87551766232308</v>
      </c>
      <c r="U366" s="0" t="str">
        <f aca="false">IF(AND(R366&gt;=S366,R366&gt;=T366),"Distribution",IF(T366&gt;=S366,"Prof. services","Manufacturing"))</f>
        <v>Distribution</v>
      </c>
    </row>
    <row r="367" customFormat="false" ht="15" hidden="false" customHeight="false" outlineLevel="0" collapsed="false">
      <c r="A367" s="46" t="n">
        <v>0.019219</v>
      </c>
      <c r="B367" s="46" t="n">
        <v>0.008615</v>
      </c>
      <c r="C367" s="46" t="n">
        <v>0.261751</v>
      </c>
      <c r="D367" s="46" t="n">
        <v>0.215271</v>
      </c>
      <c r="E367" s="46" t="n">
        <v>0.368365</v>
      </c>
      <c r="F367" s="46" t="n">
        <v>0.126779</v>
      </c>
      <c r="G367" s="47" t="n">
        <f aca="false">A367*Scorecard!$C$12+B367*Scorecard!$C$13+C367*Scorecard!$C$14+D367*Scorecard!$C$15+E367*Scorecard!$C$16+F367*Scorecard!$C$17</f>
        <v>3.93573352591844</v>
      </c>
      <c r="H367" s="47" t="n">
        <f aca="false">A367*Scorecard!$D$12+B367*Scorecard!$D$13+C367*Scorecard!$D$14+D367*Scorecard!$D$15+E367*Scorecard!$D$16+F367*Scorecard!$D$17</f>
        <v>3.18159036790237</v>
      </c>
      <c r="I367" s="47" t="n">
        <f aca="false">A367*Scorecard!$E$12+B367*Scorecard!$E$13+C367*Scorecard!$E$14+D367*Scorecard!$E$15+E367*Scorecard!$E$16+F367*Scorecard!$E$17</f>
        <v>3.74958782552749</v>
      </c>
      <c r="J367" s="0" t="str">
        <f aca="false">IF(AND(G367&gt;=H367,G367&gt;=I367),"Distribution",IF(I367&gt;=H367,"Prof. services","Manufacturing"))</f>
        <v>Distribution</v>
      </c>
      <c r="L367" s="46" t="n">
        <v>0.152768</v>
      </c>
      <c r="M367" s="46" t="n">
        <v>0.143824</v>
      </c>
      <c r="N367" s="46" t="n">
        <v>0.284214</v>
      </c>
      <c r="O367" s="46" t="n">
        <v>0.200986</v>
      </c>
      <c r="P367" s="46" t="n">
        <v>0.09582</v>
      </c>
      <c r="Q367" s="46" t="n">
        <v>0.122388</v>
      </c>
      <c r="R367" s="47" t="n">
        <f aca="false">L367*Scorecard!$C$12+M367*Scorecard!$C$13+N367*Scorecard!$C$14+O367*Scorecard!$C$15+P367*Scorecard!$C$16+Q367*Scorecard!$C$17</f>
        <v>3.82504942138029</v>
      </c>
      <c r="S367" s="47" t="n">
        <f aca="false">L367*Scorecard!$D$12+M367*Scorecard!$D$13+N367*Scorecard!$D$14+O367*Scorecard!$D$15+P367*Scorecard!$D$16+Q367*Scorecard!$D$17</f>
        <v>2.96605831635172</v>
      </c>
      <c r="T367" s="47" t="n">
        <f aca="false">L367*Scorecard!$E$12+M367*Scorecard!$E$13+N367*Scorecard!$E$14+O367*Scorecard!$E$15+P367*Scorecard!$E$16+Q367*Scorecard!$E$17</f>
        <v>4.1017053616705</v>
      </c>
      <c r="U367" s="0" t="str">
        <f aca="false">IF(AND(R367&gt;=S367,R367&gt;=T367),"Distribution",IF(T367&gt;=S367,"Prof. services","Manufacturing"))</f>
        <v>Prof. services</v>
      </c>
    </row>
    <row r="368" customFormat="false" ht="15" hidden="false" customHeight="false" outlineLevel="0" collapsed="false">
      <c r="A368" s="46" t="n">
        <v>0.026863</v>
      </c>
      <c r="B368" s="46" t="n">
        <v>0.239034</v>
      </c>
      <c r="C368" s="46" t="n">
        <v>0.190075</v>
      </c>
      <c r="D368" s="46" t="n">
        <v>0.441564</v>
      </c>
      <c r="E368" s="46" t="n">
        <v>0.054416</v>
      </c>
      <c r="F368" s="46" t="n">
        <v>0.048048</v>
      </c>
      <c r="G368" s="47" t="n">
        <f aca="false">A368*Scorecard!$C$12+B368*Scorecard!$C$13+C368*Scorecard!$C$14+D368*Scorecard!$C$15+E368*Scorecard!$C$16+F368*Scorecard!$C$17</f>
        <v>4.53614821690759</v>
      </c>
      <c r="H368" s="47" t="n">
        <f aca="false">A368*Scorecard!$D$12+B368*Scorecard!$D$13+C368*Scorecard!$D$14+D368*Scorecard!$D$15+E368*Scorecard!$D$16+F368*Scorecard!$D$17</f>
        <v>3.11619315306241</v>
      </c>
      <c r="I368" s="47" t="n">
        <f aca="false">A368*Scorecard!$E$12+B368*Scorecard!$E$13+C368*Scorecard!$E$14+D368*Scorecard!$E$15+E368*Scorecard!$E$16+F368*Scorecard!$E$17</f>
        <v>3.77440465585569</v>
      </c>
      <c r="J368" s="0" t="str">
        <f aca="false">IF(AND(G368&gt;=H368,G368&gt;=I368),"Distribution",IF(I368&gt;=H368,"Prof. services","Manufacturing"))</f>
        <v>Distribution</v>
      </c>
      <c r="L368" s="46" t="n">
        <v>0.288202</v>
      </c>
      <c r="M368" s="46" t="n">
        <v>0.133529</v>
      </c>
      <c r="N368" s="46" t="n">
        <v>0.092766</v>
      </c>
      <c r="O368" s="46" t="n">
        <v>0.296286</v>
      </c>
      <c r="P368" s="46" t="n">
        <v>0.123041</v>
      </c>
      <c r="Q368" s="46" t="n">
        <v>0.066176</v>
      </c>
      <c r="R368" s="47" t="n">
        <f aca="false">L368*Scorecard!$C$12+M368*Scorecard!$C$13+N368*Scorecard!$C$14+O368*Scorecard!$C$15+P368*Scorecard!$C$16+Q368*Scorecard!$C$17</f>
        <v>3.77869528996021</v>
      </c>
      <c r="S368" s="47" t="n">
        <f aca="false">L368*Scorecard!$D$12+M368*Scorecard!$D$13+N368*Scorecard!$D$14+O368*Scorecard!$D$15+P368*Scorecard!$D$16+Q368*Scorecard!$D$17</f>
        <v>3.27468680409974</v>
      </c>
      <c r="T368" s="47" t="n">
        <f aca="false">L368*Scorecard!$E$12+M368*Scorecard!$E$13+N368*Scorecard!$E$14+O368*Scorecard!$E$15+P368*Scorecard!$E$16+Q368*Scorecard!$E$17</f>
        <v>4.00716590940997</v>
      </c>
      <c r="U368" s="0" t="str">
        <f aca="false">IF(AND(R368&gt;=S368,R368&gt;=T368),"Distribution",IF(T368&gt;=S368,"Prof. services","Manufacturing"))</f>
        <v>Prof. services</v>
      </c>
    </row>
    <row r="369" customFormat="false" ht="15" hidden="false" customHeight="false" outlineLevel="0" collapsed="false">
      <c r="A369" s="46" t="n">
        <v>0.103175</v>
      </c>
      <c r="B369" s="46" t="n">
        <v>0.015906</v>
      </c>
      <c r="C369" s="46" t="n">
        <v>0.017328</v>
      </c>
      <c r="D369" s="46" t="n">
        <v>0.280977</v>
      </c>
      <c r="E369" s="46" t="n">
        <v>0.331855</v>
      </c>
      <c r="F369" s="46" t="n">
        <v>0.25076</v>
      </c>
      <c r="G369" s="47" t="n">
        <f aca="false">A369*Scorecard!$C$12+B369*Scorecard!$C$13+C369*Scorecard!$C$14+D369*Scorecard!$C$15+E369*Scorecard!$C$16+F369*Scorecard!$C$17</f>
        <v>3.60965052862452</v>
      </c>
      <c r="H369" s="47" t="n">
        <f aca="false">A369*Scorecard!$D$12+B369*Scorecard!$D$13+C369*Scorecard!$D$14+D369*Scorecard!$D$15+E369*Scorecard!$D$16+F369*Scorecard!$D$17</f>
        <v>3.10402909030165</v>
      </c>
      <c r="I369" s="47" t="n">
        <f aca="false">A369*Scorecard!$E$12+B369*Scorecard!$E$13+C369*Scorecard!$E$14+D369*Scorecard!$E$15+E369*Scorecard!$E$16+F369*Scorecard!$E$17</f>
        <v>3.70907344523929</v>
      </c>
      <c r="J369" s="0" t="str">
        <f aca="false">IF(AND(G369&gt;=H369,G369&gt;=I369),"Distribution",IF(I369&gt;=H369,"Prof. services","Manufacturing"))</f>
        <v>Prof. services</v>
      </c>
      <c r="L369" s="46" t="n">
        <v>0.136856</v>
      </c>
      <c r="M369" s="46" t="n">
        <v>0.246992</v>
      </c>
      <c r="N369" s="46" t="n">
        <v>0.289736</v>
      </c>
      <c r="O369" s="46" t="n">
        <v>0.224576</v>
      </c>
      <c r="P369" s="46" t="n">
        <v>0.049064</v>
      </c>
      <c r="Q369" s="46" t="n">
        <v>0.052776</v>
      </c>
      <c r="R369" s="47" t="n">
        <f aca="false">L369*Scorecard!$C$12+M369*Scorecard!$C$13+N369*Scorecard!$C$14+O369*Scorecard!$C$15+P369*Scorecard!$C$16+Q369*Scorecard!$C$17</f>
        <v>4.11967324830083</v>
      </c>
      <c r="S369" s="47" t="n">
        <f aca="false">L369*Scorecard!$D$12+M369*Scorecard!$D$13+N369*Scorecard!$D$14+O369*Scorecard!$D$15+P369*Scorecard!$D$16+Q369*Scorecard!$D$17</f>
        <v>2.91683370711679</v>
      </c>
      <c r="T369" s="47" t="n">
        <f aca="false">L369*Scorecard!$E$12+M369*Scorecard!$E$13+N369*Scorecard!$E$14+O369*Scorecard!$E$15+P369*Scorecard!$E$16+Q369*Scorecard!$E$17</f>
        <v>3.94480677407351</v>
      </c>
      <c r="U369" s="0" t="str">
        <f aca="false">IF(AND(R369&gt;=S369,R369&gt;=T369),"Distribution",IF(T369&gt;=S369,"Prof. services","Manufacturing"))</f>
        <v>Distribution</v>
      </c>
    </row>
    <row r="370" customFormat="false" ht="15" hidden="false" customHeight="false" outlineLevel="0" collapsed="false">
      <c r="A370" s="46" t="n">
        <v>0.174909</v>
      </c>
      <c r="B370" s="46" t="n">
        <v>0.052558</v>
      </c>
      <c r="C370" s="46" t="n">
        <v>0.053882</v>
      </c>
      <c r="D370" s="46" t="n">
        <v>0.25022</v>
      </c>
      <c r="E370" s="46" t="n">
        <v>0.467763</v>
      </c>
      <c r="F370" s="46" t="n">
        <v>0.000668</v>
      </c>
      <c r="G370" s="47" t="n">
        <f aca="false">A370*Scorecard!$C$12+B370*Scorecard!$C$13+C370*Scorecard!$C$14+D370*Scorecard!$C$15+E370*Scorecard!$C$16+F370*Scorecard!$C$17</f>
        <v>3.98660330562817</v>
      </c>
      <c r="H370" s="47" t="n">
        <f aca="false">A370*Scorecard!$D$12+B370*Scorecard!$D$13+C370*Scorecard!$D$14+D370*Scorecard!$D$15+E370*Scorecard!$D$16+F370*Scorecard!$D$17</f>
        <v>3.48123028778601</v>
      </c>
      <c r="I370" s="47" t="n">
        <f aca="false">A370*Scorecard!$E$12+B370*Scorecard!$E$13+C370*Scorecard!$E$14+D370*Scorecard!$E$15+E370*Scorecard!$E$16+F370*Scorecard!$E$17</f>
        <v>3.39200653830455</v>
      </c>
      <c r="J370" s="0" t="str">
        <f aca="false">IF(AND(G370&gt;=H370,G370&gt;=I370),"Distribution",IF(I370&gt;=H370,"Prof. services","Manufacturing"))</f>
        <v>Distribution</v>
      </c>
      <c r="L370" s="46" t="n">
        <v>0.135444</v>
      </c>
      <c r="M370" s="46" t="n">
        <v>0.268034</v>
      </c>
      <c r="N370" s="46" t="n">
        <v>0.146784</v>
      </c>
      <c r="O370" s="46" t="n">
        <v>0.13862</v>
      </c>
      <c r="P370" s="46" t="n">
        <v>0.213987</v>
      </c>
      <c r="Q370" s="46" t="n">
        <v>0.097131</v>
      </c>
      <c r="R370" s="47" t="n">
        <f aca="false">L370*Scorecard!$C$12+M370*Scorecard!$C$13+N370*Scorecard!$C$14+O370*Scorecard!$C$15+P370*Scorecard!$C$16+Q370*Scorecard!$C$17</f>
        <v>3.96859086843731</v>
      </c>
      <c r="S370" s="47" t="n">
        <f aca="false">L370*Scorecard!$D$12+M370*Scorecard!$D$13+N370*Scorecard!$D$14+O370*Scorecard!$D$15+P370*Scorecard!$D$16+Q370*Scorecard!$D$17</f>
        <v>2.77325255572582</v>
      </c>
      <c r="T370" s="47" t="n">
        <f aca="false">L370*Scorecard!$E$12+M370*Scorecard!$E$13+N370*Scorecard!$E$14+O370*Scorecard!$E$15+P370*Scorecard!$E$16+Q370*Scorecard!$E$17</f>
        <v>3.49417623328411</v>
      </c>
      <c r="U370" s="0" t="str">
        <f aca="false">IF(AND(R370&gt;=S370,R370&gt;=T370),"Distribution",IF(T370&gt;=S370,"Prof. services","Manufacturing"))</f>
        <v>Distribution</v>
      </c>
    </row>
    <row r="371" customFormat="false" ht="15" hidden="false" customHeight="false" outlineLevel="0" collapsed="false">
      <c r="A371" s="46" t="n">
        <v>0.566437</v>
      </c>
      <c r="B371" s="46" t="n">
        <v>0.024868</v>
      </c>
      <c r="C371" s="46" t="n">
        <v>0.206649</v>
      </c>
      <c r="D371" s="46" t="n">
        <v>0.028221</v>
      </c>
      <c r="E371" s="46" t="n">
        <v>0.053054</v>
      </c>
      <c r="F371" s="46" t="n">
        <v>0.12077</v>
      </c>
      <c r="G371" s="47" t="n">
        <f aca="false">A371*Scorecard!$C$12+B371*Scorecard!$C$13+C371*Scorecard!$C$14+D371*Scorecard!$C$15+E371*Scorecard!$C$16+F371*Scorecard!$C$17</f>
        <v>2.7919503220595</v>
      </c>
      <c r="H371" s="47" t="n">
        <f aca="false">A371*Scorecard!$D$12+B371*Scorecard!$D$13+C371*Scorecard!$D$14+D371*Scorecard!$D$15+E371*Scorecard!$D$16+F371*Scorecard!$D$17</f>
        <v>3.20602896673082</v>
      </c>
      <c r="I371" s="47" t="n">
        <f aca="false">A371*Scorecard!$E$12+B371*Scorecard!$E$13+C371*Scorecard!$E$14+D371*Scorecard!$E$15+E371*Scorecard!$E$16+F371*Scorecard!$E$17</f>
        <v>4.70303291127813</v>
      </c>
      <c r="J371" s="0" t="str">
        <f aca="false">IF(AND(G371&gt;=H371,G371&gt;=I371),"Distribution",IF(I371&gt;=H371,"Prof. services","Manufacturing"))</f>
        <v>Prof. services</v>
      </c>
      <c r="L371" s="46" t="n">
        <v>0.174998</v>
      </c>
      <c r="M371" s="46" t="n">
        <v>0.141223</v>
      </c>
      <c r="N371" s="46" t="n">
        <v>0.22559</v>
      </c>
      <c r="O371" s="46" t="n">
        <v>0.183943</v>
      </c>
      <c r="P371" s="46" t="n">
        <v>0.142976</v>
      </c>
      <c r="Q371" s="46" t="n">
        <v>0.13127</v>
      </c>
      <c r="R371" s="47" t="n">
        <f aca="false">L371*Scorecard!$C$12+M371*Scorecard!$C$13+N371*Scorecard!$C$14+O371*Scorecard!$C$15+P371*Scorecard!$C$16+Q371*Scorecard!$C$17</f>
        <v>3.74762710435895</v>
      </c>
      <c r="S371" s="47" t="n">
        <f aca="false">L371*Scorecard!$D$12+M371*Scorecard!$D$13+N371*Scorecard!$D$14+O371*Scorecard!$D$15+P371*Scorecard!$D$16+Q371*Scorecard!$D$17</f>
        <v>2.96731241613146</v>
      </c>
      <c r="T371" s="47" t="n">
        <f aca="false">L371*Scorecard!$E$12+M371*Scorecard!$E$13+N371*Scorecard!$E$14+O371*Scorecard!$E$15+P371*Scorecard!$E$16+Q371*Scorecard!$E$17</f>
        <v>3.99324050043862</v>
      </c>
      <c r="U371" s="0" t="str">
        <f aca="false">IF(AND(R371&gt;=S371,R371&gt;=T371),"Distribution",IF(T371&gt;=S371,"Prof. services","Manufacturing"))</f>
        <v>Prof. services</v>
      </c>
    </row>
    <row r="372" customFormat="false" ht="15" hidden="false" customHeight="false" outlineLevel="0" collapsed="false">
      <c r="A372" s="46" t="n">
        <v>0.035729</v>
      </c>
      <c r="B372" s="46" t="n">
        <v>0.312309</v>
      </c>
      <c r="C372" s="46" t="n">
        <v>0.019813</v>
      </c>
      <c r="D372" s="46" t="n">
        <v>0.00894</v>
      </c>
      <c r="E372" s="46" t="n">
        <v>0.411413</v>
      </c>
      <c r="F372" s="46" t="n">
        <v>0.211796</v>
      </c>
      <c r="G372" s="47" t="n">
        <f aca="false">A372*Scorecard!$C$12+B372*Scorecard!$C$13+C372*Scorecard!$C$14+D372*Scorecard!$C$15+E372*Scorecard!$C$16+F372*Scorecard!$C$17</f>
        <v>3.83334429046984</v>
      </c>
      <c r="H372" s="47" t="n">
        <f aca="false">A372*Scorecard!$D$12+B372*Scorecard!$D$13+C372*Scorecard!$D$14+D372*Scorecard!$D$15+E372*Scorecard!$D$16+F372*Scorecard!$D$17</f>
        <v>2.38461730120273</v>
      </c>
      <c r="I372" s="47" t="n">
        <f aca="false">A372*Scorecard!$E$12+B372*Scorecard!$E$13+C372*Scorecard!$E$14+D372*Scorecard!$E$15+E372*Scorecard!$E$16+F372*Scorecard!$E$17</f>
        <v>2.89145594372385</v>
      </c>
      <c r="J372" s="0" t="str">
        <f aca="false">IF(AND(G372&gt;=H372,G372&gt;=I372),"Distribution",IF(I372&gt;=H372,"Prof. services","Manufacturing"))</f>
        <v>Distribution</v>
      </c>
      <c r="L372" s="46" t="n">
        <v>0.350321</v>
      </c>
      <c r="M372" s="46" t="n">
        <v>0.182368</v>
      </c>
      <c r="N372" s="46" t="n">
        <v>0.13222</v>
      </c>
      <c r="O372" s="46" t="n">
        <v>0.11671</v>
      </c>
      <c r="P372" s="46" t="n">
        <v>0.170205</v>
      </c>
      <c r="Q372" s="46" t="n">
        <v>0.048176</v>
      </c>
      <c r="R372" s="47" t="n">
        <f aca="false">L372*Scorecard!$C$12+M372*Scorecard!$C$13+N372*Scorecard!$C$14+O372*Scorecard!$C$15+P372*Scorecard!$C$16+Q372*Scorecard!$C$17</f>
        <v>3.57214320408308</v>
      </c>
      <c r="S372" s="47" t="n">
        <f aca="false">L372*Scorecard!$D$12+M372*Scorecard!$D$13+N372*Scorecard!$D$14+O372*Scorecard!$D$15+P372*Scorecard!$D$16+Q372*Scorecard!$D$17</f>
        <v>3.07724877484544</v>
      </c>
      <c r="T372" s="47" t="n">
        <f aca="false">L372*Scorecard!$E$12+M372*Scorecard!$E$13+N372*Scorecard!$E$14+O372*Scorecard!$E$15+P372*Scorecard!$E$16+Q372*Scorecard!$E$17</f>
        <v>3.90006015967467</v>
      </c>
      <c r="U372" s="0" t="str">
        <f aca="false">IF(AND(R372&gt;=S372,R372&gt;=T372),"Distribution",IF(T372&gt;=S372,"Prof. services","Manufacturing"))</f>
        <v>Prof. services</v>
      </c>
    </row>
    <row r="373" customFormat="false" ht="15" hidden="false" customHeight="false" outlineLevel="0" collapsed="false">
      <c r="A373" s="46" t="n">
        <v>0.088809</v>
      </c>
      <c r="B373" s="46" t="n">
        <v>0.120668</v>
      </c>
      <c r="C373" s="46" t="n">
        <v>0.205381</v>
      </c>
      <c r="D373" s="46" t="n">
        <v>0.303302</v>
      </c>
      <c r="E373" s="46" t="n">
        <v>0.089419</v>
      </c>
      <c r="F373" s="46" t="n">
        <v>0.192422</v>
      </c>
      <c r="G373" s="47" t="n">
        <f aca="false">A373*Scorecard!$C$12+B373*Scorecard!$C$13+C373*Scorecard!$C$14+D373*Scorecard!$C$15+E373*Scorecard!$C$16+F373*Scorecard!$C$17</f>
        <v>3.8792725334976</v>
      </c>
      <c r="H373" s="47" t="n">
        <f aca="false">A373*Scorecard!$D$12+B373*Scorecard!$D$13+C373*Scorecard!$D$14+D373*Scorecard!$D$15+E373*Scorecard!$D$16+F373*Scorecard!$D$17</f>
        <v>2.96983100995467</v>
      </c>
      <c r="I373" s="47" t="n">
        <f aca="false">A373*Scorecard!$E$12+B373*Scorecard!$E$13+C373*Scorecard!$E$14+D373*Scorecard!$E$15+E373*Scorecard!$E$16+F373*Scorecard!$E$17</f>
        <v>4.06482490496555</v>
      </c>
      <c r="J373" s="0" t="str">
        <f aca="false">IF(AND(G373&gt;=H373,G373&gt;=I373),"Distribution",IF(I373&gt;=H373,"Prof. services","Manufacturing"))</f>
        <v>Prof. services</v>
      </c>
      <c r="L373" s="46" t="n">
        <v>0.155693</v>
      </c>
      <c r="M373" s="46" t="n">
        <v>0.221026</v>
      </c>
      <c r="N373" s="46" t="n">
        <v>0.187645</v>
      </c>
      <c r="O373" s="46" t="n">
        <v>0.086515</v>
      </c>
      <c r="P373" s="46" t="n">
        <v>0.153259</v>
      </c>
      <c r="Q373" s="46" t="n">
        <v>0.195862</v>
      </c>
      <c r="R373" s="47" t="n">
        <f aca="false">L373*Scorecard!$C$12+M373*Scorecard!$C$13+N373*Scorecard!$C$14+O373*Scorecard!$C$15+P373*Scorecard!$C$16+Q373*Scorecard!$C$17</f>
        <v>3.63556737966695</v>
      </c>
      <c r="S373" s="47" t="n">
        <f aca="false">L373*Scorecard!$D$12+M373*Scorecard!$D$13+N373*Scorecard!$D$14+O373*Scorecard!$D$15+P373*Scorecard!$D$16+Q373*Scorecard!$D$17</f>
        <v>2.62852905542132</v>
      </c>
      <c r="T373" s="47" t="n">
        <f aca="false">L373*Scorecard!$E$12+M373*Scorecard!$E$13+N373*Scorecard!$E$14+O373*Scorecard!$E$15+P373*Scorecard!$E$16+Q373*Scorecard!$E$17</f>
        <v>3.78548172076759</v>
      </c>
      <c r="U373" s="0" t="str">
        <f aca="false">IF(AND(R373&gt;=S373,R373&gt;=T373),"Distribution",IF(T373&gt;=S373,"Prof. services","Manufacturing"))</f>
        <v>Prof. services</v>
      </c>
    </row>
    <row r="374" customFormat="false" ht="15" hidden="false" customHeight="false" outlineLevel="0" collapsed="false">
      <c r="A374" s="46" t="n">
        <v>0.070581</v>
      </c>
      <c r="B374" s="46" t="n">
        <v>0.00753</v>
      </c>
      <c r="C374" s="46" t="n">
        <v>0.404501</v>
      </c>
      <c r="D374" s="46" t="n">
        <v>0.024534</v>
      </c>
      <c r="E374" s="46" t="n">
        <v>0.004628</v>
      </c>
      <c r="F374" s="46" t="n">
        <v>0.488226</v>
      </c>
      <c r="G374" s="47" t="n">
        <f aca="false">A374*Scorecard!$C$12+B374*Scorecard!$C$13+C374*Scorecard!$C$14+D374*Scorecard!$C$15+E374*Scorecard!$C$16+F374*Scorecard!$C$17</f>
        <v>2.92856519344655</v>
      </c>
      <c r="H374" s="47" t="n">
        <f aca="false">A374*Scorecard!$D$12+B374*Scorecard!$D$13+C374*Scorecard!$D$14+D374*Scorecard!$D$15+E374*Scorecard!$D$16+F374*Scorecard!$D$17</f>
        <v>2.33292490327841</v>
      </c>
      <c r="I374" s="47" t="n">
        <f aca="false">A374*Scorecard!$E$12+B374*Scorecard!$E$13+C374*Scorecard!$E$14+D374*Scorecard!$E$15+E374*Scorecard!$E$16+F374*Scorecard!$E$17</f>
        <v>4.70138477351183</v>
      </c>
      <c r="J374" s="0" t="str">
        <f aca="false">IF(AND(G374&gt;=H374,G374&gt;=I374),"Distribution",IF(I374&gt;=H374,"Prof. services","Manufacturing"))</f>
        <v>Prof. services</v>
      </c>
      <c r="L374" s="46" t="n">
        <v>0.195252</v>
      </c>
      <c r="M374" s="46" t="n">
        <v>0.09665</v>
      </c>
      <c r="N374" s="46" t="n">
        <v>0.208227</v>
      </c>
      <c r="O374" s="46" t="n">
        <v>0.102561</v>
      </c>
      <c r="P374" s="46" t="n">
        <v>0.293751</v>
      </c>
      <c r="Q374" s="46" t="n">
        <v>0.10356</v>
      </c>
      <c r="R374" s="47" t="n">
        <f aca="false">L374*Scorecard!$C$12+M374*Scorecard!$C$13+N374*Scorecard!$C$14+O374*Scorecard!$C$15+P374*Scorecard!$C$16+Q374*Scorecard!$C$17</f>
        <v>3.64063861551728</v>
      </c>
      <c r="S374" s="47" t="n">
        <f aca="false">L374*Scorecard!$D$12+M374*Scorecard!$D$13+N374*Scorecard!$D$14+O374*Scorecard!$D$15+P374*Scorecard!$D$16+Q374*Scorecard!$D$17</f>
        <v>3.04521051785898</v>
      </c>
      <c r="T374" s="47" t="n">
        <f aca="false">L374*Scorecard!$E$12+M374*Scorecard!$E$13+N374*Scorecard!$E$14+O374*Scorecard!$E$15+P374*Scorecard!$E$16+Q374*Scorecard!$E$17</f>
        <v>3.8012337763112</v>
      </c>
      <c r="U374" s="0" t="str">
        <f aca="false">IF(AND(R374&gt;=S374,R374&gt;=T374),"Distribution",IF(T374&gt;=S374,"Prof. services","Manufacturing"))</f>
        <v>Prof. services</v>
      </c>
    </row>
    <row r="375" customFormat="false" ht="15" hidden="false" customHeight="false" outlineLevel="0" collapsed="false">
      <c r="A375" s="46" t="n">
        <v>0.464172</v>
      </c>
      <c r="B375" s="46" t="n">
        <v>0.11999</v>
      </c>
      <c r="C375" s="46" t="n">
        <v>0.163349</v>
      </c>
      <c r="D375" s="46" t="n">
        <v>0.089778</v>
      </c>
      <c r="E375" s="46" t="n">
        <v>0.106958</v>
      </c>
      <c r="F375" s="46" t="n">
        <v>0.055752</v>
      </c>
      <c r="G375" s="47" t="n">
        <f aca="false">A375*Scorecard!$C$12+B375*Scorecard!$C$13+C375*Scorecard!$C$14+D375*Scorecard!$C$15+E375*Scorecard!$C$16+F375*Scorecard!$C$17</f>
        <v>3.26274378045749</v>
      </c>
      <c r="H375" s="47" t="n">
        <f aca="false">A375*Scorecard!$D$12+B375*Scorecard!$D$13+C375*Scorecard!$D$14+D375*Scorecard!$D$15+E375*Scorecard!$D$16+F375*Scorecard!$D$17</f>
        <v>3.18245552293125</v>
      </c>
      <c r="I375" s="47" t="n">
        <f aca="false">A375*Scorecard!$E$12+B375*Scorecard!$E$13+C375*Scorecard!$E$14+D375*Scorecard!$E$15+E375*Scorecard!$E$16+F375*Scorecard!$E$17</f>
        <v>4.26681140842654</v>
      </c>
      <c r="J375" s="0" t="str">
        <f aca="false">IF(AND(G375&gt;=H375,G375&gt;=I375),"Distribution",IF(I375&gt;=H375,"Prof. services","Manufacturing"))</f>
        <v>Prof. services</v>
      </c>
      <c r="L375" s="46" t="n">
        <v>0.134201</v>
      </c>
      <c r="M375" s="46" t="n">
        <v>0.232602</v>
      </c>
      <c r="N375" s="46" t="n">
        <v>0.192184</v>
      </c>
      <c r="O375" s="46" t="n">
        <v>0.230151</v>
      </c>
      <c r="P375" s="46" t="n">
        <v>0.098845</v>
      </c>
      <c r="Q375" s="46" t="n">
        <v>0.112016</v>
      </c>
      <c r="R375" s="47" t="n">
        <f aca="false">L375*Scorecard!$C$12+M375*Scorecard!$C$13+N375*Scorecard!$C$14+O375*Scorecard!$C$15+P375*Scorecard!$C$16+Q375*Scorecard!$C$17</f>
        <v>3.9971532861637</v>
      </c>
      <c r="S375" s="47" t="n">
        <f aca="false">L375*Scorecard!$D$12+M375*Scorecard!$D$13+N375*Scorecard!$D$14+O375*Scorecard!$D$15+P375*Scorecard!$D$16+Q375*Scorecard!$D$17</f>
        <v>2.87086388445479</v>
      </c>
      <c r="T375" s="47" t="n">
        <f aca="false">L375*Scorecard!$E$12+M375*Scorecard!$E$13+N375*Scorecard!$E$14+O375*Scorecard!$E$15+P375*Scorecard!$E$16+Q375*Scorecard!$E$17</f>
        <v>3.81915206009741</v>
      </c>
      <c r="U375" s="0" t="str">
        <f aca="false">IF(AND(R375&gt;=S375,R375&gt;=T375),"Distribution",IF(T375&gt;=S375,"Prof. services","Manufacturing"))</f>
        <v>Distribution</v>
      </c>
    </row>
    <row r="376" customFormat="false" ht="15" hidden="false" customHeight="false" outlineLevel="0" collapsed="false">
      <c r="A376" s="46" t="n">
        <v>0.028866</v>
      </c>
      <c r="B376" s="46" t="n">
        <v>0.048731</v>
      </c>
      <c r="C376" s="46" t="n">
        <v>0.21096</v>
      </c>
      <c r="D376" s="46" t="n">
        <v>0.377134</v>
      </c>
      <c r="E376" s="46" t="n">
        <v>0.189751</v>
      </c>
      <c r="F376" s="46" t="n">
        <v>0.144558</v>
      </c>
      <c r="G376" s="47" t="n">
        <f aca="false">A376*Scorecard!$C$12+B376*Scorecard!$C$13+C376*Scorecard!$C$14+D376*Scorecard!$C$15+E376*Scorecard!$C$16+F376*Scorecard!$C$17</f>
        <v>4.08478978834287</v>
      </c>
      <c r="H376" s="47" t="n">
        <f aca="false">A376*Scorecard!$D$12+B376*Scorecard!$D$13+C376*Scorecard!$D$14+D376*Scorecard!$D$15+E376*Scorecard!$D$16+F376*Scorecard!$D$17</f>
        <v>3.22892126261678</v>
      </c>
      <c r="I376" s="47" t="n">
        <f aca="false">A376*Scorecard!$E$12+B376*Scorecard!$E$13+C376*Scorecard!$E$14+D376*Scorecard!$E$15+E376*Scorecard!$E$16+F376*Scorecard!$E$17</f>
        <v>3.96634563413183</v>
      </c>
      <c r="J376" s="0" t="str">
        <f aca="false">IF(AND(G376&gt;=H376,G376&gt;=I376),"Distribution",IF(I376&gt;=H376,"Prof. services","Manufacturing"))</f>
        <v>Distribution</v>
      </c>
      <c r="L376" s="46" t="n">
        <v>0.108699</v>
      </c>
      <c r="M376" s="46" t="n">
        <v>0.235631</v>
      </c>
      <c r="N376" s="46" t="n">
        <v>0.133001</v>
      </c>
      <c r="O376" s="46" t="n">
        <v>0.181134</v>
      </c>
      <c r="P376" s="46" t="n">
        <v>0.200703</v>
      </c>
      <c r="Q376" s="46" t="n">
        <v>0.140832</v>
      </c>
      <c r="R376" s="47" t="n">
        <f aca="false">L376*Scorecard!$C$12+M376*Scorecard!$C$13+N376*Scorecard!$C$14+O376*Scorecard!$C$15+P376*Scorecard!$C$16+Q376*Scorecard!$C$17</f>
        <v>3.93944124984693</v>
      </c>
      <c r="S376" s="47" t="n">
        <f aca="false">L376*Scorecard!$D$12+M376*Scorecard!$D$13+N376*Scorecard!$D$14+O376*Scorecard!$D$15+P376*Scorecard!$D$16+Q376*Scorecard!$D$17</f>
        <v>2.78345959627063</v>
      </c>
      <c r="T376" s="47" t="n">
        <f aca="false">L376*Scorecard!$E$12+M376*Scorecard!$E$13+N376*Scorecard!$E$14+O376*Scorecard!$E$15+P376*Scorecard!$E$16+Q376*Scorecard!$E$17</f>
        <v>3.565390379709</v>
      </c>
      <c r="U376" s="0" t="str">
        <f aca="false">IF(AND(R376&gt;=S376,R376&gt;=T376),"Distribution",IF(T376&gt;=S376,"Prof. services","Manufacturing"))</f>
        <v>Distribution</v>
      </c>
    </row>
    <row r="377" customFormat="false" ht="15" hidden="false" customHeight="false" outlineLevel="0" collapsed="false">
      <c r="A377" s="46" t="n">
        <v>0.091097</v>
      </c>
      <c r="B377" s="46" t="n">
        <v>0.047255</v>
      </c>
      <c r="C377" s="46" t="n">
        <v>0.140278</v>
      </c>
      <c r="D377" s="46" t="n">
        <v>0.009427</v>
      </c>
      <c r="E377" s="46" t="n">
        <v>0.539522</v>
      </c>
      <c r="F377" s="46" t="n">
        <v>0.172421</v>
      </c>
      <c r="G377" s="47" t="n">
        <f aca="false">A377*Scorecard!$C$12+B377*Scorecard!$C$13+C377*Scorecard!$C$14+D377*Scorecard!$C$15+E377*Scorecard!$C$16+F377*Scorecard!$C$17</f>
        <v>3.54786410086851</v>
      </c>
      <c r="H377" s="47" t="n">
        <f aca="false">A377*Scorecard!$D$12+B377*Scorecard!$D$13+C377*Scorecard!$D$14+D377*Scorecard!$D$15+E377*Scorecard!$D$16+F377*Scorecard!$D$17</f>
        <v>2.9213664378112</v>
      </c>
      <c r="I377" s="47" t="n">
        <f aca="false">A377*Scorecard!$E$12+B377*Scorecard!$E$13+C377*Scorecard!$E$14+D377*Scorecard!$E$15+E377*Scorecard!$E$16+F377*Scorecard!$E$17</f>
        <v>3.33129834490459</v>
      </c>
      <c r="J377" s="0" t="str">
        <f aca="false">IF(AND(G377&gt;=H377,G377&gt;=I377),"Distribution",IF(I377&gt;=H377,"Prof. services","Manufacturing"))</f>
        <v>Distribution</v>
      </c>
      <c r="L377" s="46" t="n">
        <v>0.119296</v>
      </c>
      <c r="M377" s="46" t="n">
        <v>0.158032</v>
      </c>
      <c r="N377" s="46" t="n">
        <v>0.234706</v>
      </c>
      <c r="O377" s="46" t="n">
        <v>0.234596</v>
      </c>
      <c r="P377" s="46" t="n">
        <v>0.118961</v>
      </c>
      <c r="Q377" s="46" t="n">
        <v>0.134409</v>
      </c>
      <c r="R377" s="47" t="n">
        <f aca="false">L377*Scorecard!$C$12+M377*Scorecard!$C$13+N377*Scorecard!$C$14+O377*Scorecard!$C$15+P377*Scorecard!$C$16+Q377*Scorecard!$C$17</f>
        <v>3.90907549872344</v>
      </c>
      <c r="S377" s="47" t="n">
        <f aca="false">L377*Scorecard!$D$12+M377*Scorecard!$D$13+N377*Scorecard!$D$14+O377*Scorecard!$D$15+P377*Scorecard!$D$16+Q377*Scorecard!$D$17</f>
        <v>2.95121266857977</v>
      </c>
      <c r="T377" s="47" t="n">
        <f aca="false">L377*Scorecard!$E$12+M377*Scorecard!$E$13+N377*Scorecard!$E$14+O377*Scorecard!$E$15+P377*Scorecard!$E$16+Q377*Scorecard!$E$17</f>
        <v>3.96503492627892</v>
      </c>
      <c r="U377" s="0" t="str">
        <f aca="false">IF(AND(R377&gt;=S377,R377&gt;=T377),"Distribution",IF(T377&gt;=S377,"Prof. services","Manufacturing"))</f>
        <v>Prof. services</v>
      </c>
    </row>
    <row r="378" customFormat="false" ht="15" hidden="false" customHeight="false" outlineLevel="0" collapsed="false">
      <c r="A378" s="46" t="n">
        <v>0.473864</v>
      </c>
      <c r="B378" s="46" t="n">
        <v>0.002944</v>
      </c>
      <c r="C378" s="46" t="n">
        <v>0.023709</v>
      </c>
      <c r="D378" s="46" t="n">
        <v>0.320557</v>
      </c>
      <c r="E378" s="46" t="n">
        <v>0.006158</v>
      </c>
      <c r="F378" s="46" t="n">
        <v>0.172768</v>
      </c>
      <c r="G378" s="47" t="n">
        <f aca="false">A378*Scorecard!$C$12+B378*Scorecard!$C$13+C378*Scorecard!$C$14+D378*Scorecard!$C$15+E378*Scorecard!$C$16+F378*Scorecard!$C$17</f>
        <v>3.12500304224018</v>
      </c>
      <c r="H378" s="47" t="n">
        <f aca="false">A378*Scorecard!$D$12+B378*Scorecard!$D$13+C378*Scorecard!$D$14+D378*Scorecard!$D$15+E378*Scorecard!$D$16+F378*Scorecard!$D$17</f>
        <v>3.42258211888366</v>
      </c>
      <c r="I378" s="47" t="n">
        <f aca="false">A378*Scorecard!$E$12+B378*Scorecard!$E$13+C378*Scorecard!$E$14+D378*Scorecard!$E$15+E378*Scorecard!$E$16+F378*Scorecard!$E$17</f>
        <v>4.62077862816735</v>
      </c>
      <c r="J378" s="0" t="str">
        <f aca="false">IF(AND(G378&gt;=H378,G378&gt;=I378),"Distribution",IF(I378&gt;=H378,"Prof. services","Manufacturing"))</f>
        <v>Prof. services</v>
      </c>
      <c r="L378" s="46" t="n">
        <v>0.139497</v>
      </c>
      <c r="M378" s="46" t="n">
        <v>0.174727</v>
      </c>
      <c r="N378" s="46" t="n">
        <v>0.230106</v>
      </c>
      <c r="O378" s="46" t="n">
        <v>0.144771</v>
      </c>
      <c r="P378" s="46" t="n">
        <v>0.137379</v>
      </c>
      <c r="Q378" s="46" t="n">
        <v>0.17352</v>
      </c>
      <c r="R378" s="47" t="n">
        <f aca="false">L378*Scorecard!$C$12+M378*Scorecard!$C$13+N378*Scorecard!$C$14+O378*Scorecard!$C$15+P378*Scorecard!$C$16+Q378*Scorecard!$C$17</f>
        <v>3.72136141063761</v>
      </c>
      <c r="S378" s="47" t="n">
        <f aca="false">L378*Scorecard!$D$12+M378*Scorecard!$D$13+N378*Scorecard!$D$14+O378*Scorecard!$D$15+P378*Scorecard!$D$16+Q378*Scorecard!$D$17</f>
        <v>2.78298490594105</v>
      </c>
      <c r="T378" s="47" t="n">
        <f aca="false">L378*Scorecard!$E$12+M378*Scorecard!$E$13+N378*Scorecard!$E$14+O378*Scorecard!$E$15+P378*Scorecard!$E$16+Q378*Scorecard!$E$17</f>
        <v>3.92344062194127</v>
      </c>
      <c r="U378" s="0" t="str">
        <f aca="false">IF(AND(R378&gt;=S378,R378&gt;=T378),"Distribution",IF(T378&gt;=S378,"Prof. services","Manufacturing"))</f>
        <v>Prof. services</v>
      </c>
    </row>
    <row r="379" customFormat="false" ht="15" hidden="false" customHeight="false" outlineLevel="0" collapsed="false">
      <c r="A379" s="46" t="n">
        <v>0.072896</v>
      </c>
      <c r="B379" s="46" t="n">
        <v>0.107434</v>
      </c>
      <c r="C379" s="46" t="n">
        <v>0.357481</v>
      </c>
      <c r="D379" s="46" t="n">
        <v>0.078186</v>
      </c>
      <c r="E379" s="46" t="n">
        <v>0.108276</v>
      </c>
      <c r="F379" s="46" t="n">
        <v>0.275728</v>
      </c>
      <c r="G379" s="47" t="n">
        <f aca="false">A379*Scorecard!$C$12+B379*Scorecard!$C$13+C379*Scorecard!$C$14+D379*Scorecard!$C$15+E379*Scorecard!$C$16+F379*Scorecard!$C$17</f>
        <v>3.5029541604324</v>
      </c>
      <c r="H379" s="47" t="n">
        <f aca="false">A379*Scorecard!$D$12+B379*Scorecard!$D$13+C379*Scorecard!$D$14+D379*Scorecard!$D$15+E379*Scorecard!$D$16+F379*Scorecard!$D$17</f>
        <v>2.59990706807164</v>
      </c>
      <c r="I379" s="47" t="n">
        <f aca="false">A379*Scorecard!$E$12+B379*Scorecard!$E$13+C379*Scorecard!$E$14+D379*Scorecard!$E$15+E379*Scorecard!$E$16+F379*Scorecard!$E$17</f>
        <v>4.19911425281267</v>
      </c>
      <c r="J379" s="0" t="str">
        <f aca="false">IF(AND(G379&gt;=H379,G379&gt;=I379),"Distribution",IF(I379&gt;=H379,"Prof. services","Manufacturing"))</f>
        <v>Prof. services</v>
      </c>
      <c r="L379" s="46" t="n">
        <v>0.153311</v>
      </c>
      <c r="M379" s="46" t="n">
        <v>0.16014</v>
      </c>
      <c r="N379" s="46" t="n">
        <v>0.132817</v>
      </c>
      <c r="O379" s="46" t="n">
        <v>0.206395</v>
      </c>
      <c r="P379" s="46" t="n">
        <v>0.153476</v>
      </c>
      <c r="Q379" s="46" t="n">
        <v>0.193862</v>
      </c>
      <c r="R379" s="47" t="n">
        <f aca="false">L379*Scorecard!$C$12+M379*Scorecard!$C$13+N379*Scorecard!$C$14+O379*Scorecard!$C$15+P379*Scorecard!$C$16+Q379*Scorecard!$C$17</f>
        <v>3.70285301363658</v>
      </c>
      <c r="S379" s="47" t="n">
        <f aca="false">L379*Scorecard!$D$12+M379*Scorecard!$D$13+N379*Scorecard!$D$14+O379*Scorecard!$D$15+P379*Scorecard!$D$16+Q379*Scorecard!$D$17</f>
        <v>2.86019899360275</v>
      </c>
      <c r="T379" s="47" t="n">
        <f aca="false">L379*Scorecard!$E$12+M379*Scorecard!$E$13+N379*Scorecard!$E$14+O379*Scorecard!$E$15+P379*Scorecard!$E$16+Q379*Scorecard!$E$17</f>
        <v>3.86078461442823</v>
      </c>
      <c r="U379" s="0" t="str">
        <f aca="false">IF(AND(R379&gt;=S379,R379&gt;=T379),"Distribution",IF(T379&gt;=S379,"Prof. services","Manufacturing"))</f>
        <v>Prof. services</v>
      </c>
    </row>
    <row r="380" customFormat="false" ht="15" hidden="false" customHeight="false" outlineLevel="0" collapsed="false">
      <c r="A380" s="46" t="n">
        <v>0.026206</v>
      </c>
      <c r="B380" s="46" t="n">
        <v>0.182719</v>
      </c>
      <c r="C380" s="46" t="n">
        <v>0.282343</v>
      </c>
      <c r="D380" s="46" t="n">
        <v>0.358297</v>
      </c>
      <c r="E380" s="46" t="n">
        <v>0.112732</v>
      </c>
      <c r="F380" s="46" t="n">
        <v>0.037703</v>
      </c>
      <c r="G380" s="47" t="n">
        <f aca="false">A380*Scorecard!$C$12+B380*Scorecard!$C$13+C380*Scorecard!$C$14+D380*Scorecard!$C$15+E380*Scorecard!$C$16+F380*Scorecard!$C$17</f>
        <v>4.41843882627705</v>
      </c>
      <c r="H380" s="47" t="n">
        <f aca="false">A380*Scorecard!$D$12+B380*Scorecard!$D$13+C380*Scorecard!$D$14+D380*Scorecard!$D$15+E380*Scorecard!$D$16+F380*Scorecard!$D$17</f>
        <v>3.13885095870041</v>
      </c>
      <c r="I380" s="47" t="n">
        <f aca="false">A380*Scorecard!$E$12+B380*Scorecard!$E$13+C380*Scorecard!$E$14+D380*Scorecard!$E$15+E380*Scorecard!$E$16+F380*Scorecard!$E$17</f>
        <v>3.8556085661093</v>
      </c>
      <c r="J380" s="0" t="str">
        <f aca="false">IF(AND(G380&gt;=H380,G380&gt;=I380),"Distribution",IF(I380&gt;=H380,"Prof. services","Manufacturing"))</f>
        <v>Distribution</v>
      </c>
      <c r="L380" s="46" t="n">
        <v>0.296367</v>
      </c>
      <c r="M380" s="46" t="n">
        <v>0.213744</v>
      </c>
      <c r="N380" s="46" t="n">
        <v>0.199769</v>
      </c>
      <c r="O380" s="46" t="n">
        <v>0.047917</v>
      </c>
      <c r="P380" s="46" t="n">
        <v>0.185232</v>
      </c>
      <c r="Q380" s="46" t="n">
        <v>0.056971</v>
      </c>
      <c r="R380" s="47" t="n">
        <f aca="false">L380*Scorecard!$C$12+M380*Scorecard!$C$13+N380*Scorecard!$C$14+O380*Scorecard!$C$15+P380*Scorecard!$C$16+Q380*Scorecard!$C$17</f>
        <v>3.6142541735194</v>
      </c>
      <c r="S380" s="47" t="n">
        <f aca="false">L380*Scorecard!$D$12+M380*Scorecard!$D$13+N380*Scorecard!$D$14+O380*Scorecard!$D$15+P380*Scorecard!$D$16+Q380*Scorecard!$D$17</f>
        <v>2.90669296243944</v>
      </c>
      <c r="T380" s="47" t="n">
        <f aca="false">L380*Scorecard!$E$12+M380*Scorecard!$E$13+N380*Scorecard!$E$14+O380*Scorecard!$E$15+P380*Scorecard!$E$16+Q380*Scorecard!$E$17</f>
        <v>3.82286958824428</v>
      </c>
      <c r="U380" s="0" t="str">
        <f aca="false">IF(AND(R380&gt;=S380,R380&gt;=T380),"Distribution",IF(T380&gt;=S380,"Prof. services","Manufacturing"))</f>
        <v>Prof. services</v>
      </c>
    </row>
    <row r="381" customFormat="false" ht="15" hidden="false" customHeight="false" outlineLevel="0" collapsed="false">
      <c r="A381" s="46" t="n">
        <v>0.039747</v>
      </c>
      <c r="B381" s="46" t="n">
        <v>0.039097</v>
      </c>
      <c r="C381" s="46" t="n">
        <v>0.007455</v>
      </c>
      <c r="D381" s="46" t="n">
        <v>0.292895</v>
      </c>
      <c r="E381" s="46" t="n">
        <v>0.145402</v>
      </c>
      <c r="F381" s="46" t="n">
        <v>0.475403</v>
      </c>
      <c r="G381" s="47" t="n">
        <f aca="false">A381*Scorecard!$C$12+B381*Scorecard!$C$13+C381*Scorecard!$C$14+D381*Scorecard!$C$15+E381*Scorecard!$C$16+F381*Scorecard!$C$17</f>
        <v>3.30963683316927</v>
      </c>
      <c r="H381" s="47" t="n">
        <f aca="false">A381*Scorecard!$D$12+B381*Scorecard!$D$13+C381*Scorecard!$D$14+D381*Scorecard!$D$15+E381*Scorecard!$D$16+F381*Scorecard!$D$17</f>
        <v>2.64199731483054</v>
      </c>
      <c r="I381" s="47" t="n">
        <f aca="false">A381*Scorecard!$E$12+B381*Scorecard!$E$13+C381*Scorecard!$E$14+D381*Scorecard!$E$15+E381*Scorecard!$E$16+F381*Scorecard!$E$17</f>
        <v>4.01730006065561</v>
      </c>
      <c r="J381" s="0" t="str">
        <f aca="false">IF(AND(G381&gt;=H381,G381&gt;=I381),"Distribution",IF(I381&gt;=H381,"Prof. services","Manufacturing"))</f>
        <v>Prof. services</v>
      </c>
      <c r="L381" s="46" t="n">
        <v>0.27517</v>
      </c>
      <c r="M381" s="46" t="n">
        <v>0.154804</v>
      </c>
      <c r="N381" s="46" t="n">
        <v>0.090543</v>
      </c>
      <c r="O381" s="46" t="n">
        <v>0.23597</v>
      </c>
      <c r="P381" s="46" t="n">
        <v>0.123724</v>
      </c>
      <c r="Q381" s="46" t="n">
        <v>0.119788</v>
      </c>
      <c r="R381" s="47" t="n">
        <f aca="false">L381*Scorecard!$C$12+M381*Scorecard!$C$13+N381*Scorecard!$C$14+O381*Scorecard!$C$15+P381*Scorecard!$C$16+Q381*Scorecard!$C$17</f>
        <v>3.65588407580916</v>
      </c>
      <c r="S381" s="47" t="n">
        <f aca="false">L381*Scorecard!$D$12+M381*Scorecard!$D$13+N381*Scorecard!$D$14+O381*Scorecard!$D$15+P381*Scorecard!$D$16+Q381*Scorecard!$D$17</f>
        <v>3.08412709239482</v>
      </c>
      <c r="T381" s="47" t="n">
        <f aca="false">L381*Scorecard!$E$12+M381*Scorecard!$E$13+N381*Scorecard!$E$14+O381*Scorecard!$E$15+P381*Scorecard!$E$16+Q381*Scorecard!$E$17</f>
        <v>3.96777297701179</v>
      </c>
      <c r="U381" s="0" t="str">
        <f aca="false">IF(AND(R381&gt;=S381,R381&gt;=T381),"Distribution",IF(T381&gt;=S381,"Prof. services","Manufacturing"))</f>
        <v>Prof. services</v>
      </c>
    </row>
    <row r="382" customFormat="false" ht="15" hidden="false" customHeight="false" outlineLevel="0" collapsed="false">
      <c r="A382" s="46" t="n">
        <v>0.031082</v>
      </c>
      <c r="B382" s="46" t="n">
        <v>0.741927</v>
      </c>
      <c r="C382" s="46" t="n">
        <v>0.140073</v>
      </c>
      <c r="D382" s="46" t="n">
        <v>0.028553</v>
      </c>
      <c r="E382" s="46" t="n">
        <v>0.004562</v>
      </c>
      <c r="F382" s="46" t="n">
        <v>0.053804</v>
      </c>
      <c r="G382" s="47" t="n">
        <f aca="false">A382*Scorecard!$C$12+B382*Scorecard!$C$13+C382*Scorecard!$C$14+D382*Scorecard!$C$15+E382*Scorecard!$C$16+F382*Scorecard!$C$17</f>
        <v>4.60692795674056</v>
      </c>
      <c r="H382" s="47" t="n">
        <f aca="false">A382*Scorecard!$D$12+B382*Scorecard!$D$13+C382*Scorecard!$D$14+D382*Scorecard!$D$15+E382*Scorecard!$D$16+F382*Scorecard!$D$17</f>
        <v>1.86076906724512</v>
      </c>
      <c r="I382" s="47" t="n">
        <f aca="false">A382*Scorecard!$E$12+B382*Scorecard!$E$13+C382*Scorecard!$E$14+D382*Scorecard!$E$15+E382*Scorecard!$E$16+F382*Scorecard!$E$17</f>
        <v>2.80359447096042</v>
      </c>
      <c r="J382" s="0" t="str">
        <f aca="false">IF(AND(G382&gt;=H382,G382&gt;=I382),"Distribution",IF(I382&gt;=H382,"Prof. services","Manufacturing"))</f>
        <v>Distribution</v>
      </c>
      <c r="L382" s="46" t="n">
        <v>0.157836</v>
      </c>
      <c r="M382" s="46" t="n">
        <v>0.334429</v>
      </c>
      <c r="N382" s="46" t="n">
        <v>0.138115</v>
      </c>
      <c r="O382" s="46" t="n">
        <v>0.125586</v>
      </c>
      <c r="P382" s="46" t="n">
        <v>0.053252</v>
      </c>
      <c r="Q382" s="46" t="n">
        <v>0.190782</v>
      </c>
      <c r="R382" s="47" t="n">
        <f aca="false">L382*Scorecard!$C$12+M382*Scorecard!$C$13+N382*Scorecard!$C$14+O382*Scorecard!$C$15+P382*Scorecard!$C$16+Q382*Scorecard!$C$17</f>
        <v>3.7943439491057</v>
      </c>
      <c r="S382" s="47" t="n">
        <f aca="false">L382*Scorecard!$D$12+M382*Scorecard!$D$13+N382*Scorecard!$D$14+O382*Scorecard!$D$15+P382*Scorecard!$D$16+Q382*Scorecard!$D$17</f>
        <v>2.47924101367576</v>
      </c>
      <c r="T382" s="47" t="n">
        <f aca="false">L382*Scorecard!$E$12+M382*Scorecard!$E$13+N382*Scorecard!$E$14+O382*Scorecard!$E$15+P382*Scorecard!$E$16+Q382*Scorecard!$E$17</f>
        <v>3.69594775224597</v>
      </c>
      <c r="U382" s="0" t="str">
        <f aca="false">IF(AND(R382&gt;=S382,R382&gt;=T382),"Distribution",IF(T382&gt;=S382,"Prof. services","Manufacturing"))</f>
        <v>Distribution</v>
      </c>
    </row>
    <row r="383" customFormat="false" ht="15" hidden="false" customHeight="false" outlineLevel="0" collapsed="false">
      <c r="A383" s="46" t="n">
        <v>0.380189</v>
      </c>
      <c r="B383" s="46" t="n">
        <v>0.044168</v>
      </c>
      <c r="C383" s="46" t="n">
        <v>0.245993</v>
      </c>
      <c r="D383" s="46" t="n">
        <v>0.016223</v>
      </c>
      <c r="E383" s="46" t="n">
        <v>0.116831</v>
      </c>
      <c r="F383" s="46" t="n">
        <v>0.196596</v>
      </c>
      <c r="G383" s="47" t="n">
        <f aca="false">A383*Scorecard!$C$12+B383*Scorecard!$C$13+C383*Scorecard!$C$14+D383*Scorecard!$C$15+E383*Scorecard!$C$16+F383*Scorecard!$C$17</f>
        <v>2.98285337813645</v>
      </c>
      <c r="H383" s="47" t="n">
        <f aca="false">A383*Scorecard!$D$12+B383*Scorecard!$D$13+C383*Scorecard!$D$14+D383*Scorecard!$D$15+E383*Scorecard!$D$16+F383*Scorecard!$D$17</f>
        <v>2.94766730842051</v>
      </c>
      <c r="I383" s="47" t="n">
        <f aca="false">A383*Scorecard!$E$12+B383*Scorecard!$E$13+C383*Scorecard!$E$14+D383*Scorecard!$E$15+E383*Scorecard!$E$16+F383*Scorecard!$E$17</f>
        <v>4.44958307693388</v>
      </c>
      <c r="J383" s="0" t="str">
        <f aca="false">IF(AND(G383&gt;=H383,G383&gt;=I383),"Distribution",IF(I383&gt;=H383,"Prof. services","Manufacturing"))</f>
        <v>Prof. services</v>
      </c>
      <c r="L383" s="46" t="n">
        <v>0.134064</v>
      </c>
      <c r="M383" s="46" t="n">
        <v>0.204396</v>
      </c>
      <c r="N383" s="46" t="n">
        <v>0.216424</v>
      </c>
      <c r="O383" s="46" t="n">
        <v>0.21733</v>
      </c>
      <c r="P383" s="46" t="n">
        <v>0.147797</v>
      </c>
      <c r="Q383" s="46" t="n">
        <v>0.079988</v>
      </c>
      <c r="R383" s="47" t="n">
        <f aca="false">L383*Scorecard!$C$12+M383*Scorecard!$C$13+N383*Scorecard!$C$14+O383*Scorecard!$C$15+P383*Scorecard!$C$16+Q383*Scorecard!$C$17</f>
        <v>4.02042888811745</v>
      </c>
      <c r="S383" s="47" t="n">
        <f aca="false">L383*Scorecard!$D$12+M383*Scorecard!$D$13+N383*Scorecard!$D$14+O383*Scorecard!$D$15+P383*Scorecard!$D$16+Q383*Scorecard!$D$17</f>
        <v>2.96262786752068</v>
      </c>
      <c r="T383" s="47" t="n">
        <f aca="false">L383*Scorecard!$E$12+M383*Scorecard!$E$13+N383*Scorecard!$E$14+O383*Scorecard!$E$15+P383*Scorecard!$E$16+Q383*Scorecard!$E$17</f>
        <v>3.79645315796025</v>
      </c>
      <c r="U383" s="0" t="str">
        <f aca="false">IF(AND(R383&gt;=S383,R383&gt;=T383),"Distribution",IF(T383&gt;=S383,"Prof. services","Manufacturing"))</f>
        <v>Distribution</v>
      </c>
    </row>
    <row r="384" customFormat="false" ht="15" hidden="false" customHeight="false" outlineLevel="0" collapsed="false">
      <c r="A384" s="46" t="n">
        <v>0.381716</v>
      </c>
      <c r="B384" s="46" t="n">
        <v>0.235092</v>
      </c>
      <c r="C384" s="46" t="n">
        <v>0.010088</v>
      </c>
      <c r="D384" s="46" t="n">
        <v>0.328598</v>
      </c>
      <c r="E384" s="46" t="n">
        <v>0.001184</v>
      </c>
      <c r="F384" s="46" t="n">
        <v>0.043322</v>
      </c>
      <c r="G384" s="47" t="n">
        <f aca="false">A384*Scorecard!$C$12+B384*Scorecard!$C$13+C384*Scorecard!$C$14+D384*Scorecard!$C$15+E384*Scorecard!$C$16+F384*Scorecard!$C$17</f>
        <v>3.78995175635995</v>
      </c>
      <c r="H384" s="47" t="n">
        <f aca="false">A384*Scorecard!$D$12+B384*Scorecard!$D$13+C384*Scorecard!$D$14+D384*Scorecard!$D$15+E384*Scorecard!$D$16+F384*Scorecard!$D$17</f>
        <v>3.21507882389067</v>
      </c>
      <c r="I384" s="47" t="n">
        <f aca="false">A384*Scorecard!$E$12+B384*Scorecard!$E$13+C384*Scorecard!$E$14+D384*Scorecard!$E$15+E384*Scorecard!$E$16+F384*Scorecard!$E$17</f>
        <v>4.02448234279556</v>
      </c>
      <c r="J384" s="0" t="str">
        <f aca="false">IF(AND(G384&gt;=H384,G384&gt;=I384),"Distribution",IF(I384&gt;=H384,"Prof. services","Manufacturing"))</f>
        <v>Prof. services</v>
      </c>
      <c r="L384" s="46" t="n">
        <v>0.243954</v>
      </c>
      <c r="M384" s="46" t="n">
        <v>0.197828</v>
      </c>
      <c r="N384" s="46" t="n">
        <v>0.149244</v>
      </c>
      <c r="O384" s="46" t="n">
        <v>0.221362</v>
      </c>
      <c r="P384" s="46" t="n">
        <v>0.155149</v>
      </c>
      <c r="Q384" s="46" t="n">
        <v>0.032462</v>
      </c>
      <c r="R384" s="47" t="n">
        <f aca="false">L384*Scorecard!$C$12+M384*Scorecard!$C$13+N384*Scorecard!$C$14+O384*Scorecard!$C$15+P384*Scorecard!$C$16+Q384*Scorecard!$C$17</f>
        <v>3.91514132097957</v>
      </c>
      <c r="S384" s="47" t="n">
        <f aca="false">L384*Scorecard!$D$12+M384*Scorecard!$D$13+N384*Scorecard!$D$14+O384*Scorecard!$D$15+P384*Scorecard!$D$16+Q384*Scorecard!$D$17</f>
        <v>3.12348146045291</v>
      </c>
      <c r="T384" s="47" t="n">
        <f aca="false">L384*Scorecard!$E$12+M384*Scorecard!$E$13+N384*Scorecard!$E$14+O384*Scorecard!$E$15+P384*Scorecard!$E$16+Q384*Scorecard!$E$17</f>
        <v>3.8161273761319</v>
      </c>
      <c r="U384" s="0" t="str">
        <f aca="false">IF(AND(R384&gt;=S384,R384&gt;=T384),"Distribution",IF(T384&gt;=S384,"Prof. services","Manufacturing"))</f>
        <v>Distribution</v>
      </c>
    </row>
    <row r="385" customFormat="false" ht="15" hidden="false" customHeight="false" outlineLevel="0" collapsed="false">
      <c r="A385" s="46" t="n">
        <v>0.346545</v>
      </c>
      <c r="B385" s="46" t="n">
        <v>0.180359</v>
      </c>
      <c r="C385" s="46" t="n">
        <v>0.168832</v>
      </c>
      <c r="D385" s="46" t="n">
        <v>0.100516</v>
      </c>
      <c r="E385" s="46" t="n">
        <v>0.174833</v>
      </c>
      <c r="F385" s="46" t="n">
        <v>0.028914</v>
      </c>
      <c r="G385" s="47" t="n">
        <f aca="false">A385*Scorecard!$C$12+B385*Scorecard!$C$13+C385*Scorecard!$C$14+D385*Scorecard!$C$15+E385*Scorecard!$C$16+F385*Scorecard!$C$17</f>
        <v>3.5992570579325</v>
      </c>
      <c r="H385" s="47" t="n">
        <f aca="false">A385*Scorecard!$D$12+B385*Scorecard!$D$13+C385*Scorecard!$D$14+D385*Scorecard!$D$15+E385*Scorecard!$D$16+F385*Scorecard!$D$17</f>
        <v>3.08945588002665</v>
      </c>
      <c r="I385" s="47" t="n">
        <f aca="false">A385*Scorecard!$E$12+B385*Scorecard!$E$13+C385*Scorecard!$E$14+D385*Scorecard!$E$15+E385*Scorecard!$E$16+F385*Scorecard!$E$17</f>
        <v>3.9166582802269</v>
      </c>
      <c r="J385" s="0" t="str">
        <f aca="false">IF(AND(G385&gt;=H385,G385&gt;=I385),"Distribution",IF(I385&gt;=H385,"Prof. services","Manufacturing"))</f>
        <v>Prof. services</v>
      </c>
      <c r="L385" s="46" t="n">
        <v>0.311883</v>
      </c>
      <c r="M385" s="46" t="n">
        <v>0.13429</v>
      </c>
      <c r="N385" s="46" t="n">
        <v>0.264847</v>
      </c>
      <c r="O385" s="46" t="n">
        <v>0.056032</v>
      </c>
      <c r="P385" s="46" t="n">
        <v>0.197629</v>
      </c>
      <c r="Q385" s="46" t="n">
        <v>0.035319</v>
      </c>
      <c r="R385" s="47" t="n">
        <f aca="false">L385*Scorecard!$C$12+M385*Scorecard!$C$13+N385*Scorecard!$C$14+O385*Scorecard!$C$15+P385*Scorecard!$C$16+Q385*Scorecard!$C$17</f>
        <v>3.5582901522462</v>
      </c>
      <c r="S385" s="47" t="n">
        <f aca="false">L385*Scorecard!$D$12+M385*Scorecard!$D$13+N385*Scorecard!$D$14+O385*Scorecard!$D$15+P385*Scorecard!$D$16+Q385*Scorecard!$D$17</f>
        <v>3.08220724634389</v>
      </c>
      <c r="T385" s="47" t="n">
        <f aca="false">L385*Scorecard!$E$12+M385*Scorecard!$E$13+N385*Scorecard!$E$14+O385*Scorecard!$E$15+P385*Scorecard!$E$16+Q385*Scorecard!$E$17</f>
        <v>4.02233060860304</v>
      </c>
      <c r="U385" s="0" t="str">
        <f aca="false">IF(AND(R385&gt;=S385,R385&gt;=T385),"Distribution",IF(T385&gt;=S385,"Prof. services","Manufacturing"))</f>
        <v>Prof. services</v>
      </c>
    </row>
    <row r="386" customFormat="false" ht="15" hidden="false" customHeight="false" outlineLevel="0" collapsed="false">
      <c r="A386" s="46" t="n">
        <v>0.196311</v>
      </c>
      <c r="B386" s="46" t="n">
        <v>0.113156</v>
      </c>
      <c r="C386" s="46" t="n">
        <v>0.10061</v>
      </c>
      <c r="D386" s="46" t="n">
        <v>0.271919</v>
      </c>
      <c r="E386" s="46" t="n">
        <v>0.073738</v>
      </c>
      <c r="F386" s="46" t="n">
        <v>0.244266</v>
      </c>
      <c r="G386" s="47" t="n">
        <f aca="false">A386*Scorecard!$C$12+B386*Scorecard!$C$13+C386*Scorecard!$C$14+D386*Scorecard!$C$15+E386*Scorecard!$C$16+F386*Scorecard!$C$17</f>
        <v>3.54318040041491</v>
      </c>
      <c r="H386" s="47" t="n">
        <f aca="false">A386*Scorecard!$D$12+B386*Scorecard!$D$13+C386*Scorecard!$D$14+D386*Scorecard!$D$15+E386*Scorecard!$D$16+F386*Scorecard!$D$17</f>
        <v>2.93279062856635</v>
      </c>
      <c r="I386" s="47" t="n">
        <f aca="false">A386*Scorecard!$E$12+B386*Scorecard!$E$13+C386*Scorecard!$E$14+D386*Scorecard!$E$15+E386*Scorecard!$E$16+F386*Scorecard!$E$17</f>
        <v>4.12854804640386</v>
      </c>
      <c r="J386" s="0" t="str">
        <f aca="false">IF(AND(G386&gt;=H386,G386&gt;=I386),"Distribution",IF(I386&gt;=H386,"Prof. services","Manufacturing"))</f>
        <v>Prof. services</v>
      </c>
      <c r="L386" s="46" t="n">
        <v>0.211169</v>
      </c>
      <c r="M386" s="46" t="n">
        <v>0.23648</v>
      </c>
      <c r="N386" s="46" t="n">
        <v>0.176445</v>
      </c>
      <c r="O386" s="46" t="n">
        <v>0.144417</v>
      </c>
      <c r="P386" s="46" t="n">
        <v>0.083495</v>
      </c>
      <c r="Q386" s="46" t="n">
        <v>0.147993</v>
      </c>
      <c r="R386" s="47" t="n">
        <f aca="false">L386*Scorecard!$C$12+M386*Scorecard!$C$13+N386*Scorecard!$C$14+O386*Scorecard!$C$15+P386*Scorecard!$C$16+Q386*Scorecard!$C$17</f>
        <v>3.70479978852544</v>
      </c>
      <c r="S386" s="47" t="n">
        <f aca="false">L386*Scorecard!$D$12+M386*Scorecard!$D$13+N386*Scorecard!$D$14+O386*Scorecard!$D$15+P386*Scorecard!$D$16+Q386*Scorecard!$D$17</f>
        <v>2.75755276288373</v>
      </c>
      <c r="T386" s="47" t="n">
        <f aca="false">L386*Scorecard!$E$12+M386*Scorecard!$E$13+N386*Scorecard!$E$14+O386*Scorecard!$E$15+P386*Scorecard!$E$16+Q386*Scorecard!$E$17</f>
        <v>3.90260953629925</v>
      </c>
      <c r="U386" s="0" t="str">
        <f aca="false">IF(AND(R386&gt;=S386,R386&gt;=T386),"Distribution",IF(T386&gt;=S386,"Prof. services","Manufacturing"))</f>
        <v>Prof. services</v>
      </c>
    </row>
    <row r="387" customFormat="false" ht="15" hidden="false" customHeight="false" outlineLevel="0" collapsed="false">
      <c r="A387" s="46" t="n">
        <v>0.045795</v>
      </c>
      <c r="B387" s="46" t="n">
        <v>0.432114</v>
      </c>
      <c r="C387" s="46" t="n">
        <v>0.023342</v>
      </c>
      <c r="D387" s="46" t="n">
        <v>0.006397</v>
      </c>
      <c r="E387" s="46" t="n">
        <v>0.193774</v>
      </c>
      <c r="F387" s="46" t="n">
        <v>0.298579</v>
      </c>
      <c r="G387" s="47" t="n">
        <f aca="false">A387*Scorecard!$C$12+B387*Scorecard!$C$13+C387*Scorecard!$C$14+D387*Scorecard!$C$15+E387*Scorecard!$C$16+F387*Scorecard!$C$17</f>
        <v>3.75892534691892</v>
      </c>
      <c r="H387" s="47" t="n">
        <f aca="false">A387*Scorecard!$D$12+B387*Scorecard!$D$13+C387*Scorecard!$D$14+D387*Scorecard!$D$15+E387*Scorecard!$D$16+F387*Scorecard!$D$17</f>
        <v>2.00577712806482</v>
      </c>
      <c r="I387" s="47" t="n">
        <f aca="false">A387*Scorecard!$E$12+B387*Scorecard!$E$13+C387*Scorecard!$E$14+D387*Scorecard!$E$15+E387*Scorecard!$E$16+F387*Scorecard!$E$17</f>
        <v>3.08605601293484</v>
      </c>
      <c r="J387" s="0" t="str">
        <f aca="false">IF(AND(G387&gt;=H387,G387&gt;=I387),"Distribution",IF(I387&gt;=H387,"Prof. services","Manufacturing"))</f>
        <v>Distribution</v>
      </c>
      <c r="L387" s="46" t="n">
        <v>0.240793</v>
      </c>
      <c r="M387" s="46" t="n">
        <v>0.148722</v>
      </c>
      <c r="N387" s="46" t="n">
        <v>0.244613</v>
      </c>
      <c r="O387" s="46" t="n">
        <v>0.186091</v>
      </c>
      <c r="P387" s="46" t="n">
        <v>0.164876</v>
      </c>
      <c r="Q387" s="46" t="n">
        <v>0.014904</v>
      </c>
      <c r="R387" s="47" t="n">
        <f aca="false">L387*Scorecard!$C$12+M387*Scorecard!$C$13+N387*Scorecard!$C$14+O387*Scorecard!$C$15+P387*Scorecard!$C$16+Q387*Scorecard!$C$17</f>
        <v>3.87157016605849</v>
      </c>
      <c r="S387" s="47" t="n">
        <f aca="false">L387*Scorecard!$D$12+M387*Scorecard!$D$13+N387*Scorecard!$D$14+O387*Scorecard!$D$15+P387*Scorecard!$D$16+Q387*Scorecard!$D$17</f>
        <v>3.18384984055835</v>
      </c>
      <c r="T387" s="47" t="n">
        <f aca="false">L387*Scorecard!$E$12+M387*Scorecard!$E$13+N387*Scorecard!$E$14+O387*Scorecard!$E$15+P387*Scorecard!$E$16+Q387*Scorecard!$E$17</f>
        <v>3.96965897831491</v>
      </c>
      <c r="U387" s="0" t="str">
        <f aca="false">IF(AND(R387&gt;=S387,R387&gt;=T387),"Distribution",IF(T387&gt;=S387,"Prof. services","Manufacturing"))</f>
        <v>Prof. services</v>
      </c>
    </row>
    <row r="388" customFormat="false" ht="15" hidden="false" customHeight="false" outlineLevel="0" collapsed="false">
      <c r="A388" s="46" t="n">
        <v>0.162122</v>
      </c>
      <c r="B388" s="46" t="n">
        <v>0.006682</v>
      </c>
      <c r="C388" s="46" t="n">
        <v>0.002642</v>
      </c>
      <c r="D388" s="46" t="n">
        <v>0.015592</v>
      </c>
      <c r="E388" s="46" t="n">
        <v>0.305158</v>
      </c>
      <c r="F388" s="46" t="n">
        <v>0.507804</v>
      </c>
      <c r="G388" s="47" t="n">
        <f aca="false">A388*Scorecard!$C$12+B388*Scorecard!$C$13+C388*Scorecard!$C$14+D388*Scorecard!$C$15+E388*Scorecard!$C$16+F388*Scorecard!$C$17</f>
        <v>2.71484408798318</v>
      </c>
      <c r="H388" s="47" t="n">
        <f aca="false">A388*Scorecard!$D$12+B388*Scorecard!$D$13+C388*Scorecard!$D$14+D388*Scorecard!$D$15+E388*Scorecard!$D$16+F388*Scorecard!$D$17</f>
        <v>2.45512311343008</v>
      </c>
      <c r="I388" s="47" t="n">
        <f aca="false">A388*Scorecard!$E$12+B388*Scorecard!$E$13+C388*Scorecard!$E$14+D388*Scorecard!$E$15+E388*Scorecard!$E$16+F388*Scorecard!$E$17</f>
        <v>3.90009546450546</v>
      </c>
      <c r="J388" s="0" t="str">
        <f aca="false">IF(AND(G388&gt;=H388,G388&gt;=I388),"Distribution",IF(I388&gt;=H388,"Prof. services","Manufacturing"))</f>
        <v>Prof. services</v>
      </c>
      <c r="L388" s="46" t="n">
        <v>0.140749</v>
      </c>
      <c r="M388" s="46" t="n">
        <v>0.230188</v>
      </c>
      <c r="N388" s="46" t="n">
        <v>0.205452</v>
      </c>
      <c r="O388" s="46" t="n">
        <v>0.154143</v>
      </c>
      <c r="P388" s="46" t="n">
        <v>0.136553</v>
      </c>
      <c r="Q388" s="46" t="n">
        <v>0.132915</v>
      </c>
      <c r="R388" s="47" t="n">
        <f aca="false">L388*Scorecard!$C$12+M388*Scorecard!$C$13+N388*Scorecard!$C$14+O388*Scorecard!$C$15+P388*Scorecard!$C$16+Q388*Scorecard!$C$17</f>
        <v>3.86515079278287</v>
      </c>
      <c r="S388" s="47" t="n">
        <f aca="false">L388*Scorecard!$D$12+M388*Scorecard!$D$13+N388*Scorecard!$D$14+O388*Scorecard!$D$15+P388*Scorecard!$D$16+Q388*Scorecard!$D$17</f>
        <v>2.77204642102378</v>
      </c>
      <c r="T388" s="47" t="n">
        <f aca="false">L388*Scorecard!$E$12+M388*Scorecard!$E$13+N388*Scorecard!$E$14+O388*Scorecard!$E$15+P388*Scorecard!$E$16+Q388*Scorecard!$E$17</f>
        <v>3.77862886943912</v>
      </c>
      <c r="U388" s="0" t="str">
        <f aca="false">IF(AND(R388&gt;=S388,R388&gt;=T388),"Distribution",IF(T388&gt;=S388,"Prof. services","Manufacturing"))</f>
        <v>Distribution</v>
      </c>
    </row>
    <row r="389" customFormat="false" ht="15" hidden="false" customHeight="false" outlineLevel="0" collapsed="false">
      <c r="A389" s="46" t="n">
        <v>0.034893</v>
      </c>
      <c r="B389" s="46" t="n">
        <v>0.039749</v>
      </c>
      <c r="C389" s="46" t="n">
        <v>0.049389</v>
      </c>
      <c r="D389" s="46" t="n">
        <v>0.442321</v>
      </c>
      <c r="E389" s="46" t="n">
        <v>0.222629</v>
      </c>
      <c r="F389" s="46" t="n">
        <v>0.211019</v>
      </c>
      <c r="G389" s="47" t="n">
        <f aca="false">A389*Scorecard!$C$12+B389*Scorecard!$C$13+C389*Scorecard!$C$14+D389*Scorecard!$C$15+E389*Scorecard!$C$16+F389*Scorecard!$C$17</f>
        <v>3.99722410239201</v>
      </c>
      <c r="H389" s="47" t="n">
        <f aca="false">A389*Scorecard!$D$12+B389*Scorecard!$D$13+C389*Scorecard!$D$14+D389*Scorecard!$D$15+E389*Scorecard!$D$16+F389*Scorecard!$D$17</f>
        <v>3.23311538073162</v>
      </c>
      <c r="I389" s="47" t="n">
        <f aca="false">A389*Scorecard!$E$12+B389*Scorecard!$E$13+C389*Scorecard!$E$14+D389*Scorecard!$E$15+E389*Scorecard!$E$16+F389*Scorecard!$E$17</f>
        <v>3.81677984997178</v>
      </c>
      <c r="J389" s="0" t="str">
        <f aca="false">IF(AND(G389&gt;=H389,G389&gt;=I389),"Distribution",IF(I389&gt;=H389,"Prof. services","Manufacturing"))</f>
        <v>Distribution</v>
      </c>
      <c r="L389" s="46" t="n">
        <v>0.162907</v>
      </c>
      <c r="M389" s="46" t="n">
        <v>0.148201</v>
      </c>
      <c r="N389" s="46" t="n">
        <v>0.418922</v>
      </c>
      <c r="O389" s="46" t="n">
        <v>0.108455</v>
      </c>
      <c r="P389" s="46" t="n">
        <v>0.076789</v>
      </c>
      <c r="Q389" s="46" t="n">
        <v>0.084725</v>
      </c>
      <c r="R389" s="47" t="n">
        <f aca="false">L389*Scorecard!$C$12+M389*Scorecard!$C$13+N389*Scorecard!$C$14+O389*Scorecard!$C$15+P389*Scorecard!$C$16+Q389*Scorecard!$C$17</f>
        <v>3.79396707678832</v>
      </c>
      <c r="S389" s="47" t="n">
        <f aca="false">L389*Scorecard!$D$12+M389*Scorecard!$D$13+N389*Scorecard!$D$14+O389*Scorecard!$D$15+P389*Scorecard!$D$16+Q389*Scorecard!$D$17</f>
        <v>2.90921587475399</v>
      </c>
      <c r="T389" s="47" t="n">
        <f aca="false">L389*Scorecard!$E$12+M389*Scorecard!$E$13+N389*Scorecard!$E$14+O389*Scorecard!$E$15+P389*Scorecard!$E$16+Q389*Scorecard!$E$17</f>
        <v>4.23604046228299</v>
      </c>
      <c r="U389" s="0" t="str">
        <f aca="false">IF(AND(R389&gt;=S389,R389&gt;=T389),"Distribution",IF(T389&gt;=S389,"Prof. services","Manufacturing"))</f>
        <v>Prof. services</v>
      </c>
    </row>
    <row r="390" customFormat="false" ht="15" hidden="false" customHeight="false" outlineLevel="0" collapsed="false">
      <c r="A390" s="46" t="n">
        <v>0.003588</v>
      </c>
      <c r="B390" s="46" t="n">
        <v>0.228722</v>
      </c>
      <c r="C390" s="46" t="n">
        <v>0.251559</v>
      </c>
      <c r="D390" s="46" t="n">
        <v>0.101689</v>
      </c>
      <c r="E390" s="46" t="n">
        <v>0.017275</v>
      </c>
      <c r="F390" s="46" t="n">
        <v>0.397168</v>
      </c>
      <c r="G390" s="47" t="n">
        <f aca="false">A390*Scorecard!$C$12+B390*Scorecard!$C$13+C390*Scorecard!$C$14+D390*Scorecard!$C$15+E390*Scorecard!$C$16+F390*Scorecard!$C$17</f>
        <v>3.52962054883164</v>
      </c>
      <c r="H390" s="47" t="n">
        <f aca="false">A390*Scorecard!$D$12+B390*Scorecard!$D$13+C390*Scorecard!$D$14+D390*Scorecard!$D$15+E390*Scorecard!$D$16+F390*Scorecard!$D$17</f>
        <v>2.18678657696495</v>
      </c>
      <c r="I390" s="47" t="n">
        <f aca="false">A390*Scorecard!$E$12+B390*Scorecard!$E$13+C390*Scorecard!$E$14+D390*Scorecard!$E$15+E390*Scorecard!$E$16+F390*Scorecard!$E$17</f>
        <v>4.01264340808861</v>
      </c>
      <c r="J390" s="0" t="str">
        <f aca="false">IF(AND(G390&gt;=H390,G390&gt;=I390),"Distribution",IF(I390&gt;=H390,"Prof. services","Manufacturing"))</f>
        <v>Prof. services</v>
      </c>
      <c r="L390" s="46" t="n">
        <v>0.207269</v>
      </c>
      <c r="M390" s="46" t="n">
        <v>0.290476</v>
      </c>
      <c r="N390" s="46" t="n">
        <v>0.169218</v>
      </c>
      <c r="O390" s="46" t="n">
        <v>0.120535</v>
      </c>
      <c r="P390" s="46" t="n">
        <v>0.146601</v>
      </c>
      <c r="Q390" s="46" t="n">
        <v>0.065901</v>
      </c>
      <c r="R390" s="47" t="n">
        <f aca="false">L390*Scorecard!$C$12+M390*Scorecard!$C$13+N390*Scorecard!$C$14+O390*Scorecard!$C$15+P390*Scorecard!$C$16+Q390*Scorecard!$C$17</f>
        <v>3.90612184414322</v>
      </c>
      <c r="S390" s="47" t="n">
        <f aca="false">L390*Scorecard!$D$12+M390*Scorecard!$D$13+N390*Scorecard!$D$14+O390*Scorecard!$D$15+P390*Scorecard!$D$16+Q390*Scorecard!$D$17</f>
        <v>2.79045806402049</v>
      </c>
      <c r="T390" s="47" t="n">
        <f aca="false">L390*Scorecard!$E$12+M390*Scorecard!$E$13+N390*Scorecard!$E$14+O390*Scorecard!$E$15+P390*Scorecard!$E$16+Q390*Scorecard!$E$17</f>
        <v>3.64007036376719</v>
      </c>
      <c r="U390" s="0" t="str">
        <f aca="false">IF(AND(R390&gt;=S390,R390&gt;=T390),"Distribution",IF(T390&gt;=S390,"Prof. services","Manufacturing"))</f>
        <v>Distribution</v>
      </c>
    </row>
    <row r="391" customFormat="false" ht="15" hidden="false" customHeight="false" outlineLevel="0" collapsed="false">
      <c r="A391" s="46" t="n">
        <v>0.151931</v>
      </c>
      <c r="B391" s="46" t="n">
        <v>0.053579</v>
      </c>
      <c r="C391" s="46" t="n">
        <v>0.26291</v>
      </c>
      <c r="D391" s="46" t="n">
        <v>0.242942</v>
      </c>
      <c r="E391" s="46" t="n">
        <v>0.194772</v>
      </c>
      <c r="F391" s="46" t="n">
        <v>0.093867</v>
      </c>
      <c r="G391" s="47" t="n">
        <f aca="false">A391*Scorecard!$C$12+B391*Scorecard!$C$13+C391*Scorecard!$C$14+D391*Scorecard!$C$15+E391*Scorecard!$C$16+F391*Scorecard!$C$17</f>
        <v>3.83531303331672</v>
      </c>
      <c r="H391" s="47" t="n">
        <f aca="false">A391*Scorecard!$D$12+B391*Scorecard!$D$13+C391*Scorecard!$D$14+D391*Scorecard!$D$15+E391*Scorecard!$D$16+F391*Scorecard!$D$17</f>
        <v>3.2253018560004</v>
      </c>
      <c r="I391" s="47" t="n">
        <f aca="false">A391*Scorecard!$E$12+B391*Scorecard!$E$13+C391*Scorecard!$E$14+D391*Scorecard!$E$15+E391*Scorecard!$E$16+F391*Scorecard!$E$17</f>
        <v>4.07653566898703</v>
      </c>
      <c r="J391" s="0" t="str">
        <f aca="false">IF(AND(G391&gt;=H391,G391&gt;=I391),"Distribution",IF(I391&gt;=H391,"Prof. services","Manufacturing"))</f>
        <v>Prof. services</v>
      </c>
      <c r="L391" s="46" t="n">
        <v>0.099102</v>
      </c>
      <c r="M391" s="46" t="n">
        <v>0.112607</v>
      </c>
      <c r="N391" s="46" t="n">
        <v>0.318631</v>
      </c>
      <c r="O391" s="46" t="n">
        <v>0.201383</v>
      </c>
      <c r="P391" s="46" t="n">
        <v>0.142443</v>
      </c>
      <c r="Q391" s="46" t="n">
        <v>0.125835</v>
      </c>
      <c r="R391" s="47" t="n">
        <f aca="false">L391*Scorecard!$C$12+M391*Scorecard!$C$13+N391*Scorecard!$C$14+O391*Scorecard!$C$15+P391*Scorecard!$C$16+Q391*Scorecard!$C$17</f>
        <v>3.88393898670945</v>
      </c>
      <c r="S391" s="47" t="n">
        <f aca="false">L391*Scorecard!$D$12+M391*Scorecard!$D$13+N391*Scorecard!$D$14+O391*Scorecard!$D$15+P391*Scorecard!$D$16+Q391*Scorecard!$D$17</f>
        <v>2.98829915377091</v>
      </c>
      <c r="T391" s="47" t="n">
        <f aca="false">L391*Scorecard!$E$12+M391*Scorecard!$E$13+N391*Scorecard!$E$14+O391*Scorecard!$E$15+P391*Scorecard!$E$16+Q391*Scorecard!$E$17</f>
        <v>4.06509422963802</v>
      </c>
      <c r="U391" s="0" t="str">
        <f aca="false">IF(AND(R391&gt;=S391,R391&gt;=T391),"Distribution",IF(T391&gt;=S391,"Prof. services","Manufacturing"))</f>
        <v>Prof. services</v>
      </c>
    </row>
    <row r="392" customFormat="false" ht="15" hidden="false" customHeight="false" outlineLevel="0" collapsed="false">
      <c r="A392" s="46" t="n">
        <v>0.490651</v>
      </c>
      <c r="B392" s="46" t="n">
        <v>0.029962</v>
      </c>
      <c r="C392" s="46" t="n">
        <v>0.065722</v>
      </c>
      <c r="D392" s="46" t="n">
        <v>0.19829</v>
      </c>
      <c r="E392" s="46" t="n">
        <v>0.145087</v>
      </c>
      <c r="F392" s="46" t="n">
        <v>0.070287</v>
      </c>
      <c r="G392" s="47" t="n">
        <f aca="false">A392*Scorecard!$C$12+B392*Scorecard!$C$13+C392*Scorecard!$C$14+D392*Scorecard!$C$15+E392*Scorecard!$C$16+F392*Scorecard!$C$17</f>
        <v>3.2044952028413</v>
      </c>
      <c r="H392" s="47" t="n">
        <f aca="false">A392*Scorecard!$D$12+B392*Scorecard!$D$13+C392*Scorecard!$D$14+D392*Scorecard!$D$15+E392*Scorecard!$D$16+F392*Scorecard!$D$17</f>
        <v>3.45160353624166</v>
      </c>
      <c r="I392" s="47" t="n">
        <f aca="false">A392*Scorecard!$E$12+B392*Scorecard!$E$13+C392*Scorecard!$E$14+D392*Scorecard!$E$15+E392*Scorecard!$E$16+F392*Scorecard!$E$17</f>
        <v>4.32604590208768</v>
      </c>
      <c r="J392" s="0" t="str">
        <f aca="false">IF(AND(G392&gt;=H392,G392&gt;=I392),"Distribution",IF(I392&gt;=H392,"Prof. services","Manufacturing"))</f>
        <v>Prof. services</v>
      </c>
      <c r="L392" s="46" t="n">
        <v>0.280733</v>
      </c>
      <c r="M392" s="46" t="n">
        <v>0.157162</v>
      </c>
      <c r="N392" s="46" t="n">
        <v>0.131152</v>
      </c>
      <c r="O392" s="46" t="n">
        <v>0.254163</v>
      </c>
      <c r="P392" s="46" t="n">
        <v>0.042239</v>
      </c>
      <c r="Q392" s="46" t="n">
        <v>0.134551</v>
      </c>
      <c r="R392" s="47" t="n">
        <f aca="false">L392*Scorecard!$C$12+M392*Scorecard!$C$13+N392*Scorecard!$C$14+O392*Scorecard!$C$15+P392*Scorecard!$C$16+Q392*Scorecard!$C$17</f>
        <v>3.63689959647539</v>
      </c>
      <c r="S392" s="47" t="n">
        <f aca="false">L392*Scorecard!$D$12+M392*Scorecard!$D$13+N392*Scorecard!$D$14+O392*Scorecard!$D$15+P392*Scorecard!$D$16+Q392*Scorecard!$D$17</f>
        <v>3.0560201633982</v>
      </c>
      <c r="T392" s="47" t="n">
        <f aca="false">L392*Scorecard!$E$12+M392*Scorecard!$E$13+N392*Scorecard!$E$14+O392*Scorecard!$E$15+P392*Scorecard!$E$16+Q392*Scorecard!$E$17</f>
        <v>4.15570183280955</v>
      </c>
      <c r="U392" s="0" t="str">
        <f aca="false">IF(AND(R392&gt;=S392,R392&gt;=T392),"Distribution",IF(T392&gt;=S392,"Prof. services","Manufacturing"))</f>
        <v>Prof. services</v>
      </c>
    </row>
    <row r="393" customFormat="false" ht="15" hidden="false" customHeight="false" outlineLevel="0" collapsed="false">
      <c r="A393" s="46" t="n">
        <v>0.211175</v>
      </c>
      <c r="B393" s="46" t="n">
        <v>0.380428</v>
      </c>
      <c r="C393" s="46" t="n">
        <v>0.14135</v>
      </c>
      <c r="D393" s="46" t="n">
        <v>0.028199</v>
      </c>
      <c r="E393" s="46" t="n">
        <v>0.056999</v>
      </c>
      <c r="F393" s="46" t="n">
        <v>0.181849</v>
      </c>
      <c r="G393" s="47" t="n">
        <f aca="false">A393*Scorecard!$C$12+B393*Scorecard!$C$13+C393*Scorecard!$C$14+D393*Scorecard!$C$15+E393*Scorecard!$C$16+F393*Scorecard!$C$17</f>
        <v>3.66481098843987</v>
      </c>
      <c r="H393" s="47" t="n">
        <f aca="false">A393*Scorecard!$D$12+B393*Scorecard!$D$13+C393*Scorecard!$D$14+D393*Scorecard!$D$15+E393*Scorecard!$D$16+F393*Scorecard!$D$17</f>
        <v>2.34733874702148</v>
      </c>
      <c r="I393" s="47" t="n">
        <f aca="false">A393*Scorecard!$E$12+B393*Scorecard!$E$13+C393*Scorecard!$E$14+D393*Scorecard!$E$15+E393*Scorecard!$E$16+F393*Scorecard!$E$17</f>
        <v>3.63955289558743</v>
      </c>
      <c r="J393" s="0" t="str">
        <f aca="false">IF(AND(G393&gt;=H393,G393&gt;=I393),"Distribution",IF(I393&gt;=H393,"Prof. services","Manufacturing"))</f>
        <v>Distribution</v>
      </c>
      <c r="L393" s="46" t="n">
        <v>0.180771</v>
      </c>
      <c r="M393" s="46" t="n">
        <v>0.249824</v>
      </c>
      <c r="N393" s="46" t="n">
        <v>0.212551</v>
      </c>
      <c r="O393" s="46" t="n">
        <v>0.157812</v>
      </c>
      <c r="P393" s="46" t="n">
        <v>0.07533</v>
      </c>
      <c r="Q393" s="46" t="n">
        <v>0.123711</v>
      </c>
      <c r="R393" s="47" t="n">
        <f aca="false">L393*Scorecard!$C$12+M393*Scorecard!$C$13+N393*Scorecard!$C$14+O393*Scorecard!$C$15+P393*Scorecard!$C$16+Q393*Scorecard!$C$17</f>
        <v>3.83481962203037</v>
      </c>
      <c r="S393" s="47" t="n">
        <f aca="false">L393*Scorecard!$D$12+M393*Scorecard!$D$13+N393*Scorecard!$D$14+O393*Scorecard!$D$15+P393*Scorecard!$D$16+Q393*Scorecard!$D$17</f>
        <v>2.76665195885258</v>
      </c>
      <c r="T393" s="47" t="n">
        <f aca="false">L393*Scorecard!$E$12+M393*Scorecard!$E$13+N393*Scorecard!$E$14+O393*Scorecard!$E$15+P393*Scorecard!$E$16+Q393*Scorecard!$E$17</f>
        <v>3.88695528639018</v>
      </c>
      <c r="U393" s="0" t="str">
        <f aca="false">IF(AND(R393&gt;=S393,R393&gt;=T393),"Distribution",IF(T393&gt;=S393,"Prof. services","Manufacturing"))</f>
        <v>Prof. services</v>
      </c>
    </row>
    <row r="394" customFormat="false" ht="15" hidden="false" customHeight="false" outlineLevel="0" collapsed="false">
      <c r="A394" s="46" t="n">
        <v>0.018578</v>
      </c>
      <c r="B394" s="46" t="n">
        <v>0.375901</v>
      </c>
      <c r="C394" s="46" t="n">
        <v>0.029813</v>
      </c>
      <c r="D394" s="46" t="n">
        <v>0.146283</v>
      </c>
      <c r="E394" s="46" t="n">
        <v>0.361853</v>
      </c>
      <c r="F394" s="46" t="n">
        <v>0.067572</v>
      </c>
      <c r="G394" s="47" t="n">
        <f aca="false">A394*Scorecard!$C$12+B394*Scorecard!$C$13+C394*Scorecard!$C$14+D394*Scorecard!$C$15+E394*Scorecard!$C$16+F394*Scorecard!$C$17</f>
        <v>4.35359933505972</v>
      </c>
      <c r="H394" s="47" t="n">
        <f aca="false">A394*Scorecard!$D$12+B394*Scorecard!$D$13+C394*Scorecard!$D$14+D394*Scorecard!$D$15+E394*Scorecard!$D$16+F394*Scorecard!$D$17</f>
        <v>2.63664641750462</v>
      </c>
      <c r="I394" s="47" t="n">
        <f aca="false">A394*Scorecard!$E$12+B394*Scorecard!$E$13+C394*Scorecard!$E$14+D394*Scorecard!$E$15+E394*Scorecard!$E$16+F394*Scorecard!$E$17</f>
        <v>2.79805997580124</v>
      </c>
      <c r="J394" s="0" t="str">
        <f aca="false">IF(AND(G394&gt;=H394,G394&gt;=I394),"Distribution",IF(I394&gt;=H394,"Prof. services","Manufacturing"))</f>
        <v>Distribution</v>
      </c>
      <c r="L394" s="46" t="n">
        <v>0.213711</v>
      </c>
      <c r="M394" s="46" t="n">
        <v>0.12558</v>
      </c>
      <c r="N394" s="46" t="n">
        <v>0.195055</v>
      </c>
      <c r="O394" s="46" t="n">
        <v>0.072171</v>
      </c>
      <c r="P394" s="46" t="n">
        <v>0.121941</v>
      </c>
      <c r="Q394" s="46" t="n">
        <v>0.271541</v>
      </c>
      <c r="R394" s="47" t="n">
        <f aca="false">L394*Scorecard!$C$12+M394*Scorecard!$C$13+N394*Scorecard!$C$14+O394*Scorecard!$C$15+P394*Scorecard!$C$16+Q394*Scorecard!$C$17</f>
        <v>3.26998215227405</v>
      </c>
      <c r="S394" s="47" t="n">
        <f aca="false">L394*Scorecard!$D$12+M394*Scorecard!$D$13+N394*Scorecard!$D$14+O394*Scorecard!$D$15+P394*Scorecard!$D$16+Q394*Scorecard!$D$17</f>
        <v>2.66955138945754</v>
      </c>
      <c r="T394" s="47" t="n">
        <f aca="false">L394*Scorecard!$E$12+M394*Scorecard!$E$13+N394*Scorecard!$E$14+O394*Scorecard!$E$15+P394*Scorecard!$E$16+Q394*Scorecard!$E$17</f>
        <v>4.11760521814755</v>
      </c>
      <c r="U394" s="0" t="str">
        <f aca="false">IF(AND(R394&gt;=S394,R394&gt;=T394),"Distribution",IF(T394&gt;=S394,"Prof. services","Manufacturing"))</f>
        <v>Prof. services</v>
      </c>
    </row>
    <row r="395" customFormat="false" ht="15" hidden="false" customHeight="false" outlineLevel="0" collapsed="false">
      <c r="A395" s="46" t="n">
        <v>0.076386</v>
      </c>
      <c r="B395" s="46" t="n">
        <v>0.585144</v>
      </c>
      <c r="C395" s="46" t="n">
        <v>0.007212</v>
      </c>
      <c r="D395" s="46" t="n">
        <v>0.102875</v>
      </c>
      <c r="E395" s="46" t="n">
        <v>0.113025</v>
      </c>
      <c r="F395" s="46" t="n">
        <v>0.115357</v>
      </c>
      <c r="G395" s="47" t="n">
        <f aca="false">A395*Scorecard!$C$12+B395*Scorecard!$C$13+C395*Scorecard!$C$14+D395*Scorecard!$C$15+E395*Scorecard!$C$16+F395*Scorecard!$C$17</f>
        <v>4.31980511066162</v>
      </c>
      <c r="H395" s="47" t="n">
        <f aca="false">A395*Scorecard!$D$12+B395*Scorecard!$D$13+C395*Scorecard!$D$14+D395*Scorecard!$D$15+E395*Scorecard!$D$16+F395*Scorecard!$D$17</f>
        <v>2.15588322004423</v>
      </c>
      <c r="I395" s="47" t="n">
        <f aca="false">A395*Scorecard!$E$12+B395*Scorecard!$E$13+C395*Scorecard!$E$14+D395*Scorecard!$E$15+E395*Scorecard!$E$16+F395*Scorecard!$E$17</f>
        <v>2.87229154779501</v>
      </c>
      <c r="J395" s="0" t="str">
        <f aca="false">IF(AND(G395&gt;=H395,G395&gt;=I395),"Distribution",IF(I395&gt;=H395,"Prof. services","Manufacturing"))</f>
        <v>Distribution</v>
      </c>
      <c r="L395" s="46" t="n">
        <v>0.165866</v>
      </c>
      <c r="M395" s="46" t="n">
        <v>0.129617</v>
      </c>
      <c r="N395" s="46" t="n">
        <v>0.148788</v>
      </c>
      <c r="O395" s="46" t="n">
        <v>0.173279</v>
      </c>
      <c r="P395" s="46" t="n">
        <v>0.258305</v>
      </c>
      <c r="Q395" s="46" t="n">
        <v>0.124145</v>
      </c>
      <c r="R395" s="47" t="n">
        <f aca="false">L395*Scorecard!$C$12+M395*Scorecard!$C$13+N395*Scorecard!$C$14+O395*Scorecard!$C$15+P395*Scorecard!$C$16+Q395*Scorecard!$C$17</f>
        <v>3.75604483459011</v>
      </c>
      <c r="S395" s="47" t="n">
        <f aca="false">L395*Scorecard!$D$12+M395*Scorecard!$D$13+N395*Scorecard!$D$14+O395*Scorecard!$D$15+P395*Scorecard!$D$16+Q395*Scorecard!$D$17</f>
        <v>3.01548632585627</v>
      </c>
      <c r="T395" s="47" t="n">
        <f aca="false">L395*Scorecard!$E$12+M395*Scorecard!$E$13+N395*Scorecard!$E$14+O395*Scorecard!$E$15+P395*Scorecard!$E$16+Q395*Scorecard!$E$17</f>
        <v>3.73154699764688</v>
      </c>
      <c r="U395" s="0" t="str">
        <f aca="false">IF(AND(R395&gt;=S395,R395&gt;=T395),"Distribution",IF(T395&gt;=S395,"Prof. services","Manufacturing"))</f>
        <v>Distribution</v>
      </c>
    </row>
    <row r="396" customFormat="false" ht="15" hidden="false" customHeight="false" outlineLevel="0" collapsed="false">
      <c r="A396" s="46" t="n">
        <v>0.235955</v>
      </c>
      <c r="B396" s="46" t="n">
        <v>0.099799</v>
      </c>
      <c r="C396" s="46" t="n">
        <v>0.262249</v>
      </c>
      <c r="D396" s="46" t="n">
        <v>0.055361</v>
      </c>
      <c r="E396" s="46" t="n">
        <v>0.057589</v>
      </c>
      <c r="F396" s="46" t="n">
        <v>0.289047</v>
      </c>
      <c r="G396" s="47" t="n">
        <f aca="false">A396*Scorecard!$C$12+B396*Scorecard!$C$13+C396*Scorecard!$C$14+D396*Scorecard!$C$15+E396*Scorecard!$C$16+F396*Scorecard!$C$17</f>
        <v>3.15234363505306</v>
      </c>
      <c r="H396" s="47" t="n">
        <f aca="false">A396*Scorecard!$D$12+B396*Scorecard!$D$13+C396*Scorecard!$D$14+D396*Scorecard!$D$15+E396*Scorecard!$D$16+F396*Scorecard!$D$17</f>
        <v>2.65577536043864</v>
      </c>
      <c r="I396" s="47" t="n">
        <f aca="false">A396*Scorecard!$E$12+B396*Scorecard!$E$13+C396*Scorecard!$E$14+D396*Scorecard!$E$15+E396*Scorecard!$E$16+F396*Scorecard!$E$17</f>
        <v>4.36864938041929</v>
      </c>
      <c r="J396" s="0" t="str">
        <f aca="false">IF(AND(G396&gt;=H396,G396&gt;=I396),"Distribution",IF(I396&gt;=H396,"Prof. services","Manufacturing"))</f>
        <v>Prof. services</v>
      </c>
      <c r="L396" s="46" t="n">
        <v>0.13334</v>
      </c>
      <c r="M396" s="46" t="n">
        <v>0.323663</v>
      </c>
      <c r="N396" s="46" t="n">
        <v>0.100202</v>
      </c>
      <c r="O396" s="46" t="n">
        <v>0.092477</v>
      </c>
      <c r="P396" s="46" t="n">
        <v>0.136088</v>
      </c>
      <c r="Q396" s="46" t="n">
        <v>0.21423</v>
      </c>
      <c r="R396" s="47" t="n">
        <f aca="false">L396*Scorecard!$C$12+M396*Scorecard!$C$13+N396*Scorecard!$C$14+O396*Scorecard!$C$15+P396*Scorecard!$C$16+Q396*Scorecard!$C$17</f>
        <v>3.74766609844239</v>
      </c>
      <c r="S396" s="47" t="n">
        <f aca="false">L396*Scorecard!$D$12+M396*Scorecard!$D$13+N396*Scorecard!$D$14+O396*Scorecard!$D$15+P396*Scorecard!$D$16+Q396*Scorecard!$D$17</f>
        <v>2.43333164971654</v>
      </c>
      <c r="T396" s="47" t="n">
        <f aca="false">L396*Scorecard!$E$12+M396*Scorecard!$E$13+N396*Scorecard!$E$14+O396*Scorecard!$E$15+P396*Scorecard!$E$16+Q396*Scorecard!$E$17</f>
        <v>3.52196180123404</v>
      </c>
      <c r="U396" s="0" t="str">
        <f aca="false">IF(AND(R396&gt;=S396,R396&gt;=T396),"Distribution",IF(T396&gt;=S396,"Prof. services","Manufacturing"))</f>
        <v>Distribution</v>
      </c>
    </row>
    <row r="397" customFormat="false" ht="15" hidden="false" customHeight="false" outlineLevel="0" collapsed="false">
      <c r="A397" s="46" t="n">
        <v>0.156496</v>
      </c>
      <c r="B397" s="46" t="n">
        <v>0.05602</v>
      </c>
      <c r="C397" s="46" t="n">
        <v>0.245106</v>
      </c>
      <c r="D397" s="46" t="n">
        <v>0.169208</v>
      </c>
      <c r="E397" s="46" t="n">
        <v>0.217141</v>
      </c>
      <c r="F397" s="46" t="n">
        <v>0.156027</v>
      </c>
      <c r="G397" s="47" t="n">
        <f aca="false">A397*Scorecard!$C$12+B397*Scorecard!$C$13+C397*Scorecard!$C$14+D397*Scorecard!$C$15+E397*Scorecard!$C$16+F397*Scorecard!$C$17</f>
        <v>3.63147096821539</v>
      </c>
      <c r="H397" s="47" t="n">
        <f aca="false">A397*Scorecard!$D$12+B397*Scorecard!$D$13+C397*Scorecard!$D$14+D397*Scorecard!$D$15+E397*Scorecard!$D$16+F397*Scorecard!$D$17</f>
        <v>3.0535031351039</v>
      </c>
      <c r="I397" s="47" t="n">
        <f aca="false">A397*Scorecard!$E$12+B397*Scorecard!$E$13+C397*Scorecard!$E$14+D397*Scorecard!$E$15+E397*Scorecard!$E$16+F397*Scorecard!$E$17</f>
        <v>4.04040418754958</v>
      </c>
      <c r="J397" s="0" t="str">
        <f aca="false">IF(AND(G397&gt;=H397,G397&gt;=I397),"Distribution",IF(I397&gt;=H397,"Prof. services","Manufacturing"))</f>
        <v>Prof. services</v>
      </c>
      <c r="L397" s="46" t="n">
        <v>0.211029</v>
      </c>
      <c r="M397" s="46" t="n">
        <v>0.214513</v>
      </c>
      <c r="N397" s="46" t="n">
        <v>0.110184</v>
      </c>
      <c r="O397" s="46" t="n">
        <v>0.117282</v>
      </c>
      <c r="P397" s="46" t="n">
        <v>0.22875</v>
      </c>
      <c r="Q397" s="46" t="n">
        <v>0.118242</v>
      </c>
      <c r="R397" s="47" t="n">
        <f aca="false">L397*Scorecard!$C$12+M397*Scorecard!$C$13+N397*Scorecard!$C$14+O397*Scorecard!$C$15+P397*Scorecard!$C$16+Q397*Scorecard!$C$17</f>
        <v>3.71545579052197</v>
      </c>
      <c r="S397" s="47" t="n">
        <f aca="false">L397*Scorecard!$D$12+M397*Scorecard!$D$13+N397*Scorecard!$D$14+O397*Scorecard!$D$15+P397*Scorecard!$D$16+Q397*Scorecard!$D$17</f>
        <v>2.85206803694568</v>
      </c>
      <c r="T397" s="47" t="n">
        <f aca="false">L397*Scorecard!$E$12+M397*Scorecard!$E$13+N397*Scorecard!$E$14+O397*Scorecard!$E$15+P397*Scorecard!$E$16+Q397*Scorecard!$E$17</f>
        <v>3.61599326930893</v>
      </c>
      <c r="U397" s="0" t="str">
        <f aca="false">IF(AND(R397&gt;=S397,R397&gt;=T397),"Distribution",IF(T397&gt;=S397,"Prof. services","Manufacturing"))</f>
        <v>Distribution</v>
      </c>
    </row>
    <row r="398" customFormat="false" ht="15" hidden="false" customHeight="false" outlineLevel="0" collapsed="false">
      <c r="A398" s="46" t="n">
        <v>0.368422</v>
      </c>
      <c r="B398" s="46" t="n">
        <v>0.096354</v>
      </c>
      <c r="C398" s="46" t="n">
        <v>0.038052</v>
      </c>
      <c r="D398" s="46" t="n">
        <v>0.049738</v>
      </c>
      <c r="E398" s="46" t="n">
        <v>0.250961</v>
      </c>
      <c r="F398" s="46" t="n">
        <v>0.196472</v>
      </c>
      <c r="G398" s="47" t="n">
        <f aca="false">A398*Scorecard!$C$12+B398*Scorecard!$C$13+C398*Scorecard!$C$14+D398*Scorecard!$C$15+E398*Scorecard!$C$16+F398*Scorecard!$C$17</f>
        <v>3.08997914594528</v>
      </c>
      <c r="H398" s="47" t="n">
        <f aca="false">A398*Scorecard!$D$12+B398*Scorecard!$D$13+C398*Scorecard!$D$14+D398*Scorecard!$D$15+E398*Scorecard!$D$16+F398*Scorecard!$D$17</f>
        <v>2.94525468124193</v>
      </c>
      <c r="I398" s="47" t="n">
        <f aca="false">A398*Scorecard!$E$12+B398*Scorecard!$E$13+C398*Scorecard!$E$14+D398*Scorecard!$E$15+E398*Scorecard!$E$16+F398*Scorecard!$E$17</f>
        <v>3.91387982085607</v>
      </c>
      <c r="J398" s="0" t="str">
        <f aca="false">IF(AND(G398&gt;=H398,G398&gt;=I398),"Distribution",IF(I398&gt;=H398,"Prof. services","Manufacturing"))</f>
        <v>Prof. services</v>
      </c>
      <c r="L398" s="46" t="n">
        <v>0.244349</v>
      </c>
      <c r="M398" s="46" t="n">
        <v>0.182759</v>
      </c>
      <c r="N398" s="46" t="n">
        <v>0.267877</v>
      </c>
      <c r="O398" s="46" t="n">
        <v>0.065179</v>
      </c>
      <c r="P398" s="46" t="n">
        <v>0.123021</v>
      </c>
      <c r="Q398" s="46" t="n">
        <v>0.116814</v>
      </c>
      <c r="R398" s="47" t="n">
        <f aca="false">L398*Scorecard!$C$12+M398*Scorecard!$C$13+N398*Scorecard!$C$14+O398*Scorecard!$C$15+P398*Scorecard!$C$16+Q398*Scorecard!$C$17</f>
        <v>3.57447431534649</v>
      </c>
      <c r="S398" s="47" t="n">
        <f aca="false">L398*Scorecard!$D$12+M398*Scorecard!$D$13+N398*Scorecard!$D$14+O398*Scorecard!$D$15+P398*Scorecard!$D$16+Q398*Scorecard!$D$17</f>
        <v>2.82831977074403</v>
      </c>
      <c r="T398" s="47" t="n">
        <f aca="false">L398*Scorecard!$E$12+M398*Scorecard!$E$13+N398*Scorecard!$E$14+O398*Scorecard!$E$15+P398*Scorecard!$E$16+Q398*Scorecard!$E$17</f>
        <v>4.03351003936405</v>
      </c>
      <c r="U398" s="0" t="str">
        <f aca="false">IF(AND(R398&gt;=S398,R398&gt;=T398),"Distribution",IF(T398&gt;=S398,"Prof. services","Manufacturing"))</f>
        <v>Prof. services</v>
      </c>
    </row>
    <row r="399" customFormat="false" ht="15" hidden="false" customHeight="false" outlineLevel="0" collapsed="false">
      <c r="A399" s="46" t="n">
        <v>0.240979</v>
      </c>
      <c r="B399" s="46" t="n">
        <v>0.05952</v>
      </c>
      <c r="C399" s="46" t="n">
        <v>0.025292</v>
      </c>
      <c r="D399" s="46" t="n">
        <v>0.335445</v>
      </c>
      <c r="E399" s="46" t="n">
        <v>0.203309</v>
      </c>
      <c r="F399" s="46" t="n">
        <v>0.135454</v>
      </c>
      <c r="G399" s="47" t="n">
        <f aca="false">A399*Scorecard!$C$12+B399*Scorecard!$C$13+C399*Scorecard!$C$14+D399*Scorecard!$C$15+E399*Scorecard!$C$16+F399*Scorecard!$C$17</f>
        <v>3.69028736340595</v>
      </c>
      <c r="H399" s="47" t="n">
        <f aca="false">A399*Scorecard!$D$12+B399*Scorecard!$D$13+C399*Scorecard!$D$14+D399*Scorecard!$D$15+E399*Scorecard!$D$16+F399*Scorecard!$D$17</f>
        <v>3.32274942427612</v>
      </c>
      <c r="I399" s="47" t="n">
        <f aca="false">A399*Scorecard!$E$12+B399*Scorecard!$E$13+C399*Scorecard!$E$14+D399*Scorecard!$E$15+E399*Scorecard!$E$16+F399*Scorecard!$E$17</f>
        <v>3.93856066106293</v>
      </c>
      <c r="J399" s="0" t="str">
        <f aca="false">IF(AND(G399&gt;=H399,G399&gt;=I399),"Distribution",IF(I399&gt;=H399,"Prof. services","Manufacturing"))</f>
        <v>Prof. services</v>
      </c>
      <c r="L399" s="46" t="n">
        <v>0.108199</v>
      </c>
      <c r="M399" s="46" t="n">
        <v>0.063078</v>
      </c>
      <c r="N399" s="46" t="n">
        <v>0.468251</v>
      </c>
      <c r="O399" s="46" t="n">
        <v>0.180793</v>
      </c>
      <c r="P399" s="46" t="n">
        <v>0.064512</v>
      </c>
      <c r="Q399" s="46" t="n">
        <v>0.115168</v>
      </c>
      <c r="R399" s="47" t="n">
        <f aca="false">L399*Scorecard!$C$12+M399*Scorecard!$C$13+N399*Scorecard!$C$14+O399*Scorecard!$C$15+P399*Scorecard!$C$16+Q399*Scorecard!$C$17</f>
        <v>3.81877925697741</v>
      </c>
      <c r="S399" s="47" t="n">
        <f aca="false">L399*Scorecard!$D$12+M399*Scorecard!$D$13+N399*Scorecard!$D$14+O399*Scorecard!$D$15+P399*Scorecard!$D$16+Q399*Scorecard!$D$17</f>
        <v>3.03483896489731</v>
      </c>
      <c r="T399" s="47" t="n">
        <f aca="false">L399*Scorecard!$E$12+M399*Scorecard!$E$13+N399*Scorecard!$E$14+O399*Scorecard!$E$15+P399*Scorecard!$E$16+Q399*Scorecard!$E$17</f>
        <v>4.43787967467951</v>
      </c>
      <c r="U399" s="0" t="str">
        <f aca="false">IF(AND(R399&gt;=S399,R399&gt;=T399),"Distribution",IF(T399&gt;=S399,"Prof. services","Manufacturing"))</f>
        <v>Prof. services</v>
      </c>
    </row>
    <row r="400" customFormat="false" ht="15" hidden="false" customHeight="false" outlineLevel="0" collapsed="false">
      <c r="A400" s="46" t="n">
        <v>0.316194</v>
      </c>
      <c r="B400" s="46" t="n">
        <v>0.072537</v>
      </c>
      <c r="C400" s="46" t="n">
        <v>0.041239</v>
      </c>
      <c r="D400" s="46" t="n">
        <v>0.055973</v>
      </c>
      <c r="E400" s="46" t="n">
        <v>0.306248</v>
      </c>
      <c r="F400" s="46" t="n">
        <v>0.207809</v>
      </c>
      <c r="G400" s="47" t="n">
        <f aca="false">A400*Scorecard!$C$12+B400*Scorecard!$C$13+C400*Scorecard!$C$14+D400*Scorecard!$C$15+E400*Scorecard!$C$16+F400*Scorecard!$C$17</f>
        <v>3.14373829076717</v>
      </c>
      <c r="H400" s="47" t="n">
        <f aca="false">A400*Scorecard!$D$12+B400*Scorecard!$D$13+C400*Scorecard!$D$14+D400*Scorecard!$D$15+E400*Scorecard!$D$16+F400*Scorecard!$D$17</f>
        <v>2.95514928258547</v>
      </c>
      <c r="I400" s="47" t="n">
        <f aca="false">A400*Scorecard!$E$12+B400*Scorecard!$E$13+C400*Scorecard!$E$14+D400*Scorecard!$E$15+E400*Scorecard!$E$16+F400*Scorecard!$E$17</f>
        <v>3.82406041670948</v>
      </c>
      <c r="J400" s="0" t="str">
        <f aca="false">IF(AND(G400&gt;=H400,G400&gt;=I400),"Distribution",IF(I400&gt;=H400,"Prof. services","Manufacturing"))</f>
        <v>Prof. services</v>
      </c>
      <c r="L400" s="46" t="n">
        <v>0.13889</v>
      </c>
      <c r="M400" s="46" t="n">
        <v>0.161726</v>
      </c>
      <c r="N400" s="46" t="n">
        <v>0.381235</v>
      </c>
      <c r="O400" s="46" t="n">
        <v>0.135758</v>
      </c>
      <c r="P400" s="46" t="n">
        <v>0.135198</v>
      </c>
      <c r="Q400" s="46" t="n">
        <v>0.047194</v>
      </c>
      <c r="R400" s="47" t="n">
        <f aca="false">L400*Scorecard!$C$12+M400*Scorecard!$C$13+N400*Scorecard!$C$14+O400*Scorecard!$C$15+P400*Scorecard!$C$16+Q400*Scorecard!$C$17</f>
        <v>3.95309601929401</v>
      </c>
      <c r="S400" s="47" t="n">
        <f aca="false">L400*Scorecard!$D$12+M400*Scorecard!$D$13+N400*Scorecard!$D$14+O400*Scorecard!$D$15+P400*Scorecard!$D$16+Q400*Scorecard!$D$17</f>
        <v>2.98042965976022</v>
      </c>
      <c r="T400" s="47" t="n">
        <f aca="false">L400*Scorecard!$E$12+M400*Scorecard!$E$13+N400*Scorecard!$E$14+O400*Scorecard!$E$15+P400*Scorecard!$E$16+Q400*Scorecard!$E$17</f>
        <v>4.03734400979808</v>
      </c>
      <c r="U400" s="0" t="str">
        <f aca="false">IF(AND(R400&gt;=S400,R400&gt;=T400),"Distribution",IF(T400&gt;=S400,"Prof. services","Manufacturing"))</f>
        <v>Prof. services</v>
      </c>
    </row>
    <row r="401" customFormat="false" ht="15" hidden="false" customHeight="false" outlineLevel="0" collapsed="false">
      <c r="A401" s="46" t="n">
        <v>0.008273</v>
      </c>
      <c r="B401" s="46" t="n">
        <v>0.153063</v>
      </c>
      <c r="C401" s="46" t="n">
        <v>0.04558</v>
      </c>
      <c r="D401" s="46" t="n">
        <v>0.438991</v>
      </c>
      <c r="E401" s="46" t="n">
        <v>0.206202</v>
      </c>
      <c r="F401" s="46" t="n">
        <v>0.147892</v>
      </c>
      <c r="G401" s="47" t="n">
        <f aca="false">A401*Scorecard!$C$12+B401*Scorecard!$C$13+C401*Scorecard!$C$14+D401*Scorecard!$C$15+E401*Scorecard!$C$16+F401*Scorecard!$C$17</f>
        <v>4.281382482019</v>
      </c>
      <c r="H401" s="47" t="n">
        <f aca="false">A401*Scorecard!$D$12+B401*Scorecard!$D$13+C401*Scorecard!$D$14+D401*Scorecard!$D$15+E401*Scorecard!$D$16+F401*Scorecard!$D$17</f>
        <v>3.13080991195751</v>
      </c>
      <c r="I401" s="47" t="n">
        <f aca="false">A401*Scorecard!$E$12+B401*Scorecard!$E$13+C401*Scorecard!$E$14+D401*Scorecard!$E$15+E401*Scorecard!$E$16+F401*Scorecard!$E$17</f>
        <v>3.56909286979204</v>
      </c>
      <c r="J401" s="0" t="str">
        <f aca="false">IF(AND(G401&gt;=H401,G401&gt;=I401),"Distribution",IF(I401&gt;=H401,"Prof. services","Manufacturing"))</f>
        <v>Distribution</v>
      </c>
      <c r="L401" s="46" t="n">
        <v>0.165681</v>
      </c>
      <c r="M401" s="46" t="n">
        <v>0.206299</v>
      </c>
      <c r="N401" s="46" t="n">
        <v>0.151629</v>
      </c>
      <c r="O401" s="46" t="n">
        <v>0.351874</v>
      </c>
      <c r="P401" s="46" t="n">
        <v>0.080697</v>
      </c>
      <c r="Q401" s="46" t="n">
        <v>0.043821</v>
      </c>
      <c r="R401" s="47" t="n">
        <f aca="false">L401*Scorecard!$C$12+M401*Scorecard!$C$13+N401*Scorecard!$C$14+O401*Scorecard!$C$15+P401*Scorecard!$C$16+Q401*Scorecard!$C$17</f>
        <v>4.17230683722839</v>
      </c>
      <c r="S401" s="47" t="n">
        <f aca="false">L401*Scorecard!$D$12+M401*Scorecard!$D$13+N401*Scorecard!$D$14+O401*Scorecard!$D$15+P401*Scorecard!$D$16+Q401*Scorecard!$D$17</f>
        <v>3.16829954852541</v>
      </c>
      <c r="T401" s="47" t="n">
        <f aca="false">L401*Scorecard!$E$12+M401*Scorecard!$E$13+N401*Scorecard!$E$14+O401*Scorecard!$E$15+P401*Scorecard!$E$16+Q401*Scorecard!$E$17</f>
        <v>3.87554379844117</v>
      </c>
      <c r="U401" s="0" t="str">
        <f aca="false">IF(AND(R401&gt;=S401,R401&gt;=T401),"Distribution",IF(T401&gt;=S401,"Prof. services","Manufacturing"))</f>
        <v>Distribution</v>
      </c>
    </row>
    <row r="402" customFormat="false" ht="15" hidden="false" customHeight="false" outlineLevel="0" collapsed="false">
      <c r="A402" s="46" t="n">
        <v>0.149689</v>
      </c>
      <c r="B402" s="46" t="n">
        <v>0.040396</v>
      </c>
      <c r="C402" s="46" t="n">
        <v>0.236035</v>
      </c>
      <c r="D402" s="46" t="n">
        <v>0.147326</v>
      </c>
      <c r="E402" s="46" t="n">
        <v>0.347302</v>
      </c>
      <c r="F402" s="46" t="n">
        <v>0.079252</v>
      </c>
      <c r="G402" s="47" t="n">
        <f aca="false">A402*Scorecard!$C$12+B402*Scorecard!$C$13+C402*Scorecard!$C$14+D402*Scorecard!$C$15+E402*Scorecard!$C$16+F402*Scorecard!$C$17</f>
        <v>3.75977566528981</v>
      </c>
      <c r="H402" s="47" t="n">
        <f aca="false">A402*Scorecard!$D$12+B402*Scorecard!$D$13+C402*Scorecard!$D$14+D402*Scorecard!$D$15+E402*Scorecard!$D$16+F402*Scorecard!$D$17</f>
        <v>3.20568242867836</v>
      </c>
      <c r="I402" s="47" t="n">
        <f aca="false">A402*Scorecard!$E$12+B402*Scorecard!$E$13+C402*Scorecard!$E$14+D402*Scorecard!$E$15+E402*Scorecard!$E$16+F402*Scorecard!$E$17</f>
        <v>3.79492480664071</v>
      </c>
      <c r="J402" s="0" t="str">
        <f aca="false">IF(AND(G402&gt;=H402,G402&gt;=I402),"Distribution",IF(I402&gt;=H402,"Prof. services","Manufacturing"))</f>
        <v>Prof. services</v>
      </c>
      <c r="L402" s="46" t="n">
        <v>0.150375</v>
      </c>
      <c r="M402" s="46" t="n">
        <v>0.374322</v>
      </c>
      <c r="N402" s="46" t="n">
        <v>0.23706</v>
      </c>
      <c r="O402" s="46" t="n">
        <v>0.097023</v>
      </c>
      <c r="P402" s="46" t="n">
        <v>0.083913</v>
      </c>
      <c r="Q402" s="46" t="n">
        <v>0.057307</v>
      </c>
      <c r="R402" s="47" t="n">
        <f aca="false">L402*Scorecard!$C$12+M402*Scorecard!$C$13+N402*Scorecard!$C$14+O402*Scorecard!$C$15+P402*Scorecard!$C$16+Q402*Scorecard!$C$17</f>
        <v>4.08605385550679</v>
      </c>
      <c r="S402" s="47" t="n">
        <f aca="false">L402*Scorecard!$D$12+M402*Scorecard!$D$13+N402*Scorecard!$D$14+O402*Scorecard!$D$15+P402*Scorecard!$D$16+Q402*Scorecard!$D$17</f>
        <v>2.59180031251872</v>
      </c>
      <c r="T402" s="47" t="n">
        <f aca="false">L402*Scorecard!$E$12+M402*Scorecard!$E$13+N402*Scorecard!$E$14+O402*Scorecard!$E$15+P402*Scorecard!$E$16+Q402*Scorecard!$E$17</f>
        <v>3.59008229066577</v>
      </c>
      <c r="U402" s="0" t="str">
        <f aca="false">IF(AND(R402&gt;=S402,R402&gt;=T402),"Distribution",IF(T402&gt;=S402,"Prof. services","Manufacturing"))</f>
        <v>Distribution</v>
      </c>
    </row>
    <row r="403" customFormat="false" ht="15" hidden="false" customHeight="false" outlineLevel="0" collapsed="false">
      <c r="A403" s="46" t="n">
        <v>0.266941</v>
      </c>
      <c r="B403" s="46" t="n">
        <v>0.026134</v>
      </c>
      <c r="C403" s="46" t="n">
        <v>0.056584</v>
      </c>
      <c r="D403" s="46" t="n">
        <v>0.0544</v>
      </c>
      <c r="E403" s="46" t="n">
        <v>0.10618</v>
      </c>
      <c r="F403" s="46" t="n">
        <v>0.489761</v>
      </c>
      <c r="G403" s="47" t="n">
        <f aca="false">A403*Scorecard!$C$12+B403*Scorecard!$C$13+C403*Scorecard!$C$14+D403*Scorecard!$C$15+E403*Scorecard!$C$16+F403*Scorecard!$C$17</f>
        <v>2.62051439316267</v>
      </c>
      <c r="H403" s="47" t="n">
        <f aca="false">A403*Scorecard!$D$12+B403*Scorecard!$D$13+C403*Scorecard!$D$14+D403*Scorecard!$D$15+E403*Scorecard!$D$16+F403*Scorecard!$D$17</f>
        <v>2.50082795296731</v>
      </c>
      <c r="I403" s="47" t="n">
        <f aca="false">A403*Scorecard!$E$12+B403*Scorecard!$E$13+C403*Scorecard!$E$14+D403*Scorecard!$E$15+E403*Scorecard!$E$16+F403*Scorecard!$E$17</f>
        <v>4.35134982650297</v>
      </c>
      <c r="J403" s="0" t="str">
        <f aca="false">IF(AND(G403&gt;=H403,G403&gt;=I403),"Distribution",IF(I403&gt;=H403,"Prof. services","Manufacturing"))</f>
        <v>Prof. services</v>
      </c>
      <c r="L403" s="46" t="n">
        <v>0.132603</v>
      </c>
      <c r="M403" s="46" t="n">
        <v>0.181021</v>
      </c>
      <c r="N403" s="46" t="n">
        <v>0.19712</v>
      </c>
      <c r="O403" s="46" t="n">
        <v>0.217285</v>
      </c>
      <c r="P403" s="46" t="n">
        <v>0.195656</v>
      </c>
      <c r="Q403" s="46" t="n">
        <v>0.076315</v>
      </c>
      <c r="R403" s="47" t="n">
        <f aca="false">L403*Scorecard!$C$12+M403*Scorecard!$C$13+N403*Scorecard!$C$14+O403*Scorecard!$C$15+P403*Scorecard!$C$16+Q403*Scorecard!$C$17</f>
        <v>4.00698870895273</v>
      </c>
      <c r="S403" s="47" t="n">
        <f aca="false">L403*Scorecard!$D$12+M403*Scorecard!$D$13+N403*Scorecard!$D$14+O403*Scorecard!$D$15+P403*Scorecard!$D$16+Q403*Scorecard!$D$17</f>
        <v>3.0181621333391</v>
      </c>
      <c r="T403" s="47" t="n">
        <f aca="false">L403*Scorecard!$E$12+M403*Scorecard!$E$13+N403*Scorecard!$E$14+O403*Scorecard!$E$15+P403*Scorecard!$E$16+Q403*Scorecard!$E$17</f>
        <v>3.73792513171618</v>
      </c>
      <c r="U403" s="0" t="str">
        <f aca="false">IF(AND(R403&gt;=S403,R403&gt;=T403),"Distribution",IF(T403&gt;=S403,"Prof. services","Manufacturing"))</f>
        <v>Distribution</v>
      </c>
    </row>
    <row r="404" customFormat="false" ht="15" hidden="false" customHeight="false" outlineLevel="0" collapsed="false">
      <c r="A404" s="46" t="n">
        <v>0.200481</v>
      </c>
      <c r="B404" s="46" t="n">
        <v>0.23877</v>
      </c>
      <c r="C404" s="46" t="n">
        <v>0.026591</v>
      </c>
      <c r="D404" s="46" t="n">
        <v>0.191975</v>
      </c>
      <c r="E404" s="46" t="n">
        <v>0.210531</v>
      </c>
      <c r="F404" s="46" t="n">
        <v>0.131652</v>
      </c>
      <c r="G404" s="47" t="n">
        <f aca="false">A404*Scorecard!$C$12+B404*Scorecard!$C$13+C404*Scorecard!$C$14+D404*Scorecard!$C$15+E404*Scorecard!$C$16+F404*Scorecard!$C$17</f>
        <v>3.80657234094667</v>
      </c>
      <c r="H404" s="47" t="n">
        <f aca="false">A404*Scorecard!$D$12+B404*Scorecard!$D$13+C404*Scorecard!$D$14+D404*Scorecard!$D$15+E404*Scorecard!$D$16+F404*Scorecard!$D$17</f>
        <v>2.86897045255681</v>
      </c>
      <c r="I404" s="47" t="n">
        <f aca="false">A404*Scorecard!$E$12+B404*Scorecard!$E$13+C404*Scorecard!$E$14+D404*Scorecard!$E$15+E404*Scorecard!$E$16+F404*Scorecard!$E$17</f>
        <v>3.52568402970628</v>
      </c>
      <c r="J404" s="0" t="str">
        <f aca="false">IF(AND(G404&gt;=H404,G404&gt;=I404),"Distribution",IF(I404&gt;=H404,"Prof. services","Manufacturing"))</f>
        <v>Distribution</v>
      </c>
      <c r="L404" s="46" t="n">
        <v>0.324928</v>
      </c>
      <c r="M404" s="46" t="n">
        <v>0.133996</v>
      </c>
      <c r="N404" s="46" t="n">
        <v>0.091719</v>
      </c>
      <c r="O404" s="46" t="n">
        <v>0.149429</v>
      </c>
      <c r="P404" s="46" t="n">
        <v>0.217066</v>
      </c>
      <c r="Q404" s="46" t="n">
        <v>0.082861</v>
      </c>
      <c r="R404" s="47" t="n">
        <f aca="false">L404*Scorecard!$C$12+M404*Scorecard!$C$13+N404*Scorecard!$C$14+O404*Scorecard!$C$15+P404*Scorecard!$C$16+Q404*Scorecard!$C$17</f>
        <v>3.53282396621186</v>
      </c>
      <c r="S404" s="47" t="n">
        <f aca="false">L404*Scorecard!$D$12+M404*Scorecard!$D$13+N404*Scorecard!$D$14+O404*Scorecard!$D$15+P404*Scorecard!$D$16+Q404*Scorecard!$D$17</f>
        <v>3.13454861669023</v>
      </c>
      <c r="T404" s="47" t="n">
        <f aca="false">L404*Scorecard!$E$12+M404*Scorecard!$E$13+N404*Scorecard!$E$14+O404*Scorecard!$E$15+P404*Scorecard!$E$16+Q404*Scorecard!$E$17</f>
        <v>3.86949843688469</v>
      </c>
      <c r="U404" s="0" t="str">
        <f aca="false">IF(AND(R404&gt;=S404,R404&gt;=T404),"Distribution",IF(T404&gt;=S404,"Prof. services","Manufacturing"))</f>
        <v>Prof. services</v>
      </c>
    </row>
    <row r="405" customFormat="false" ht="15" hidden="false" customHeight="false" outlineLevel="0" collapsed="false">
      <c r="A405" s="46" t="n">
        <v>0.269796</v>
      </c>
      <c r="B405" s="46" t="n">
        <v>0.173508</v>
      </c>
      <c r="C405" s="46" t="n">
        <v>0.045179</v>
      </c>
      <c r="D405" s="46" t="n">
        <v>0.229978</v>
      </c>
      <c r="E405" s="46" t="n">
        <v>0.176767</v>
      </c>
      <c r="F405" s="46" t="n">
        <v>0.104771</v>
      </c>
      <c r="G405" s="47" t="n">
        <f aca="false">A405*Scorecard!$C$12+B405*Scorecard!$C$13+C405*Scorecard!$C$14+D405*Scorecard!$C$15+E405*Scorecard!$C$16+F405*Scorecard!$C$17</f>
        <v>3.70830335244761</v>
      </c>
      <c r="H405" s="47" t="n">
        <f aca="false">A405*Scorecard!$D$12+B405*Scorecard!$D$13+C405*Scorecard!$D$14+D405*Scorecard!$D$15+E405*Scorecard!$D$16+F405*Scorecard!$D$17</f>
        <v>3.08577247432806</v>
      </c>
      <c r="I405" s="47" t="n">
        <f aca="false">A405*Scorecard!$E$12+B405*Scorecard!$E$13+C405*Scorecard!$E$14+D405*Scorecard!$E$15+E405*Scorecard!$E$16+F405*Scorecard!$E$17</f>
        <v>3.78505713903594</v>
      </c>
      <c r="J405" s="0" t="str">
        <f aca="false">IF(AND(G405&gt;=H405,G405&gt;=I405),"Distribution",IF(I405&gt;=H405,"Prof. services","Manufacturing"))</f>
        <v>Prof. services</v>
      </c>
      <c r="L405" s="46" t="n">
        <v>0.103966</v>
      </c>
      <c r="M405" s="46" t="n">
        <v>0.199613</v>
      </c>
      <c r="N405" s="46" t="n">
        <v>0.210199</v>
      </c>
      <c r="O405" s="46" t="n">
        <v>0.165173</v>
      </c>
      <c r="P405" s="46" t="n">
        <v>0.149435</v>
      </c>
      <c r="Q405" s="46" t="n">
        <v>0.171614</v>
      </c>
      <c r="R405" s="47" t="n">
        <f aca="false">L405*Scorecard!$C$12+M405*Scorecard!$C$13+N405*Scorecard!$C$14+O405*Scorecard!$C$15+P405*Scorecard!$C$16+Q405*Scorecard!$C$17</f>
        <v>3.8344177173441</v>
      </c>
      <c r="S405" s="47" t="n">
        <f aca="false">L405*Scorecard!$D$12+M405*Scorecard!$D$13+N405*Scorecard!$D$14+O405*Scorecard!$D$15+P405*Scorecard!$D$16+Q405*Scorecard!$D$17</f>
        <v>2.75265686355367</v>
      </c>
      <c r="T405" s="47" t="n">
        <f aca="false">L405*Scorecard!$E$12+M405*Scorecard!$E$13+N405*Scorecard!$E$14+O405*Scorecard!$E$15+P405*Scorecard!$E$16+Q405*Scorecard!$E$17</f>
        <v>3.80362859455491</v>
      </c>
      <c r="U405" s="0" t="str">
        <f aca="false">IF(AND(R405&gt;=S405,R405&gt;=T405),"Distribution",IF(T405&gt;=S405,"Prof. services","Manufacturing"))</f>
        <v>Distribution</v>
      </c>
    </row>
    <row r="406" customFormat="false" ht="15" hidden="false" customHeight="false" outlineLevel="0" collapsed="false">
      <c r="A406" s="46" t="n">
        <v>0.004611</v>
      </c>
      <c r="B406" s="46" t="n">
        <v>0.090977</v>
      </c>
      <c r="C406" s="46" t="n">
        <v>0.41302</v>
      </c>
      <c r="D406" s="46" t="n">
        <v>0.308442</v>
      </c>
      <c r="E406" s="46" t="n">
        <v>0.147036</v>
      </c>
      <c r="F406" s="46" t="n">
        <v>0.035913</v>
      </c>
      <c r="G406" s="47" t="n">
        <f aca="false">A406*Scorecard!$C$12+B406*Scorecard!$C$13+C406*Scorecard!$C$14+D406*Scorecard!$C$15+E406*Scorecard!$C$16+F406*Scorecard!$C$17</f>
        <v>4.31928913424267</v>
      </c>
      <c r="H406" s="47" t="n">
        <f aca="false">A406*Scorecard!$D$12+B406*Scorecard!$D$13+C406*Scorecard!$D$14+D406*Scorecard!$D$15+E406*Scorecard!$D$16+F406*Scorecard!$D$17</f>
        <v>3.21869379329444</v>
      </c>
      <c r="I406" s="47" t="n">
        <f aca="false">A406*Scorecard!$E$12+B406*Scorecard!$E$13+C406*Scorecard!$E$14+D406*Scorecard!$E$15+E406*Scorecard!$E$16+F406*Scorecard!$E$17</f>
        <v>4.07050666795811</v>
      </c>
      <c r="J406" s="0" t="str">
        <f aca="false">IF(AND(G406&gt;=H406,G406&gt;=I406),"Distribution",IF(I406&gt;=H406,"Prof. services","Manufacturing"))</f>
        <v>Distribution</v>
      </c>
      <c r="L406" s="46" t="n">
        <v>0.19886</v>
      </c>
      <c r="M406" s="46" t="n">
        <v>0.070256</v>
      </c>
      <c r="N406" s="46" t="n">
        <v>0.132772</v>
      </c>
      <c r="O406" s="46" t="n">
        <v>0.117694</v>
      </c>
      <c r="P406" s="46" t="n">
        <v>0.356804</v>
      </c>
      <c r="Q406" s="46" t="n">
        <v>0.123613</v>
      </c>
      <c r="R406" s="47" t="n">
        <f aca="false">L406*Scorecard!$C$12+M406*Scorecard!$C$13+N406*Scorecard!$C$14+O406*Scorecard!$C$15+P406*Scorecard!$C$16+Q406*Scorecard!$C$17</f>
        <v>3.5827691640637</v>
      </c>
      <c r="S406" s="47" t="n">
        <f aca="false">L406*Scorecard!$D$12+M406*Scorecard!$D$13+N406*Scorecard!$D$14+O406*Scorecard!$D$15+P406*Scorecard!$D$16+Q406*Scorecard!$D$17</f>
        <v>3.09566197639716</v>
      </c>
      <c r="T406" s="47" t="n">
        <f aca="false">L406*Scorecard!$E$12+M406*Scorecard!$E$13+N406*Scorecard!$E$14+O406*Scorecard!$E$15+P406*Scorecard!$E$16+Q406*Scorecard!$E$17</f>
        <v>3.68630468097316</v>
      </c>
      <c r="U406" s="0" t="str">
        <f aca="false">IF(AND(R406&gt;=S406,R406&gt;=T406),"Distribution",IF(T406&gt;=S406,"Prof. services","Manufacturing"))</f>
        <v>Prof. services</v>
      </c>
    </row>
    <row r="407" customFormat="false" ht="15" hidden="false" customHeight="false" outlineLevel="0" collapsed="false">
      <c r="A407" s="46" t="n">
        <v>0.168494</v>
      </c>
      <c r="B407" s="46" t="n">
        <v>0.193308</v>
      </c>
      <c r="C407" s="46" t="n">
        <v>0.005424</v>
      </c>
      <c r="D407" s="46" t="n">
        <v>0.293659</v>
      </c>
      <c r="E407" s="46" t="n">
        <v>0.310784</v>
      </c>
      <c r="F407" s="46" t="n">
        <v>0.028331</v>
      </c>
      <c r="G407" s="47" t="n">
        <f aca="false">A407*Scorecard!$C$12+B407*Scorecard!$C$13+C407*Scorecard!$C$14+D407*Scorecard!$C$15+E407*Scorecard!$C$16+F407*Scorecard!$C$17</f>
        <v>4.12701339711229</v>
      </c>
      <c r="H407" s="47" t="n">
        <f aca="false">A407*Scorecard!$D$12+B407*Scorecard!$D$13+C407*Scorecard!$D$14+D407*Scorecard!$D$15+E407*Scorecard!$D$16+F407*Scorecard!$D$17</f>
        <v>3.22219277541632</v>
      </c>
      <c r="I407" s="47" t="n">
        <f aca="false">A407*Scorecard!$E$12+B407*Scorecard!$E$13+C407*Scorecard!$E$14+D407*Scorecard!$E$15+E407*Scorecard!$E$16+F407*Scorecard!$E$17</f>
        <v>3.35573654429165</v>
      </c>
      <c r="J407" s="0" t="str">
        <f aca="false">IF(AND(G407&gt;=H407,G407&gt;=I407),"Distribution",IF(I407&gt;=H407,"Prof. services","Manufacturing"))</f>
        <v>Distribution</v>
      </c>
      <c r="L407" s="46" t="n">
        <v>0.334552</v>
      </c>
      <c r="M407" s="46" t="n">
        <v>0.106955</v>
      </c>
      <c r="N407" s="46" t="n">
        <v>0.33169</v>
      </c>
      <c r="O407" s="46" t="n">
        <v>0.082927</v>
      </c>
      <c r="P407" s="46" t="n">
        <v>0.120047</v>
      </c>
      <c r="Q407" s="46" t="n">
        <v>0.023828</v>
      </c>
      <c r="R407" s="47" t="n">
        <f aca="false">L407*Scorecard!$C$12+M407*Scorecard!$C$13+N407*Scorecard!$C$14+O407*Scorecard!$C$15+P407*Scorecard!$C$16+Q407*Scorecard!$C$17</f>
        <v>3.5400236289643</v>
      </c>
      <c r="S407" s="47" t="n">
        <f aca="false">L407*Scorecard!$D$12+M407*Scorecard!$D$13+N407*Scorecard!$D$14+O407*Scorecard!$D$15+P407*Scorecard!$D$16+Q407*Scorecard!$D$17</f>
        <v>3.16071871557023</v>
      </c>
      <c r="T407" s="47" t="n">
        <f aca="false">L407*Scorecard!$E$12+M407*Scorecard!$E$13+N407*Scorecard!$E$14+O407*Scorecard!$E$15+P407*Scorecard!$E$16+Q407*Scorecard!$E$17</f>
        <v>4.29107937263234</v>
      </c>
      <c r="U407" s="0" t="str">
        <f aca="false">IF(AND(R407&gt;=S407,R407&gt;=T407),"Distribution",IF(T407&gt;=S407,"Prof. services","Manufacturing"))</f>
        <v>Prof. services</v>
      </c>
    </row>
    <row r="408" customFormat="false" ht="15" hidden="false" customHeight="false" outlineLevel="0" collapsed="false">
      <c r="A408" s="46" t="n">
        <v>0.085105</v>
      </c>
      <c r="B408" s="46" t="n">
        <v>0.013651</v>
      </c>
      <c r="C408" s="46" t="n">
        <v>0.313438</v>
      </c>
      <c r="D408" s="46" t="n">
        <v>0.141838</v>
      </c>
      <c r="E408" s="46" t="n">
        <v>0.239669</v>
      </c>
      <c r="F408" s="46" t="n">
        <v>0.206299</v>
      </c>
      <c r="G408" s="47" t="n">
        <f aca="false">A408*Scorecard!$C$12+B408*Scorecard!$C$13+C408*Scorecard!$C$14+D408*Scorecard!$C$15+E408*Scorecard!$C$16+F408*Scorecard!$C$17</f>
        <v>3.58970078632023</v>
      </c>
      <c r="H408" s="47" t="n">
        <f aca="false">A408*Scorecard!$D$12+B408*Scorecard!$D$13+C408*Scorecard!$D$14+D408*Scorecard!$D$15+E408*Scorecard!$D$16+F408*Scorecard!$D$17</f>
        <v>2.9703645255199</v>
      </c>
      <c r="I408" s="47" t="n">
        <f aca="false">A408*Scorecard!$E$12+B408*Scorecard!$E$13+C408*Scorecard!$E$14+D408*Scorecard!$E$15+E408*Scorecard!$E$16+F408*Scorecard!$E$17</f>
        <v>4.09991759161403</v>
      </c>
      <c r="J408" s="0" t="str">
        <f aca="false">IF(AND(G408&gt;=H408,G408&gt;=I408),"Distribution",IF(I408&gt;=H408,"Prof. services","Manufacturing"))</f>
        <v>Prof. services</v>
      </c>
      <c r="L408" s="46" t="n">
        <v>0.241991</v>
      </c>
      <c r="M408" s="46" t="n">
        <v>0.135905</v>
      </c>
      <c r="N408" s="46" t="n">
        <v>0.319613</v>
      </c>
      <c r="O408" s="46" t="n">
        <v>0.170929</v>
      </c>
      <c r="P408" s="46" t="n">
        <v>0.091681</v>
      </c>
      <c r="Q408" s="46" t="n">
        <v>0.03988</v>
      </c>
      <c r="R408" s="47" t="n">
        <f aca="false">L408*Scorecard!$C$12+M408*Scorecard!$C$13+N408*Scorecard!$C$14+O408*Scorecard!$C$15+P408*Scorecard!$C$16+Q408*Scorecard!$C$17</f>
        <v>3.79148274897385</v>
      </c>
      <c r="S408" s="47" t="n">
        <f aca="false">L408*Scorecard!$D$12+M408*Scorecard!$D$13+N408*Scorecard!$D$14+O408*Scorecard!$D$15+P408*Scorecard!$D$16+Q408*Scorecard!$D$17</f>
        <v>3.12446503210597</v>
      </c>
      <c r="T408" s="47" t="n">
        <f aca="false">L408*Scorecard!$E$12+M408*Scorecard!$E$13+N408*Scorecard!$E$14+O408*Scorecard!$E$15+P408*Scorecard!$E$16+Q408*Scorecard!$E$17</f>
        <v>4.20188781076938</v>
      </c>
      <c r="U408" s="0" t="str">
        <f aca="false">IF(AND(R408&gt;=S408,R408&gt;=T408),"Distribution",IF(T408&gt;=S408,"Prof. services","Manufacturing"))</f>
        <v>Prof. services</v>
      </c>
    </row>
    <row r="409" customFormat="false" ht="15" hidden="false" customHeight="false" outlineLevel="0" collapsed="false">
      <c r="A409" s="46" t="n">
        <v>0.189621</v>
      </c>
      <c r="B409" s="46" t="n">
        <v>0.086147</v>
      </c>
      <c r="C409" s="46" t="n">
        <v>0.040622</v>
      </c>
      <c r="D409" s="46" t="n">
        <v>0.081295</v>
      </c>
      <c r="E409" s="46" t="n">
        <v>0.024034</v>
      </c>
      <c r="F409" s="46" t="n">
        <v>0.57828</v>
      </c>
      <c r="G409" s="47" t="n">
        <f aca="false">A409*Scorecard!$C$12+B409*Scorecard!$C$13+C409*Scorecard!$C$14+D409*Scorecard!$C$15+E409*Scorecard!$C$16+F409*Scorecard!$C$17</f>
        <v>2.6695574958208</v>
      </c>
      <c r="H409" s="47" t="n">
        <f aca="false">A409*Scorecard!$D$12+B409*Scorecard!$D$13+C409*Scorecard!$D$14+D409*Scorecard!$D$15+E409*Scorecard!$D$16+F409*Scorecard!$D$17</f>
        <v>2.2306459261622</v>
      </c>
      <c r="I409" s="47" t="n">
        <f aca="false">A409*Scorecard!$E$12+B409*Scorecard!$E$13+C409*Scorecard!$E$14+D409*Scorecard!$E$15+E409*Scorecard!$E$16+F409*Scorecard!$E$17</f>
        <v>4.33108743686737</v>
      </c>
      <c r="J409" s="0" t="str">
        <f aca="false">IF(AND(G409&gt;=H409,G409&gt;=I409),"Distribution",IF(I409&gt;=H409,"Prof. services","Manufacturing"))</f>
        <v>Prof. services</v>
      </c>
      <c r="L409" s="46" t="n">
        <v>0.303415</v>
      </c>
      <c r="M409" s="46" t="n">
        <v>0.213474</v>
      </c>
      <c r="N409" s="46" t="n">
        <v>0.14774</v>
      </c>
      <c r="O409" s="46" t="n">
        <v>0.162632</v>
      </c>
      <c r="P409" s="46" t="n">
        <v>0.047647</v>
      </c>
      <c r="Q409" s="46" t="n">
        <v>0.125091</v>
      </c>
      <c r="R409" s="47" t="n">
        <f aca="false">L409*Scorecard!$C$12+M409*Scorecard!$C$13+N409*Scorecard!$C$14+O409*Scorecard!$C$15+P409*Scorecard!$C$16+Q409*Scorecard!$C$17</f>
        <v>3.57976867300809</v>
      </c>
      <c r="S409" s="47" t="n">
        <f aca="false">L409*Scorecard!$D$12+M409*Scorecard!$D$13+N409*Scorecard!$D$14+O409*Scorecard!$D$15+P409*Scorecard!$D$16+Q409*Scorecard!$D$17</f>
        <v>2.89650792405677</v>
      </c>
      <c r="T409" s="47" t="n">
        <f aca="false">L409*Scorecard!$E$12+M409*Scorecard!$E$13+N409*Scorecard!$E$14+O409*Scorecard!$E$15+P409*Scorecard!$E$16+Q409*Scorecard!$E$17</f>
        <v>4.06058523818791</v>
      </c>
      <c r="U409" s="0" t="str">
        <f aca="false">IF(AND(R409&gt;=S409,R409&gt;=T409),"Distribution",IF(T409&gt;=S409,"Prof. services","Manufacturing"))</f>
        <v>Prof. services</v>
      </c>
    </row>
    <row r="410" customFormat="false" ht="15" hidden="false" customHeight="false" outlineLevel="0" collapsed="false">
      <c r="A410" s="46" t="n">
        <v>0.172475</v>
      </c>
      <c r="B410" s="46" t="n">
        <v>0.101906</v>
      </c>
      <c r="C410" s="46" t="n">
        <v>0.139221</v>
      </c>
      <c r="D410" s="46" t="n">
        <v>0.147841</v>
      </c>
      <c r="E410" s="46" t="n">
        <v>0.218702</v>
      </c>
      <c r="F410" s="46" t="n">
        <v>0.219855</v>
      </c>
      <c r="G410" s="47" t="n">
        <f aca="false">A410*Scorecard!$C$12+B410*Scorecard!$C$13+C410*Scorecard!$C$14+D410*Scorecard!$C$15+E410*Scorecard!$C$16+F410*Scorecard!$C$17</f>
        <v>3.49957954033937</v>
      </c>
      <c r="H410" s="47" t="n">
        <f aca="false">A410*Scorecard!$D$12+B410*Scorecard!$D$13+C410*Scorecard!$D$14+D410*Scorecard!$D$15+E410*Scorecard!$D$16+F410*Scorecard!$D$17</f>
        <v>2.87523208476388</v>
      </c>
      <c r="I410" s="47" t="n">
        <f aca="false">A410*Scorecard!$E$12+B410*Scorecard!$E$13+C410*Scorecard!$E$14+D410*Scorecard!$E$15+E410*Scorecard!$E$16+F410*Scorecard!$E$17</f>
        <v>3.89024876724941</v>
      </c>
      <c r="J410" s="0" t="str">
        <f aca="false">IF(AND(G410&gt;=H410,G410&gt;=I410),"Distribution",IF(I410&gt;=H410,"Prof. services","Manufacturing"))</f>
        <v>Prof. services</v>
      </c>
      <c r="L410" s="46" t="n">
        <v>0.222429</v>
      </c>
      <c r="M410" s="46" t="n">
        <v>0.101349</v>
      </c>
      <c r="N410" s="46" t="n">
        <v>0.283858</v>
      </c>
      <c r="O410" s="46" t="n">
        <v>0.201678</v>
      </c>
      <c r="P410" s="46" t="n">
        <v>0.148298</v>
      </c>
      <c r="Q410" s="46" t="n">
        <v>0.042388</v>
      </c>
      <c r="R410" s="47" t="n">
        <f aca="false">L410*Scorecard!$C$12+M410*Scorecard!$C$13+N410*Scorecard!$C$14+O410*Scorecard!$C$15+P410*Scorecard!$C$16+Q410*Scorecard!$C$17</f>
        <v>3.81787562794693</v>
      </c>
      <c r="S410" s="47" t="n">
        <f aca="false">L410*Scorecard!$D$12+M410*Scorecard!$D$13+N410*Scorecard!$D$14+O410*Scorecard!$D$15+P410*Scorecard!$D$16+Q410*Scorecard!$D$17</f>
        <v>3.21412163868921</v>
      </c>
      <c r="T410" s="47" t="n">
        <f aca="false">L410*Scorecard!$E$12+M410*Scorecard!$E$13+N410*Scorecard!$E$14+O410*Scorecard!$E$15+P410*Scorecard!$E$16+Q410*Scorecard!$E$17</f>
        <v>4.12332617334093</v>
      </c>
      <c r="U410" s="0" t="str">
        <f aca="false">IF(AND(R410&gt;=S410,R410&gt;=T410),"Distribution",IF(T410&gt;=S410,"Prof. services","Manufacturing"))</f>
        <v>Prof. services</v>
      </c>
    </row>
    <row r="411" customFormat="false" ht="15" hidden="false" customHeight="false" outlineLevel="0" collapsed="false">
      <c r="A411" s="46" t="n">
        <v>0.03927</v>
      </c>
      <c r="B411" s="46" t="n">
        <v>0.07933</v>
      </c>
      <c r="C411" s="46" t="n">
        <v>0.448895</v>
      </c>
      <c r="D411" s="46" t="n">
        <v>0.014331</v>
      </c>
      <c r="E411" s="46" t="n">
        <v>0.023456</v>
      </c>
      <c r="F411" s="46" t="n">
        <v>0.394718</v>
      </c>
      <c r="G411" s="47" t="n">
        <f aca="false">A411*Scorecard!$C$12+B411*Scorecard!$C$13+C411*Scorecard!$C$14+D411*Scorecard!$C$15+E411*Scorecard!$C$16+F411*Scorecard!$C$17</f>
        <v>3.23353843997175</v>
      </c>
      <c r="H411" s="47" t="n">
        <f aca="false">A411*Scorecard!$D$12+B411*Scorecard!$D$13+C411*Scorecard!$D$14+D411*Scorecard!$D$15+E411*Scorecard!$D$16+F411*Scorecard!$D$17</f>
        <v>2.33919709490766</v>
      </c>
      <c r="I411" s="47" t="n">
        <f aca="false">A411*Scorecard!$E$12+B411*Scorecard!$E$13+C411*Scorecard!$E$14+D411*Scorecard!$E$15+E411*Scorecard!$E$16+F411*Scorecard!$E$17</f>
        <v>4.49999217129397</v>
      </c>
      <c r="J411" s="0" t="str">
        <f aca="false">IF(AND(G411&gt;=H411,G411&gt;=I411),"Distribution",IF(I411&gt;=H411,"Prof. services","Manufacturing"))</f>
        <v>Prof. services</v>
      </c>
      <c r="L411" s="46" t="n">
        <v>0.275655</v>
      </c>
      <c r="M411" s="46" t="n">
        <v>0.178781</v>
      </c>
      <c r="N411" s="46" t="n">
        <v>0.228885</v>
      </c>
      <c r="O411" s="46" t="n">
        <v>0.220763</v>
      </c>
      <c r="P411" s="46" t="n">
        <v>0.069131</v>
      </c>
      <c r="Q411" s="46" t="n">
        <v>0.026785</v>
      </c>
      <c r="R411" s="47" t="n">
        <f aca="false">L411*Scorecard!$C$12+M411*Scorecard!$C$13+N411*Scorecard!$C$14+O411*Scorecard!$C$15+P411*Scorecard!$C$16+Q411*Scorecard!$C$17</f>
        <v>3.84979106889259</v>
      </c>
      <c r="S411" s="47" t="n">
        <f aca="false">L411*Scorecard!$D$12+M411*Scorecard!$D$13+N411*Scorecard!$D$14+O411*Scorecard!$D$15+P411*Scorecard!$D$16+Q411*Scorecard!$D$17</f>
        <v>3.15216351754294</v>
      </c>
      <c r="T411" s="47" t="n">
        <f aca="false">L411*Scorecard!$E$12+M411*Scorecard!$E$13+N411*Scorecard!$E$14+O411*Scorecard!$E$15+P411*Scorecard!$E$16+Q411*Scorecard!$E$17</f>
        <v>4.10362422327199</v>
      </c>
      <c r="U411" s="0" t="str">
        <f aca="false">IF(AND(R411&gt;=S411,R411&gt;=T411),"Distribution",IF(T411&gt;=S411,"Prof. services","Manufacturing"))</f>
        <v>Prof. services</v>
      </c>
    </row>
    <row r="412" customFormat="false" ht="15" hidden="false" customHeight="false" outlineLevel="0" collapsed="false">
      <c r="A412" s="46" t="n">
        <v>0.16361</v>
      </c>
      <c r="B412" s="46" t="n">
        <v>0.322484</v>
      </c>
      <c r="C412" s="46" t="n">
        <v>0.118183</v>
      </c>
      <c r="D412" s="46" t="n">
        <v>0.198031</v>
      </c>
      <c r="E412" s="46" t="n">
        <v>0.008571</v>
      </c>
      <c r="F412" s="46" t="n">
        <v>0.189122</v>
      </c>
      <c r="G412" s="47" t="n">
        <f aca="false">A412*Scorecard!$C$12+B412*Scorecard!$C$13+C412*Scorecard!$C$14+D412*Scorecard!$C$15+E412*Scorecard!$C$16+F412*Scorecard!$C$17</f>
        <v>3.84777466676286</v>
      </c>
      <c r="H412" s="47" t="n">
        <f aca="false">A412*Scorecard!$D$12+B412*Scorecard!$D$13+C412*Scorecard!$D$14+D412*Scorecard!$D$15+E412*Scorecard!$D$16+F412*Scorecard!$D$17</f>
        <v>2.57244914150317</v>
      </c>
      <c r="I412" s="47" t="n">
        <f aca="false">A412*Scorecard!$E$12+B412*Scorecard!$E$13+C412*Scorecard!$E$14+D412*Scorecard!$E$15+E412*Scorecard!$E$16+F412*Scorecard!$E$17</f>
        <v>3.7897249461985</v>
      </c>
      <c r="J412" s="0" t="str">
        <f aca="false">IF(AND(G412&gt;=H412,G412&gt;=I412),"Distribution",IF(I412&gt;=H412,"Prof. services","Manufacturing"))</f>
        <v>Distribution</v>
      </c>
      <c r="L412" s="46" t="n">
        <v>0.104632</v>
      </c>
      <c r="M412" s="46" t="n">
        <v>0.272423</v>
      </c>
      <c r="N412" s="46" t="n">
        <v>0.299385</v>
      </c>
      <c r="O412" s="46" t="n">
        <v>0.113364</v>
      </c>
      <c r="P412" s="46" t="n">
        <v>0.151009</v>
      </c>
      <c r="Q412" s="46" t="n">
        <v>0.059187</v>
      </c>
      <c r="R412" s="47" t="n">
        <f aca="false">L412*Scorecard!$C$12+M412*Scorecard!$C$13+N412*Scorecard!$C$14+O412*Scorecard!$C$15+P412*Scorecard!$C$16+Q412*Scorecard!$C$17</f>
        <v>4.07907390784629</v>
      </c>
      <c r="S412" s="47" t="n">
        <f aca="false">L412*Scorecard!$D$12+M412*Scorecard!$D$13+N412*Scorecard!$D$14+O412*Scorecard!$D$15+P412*Scorecard!$D$16+Q412*Scorecard!$D$17</f>
        <v>2.75299776807403</v>
      </c>
      <c r="T412" s="47" t="n">
        <f aca="false">L412*Scorecard!$E$12+M412*Scorecard!$E$13+N412*Scorecard!$E$14+O412*Scorecard!$E$15+P412*Scorecard!$E$16+Q412*Scorecard!$E$17</f>
        <v>3.68957984429378</v>
      </c>
      <c r="U412" s="0" t="str">
        <f aca="false">IF(AND(R412&gt;=S412,R412&gt;=T412),"Distribution",IF(T412&gt;=S412,"Prof. services","Manufacturing"))</f>
        <v>Distribution</v>
      </c>
    </row>
    <row r="413" customFormat="false" ht="15" hidden="false" customHeight="false" outlineLevel="0" collapsed="false">
      <c r="A413" s="46" t="n">
        <v>0.181807</v>
      </c>
      <c r="B413" s="46" t="n">
        <v>0.474731</v>
      </c>
      <c r="C413" s="46" t="n">
        <v>0.206786</v>
      </c>
      <c r="D413" s="46" t="n">
        <v>0.001804</v>
      </c>
      <c r="E413" s="46" t="n">
        <v>0.084189</v>
      </c>
      <c r="F413" s="46" t="n">
        <v>0.050683</v>
      </c>
      <c r="G413" s="47" t="n">
        <f aca="false">A413*Scorecard!$C$12+B413*Scorecard!$C$13+C413*Scorecard!$C$14+D413*Scorecard!$C$15+E413*Scorecard!$C$16+F413*Scorecard!$C$17</f>
        <v>4.04791380725601</v>
      </c>
      <c r="H413" s="47" t="n">
        <f aca="false">A413*Scorecard!$D$12+B413*Scorecard!$D$13+C413*Scorecard!$D$14+D413*Scorecard!$D$15+E413*Scorecard!$D$16+F413*Scorecard!$D$17</f>
        <v>2.36164714471523</v>
      </c>
      <c r="I413" s="47" t="n">
        <f aca="false">A413*Scorecard!$E$12+B413*Scorecard!$E$13+C413*Scorecard!$E$14+D413*Scorecard!$E$15+E413*Scorecard!$E$16+F413*Scorecard!$E$17</f>
        <v>3.38351600706002</v>
      </c>
      <c r="J413" s="0" t="str">
        <f aca="false">IF(AND(G413&gt;=H413,G413&gt;=I413),"Distribution",IF(I413&gt;=H413,"Prof. services","Manufacturing"))</f>
        <v>Distribution</v>
      </c>
      <c r="L413" s="46" t="n">
        <v>0.166142</v>
      </c>
      <c r="M413" s="46" t="n">
        <v>0.14563</v>
      </c>
      <c r="N413" s="46" t="n">
        <v>0.250569</v>
      </c>
      <c r="O413" s="46" t="n">
        <v>0.237222</v>
      </c>
      <c r="P413" s="46" t="n">
        <v>0.121363</v>
      </c>
      <c r="Q413" s="46" t="n">
        <v>0.079074</v>
      </c>
      <c r="R413" s="47" t="n">
        <f aca="false">L413*Scorecard!$C$12+M413*Scorecard!$C$13+N413*Scorecard!$C$14+O413*Scorecard!$C$15+P413*Scorecard!$C$16+Q413*Scorecard!$C$17</f>
        <v>3.92564603065409</v>
      </c>
      <c r="S413" s="47" t="n">
        <f aca="false">L413*Scorecard!$D$12+M413*Scorecard!$D$13+N413*Scorecard!$D$14+O413*Scorecard!$D$15+P413*Scorecard!$D$16+Q413*Scorecard!$D$17</f>
        <v>3.08761530895973</v>
      </c>
      <c r="T413" s="47" t="n">
        <f aca="false">L413*Scorecard!$E$12+M413*Scorecard!$E$13+N413*Scorecard!$E$14+O413*Scorecard!$E$15+P413*Scorecard!$E$16+Q413*Scorecard!$E$17</f>
        <v>4.019765083132</v>
      </c>
      <c r="U413" s="0" t="str">
        <f aca="false">IF(AND(R413&gt;=S413,R413&gt;=T413),"Distribution",IF(T413&gt;=S413,"Prof. services","Manufacturing"))</f>
        <v>Prof. services</v>
      </c>
    </row>
    <row r="414" customFormat="false" ht="15" hidden="false" customHeight="false" outlineLevel="0" collapsed="false">
      <c r="A414" s="46" t="n">
        <v>0.357128</v>
      </c>
      <c r="B414" s="46" t="n">
        <v>0.285617</v>
      </c>
      <c r="C414" s="46" t="n">
        <v>0.094574</v>
      </c>
      <c r="D414" s="46" t="n">
        <v>0.139624</v>
      </c>
      <c r="E414" s="46" t="n">
        <v>0.064487</v>
      </c>
      <c r="F414" s="46" t="n">
        <v>0.05857</v>
      </c>
      <c r="G414" s="47" t="n">
        <f aca="false">A414*Scorecard!$C$12+B414*Scorecard!$C$13+C414*Scorecard!$C$14+D414*Scorecard!$C$15+E414*Scorecard!$C$16+F414*Scorecard!$C$17</f>
        <v>3.66526550700866</v>
      </c>
      <c r="H414" s="47" t="n">
        <f aca="false">A414*Scorecard!$D$12+B414*Scorecard!$D$13+C414*Scorecard!$D$14+D414*Scorecard!$D$15+E414*Scorecard!$D$16+F414*Scorecard!$D$17</f>
        <v>2.90246403303444</v>
      </c>
      <c r="I414" s="47" t="n">
        <f aca="false">A414*Scorecard!$E$12+B414*Scorecard!$E$13+C414*Scorecard!$E$14+D414*Scorecard!$E$15+E414*Scorecard!$E$16+F414*Scorecard!$E$17</f>
        <v>3.86072271095423</v>
      </c>
      <c r="J414" s="0" t="str">
        <f aca="false">IF(AND(G414&gt;=H414,G414&gt;=I414),"Distribution",IF(I414&gt;=H414,"Prof. services","Manufacturing"))</f>
        <v>Prof. services</v>
      </c>
      <c r="L414" s="46" t="n">
        <v>0.145478</v>
      </c>
      <c r="M414" s="46" t="n">
        <v>0.29134</v>
      </c>
      <c r="N414" s="46" t="n">
        <v>0.220761</v>
      </c>
      <c r="O414" s="46" t="n">
        <v>0.067487</v>
      </c>
      <c r="P414" s="46" t="n">
        <v>0.264567</v>
      </c>
      <c r="Q414" s="46" t="n">
        <v>0.010367</v>
      </c>
      <c r="R414" s="47" t="n">
        <f aca="false">L414*Scorecard!$C$12+M414*Scorecard!$C$13+N414*Scorecard!$C$14+O414*Scorecard!$C$15+P414*Scorecard!$C$16+Q414*Scorecard!$C$17</f>
        <v>4.07623052534275</v>
      </c>
      <c r="S414" s="47" t="n">
        <f aca="false">L414*Scorecard!$D$12+M414*Scorecard!$D$13+N414*Scorecard!$D$14+O414*Scorecard!$D$15+P414*Scorecard!$D$16+Q414*Scorecard!$D$17</f>
        <v>2.8095576621844</v>
      </c>
      <c r="T414" s="47" t="n">
        <f aca="false">L414*Scorecard!$E$12+M414*Scorecard!$E$13+N414*Scorecard!$E$14+O414*Scorecard!$E$15+P414*Scorecard!$E$16+Q414*Scorecard!$E$17</f>
        <v>3.39511913529297</v>
      </c>
      <c r="U414" s="0" t="str">
        <f aca="false">IF(AND(R414&gt;=S414,R414&gt;=T414),"Distribution",IF(T414&gt;=S414,"Prof. services","Manufacturing"))</f>
        <v>Distribution</v>
      </c>
    </row>
    <row r="415" customFormat="false" ht="15" hidden="false" customHeight="false" outlineLevel="0" collapsed="false">
      <c r="A415" s="46" t="n">
        <v>0.030804</v>
      </c>
      <c r="B415" s="46" t="n">
        <v>0.211592</v>
      </c>
      <c r="C415" s="46" t="n">
        <v>0.08964</v>
      </c>
      <c r="D415" s="46" t="n">
        <v>0.173626</v>
      </c>
      <c r="E415" s="46" t="n">
        <v>0.241971</v>
      </c>
      <c r="F415" s="46" t="n">
        <v>0.252368</v>
      </c>
      <c r="G415" s="47" t="n">
        <f aca="false">A415*Scorecard!$C$12+B415*Scorecard!$C$13+C415*Scorecard!$C$14+D415*Scorecard!$C$15+E415*Scorecard!$C$16+F415*Scorecard!$C$17</f>
        <v>3.82503836070511</v>
      </c>
      <c r="H415" s="47" t="n">
        <f aca="false">A415*Scorecard!$D$12+B415*Scorecard!$D$13+C415*Scorecard!$D$14+D415*Scorecard!$D$15+E415*Scorecard!$D$16+F415*Scorecard!$D$17</f>
        <v>2.60585214467532</v>
      </c>
      <c r="I415" s="47" t="n">
        <f aca="false">A415*Scorecard!$E$12+B415*Scorecard!$E$13+C415*Scorecard!$E$14+D415*Scorecard!$E$15+E415*Scorecard!$E$16+F415*Scorecard!$E$17</f>
        <v>3.47498148875285</v>
      </c>
      <c r="J415" s="0" t="str">
        <f aca="false">IF(AND(G415&gt;=H415,G415&gt;=I415),"Distribution",IF(I415&gt;=H415,"Prof. services","Manufacturing"))</f>
        <v>Distribution</v>
      </c>
      <c r="L415" s="46" t="n">
        <v>0.296627</v>
      </c>
      <c r="M415" s="46" t="n">
        <v>0.251538</v>
      </c>
      <c r="N415" s="46" t="n">
        <v>0.171142</v>
      </c>
      <c r="O415" s="46" t="n">
        <v>0.124771</v>
      </c>
      <c r="P415" s="46" t="n">
        <v>0.115105</v>
      </c>
      <c r="Q415" s="46" t="n">
        <v>0.040818</v>
      </c>
      <c r="R415" s="47" t="n">
        <f aca="false">L415*Scorecard!$C$12+M415*Scorecard!$C$13+N415*Scorecard!$C$14+O415*Scorecard!$C$15+P415*Scorecard!$C$16+Q415*Scorecard!$C$17</f>
        <v>3.76074416981155</v>
      </c>
      <c r="S415" s="47" t="n">
        <f aca="false">L415*Scorecard!$D$12+M415*Scorecard!$D$13+N415*Scorecard!$D$14+O415*Scorecard!$D$15+P415*Scorecard!$D$16+Q415*Scorecard!$D$17</f>
        <v>2.93996202405328</v>
      </c>
      <c r="T415" s="47" t="n">
        <f aca="false">L415*Scorecard!$E$12+M415*Scorecard!$E$13+N415*Scorecard!$E$14+O415*Scorecard!$E$15+P415*Scorecard!$E$16+Q415*Scorecard!$E$17</f>
        <v>3.84503499572582</v>
      </c>
      <c r="U415" s="0" t="str">
        <f aca="false">IF(AND(R415&gt;=S415,R415&gt;=T415),"Distribution",IF(T415&gt;=S415,"Prof. services","Manufacturing"))</f>
        <v>Prof. services</v>
      </c>
    </row>
    <row r="416" customFormat="false" ht="15" hidden="false" customHeight="false" outlineLevel="0" collapsed="false">
      <c r="A416" s="46" t="n">
        <v>0.09309</v>
      </c>
      <c r="B416" s="46" t="n">
        <v>0.140058</v>
      </c>
      <c r="C416" s="46" t="n">
        <v>0.005541</v>
      </c>
      <c r="D416" s="46" t="n">
        <v>0.208496</v>
      </c>
      <c r="E416" s="46" t="n">
        <v>0.538445</v>
      </c>
      <c r="F416" s="46" t="n">
        <v>0.01437</v>
      </c>
      <c r="G416" s="47" t="n">
        <f aca="false">A416*Scorecard!$C$12+B416*Scorecard!$C$13+C416*Scorecard!$C$14+D416*Scorecard!$C$15+E416*Scorecard!$C$16+F416*Scorecard!$C$17</f>
        <v>4.1522506724464</v>
      </c>
      <c r="H416" s="47" t="n">
        <f aca="false">A416*Scorecard!$D$12+B416*Scorecard!$D$13+C416*Scorecard!$D$14+D416*Scorecard!$D$15+E416*Scorecard!$D$16+F416*Scorecard!$D$17</f>
        <v>3.25055339521032</v>
      </c>
      <c r="I416" s="47" t="n">
        <f aca="false">A416*Scorecard!$E$12+B416*Scorecard!$E$13+C416*Scorecard!$E$14+D416*Scorecard!$E$15+E416*Scorecard!$E$16+F416*Scorecard!$E$17</f>
        <v>2.97993295902776</v>
      </c>
      <c r="J416" s="0" t="str">
        <f aca="false">IF(AND(G416&gt;=H416,G416&gt;=I416),"Distribution",IF(I416&gt;=H416,"Prof. services","Manufacturing"))</f>
        <v>Distribution</v>
      </c>
      <c r="L416" s="46" t="n">
        <v>0.294405</v>
      </c>
      <c r="M416" s="46" t="n">
        <v>0.147928</v>
      </c>
      <c r="N416" s="46" t="n">
        <v>0.095069</v>
      </c>
      <c r="O416" s="46" t="n">
        <v>0.232318</v>
      </c>
      <c r="P416" s="46" t="n">
        <v>0.13556</v>
      </c>
      <c r="Q416" s="46" t="n">
        <v>0.094719</v>
      </c>
      <c r="R416" s="47" t="n">
        <f aca="false">L416*Scorecard!$C$12+M416*Scorecard!$C$13+N416*Scorecard!$C$14+O416*Scorecard!$C$15+P416*Scorecard!$C$16+Q416*Scorecard!$C$17</f>
        <v>3.66087080149942</v>
      </c>
      <c r="S416" s="47" t="n">
        <f aca="false">L416*Scorecard!$D$12+M416*Scorecard!$D$13+N416*Scorecard!$D$14+O416*Scorecard!$D$15+P416*Scorecard!$D$16+Q416*Scorecard!$D$17</f>
        <v>3.14447477102731</v>
      </c>
      <c r="T416" s="47" t="n">
        <f aca="false">L416*Scorecard!$E$12+M416*Scorecard!$E$13+N416*Scorecard!$E$14+O416*Scorecard!$E$15+P416*Scorecard!$E$16+Q416*Scorecard!$E$17</f>
        <v>3.97157001960775</v>
      </c>
      <c r="U416" s="0" t="str">
        <f aca="false">IF(AND(R416&gt;=S416,R416&gt;=T416),"Distribution",IF(T416&gt;=S416,"Prof. services","Manufacturing"))</f>
        <v>Prof. services</v>
      </c>
    </row>
    <row r="417" customFormat="false" ht="15" hidden="false" customHeight="false" outlineLevel="0" collapsed="false">
      <c r="A417" s="46" t="n">
        <v>0.236223</v>
      </c>
      <c r="B417" s="46" t="n">
        <v>0.295208</v>
      </c>
      <c r="C417" s="46" t="n">
        <v>0.10869</v>
      </c>
      <c r="D417" s="46" t="n">
        <v>0.236768</v>
      </c>
      <c r="E417" s="46" t="n">
        <v>0.080346</v>
      </c>
      <c r="F417" s="46" t="n">
        <v>0.042766</v>
      </c>
      <c r="G417" s="47" t="n">
        <f aca="false">A417*Scorecard!$C$12+B417*Scorecard!$C$13+C417*Scorecard!$C$14+D417*Scorecard!$C$15+E417*Scorecard!$C$16+F417*Scorecard!$C$17</f>
        <v>4.02124323123112</v>
      </c>
      <c r="H417" s="47" t="n">
        <f aca="false">A417*Scorecard!$D$12+B417*Scorecard!$D$13+C417*Scorecard!$D$14+D417*Scorecard!$D$15+E417*Scorecard!$D$16+F417*Scorecard!$D$17</f>
        <v>2.94965746723283</v>
      </c>
      <c r="I417" s="47" t="n">
        <f aca="false">A417*Scorecard!$E$12+B417*Scorecard!$E$13+C417*Scorecard!$E$14+D417*Scorecard!$E$15+E417*Scorecard!$E$16+F417*Scorecard!$E$17</f>
        <v>3.71755761087688</v>
      </c>
      <c r="J417" s="0" t="str">
        <f aca="false">IF(AND(G417&gt;=H417,G417&gt;=I417),"Distribution",IF(I417&gt;=H417,"Prof. services","Manufacturing"))</f>
        <v>Distribution</v>
      </c>
      <c r="L417" s="46" t="n">
        <v>0.35331</v>
      </c>
      <c r="M417" s="46" t="n">
        <v>0.218128</v>
      </c>
      <c r="N417" s="46" t="n">
        <v>0.126065</v>
      </c>
      <c r="O417" s="46" t="n">
        <v>0.167252</v>
      </c>
      <c r="P417" s="46" t="n">
        <v>0.076804</v>
      </c>
      <c r="Q417" s="46" t="n">
        <v>0.058441</v>
      </c>
      <c r="R417" s="47" t="n">
        <f aca="false">L417*Scorecard!$C$12+M417*Scorecard!$C$13+N417*Scorecard!$C$14+O417*Scorecard!$C$15+P417*Scorecard!$C$16+Q417*Scorecard!$C$17</f>
        <v>3.63253496145704</v>
      </c>
      <c r="S417" s="47" t="n">
        <f aca="false">L417*Scorecard!$D$12+M417*Scorecard!$D$13+N417*Scorecard!$D$14+O417*Scorecard!$D$15+P417*Scorecard!$D$16+Q417*Scorecard!$D$17</f>
        <v>3.03752565817762</v>
      </c>
      <c r="T417" s="47" t="n">
        <f aca="false">L417*Scorecard!$E$12+M417*Scorecard!$E$13+N417*Scorecard!$E$14+O417*Scorecard!$E$15+P417*Scorecard!$E$16+Q417*Scorecard!$E$17</f>
        <v>3.99891844316375</v>
      </c>
      <c r="U417" s="0" t="str">
        <f aca="false">IF(AND(R417&gt;=S417,R417&gt;=T417),"Distribution",IF(T417&gt;=S417,"Prof. services","Manufacturing"))</f>
        <v>Prof. services</v>
      </c>
    </row>
    <row r="418" customFormat="false" ht="15" hidden="false" customHeight="false" outlineLevel="0" collapsed="false">
      <c r="A418" s="46" t="n">
        <v>0.008191</v>
      </c>
      <c r="B418" s="46" t="n">
        <v>0.006579</v>
      </c>
      <c r="C418" s="46" t="n">
        <v>0.237089</v>
      </c>
      <c r="D418" s="46" t="n">
        <v>0.35741</v>
      </c>
      <c r="E418" s="46" t="n">
        <v>0.102301</v>
      </c>
      <c r="F418" s="46" t="n">
        <v>0.288431</v>
      </c>
      <c r="G418" s="47" t="n">
        <f aca="false">A418*Scorecard!$C$12+B418*Scorecard!$C$13+C418*Scorecard!$C$14+D418*Scorecard!$C$15+E418*Scorecard!$C$16+F418*Scorecard!$C$17</f>
        <v>3.7723870831884</v>
      </c>
      <c r="H418" s="47" t="n">
        <f aca="false">A418*Scorecard!$D$12+B418*Scorecard!$D$13+C418*Scorecard!$D$14+D418*Scorecard!$D$15+E418*Scorecard!$D$16+F418*Scorecard!$D$17</f>
        <v>3.01074483269917</v>
      </c>
      <c r="I418" s="47" t="n">
        <f aca="false">A418*Scorecard!$E$12+B418*Scorecard!$E$13+C418*Scorecard!$E$14+D418*Scorecard!$E$15+E418*Scorecard!$E$16+F418*Scorecard!$E$17</f>
        <v>4.26531298938161</v>
      </c>
      <c r="J418" s="0" t="str">
        <f aca="false">IF(AND(G418&gt;=H418,G418&gt;=I418),"Distribution",IF(I418&gt;=H418,"Prof. services","Manufacturing"))</f>
        <v>Prof. services</v>
      </c>
      <c r="L418" s="46" t="n">
        <v>0.201996</v>
      </c>
      <c r="M418" s="46" t="n">
        <v>0.261112</v>
      </c>
      <c r="N418" s="46" t="n">
        <v>0.13788</v>
      </c>
      <c r="O418" s="46" t="n">
        <v>0.120322</v>
      </c>
      <c r="P418" s="46" t="n">
        <v>0.119681</v>
      </c>
      <c r="Q418" s="46" t="n">
        <v>0.159009</v>
      </c>
      <c r="R418" s="47" t="n">
        <f aca="false">L418*Scorecard!$C$12+M418*Scorecard!$C$13+N418*Scorecard!$C$14+O418*Scorecard!$C$15+P418*Scorecard!$C$16+Q418*Scorecard!$C$17</f>
        <v>3.69982031934131</v>
      </c>
      <c r="S418" s="47" t="n">
        <f aca="false">L418*Scorecard!$D$12+M418*Scorecard!$D$13+N418*Scorecard!$D$14+O418*Scorecard!$D$15+P418*Scorecard!$D$16+Q418*Scorecard!$D$17</f>
        <v>2.68216850078434</v>
      </c>
      <c r="T418" s="47" t="n">
        <f aca="false">L418*Scorecard!$E$12+M418*Scorecard!$E$13+N418*Scorecard!$E$14+O418*Scorecard!$E$15+P418*Scorecard!$E$16+Q418*Scorecard!$E$17</f>
        <v>3.7499198274362</v>
      </c>
      <c r="U418" s="0" t="str">
        <f aca="false">IF(AND(R418&gt;=S418,R418&gt;=T418),"Distribution",IF(T418&gt;=S418,"Prof. services","Manufacturing"))</f>
        <v>Prof. services</v>
      </c>
    </row>
    <row r="419" customFormat="false" ht="15" hidden="false" customHeight="false" outlineLevel="0" collapsed="false">
      <c r="A419" s="46" t="n">
        <v>0.173263</v>
      </c>
      <c r="B419" s="46" t="n">
        <v>0.283545</v>
      </c>
      <c r="C419" s="46" t="n">
        <v>0.159641</v>
      </c>
      <c r="D419" s="46" t="n">
        <v>0.152496</v>
      </c>
      <c r="E419" s="46" t="n">
        <v>0.072034</v>
      </c>
      <c r="F419" s="46" t="n">
        <v>0.159022</v>
      </c>
      <c r="G419" s="47" t="n">
        <f aca="false">A419*Scorecard!$C$12+B419*Scorecard!$C$13+C419*Scorecard!$C$14+D419*Scorecard!$C$15+E419*Scorecard!$C$16+F419*Scorecard!$C$17</f>
        <v>3.80612512910173</v>
      </c>
      <c r="H419" s="47" t="n">
        <f aca="false">A419*Scorecard!$D$12+B419*Scorecard!$D$13+C419*Scorecard!$D$14+D419*Scorecard!$D$15+E419*Scorecard!$D$16+F419*Scorecard!$D$17</f>
        <v>2.65086408077534</v>
      </c>
      <c r="I419" s="47" t="n">
        <f aca="false">A419*Scorecard!$E$12+B419*Scorecard!$E$13+C419*Scorecard!$E$14+D419*Scorecard!$E$15+E419*Scorecard!$E$16+F419*Scorecard!$E$17</f>
        <v>3.78557502221161</v>
      </c>
      <c r="J419" s="0" t="str">
        <f aca="false">IF(AND(G419&gt;=H419,G419&gt;=I419),"Distribution",IF(I419&gt;=H419,"Prof. services","Manufacturing"))</f>
        <v>Distribution</v>
      </c>
      <c r="L419" s="46" t="n">
        <v>0.155519</v>
      </c>
      <c r="M419" s="46" t="n">
        <v>0.314724</v>
      </c>
      <c r="N419" s="46" t="n">
        <v>0.126139</v>
      </c>
      <c r="O419" s="46" t="n">
        <v>0.085932</v>
      </c>
      <c r="P419" s="46" t="n">
        <v>0.216344</v>
      </c>
      <c r="Q419" s="46" t="n">
        <v>0.101341</v>
      </c>
      <c r="R419" s="47" t="n">
        <f aca="false">L419*Scorecard!$C$12+M419*Scorecard!$C$13+N419*Scorecard!$C$14+O419*Scorecard!$C$15+P419*Scorecard!$C$16+Q419*Scorecard!$C$17</f>
        <v>3.91803358214836</v>
      </c>
      <c r="S419" s="47" t="n">
        <f aca="false">L419*Scorecard!$D$12+M419*Scorecard!$D$13+N419*Scorecard!$D$14+O419*Scorecard!$D$15+P419*Scorecard!$D$16+Q419*Scorecard!$D$17</f>
        <v>2.64990516263914</v>
      </c>
      <c r="T419" s="47" t="n">
        <f aca="false">L419*Scorecard!$E$12+M419*Scorecard!$E$13+N419*Scorecard!$E$14+O419*Scorecard!$E$15+P419*Scorecard!$E$16+Q419*Scorecard!$E$17</f>
        <v>3.39556107661949</v>
      </c>
      <c r="U419" s="0" t="str">
        <f aca="false">IF(AND(R419&gt;=S419,R419&gt;=T419),"Distribution",IF(T419&gt;=S419,"Prof. services","Manufacturing"))</f>
        <v>Distribution</v>
      </c>
    </row>
    <row r="420" customFormat="false" ht="15" hidden="false" customHeight="false" outlineLevel="0" collapsed="false">
      <c r="A420" s="46" t="n">
        <v>0.165649</v>
      </c>
      <c r="B420" s="46" t="n">
        <v>0.031639</v>
      </c>
      <c r="C420" s="46" t="n">
        <v>0.422966</v>
      </c>
      <c r="D420" s="46" t="n">
        <v>0.054324</v>
      </c>
      <c r="E420" s="46" t="n">
        <v>0.313261</v>
      </c>
      <c r="F420" s="46" t="n">
        <v>0.012161</v>
      </c>
      <c r="G420" s="47" t="n">
        <f aca="false">A420*Scorecard!$C$12+B420*Scorecard!$C$13+C420*Scorecard!$C$14+D420*Scorecard!$C$15+E420*Scorecard!$C$16+F420*Scorecard!$C$17</f>
        <v>3.76347043768475</v>
      </c>
      <c r="H420" s="47" t="n">
        <f aca="false">A420*Scorecard!$D$12+B420*Scorecard!$D$13+C420*Scorecard!$D$14+D420*Scorecard!$D$15+E420*Scorecard!$D$16+F420*Scorecard!$D$17</f>
        <v>3.21099562113236</v>
      </c>
      <c r="I420" s="47" t="n">
        <f aca="false">A420*Scorecard!$E$12+B420*Scorecard!$E$13+C420*Scorecard!$E$14+D420*Scorecard!$E$15+E420*Scorecard!$E$16+F420*Scorecard!$E$17</f>
        <v>4.02216724472293</v>
      </c>
      <c r="J420" s="0" t="str">
        <f aca="false">IF(AND(G420&gt;=H420,G420&gt;=I420),"Distribution",IF(I420&gt;=H420,"Prof. services","Manufacturing"))</f>
        <v>Prof. services</v>
      </c>
      <c r="L420" s="46" t="n">
        <v>0.365475</v>
      </c>
      <c r="M420" s="46" t="n">
        <v>0.248052</v>
      </c>
      <c r="N420" s="46" t="n">
        <v>0.080829</v>
      </c>
      <c r="O420" s="46" t="n">
        <v>0.105521</v>
      </c>
      <c r="P420" s="46" t="n">
        <v>0.122347</v>
      </c>
      <c r="Q420" s="46" t="n">
        <v>0.077777</v>
      </c>
      <c r="R420" s="47" t="n">
        <f aca="false">L420*Scorecard!$C$12+M420*Scorecard!$C$13+N420*Scorecard!$C$14+O420*Scorecard!$C$15+P420*Scorecard!$C$16+Q420*Scorecard!$C$17</f>
        <v>3.54016278797235</v>
      </c>
      <c r="S420" s="47" t="n">
        <f aca="false">L420*Scorecard!$D$12+M420*Scorecard!$D$13+N420*Scorecard!$D$14+O420*Scorecard!$D$15+P420*Scorecard!$D$16+Q420*Scorecard!$D$17</f>
        <v>2.91536290579047</v>
      </c>
      <c r="T420" s="47" t="n">
        <f aca="false">L420*Scorecard!$E$12+M420*Scorecard!$E$13+N420*Scorecard!$E$14+O420*Scorecard!$E$15+P420*Scorecard!$E$16+Q420*Scorecard!$E$17</f>
        <v>3.83335867146486</v>
      </c>
      <c r="U420" s="0" t="str">
        <f aca="false">IF(AND(R420&gt;=S420,R420&gt;=T420),"Distribution",IF(T420&gt;=S420,"Prof. services","Manufacturing"))</f>
        <v>Prof. services</v>
      </c>
    </row>
    <row r="421" customFormat="false" ht="15" hidden="false" customHeight="false" outlineLevel="0" collapsed="false">
      <c r="A421" s="46" t="n">
        <v>0.239817</v>
      </c>
      <c r="B421" s="46" t="n">
        <v>0.095123</v>
      </c>
      <c r="C421" s="46" t="n">
        <v>0.033338</v>
      </c>
      <c r="D421" s="46" t="n">
        <v>0.13446</v>
      </c>
      <c r="E421" s="46" t="n">
        <v>0.126561</v>
      </c>
      <c r="F421" s="46" t="n">
        <v>0.370701</v>
      </c>
      <c r="G421" s="47" t="n">
        <f aca="false">A421*Scorecard!$C$12+B421*Scorecard!$C$13+C421*Scorecard!$C$14+D421*Scorecard!$C$15+E421*Scorecard!$C$16+F421*Scorecard!$C$17</f>
        <v>3.0565069799772</v>
      </c>
      <c r="H421" s="47" t="n">
        <f aca="false">A421*Scorecard!$D$12+B421*Scorecard!$D$13+C421*Scorecard!$D$14+D421*Scorecard!$D$15+E421*Scorecard!$D$16+F421*Scorecard!$D$17</f>
        <v>2.65742301264865</v>
      </c>
      <c r="I421" s="47" t="n">
        <f aca="false">A421*Scorecard!$E$12+B421*Scorecard!$E$13+C421*Scorecard!$E$14+D421*Scorecard!$E$15+E421*Scorecard!$E$16+F421*Scorecard!$E$17</f>
        <v>4.09122525152722</v>
      </c>
      <c r="J421" s="0" t="str">
        <f aca="false">IF(AND(G421&gt;=H421,G421&gt;=I421),"Distribution",IF(I421&gt;=H421,"Prof. services","Manufacturing"))</f>
        <v>Prof. services</v>
      </c>
      <c r="L421" s="46" t="n">
        <v>0.153639</v>
      </c>
      <c r="M421" s="46" t="n">
        <v>0.179033</v>
      </c>
      <c r="N421" s="46" t="n">
        <v>0.183049</v>
      </c>
      <c r="O421" s="46" t="n">
        <v>0.090124</v>
      </c>
      <c r="P421" s="46" t="n">
        <v>0.199488</v>
      </c>
      <c r="Q421" s="46" t="n">
        <v>0.194667</v>
      </c>
      <c r="R421" s="47" t="n">
        <f aca="false">L421*Scorecard!$C$12+M421*Scorecard!$C$13+N421*Scorecard!$C$14+O421*Scorecard!$C$15+P421*Scorecard!$C$16+Q421*Scorecard!$C$17</f>
        <v>3.60327060895898</v>
      </c>
      <c r="S421" s="47" t="n">
        <f aca="false">L421*Scorecard!$D$12+M421*Scorecard!$D$13+N421*Scorecard!$D$14+O421*Scorecard!$D$15+P421*Scorecard!$D$16+Q421*Scorecard!$D$17</f>
        <v>2.71158395849883</v>
      </c>
      <c r="T421" s="47" t="n">
        <f aca="false">L421*Scorecard!$E$12+M421*Scorecard!$E$13+N421*Scorecard!$E$14+O421*Scorecard!$E$15+P421*Scorecard!$E$16+Q421*Scorecard!$E$17</f>
        <v>3.78053970886004</v>
      </c>
      <c r="U421" s="0" t="str">
        <f aca="false">IF(AND(R421&gt;=S421,R421&gt;=T421),"Distribution",IF(T421&gt;=S421,"Prof. services","Manufacturing"))</f>
        <v>Prof. services</v>
      </c>
    </row>
    <row r="422" customFormat="false" ht="15" hidden="false" customHeight="false" outlineLevel="0" collapsed="false">
      <c r="A422" s="46" t="n">
        <v>0.225429</v>
      </c>
      <c r="B422" s="46" t="n">
        <v>0.125913</v>
      </c>
      <c r="C422" s="46" t="n">
        <v>0.011395</v>
      </c>
      <c r="D422" s="46" t="n">
        <v>0.023951</v>
      </c>
      <c r="E422" s="46" t="n">
        <v>0.566656</v>
      </c>
      <c r="F422" s="46" t="n">
        <v>0.046655</v>
      </c>
      <c r="G422" s="47" t="n">
        <f aca="false">A422*Scorecard!$C$12+B422*Scorecard!$C$13+C422*Scorecard!$C$14+D422*Scorecard!$C$15+E422*Scorecard!$C$16+F422*Scorecard!$C$17</f>
        <v>3.65077458516402</v>
      </c>
      <c r="H422" s="47" t="n">
        <f aca="false">A422*Scorecard!$D$12+B422*Scorecard!$D$13+C422*Scorecard!$D$14+D422*Scorecard!$D$15+E422*Scorecard!$D$16+F422*Scorecard!$D$17</f>
        <v>3.10653774526193</v>
      </c>
      <c r="I422" s="47" t="n">
        <f aca="false">A422*Scorecard!$E$12+B422*Scorecard!$E$13+C422*Scorecard!$E$14+D422*Scorecard!$E$15+E422*Scorecard!$E$16+F422*Scorecard!$E$17</f>
        <v>3.08349058430391</v>
      </c>
      <c r="J422" s="0" t="str">
        <f aca="false">IF(AND(G422&gt;=H422,G422&gt;=I422),"Distribution",IF(I422&gt;=H422,"Prof. services","Manufacturing"))</f>
        <v>Distribution</v>
      </c>
      <c r="L422" s="46" t="n">
        <v>0.246188</v>
      </c>
      <c r="M422" s="46" t="n">
        <v>0.21633</v>
      </c>
      <c r="N422" s="46" t="n">
        <v>0.176807</v>
      </c>
      <c r="O422" s="46" t="n">
        <v>0.154332</v>
      </c>
      <c r="P422" s="46" t="n">
        <v>0.161963</v>
      </c>
      <c r="Q422" s="46" t="n">
        <v>0.04438</v>
      </c>
      <c r="R422" s="47" t="n">
        <f aca="false">L422*Scorecard!$C$12+M422*Scorecard!$C$13+N422*Scorecard!$C$14+O422*Scorecard!$C$15+P422*Scorecard!$C$16+Q422*Scorecard!$C$17</f>
        <v>3.83876008912056</v>
      </c>
      <c r="S422" s="47" t="n">
        <f aca="false">L422*Scorecard!$D$12+M422*Scorecard!$D$13+N422*Scorecard!$D$14+O422*Scorecard!$D$15+P422*Scorecard!$D$16+Q422*Scorecard!$D$17</f>
        <v>3.00398623299061</v>
      </c>
      <c r="T422" s="47" t="n">
        <f aca="false">L422*Scorecard!$E$12+M422*Scorecard!$E$13+N422*Scorecard!$E$14+O422*Scorecard!$E$15+P422*Scorecard!$E$16+Q422*Scorecard!$E$17</f>
        <v>3.79482827838893</v>
      </c>
      <c r="U422" s="0" t="str">
        <f aca="false">IF(AND(R422&gt;=S422,R422&gt;=T422),"Distribution",IF(T422&gt;=S422,"Prof. services","Manufacturing"))</f>
        <v>Distribution</v>
      </c>
    </row>
    <row r="423" customFormat="false" ht="15" hidden="false" customHeight="false" outlineLevel="0" collapsed="false">
      <c r="A423" s="46" t="n">
        <v>0.102185</v>
      </c>
      <c r="B423" s="46" t="n">
        <v>0.337788</v>
      </c>
      <c r="C423" s="46" t="n">
        <v>0.325918</v>
      </c>
      <c r="D423" s="46" t="n">
        <v>0.028117</v>
      </c>
      <c r="E423" s="46" t="n">
        <v>0.181011</v>
      </c>
      <c r="F423" s="46" t="n">
        <v>0.024981</v>
      </c>
      <c r="G423" s="47" t="n">
        <f aca="false">A423*Scorecard!$C$12+B423*Scorecard!$C$13+C423*Scorecard!$C$14+D423*Scorecard!$C$15+E423*Scorecard!$C$16+F423*Scorecard!$C$17</f>
        <v>4.13200854274288</v>
      </c>
      <c r="H423" s="47" t="n">
        <f aca="false">A423*Scorecard!$D$12+B423*Scorecard!$D$13+C423*Scorecard!$D$14+D423*Scorecard!$D$15+E423*Scorecard!$D$16+F423*Scorecard!$D$17</f>
        <v>2.61589263751561</v>
      </c>
      <c r="I423" s="47" t="n">
        <f aca="false">A423*Scorecard!$E$12+B423*Scorecard!$E$13+C423*Scorecard!$E$14+D423*Scorecard!$E$15+E423*Scorecard!$E$16+F423*Scorecard!$E$17</f>
        <v>3.50997182453055</v>
      </c>
      <c r="J423" s="0" t="str">
        <f aca="false">IF(AND(G423&gt;=H423,G423&gt;=I423),"Distribution",IF(I423&gt;=H423,"Prof. services","Manufacturing"))</f>
        <v>Distribution</v>
      </c>
      <c r="L423" s="46" t="n">
        <v>0.256825</v>
      </c>
      <c r="M423" s="46" t="n">
        <v>0.142798</v>
      </c>
      <c r="N423" s="46" t="n">
        <v>0.304112</v>
      </c>
      <c r="O423" s="46" t="n">
        <v>0.015229</v>
      </c>
      <c r="P423" s="46" t="n">
        <v>0.135857</v>
      </c>
      <c r="Q423" s="46" t="n">
        <v>0.14518</v>
      </c>
      <c r="R423" s="47" t="n">
        <f aca="false">L423*Scorecard!$C$12+M423*Scorecard!$C$13+N423*Scorecard!$C$14+O423*Scorecard!$C$15+P423*Scorecard!$C$16+Q423*Scorecard!$C$17</f>
        <v>3.40538233742664</v>
      </c>
      <c r="S423" s="47" t="n">
        <f aca="false">L423*Scorecard!$D$12+M423*Scorecard!$D$13+N423*Scorecard!$D$14+O423*Scorecard!$D$15+P423*Scorecard!$D$16+Q423*Scorecard!$D$17</f>
        <v>2.8004538115746</v>
      </c>
      <c r="T423" s="47" t="n">
        <f aca="false">L423*Scorecard!$E$12+M423*Scorecard!$E$13+N423*Scorecard!$E$14+O423*Scorecard!$E$15+P423*Scorecard!$E$16+Q423*Scorecard!$E$17</f>
        <v>4.14177175239644</v>
      </c>
      <c r="U423" s="0" t="str">
        <f aca="false">IF(AND(R423&gt;=S423,R423&gt;=T423),"Distribution",IF(T423&gt;=S423,"Prof. services","Manufacturing"))</f>
        <v>Prof. services</v>
      </c>
    </row>
    <row r="424" customFormat="false" ht="15" hidden="false" customHeight="false" outlineLevel="0" collapsed="false">
      <c r="A424" s="46" t="n">
        <v>0.276706</v>
      </c>
      <c r="B424" s="46" t="n">
        <v>0.011956</v>
      </c>
      <c r="C424" s="46" t="n">
        <v>0.116818</v>
      </c>
      <c r="D424" s="46" t="n">
        <v>0.316599</v>
      </c>
      <c r="E424" s="46" t="n">
        <v>0.088716</v>
      </c>
      <c r="F424" s="46" t="n">
        <v>0.189205</v>
      </c>
      <c r="G424" s="47" t="n">
        <f aca="false">A424*Scorecard!$C$12+B424*Scorecard!$C$13+C424*Scorecard!$C$14+D424*Scorecard!$C$15+E424*Scorecard!$C$16+F424*Scorecard!$C$17</f>
        <v>3.45207025390431</v>
      </c>
      <c r="H424" s="47" t="n">
        <f aca="false">A424*Scorecard!$D$12+B424*Scorecard!$D$13+C424*Scorecard!$D$14+D424*Scorecard!$D$15+E424*Scorecard!$D$16+F424*Scorecard!$D$17</f>
        <v>3.27710444740198</v>
      </c>
      <c r="I424" s="47" t="n">
        <f aca="false">A424*Scorecard!$E$12+B424*Scorecard!$E$13+C424*Scorecard!$E$14+D424*Scorecard!$E$15+E424*Scorecard!$E$16+F424*Scorecard!$E$17</f>
        <v>4.36979911821001</v>
      </c>
      <c r="J424" s="0" t="str">
        <f aca="false">IF(AND(G424&gt;=H424,G424&gt;=I424),"Distribution",IF(I424&gt;=H424,"Prof. services","Manufacturing"))</f>
        <v>Prof. services</v>
      </c>
      <c r="L424" s="46" t="n">
        <v>0.264178</v>
      </c>
      <c r="M424" s="46" t="n">
        <v>0.111189</v>
      </c>
      <c r="N424" s="46" t="n">
        <v>0.339113</v>
      </c>
      <c r="O424" s="46" t="n">
        <v>0.098594</v>
      </c>
      <c r="P424" s="46" t="n">
        <v>0.114195</v>
      </c>
      <c r="Q424" s="46" t="n">
        <v>0.07273</v>
      </c>
      <c r="R424" s="47" t="n">
        <f aca="false">L424*Scorecard!$C$12+M424*Scorecard!$C$13+N424*Scorecard!$C$14+O424*Scorecard!$C$15+P424*Scorecard!$C$16+Q424*Scorecard!$C$17</f>
        <v>3.58879483256573</v>
      </c>
      <c r="S424" s="47" t="n">
        <f aca="false">L424*Scorecard!$D$12+M424*Scorecard!$D$13+N424*Scorecard!$D$14+O424*Scorecard!$D$15+P424*Scorecard!$D$16+Q424*Scorecard!$D$17</f>
        <v>3.05071109145777</v>
      </c>
      <c r="T424" s="47" t="n">
        <f aca="false">L424*Scorecard!$E$12+M424*Scorecard!$E$13+N424*Scorecard!$E$14+O424*Scorecard!$E$15+P424*Scorecard!$E$16+Q424*Scorecard!$E$17</f>
        <v>4.25696258370174</v>
      </c>
      <c r="U424" s="0" t="str">
        <f aca="false">IF(AND(R424&gt;=S424,R424&gt;=T424),"Distribution",IF(T424&gt;=S424,"Prof. services","Manufacturing"))</f>
        <v>Prof. services</v>
      </c>
    </row>
    <row r="425" customFormat="false" ht="15" hidden="false" customHeight="false" outlineLevel="0" collapsed="false">
      <c r="A425" s="46" t="n">
        <v>0.086664</v>
      </c>
      <c r="B425" s="46" t="n">
        <v>0.195434</v>
      </c>
      <c r="C425" s="46" t="n">
        <v>0.298951</v>
      </c>
      <c r="D425" s="46" t="n">
        <v>0.123505</v>
      </c>
      <c r="E425" s="46" t="n">
        <v>0.253155</v>
      </c>
      <c r="F425" s="46" t="n">
        <v>0.042292</v>
      </c>
      <c r="G425" s="47" t="n">
        <f aca="false">A425*Scorecard!$C$12+B425*Scorecard!$C$13+C425*Scorecard!$C$14+D425*Scorecard!$C$15+E425*Scorecard!$C$16+F425*Scorecard!$C$17</f>
        <v>4.07836256408738</v>
      </c>
      <c r="H425" s="47" t="n">
        <f aca="false">A425*Scorecard!$D$12+B425*Scorecard!$D$13+C425*Scorecard!$D$14+D425*Scorecard!$D$15+E425*Scorecard!$D$16+F425*Scorecard!$D$17</f>
        <v>2.92782347178127</v>
      </c>
      <c r="I425" s="47" t="n">
        <f aca="false">A425*Scorecard!$E$12+B425*Scorecard!$E$13+C425*Scorecard!$E$14+D425*Scorecard!$E$15+E425*Scorecard!$E$16+F425*Scorecard!$E$17</f>
        <v>3.63855486208085</v>
      </c>
      <c r="J425" s="0" t="str">
        <f aca="false">IF(AND(G425&gt;=H425,G425&gt;=I425),"Distribution",IF(I425&gt;=H425,"Prof. services","Manufacturing"))</f>
        <v>Distribution</v>
      </c>
      <c r="L425" s="46" t="n">
        <v>0.082736</v>
      </c>
      <c r="M425" s="46" t="n">
        <v>0.192028</v>
      </c>
      <c r="N425" s="46" t="n">
        <v>0.274024</v>
      </c>
      <c r="O425" s="46" t="n">
        <v>0.248913</v>
      </c>
      <c r="P425" s="46" t="n">
        <v>0.119241</v>
      </c>
      <c r="Q425" s="46" t="n">
        <v>0.083059</v>
      </c>
      <c r="R425" s="47" t="n">
        <f aca="false">L425*Scorecard!$C$12+M425*Scorecard!$C$13+N425*Scorecard!$C$14+O425*Scorecard!$C$15+P425*Scorecard!$C$16+Q425*Scorecard!$C$17</f>
        <v>4.12590102010447</v>
      </c>
      <c r="S425" s="47" t="n">
        <f aca="false">L425*Scorecard!$D$12+M425*Scorecard!$D$13+N425*Scorecard!$D$14+O425*Scorecard!$D$15+P425*Scorecard!$D$16+Q425*Scorecard!$D$17</f>
        <v>2.96973021304129</v>
      </c>
      <c r="T425" s="47" t="n">
        <f aca="false">L425*Scorecard!$E$12+M425*Scorecard!$E$13+N425*Scorecard!$E$14+O425*Scorecard!$E$15+P425*Scorecard!$E$16+Q425*Scorecard!$E$17</f>
        <v>3.88024235217602</v>
      </c>
      <c r="U425" s="0" t="str">
        <f aca="false">IF(AND(R425&gt;=S425,R425&gt;=T425),"Distribution",IF(T425&gt;=S425,"Prof. services","Manufacturing"))</f>
        <v>Distribution</v>
      </c>
    </row>
    <row r="426" customFormat="false" ht="15" hidden="false" customHeight="false" outlineLevel="0" collapsed="false">
      <c r="A426" s="46" t="n">
        <v>0.119458</v>
      </c>
      <c r="B426" s="46" t="n">
        <v>0.090414</v>
      </c>
      <c r="C426" s="46" t="n">
        <v>0.404894</v>
      </c>
      <c r="D426" s="46" t="n">
        <v>0.25748</v>
      </c>
      <c r="E426" s="46" t="n">
        <v>0.056755</v>
      </c>
      <c r="F426" s="46" t="n">
        <v>0.071</v>
      </c>
      <c r="G426" s="47" t="n">
        <f aca="false">A426*Scorecard!$C$12+B426*Scorecard!$C$13+C426*Scorecard!$C$14+D426*Scorecard!$C$15+E426*Scorecard!$C$16+F426*Scorecard!$C$17</f>
        <v>3.99087189641316</v>
      </c>
      <c r="H426" s="47" t="n">
        <f aca="false">A426*Scorecard!$D$12+B426*Scorecard!$D$13+C426*Scorecard!$D$14+D426*Scorecard!$D$15+E426*Scorecard!$D$16+F426*Scorecard!$D$17</f>
        <v>3.15368705846899</v>
      </c>
      <c r="I426" s="47" t="n">
        <f aca="false">A426*Scorecard!$E$12+B426*Scorecard!$E$13+C426*Scorecard!$E$14+D426*Scorecard!$E$15+E426*Scorecard!$E$16+F426*Scorecard!$E$17</f>
        <v>4.33794007022822</v>
      </c>
      <c r="J426" s="0" t="str">
        <f aca="false">IF(AND(G426&gt;=H426,G426&gt;=I426),"Distribution",IF(I426&gt;=H426,"Prof. services","Manufacturing"))</f>
        <v>Prof. services</v>
      </c>
      <c r="L426" s="46" t="n">
        <v>0.243029</v>
      </c>
      <c r="M426" s="46" t="n">
        <v>0.166505</v>
      </c>
      <c r="N426" s="46" t="n">
        <v>0.285472</v>
      </c>
      <c r="O426" s="46" t="n">
        <v>0.126869</v>
      </c>
      <c r="P426" s="46" t="n">
        <v>0.081963</v>
      </c>
      <c r="Q426" s="46" t="n">
        <v>0.096161</v>
      </c>
      <c r="R426" s="47" t="n">
        <f aca="false">L426*Scorecard!$C$12+M426*Scorecard!$C$13+N426*Scorecard!$C$14+O426*Scorecard!$C$15+P426*Scorecard!$C$16+Q426*Scorecard!$C$17</f>
        <v>3.66359233417096</v>
      </c>
      <c r="S426" s="47" t="n">
        <f aca="false">L426*Scorecard!$D$12+M426*Scorecard!$D$13+N426*Scorecard!$D$14+O426*Scorecard!$D$15+P426*Scorecard!$D$16+Q426*Scorecard!$D$17</f>
        <v>2.94055351697026</v>
      </c>
      <c r="T426" s="47" t="n">
        <f aca="false">L426*Scorecard!$E$12+M426*Scorecard!$E$13+N426*Scorecard!$E$14+O426*Scorecard!$E$15+P426*Scorecard!$E$16+Q426*Scorecard!$E$17</f>
        <v>4.14849830088825</v>
      </c>
      <c r="U426" s="0" t="str">
        <f aca="false">IF(AND(R426&gt;=S426,R426&gt;=T426),"Distribution",IF(T426&gt;=S426,"Prof. services","Manufacturing"))</f>
        <v>Prof. services</v>
      </c>
    </row>
    <row r="427" customFormat="false" ht="15" hidden="false" customHeight="false" outlineLevel="0" collapsed="false">
      <c r="A427" s="46" t="n">
        <v>0.593384</v>
      </c>
      <c r="B427" s="46" t="n">
        <v>0.051881</v>
      </c>
      <c r="C427" s="46" t="n">
        <v>0.095866</v>
      </c>
      <c r="D427" s="46" t="n">
        <v>0.085874</v>
      </c>
      <c r="E427" s="46" t="n">
        <v>0.005076</v>
      </c>
      <c r="F427" s="46" t="n">
        <v>0.167918</v>
      </c>
      <c r="G427" s="47" t="n">
        <f aca="false">A427*Scorecard!$C$12+B427*Scorecard!$C$13+C427*Scorecard!$C$14+D427*Scorecard!$C$15+E427*Scorecard!$C$16+F427*Scorecard!$C$17</f>
        <v>2.73381533776917</v>
      </c>
      <c r="H427" s="47" t="n">
        <f aca="false">A427*Scorecard!$D$12+B427*Scorecard!$D$13+C427*Scorecard!$D$14+D427*Scorecard!$D$15+E427*Scorecard!$D$16+F427*Scorecard!$D$17</f>
        <v>3.16330903533026</v>
      </c>
      <c r="I427" s="47" t="n">
        <f aca="false">A427*Scorecard!$E$12+B427*Scorecard!$E$13+C427*Scorecard!$E$14+D427*Scorecard!$E$15+E427*Scorecard!$E$16+F427*Scorecard!$E$17</f>
        <v>4.68153044699614</v>
      </c>
      <c r="J427" s="0" t="str">
        <f aca="false">IF(AND(G427&gt;=H427,G427&gt;=I427),"Distribution",IF(I427&gt;=H427,"Prof. services","Manufacturing"))</f>
        <v>Prof. services</v>
      </c>
      <c r="L427" s="46" t="n">
        <v>0.111886</v>
      </c>
      <c r="M427" s="46" t="n">
        <v>0.239894</v>
      </c>
      <c r="N427" s="46" t="n">
        <v>0.258955</v>
      </c>
      <c r="O427" s="46" t="n">
        <v>0.109406</v>
      </c>
      <c r="P427" s="46" t="n">
        <v>0.192191</v>
      </c>
      <c r="Q427" s="46" t="n">
        <v>0.087668</v>
      </c>
      <c r="R427" s="47" t="n">
        <f aca="false">L427*Scorecard!$C$12+M427*Scorecard!$C$13+N427*Scorecard!$C$14+O427*Scorecard!$C$15+P427*Scorecard!$C$16+Q427*Scorecard!$C$17</f>
        <v>3.97256760439722</v>
      </c>
      <c r="S427" s="47" t="n">
        <f aca="false">L427*Scorecard!$D$12+M427*Scorecard!$D$13+N427*Scorecard!$D$14+O427*Scorecard!$D$15+P427*Scorecard!$D$16+Q427*Scorecard!$D$17</f>
        <v>2.77303937466327</v>
      </c>
      <c r="T427" s="47" t="n">
        <f aca="false">L427*Scorecard!$E$12+M427*Scorecard!$E$13+N427*Scorecard!$E$14+O427*Scorecard!$E$15+P427*Scorecard!$E$16+Q427*Scorecard!$E$17</f>
        <v>3.66236911628215</v>
      </c>
      <c r="U427" s="0" t="str">
        <f aca="false">IF(AND(R427&gt;=S427,R427&gt;=T427),"Distribution",IF(T427&gt;=S427,"Prof. services","Manufacturing"))</f>
        <v>Distribution</v>
      </c>
    </row>
    <row r="428" customFormat="false" ht="15" hidden="false" customHeight="false" outlineLevel="0" collapsed="false">
      <c r="A428" s="46" t="n">
        <v>0.119635</v>
      </c>
      <c r="B428" s="46" t="n">
        <v>0.029319</v>
      </c>
      <c r="C428" s="46" t="n">
        <v>0.003895</v>
      </c>
      <c r="D428" s="46" t="n">
        <v>0.122506</v>
      </c>
      <c r="E428" s="46" t="n">
        <v>0.381731</v>
      </c>
      <c r="F428" s="46" t="n">
        <v>0.342915</v>
      </c>
      <c r="G428" s="47" t="n">
        <f aca="false">A428*Scorecard!$C$12+B428*Scorecard!$C$13+C428*Scorecard!$C$14+D428*Scorecard!$C$15+E428*Scorecard!$C$16+F428*Scorecard!$C$17</f>
        <v>3.25065429388897</v>
      </c>
      <c r="H428" s="47" t="n">
        <f aca="false">A428*Scorecard!$D$12+B428*Scorecard!$D$13+C428*Scorecard!$D$14+D428*Scorecard!$D$15+E428*Scorecard!$D$16+F428*Scorecard!$D$17</f>
        <v>2.78970906576028</v>
      </c>
      <c r="I428" s="47" t="n">
        <f aca="false">A428*Scorecard!$E$12+B428*Scorecard!$E$13+C428*Scorecard!$E$14+D428*Scorecard!$E$15+E428*Scorecard!$E$16+F428*Scorecard!$E$17</f>
        <v>3.62388730659558</v>
      </c>
      <c r="J428" s="0" t="str">
        <f aca="false">IF(AND(G428&gt;=H428,G428&gt;=I428),"Distribution",IF(I428&gt;=H428,"Prof. services","Manufacturing"))</f>
        <v>Prof. services</v>
      </c>
      <c r="L428" s="46" t="n">
        <v>0.158838</v>
      </c>
      <c r="M428" s="46" t="n">
        <v>0.107726</v>
      </c>
      <c r="N428" s="46" t="n">
        <v>0.120801</v>
      </c>
      <c r="O428" s="46" t="n">
        <v>0.337122</v>
      </c>
      <c r="P428" s="46" t="n">
        <v>0.142196</v>
      </c>
      <c r="Q428" s="46" t="n">
        <v>0.133316</v>
      </c>
      <c r="R428" s="47" t="n">
        <f aca="false">L428*Scorecard!$C$12+M428*Scorecard!$C$13+N428*Scorecard!$C$14+O428*Scorecard!$C$15+P428*Scorecard!$C$16+Q428*Scorecard!$C$17</f>
        <v>3.8923013348162</v>
      </c>
      <c r="S428" s="47" t="n">
        <f aca="false">L428*Scorecard!$D$12+M428*Scorecard!$D$13+N428*Scorecard!$D$14+O428*Scorecard!$D$15+P428*Scorecard!$D$16+Q428*Scorecard!$D$17</f>
        <v>3.18091132584596</v>
      </c>
      <c r="T428" s="47" t="n">
        <f aca="false">L428*Scorecard!$E$12+M428*Scorecard!$E$13+N428*Scorecard!$E$14+O428*Scorecard!$E$15+P428*Scorecard!$E$16+Q428*Scorecard!$E$17</f>
        <v>3.96257530107039</v>
      </c>
      <c r="U428" s="0" t="str">
        <f aca="false">IF(AND(R428&gt;=S428,R428&gt;=T428),"Distribution",IF(T428&gt;=S428,"Prof. services","Manufacturing"))</f>
        <v>Prof. services</v>
      </c>
    </row>
    <row r="429" customFormat="false" ht="15" hidden="false" customHeight="false" outlineLevel="0" collapsed="false">
      <c r="A429" s="46" t="n">
        <v>0.100267</v>
      </c>
      <c r="B429" s="46" t="n">
        <v>0.133164</v>
      </c>
      <c r="C429" s="46" t="n">
        <v>0.245066</v>
      </c>
      <c r="D429" s="46" t="n">
        <v>0.035261</v>
      </c>
      <c r="E429" s="46" t="n">
        <v>0.376452</v>
      </c>
      <c r="F429" s="46" t="n">
        <v>0.10979</v>
      </c>
      <c r="G429" s="47" t="n">
        <f aca="false">A429*Scorecard!$C$12+B429*Scorecard!$C$13+C429*Scorecard!$C$14+D429*Scorecard!$C$15+E429*Scorecard!$C$16+F429*Scorecard!$C$17</f>
        <v>3.76836297009542</v>
      </c>
      <c r="H429" s="47" t="n">
        <f aca="false">A429*Scorecard!$D$12+B429*Scorecard!$D$13+C429*Scorecard!$D$14+D429*Scorecard!$D$15+E429*Scorecard!$D$16+F429*Scorecard!$D$17</f>
        <v>2.86797042708412</v>
      </c>
      <c r="I429" s="47" t="n">
        <f aca="false">A429*Scorecard!$E$12+B429*Scorecard!$E$13+C429*Scorecard!$E$14+D429*Scorecard!$E$15+E429*Scorecard!$E$16+F429*Scorecard!$E$17</f>
        <v>3.52883395271856</v>
      </c>
      <c r="J429" s="0" t="str">
        <f aca="false">IF(AND(G429&gt;=H429,G429&gt;=I429),"Distribution",IF(I429&gt;=H429,"Prof. services","Manufacturing"))</f>
        <v>Distribution</v>
      </c>
      <c r="L429" s="46" t="n">
        <v>0.162664</v>
      </c>
      <c r="M429" s="46" t="n">
        <v>0.329474</v>
      </c>
      <c r="N429" s="46" t="n">
        <v>0.124199</v>
      </c>
      <c r="O429" s="46" t="n">
        <v>0.134414</v>
      </c>
      <c r="P429" s="46" t="n">
        <v>0.100944</v>
      </c>
      <c r="Q429" s="46" t="n">
        <v>0.148305</v>
      </c>
      <c r="R429" s="47" t="n">
        <f aca="false">L429*Scorecard!$C$12+M429*Scorecard!$C$13+N429*Scorecard!$C$14+O429*Scorecard!$C$15+P429*Scorecard!$C$16+Q429*Scorecard!$C$17</f>
        <v>3.87448048025374</v>
      </c>
      <c r="S429" s="47" t="n">
        <f aca="false">L429*Scorecard!$D$12+M429*Scorecard!$D$13+N429*Scorecard!$D$14+O429*Scorecard!$D$15+P429*Scorecard!$D$16+Q429*Scorecard!$D$17</f>
        <v>2.5797000991248</v>
      </c>
      <c r="T429" s="47" t="n">
        <f aca="false">L429*Scorecard!$E$12+M429*Scorecard!$E$13+N429*Scorecard!$E$14+O429*Scorecard!$E$15+P429*Scorecard!$E$16+Q429*Scorecard!$E$17</f>
        <v>3.59687688717035</v>
      </c>
      <c r="U429" s="0" t="str">
        <f aca="false">IF(AND(R429&gt;=S429,R429&gt;=T429),"Distribution",IF(T429&gt;=S429,"Prof. services","Manufacturing"))</f>
        <v>Distribution</v>
      </c>
    </row>
    <row r="430" customFormat="false" ht="15" hidden="false" customHeight="false" outlineLevel="0" collapsed="false">
      <c r="A430" s="46" t="n">
        <v>0.257304</v>
      </c>
      <c r="B430" s="46" t="n">
        <v>0.126175</v>
      </c>
      <c r="C430" s="46" t="n">
        <v>0.045175</v>
      </c>
      <c r="D430" s="46" t="n">
        <v>0.20025</v>
      </c>
      <c r="E430" s="46" t="n">
        <v>0.276316</v>
      </c>
      <c r="F430" s="46" t="n">
        <v>0.094779</v>
      </c>
      <c r="G430" s="47" t="n">
        <f aca="false">A430*Scorecard!$C$12+B430*Scorecard!$C$13+C430*Scorecard!$C$14+D430*Scorecard!$C$15+E430*Scorecard!$C$16+F430*Scorecard!$C$17</f>
        <v>3.67371213059563</v>
      </c>
      <c r="H430" s="47" t="n">
        <f aca="false">A430*Scorecard!$D$12+B430*Scorecard!$D$13+C430*Scorecard!$D$14+D430*Scorecard!$D$15+E430*Scorecard!$D$16+F430*Scorecard!$D$17</f>
        <v>3.16232446635897</v>
      </c>
      <c r="I430" s="47" t="n">
        <f aca="false">A430*Scorecard!$E$12+B430*Scorecard!$E$13+C430*Scorecard!$E$14+D430*Scorecard!$E$15+E430*Scorecard!$E$16+F430*Scorecard!$E$17</f>
        <v>3.68554865432645</v>
      </c>
      <c r="J430" s="0" t="str">
        <f aca="false">IF(AND(G430&gt;=H430,G430&gt;=I430),"Distribution",IF(I430&gt;=H430,"Prof. services","Manufacturing"))</f>
        <v>Prof. services</v>
      </c>
      <c r="L430" s="46" t="n">
        <v>0.210934</v>
      </c>
      <c r="M430" s="46" t="n">
        <v>0.184331</v>
      </c>
      <c r="N430" s="46" t="n">
        <v>0.103109</v>
      </c>
      <c r="O430" s="46" t="n">
        <v>0.3325</v>
      </c>
      <c r="P430" s="46" t="n">
        <v>0.123743</v>
      </c>
      <c r="Q430" s="46" t="n">
        <v>0.045383</v>
      </c>
      <c r="R430" s="47" t="n">
        <f aca="false">L430*Scorecard!$C$12+M430*Scorecard!$C$13+N430*Scorecard!$C$14+O430*Scorecard!$C$15+P430*Scorecard!$C$16+Q430*Scorecard!$C$17</f>
        <v>4.04638079187676</v>
      </c>
      <c r="S430" s="47" t="n">
        <f aca="false">L430*Scorecard!$D$12+M430*Scorecard!$D$13+N430*Scorecard!$D$14+O430*Scorecard!$D$15+P430*Scorecard!$D$16+Q430*Scorecard!$D$17</f>
        <v>3.22073991346304</v>
      </c>
      <c r="T430" s="47" t="n">
        <f aca="false">L430*Scorecard!$E$12+M430*Scorecard!$E$13+N430*Scorecard!$E$14+O430*Scorecard!$E$15+P430*Scorecard!$E$16+Q430*Scorecard!$E$17</f>
        <v>3.83933390006569</v>
      </c>
      <c r="U430" s="0" t="str">
        <f aca="false">IF(AND(R430&gt;=S430,R430&gt;=T430),"Distribution",IF(T430&gt;=S430,"Prof. services","Manufacturing"))</f>
        <v>Distribution</v>
      </c>
    </row>
    <row r="431" customFormat="false" ht="15" hidden="false" customHeight="false" outlineLevel="0" collapsed="false">
      <c r="A431" s="46" t="n">
        <v>0.031295</v>
      </c>
      <c r="B431" s="46" t="n">
        <v>0.323443</v>
      </c>
      <c r="C431" s="46" t="n">
        <v>0.197001</v>
      </c>
      <c r="D431" s="46" t="n">
        <v>0.237656</v>
      </c>
      <c r="E431" s="46" t="n">
        <v>0.10885</v>
      </c>
      <c r="F431" s="46" t="n">
        <v>0.101754</v>
      </c>
      <c r="G431" s="47" t="n">
        <f aca="false">A431*Scorecard!$C$12+B431*Scorecard!$C$13+C431*Scorecard!$C$14+D431*Scorecard!$C$15+E431*Scorecard!$C$16+F431*Scorecard!$C$17</f>
        <v>4.30125555370298</v>
      </c>
      <c r="H431" s="47" t="n">
        <f aca="false">A431*Scorecard!$D$12+B431*Scorecard!$D$13+C431*Scorecard!$D$14+D431*Scorecard!$D$15+E431*Scorecard!$D$16+F431*Scorecard!$D$17</f>
        <v>2.69395299721525</v>
      </c>
      <c r="I431" s="47" t="n">
        <f aca="false">A431*Scorecard!$E$12+B431*Scorecard!$E$13+C431*Scorecard!$E$14+D431*Scorecard!$E$15+E431*Scorecard!$E$16+F431*Scorecard!$E$17</f>
        <v>3.53010845996163</v>
      </c>
      <c r="J431" s="0" t="str">
        <f aca="false">IF(AND(G431&gt;=H431,G431&gt;=I431),"Distribution",IF(I431&gt;=H431,"Prof. services","Manufacturing"))</f>
        <v>Distribution</v>
      </c>
      <c r="L431" s="46" t="n">
        <v>0.113612</v>
      </c>
      <c r="M431" s="46" t="n">
        <v>0.125222</v>
      </c>
      <c r="N431" s="46" t="n">
        <v>0.240078</v>
      </c>
      <c r="O431" s="46" t="n">
        <v>0.282127</v>
      </c>
      <c r="P431" s="46" t="n">
        <v>0.201553</v>
      </c>
      <c r="Q431" s="46" t="n">
        <v>0.037408</v>
      </c>
      <c r="R431" s="47" t="n">
        <f aca="false">L431*Scorecard!$C$12+M431*Scorecard!$C$13+N431*Scorecard!$C$14+O431*Scorecard!$C$15+P431*Scorecard!$C$16+Q431*Scorecard!$C$17</f>
        <v>4.12802977978279</v>
      </c>
      <c r="S431" s="47" t="n">
        <f aca="false">L431*Scorecard!$D$12+M431*Scorecard!$D$13+N431*Scorecard!$D$14+O431*Scorecard!$D$15+P431*Scorecard!$D$16+Q431*Scorecard!$D$17</f>
        <v>3.2247619930958</v>
      </c>
      <c r="T431" s="47" t="n">
        <f aca="false">L431*Scorecard!$E$12+M431*Scorecard!$E$13+N431*Scorecard!$E$14+O431*Scorecard!$E$15+P431*Scorecard!$E$16+Q431*Scorecard!$E$17</f>
        <v>3.84790744465123</v>
      </c>
      <c r="U431" s="0" t="str">
        <f aca="false">IF(AND(R431&gt;=S431,R431&gt;=T431),"Distribution",IF(T431&gt;=S431,"Prof. services","Manufacturing"))</f>
        <v>Distribution</v>
      </c>
    </row>
    <row r="432" customFormat="false" ht="15" hidden="false" customHeight="false" outlineLevel="0" collapsed="false">
      <c r="A432" s="46" t="n">
        <v>0.373039</v>
      </c>
      <c r="B432" s="46" t="n">
        <v>0.05646</v>
      </c>
      <c r="C432" s="46" t="n">
        <v>0.293714</v>
      </c>
      <c r="D432" s="46" t="n">
        <v>0.059711</v>
      </c>
      <c r="E432" s="46" t="n">
        <v>0.093217</v>
      </c>
      <c r="F432" s="46" t="n">
        <v>0.123859</v>
      </c>
      <c r="G432" s="47" t="n">
        <f aca="false">A432*Scorecard!$C$12+B432*Scorecard!$C$13+C432*Scorecard!$C$14+D432*Scorecard!$C$15+E432*Scorecard!$C$16+F432*Scorecard!$C$17</f>
        <v>3.19697748010238</v>
      </c>
      <c r="H432" s="47" t="n">
        <f aca="false">A432*Scorecard!$D$12+B432*Scorecard!$D$13+C432*Scorecard!$D$14+D432*Scorecard!$D$15+E432*Scorecard!$D$16+F432*Scorecard!$D$17</f>
        <v>3.07607173234268</v>
      </c>
      <c r="I432" s="47" t="n">
        <f aca="false">A432*Scorecard!$E$12+B432*Scorecard!$E$13+C432*Scorecard!$E$14+D432*Scorecard!$E$15+E432*Scorecard!$E$16+F432*Scorecard!$E$17</f>
        <v>4.4772243483716</v>
      </c>
      <c r="J432" s="0" t="str">
        <f aca="false">IF(AND(G432&gt;=H432,G432&gt;=I432),"Distribution",IF(I432&gt;=H432,"Prof. services","Manufacturing"))</f>
        <v>Prof. services</v>
      </c>
      <c r="L432" s="46" t="n">
        <v>0.177288</v>
      </c>
      <c r="M432" s="46" t="n">
        <v>0.298786</v>
      </c>
      <c r="N432" s="46" t="n">
        <v>0.151298</v>
      </c>
      <c r="O432" s="46" t="n">
        <v>0.149187</v>
      </c>
      <c r="P432" s="46" t="n">
        <v>0.111097</v>
      </c>
      <c r="Q432" s="46" t="n">
        <v>0.112344</v>
      </c>
      <c r="R432" s="47" t="n">
        <f aca="false">L432*Scorecard!$C$12+M432*Scorecard!$C$13+N432*Scorecard!$C$14+O432*Scorecard!$C$15+P432*Scorecard!$C$16+Q432*Scorecard!$C$17</f>
        <v>3.90416407170133</v>
      </c>
      <c r="S432" s="47" t="n">
        <f aca="false">L432*Scorecard!$D$12+M432*Scorecard!$D$13+N432*Scorecard!$D$14+O432*Scorecard!$D$15+P432*Scorecard!$D$16+Q432*Scorecard!$D$17</f>
        <v>2.70985038452097</v>
      </c>
      <c r="T432" s="47" t="n">
        <f aca="false">L432*Scorecard!$E$12+M432*Scorecard!$E$13+N432*Scorecard!$E$14+O432*Scorecard!$E$15+P432*Scorecard!$E$16+Q432*Scorecard!$E$17</f>
        <v>3.66368015169818</v>
      </c>
      <c r="U432" s="0" t="str">
        <f aca="false">IF(AND(R432&gt;=S432,R432&gt;=T432),"Distribution",IF(T432&gt;=S432,"Prof. services","Manufacturing"))</f>
        <v>Distribution</v>
      </c>
    </row>
    <row r="433" customFormat="false" ht="15" hidden="false" customHeight="false" outlineLevel="0" collapsed="false">
      <c r="A433" s="46" t="n">
        <v>0.243791</v>
      </c>
      <c r="B433" s="46" t="n">
        <v>0.121198</v>
      </c>
      <c r="C433" s="46" t="n">
        <v>0.121027</v>
      </c>
      <c r="D433" s="46" t="n">
        <v>0.181415</v>
      </c>
      <c r="E433" s="46" t="n">
        <v>0.120229</v>
      </c>
      <c r="F433" s="46" t="n">
        <v>0.212341</v>
      </c>
      <c r="G433" s="47" t="n">
        <f aca="false">A433*Scorecard!$C$12+B433*Scorecard!$C$13+C433*Scorecard!$C$14+D433*Scorecard!$C$15+E433*Scorecard!$C$16+F433*Scorecard!$C$17</f>
        <v>3.43910772330411</v>
      </c>
      <c r="H433" s="47" t="n">
        <f aca="false">A433*Scorecard!$D$12+B433*Scorecard!$D$13+C433*Scorecard!$D$14+D433*Scorecard!$D$15+E433*Scorecard!$D$16+F433*Scorecard!$D$17</f>
        <v>2.91069878229723</v>
      </c>
      <c r="I433" s="47" t="n">
        <f aca="false">A433*Scorecard!$E$12+B433*Scorecard!$E$13+C433*Scorecard!$E$14+D433*Scorecard!$E$15+E433*Scorecard!$E$16+F433*Scorecard!$E$17</f>
        <v>4.0730654368418</v>
      </c>
      <c r="J433" s="0" t="str">
        <f aca="false">IF(AND(G433&gt;=H433,G433&gt;=I433),"Distribution",IF(I433&gt;=H433,"Prof. services","Manufacturing"))</f>
        <v>Prof. services</v>
      </c>
      <c r="L433" s="46" t="n">
        <v>0.22448</v>
      </c>
      <c r="M433" s="46" t="n">
        <v>0.060568</v>
      </c>
      <c r="N433" s="46" t="n">
        <v>0.18673</v>
      </c>
      <c r="O433" s="46" t="n">
        <v>0.185936</v>
      </c>
      <c r="P433" s="46" t="n">
        <v>0.227163</v>
      </c>
      <c r="Q433" s="46" t="n">
        <v>0.115123</v>
      </c>
      <c r="R433" s="47" t="n">
        <f aca="false">L433*Scorecard!$C$12+M433*Scorecard!$C$13+N433*Scorecard!$C$14+O433*Scorecard!$C$15+P433*Scorecard!$C$16+Q433*Scorecard!$C$17</f>
        <v>3.61219079869768</v>
      </c>
      <c r="S433" s="47" t="n">
        <f aca="false">L433*Scorecard!$D$12+M433*Scorecard!$D$13+N433*Scorecard!$D$14+O433*Scorecard!$D$15+P433*Scorecard!$D$16+Q433*Scorecard!$D$17</f>
        <v>3.17565103340459</v>
      </c>
      <c r="T433" s="47" t="n">
        <f aca="false">L433*Scorecard!$E$12+M433*Scorecard!$E$13+N433*Scorecard!$E$14+O433*Scorecard!$E$15+P433*Scorecard!$E$16+Q433*Scorecard!$E$17</f>
        <v>4.00707991844639</v>
      </c>
      <c r="U433" s="0" t="str">
        <f aca="false">IF(AND(R433&gt;=S433,R433&gt;=T433),"Distribution",IF(T433&gt;=S433,"Prof. services","Manufacturing"))</f>
        <v>Prof. services</v>
      </c>
    </row>
    <row r="434" customFormat="false" ht="15" hidden="false" customHeight="false" outlineLevel="0" collapsed="false">
      <c r="A434" s="46" t="n">
        <v>0.028661</v>
      </c>
      <c r="B434" s="46" t="n">
        <v>0.189247</v>
      </c>
      <c r="C434" s="46" t="n">
        <v>0.277291</v>
      </c>
      <c r="D434" s="46" t="n">
        <v>0.043378</v>
      </c>
      <c r="E434" s="46" t="n">
        <v>0.228446</v>
      </c>
      <c r="F434" s="46" t="n">
        <v>0.232977</v>
      </c>
      <c r="G434" s="47" t="n">
        <f aca="false">A434*Scorecard!$C$12+B434*Scorecard!$C$13+C434*Scorecard!$C$14+D434*Scorecard!$C$15+E434*Scorecard!$C$16+F434*Scorecard!$C$17</f>
        <v>3.71508079126637</v>
      </c>
      <c r="H434" s="47" t="n">
        <f aca="false">A434*Scorecard!$D$12+B434*Scorecard!$D$13+C434*Scorecard!$D$14+D434*Scorecard!$D$15+E434*Scorecard!$D$16+F434*Scorecard!$D$17</f>
        <v>2.51177119605034</v>
      </c>
      <c r="I434" s="47" t="n">
        <f aca="false">A434*Scorecard!$E$12+B434*Scorecard!$E$13+C434*Scorecard!$E$14+D434*Scorecard!$E$15+E434*Scorecard!$E$16+F434*Scorecard!$E$17</f>
        <v>3.69386662639651</v>
      </c>
      <c r="J434" s="0" t="str">
        <f aca="false">IF(AND(G434&gt;=H434,G434&gt;=I434),"Distribution",IF(I434&gt;=H434,"Prof. services","Manufacturing"))</f>
        <v>Distribution</v>
      </c>
      <c r="L434" s="46" t="n">
        <v>0.172836</v>
      </c>
      <c r="M434" s="46" t="n">
        <v>0.319105</v>
      </c>
      <c r="N434" s="46" t="n">
        <v>0.131309</v>
      </c>
      <c r="O434" s="46" t="n">
        <v>0.157144</v>
      </c>
      <c r="P434" s="46" t="n">
        <v>0.068782</v>
      </c>
      <c r="Q434" s="46" t="n">
        <v>0.150824</v>
      </c>
      <c r="R434" s="47" t="n">
        <f aca="false">L434*Scorecard!$C$12+M434*Scorecard!$C$13+N434*Scorecard!$C$14+O434*Scorecard!$C$15+P434*Scorecard!$C$16+Q434*Scorecard!$C$17</f>
        <v>3.86349373519116</v>
      </c>
      <c r="S434" s="47" t="n">
        <f aca="false">L434*Scorecard!$D$12+M434*Scorecard!$D$13+N434*Scorecard!$D$14+O434*Scorecard!$D$15+P434*Scorecard!$D$16+Q434*Scorecard!$D$17</f>
        <v>2.61379711127121</v>
      </c>
      <c r="T434" s="47" t="n">
        <f aca="false">L434*Scorecard!$E$12+M434*Scorecard!$E$13+N434*Scorecard!$E$14+O434*Scorecard!$E$15+P434*Scorecard!$E$16+Q434*Scorecard!$E$17</f>
        <v>3.69219991380312</v>
      </c>
      <c r="U434" s="0" t="str">
        <f aca="false">IF(AND(R434&gt;=S434,R434&gt;=T434),"Distribution",IF(T434&gt;=S434,"Prof. services","Manufacturing"))</f>
        <v>Distribution</v>
      </c>
    </row>
    <row r="435" customFormat="false" ht="15" hidden="false" customHeight="false" outlineLevel="0" collapsed="false">
      <c r="A435" s="46" t="n">
        <v>0.219998</v>
      </c>
      <c r="B435" s="46" t="n">
        <v>0.070484</v>
      </c>
      <c r="C435" s="46" t="n">
        <v>0.196391</v>
      </c>
      <c r="D435" s="46" t="n">
        <v>0.244683</v>
      </c>
      <c r="E435" s="46" t="n">
        <v>0.211124</v>
      </c>
      <c r="F435" s="46" t="n">
        <v>0.05732</v>
      </c>
      <c r="G435" s="47" t="n">
        <f aca="false">A435*Scorecard!$C$12+B435*Scorecard!$C$13+C435*Scorecard!$C$14+D435*Scorecard!$C$15+E435*Scorecard!$C$16+F435*Scorecard!$C$17</f>
        <v>3.80452746261534</v>
      </c>
      <c r="H435" s="47" t="n">
        <f aca="false">A435*Scorecard!$D$12+B435*Scorecard!$D$13+C435*Scorecard!$D$14+D435*Scorecard!$D$15+E435*Scorecard!$D$16+F435*Scorecard!$D$17</f>
        <v>3.30717262974123</v>
      </c>
      <c r="I435" s="47" t="n">
        <f aca="false">A435*Scorecard!$E$12+B435*Scorecard!$E$13+C435*Scorecard!$E$14+D435*Scorecard!$E$15+E435*Scorecard!$E$16+F435*Scorecard!$E$17</f>
        <v>4.00113174426679</v>
      </c>
      <c r="J435" s="0" t="str">
        <f aca="false">IF(AND(G435&gt;=H435,G435&gt;=I435),"Distribution",IF(I435&gt;=H435,"Prof. services","Manufacturing"))</f>
        <v>Prof. services</v>
      </c>
      <c r="L435" s="46" t="n">
        <v>0.17732</v>
      </c>
      <c r="M435" s="46" t="n">
        <v>0.349106</v>
      </c>
      <c r="N435" s="46" t="n">
        <v>0.097473</v>
      </c>
      <c r="O435" s="46" t="n">
        <v>0.245502</v>
      </c>
      <c r="P435" s="46" t="n">
        <v>0.070529</v>
      </c>
      <c r="Q435" s="46" t="n">
        <v>0.06007</v>
      </c>
      <c r="R435" s="47" t="n">
        <f aca="false">L435*Scorecard!$C$12+M435*Scorecard!$C$13+N435*Scorecard!$C$14+O435*Scorecard!$C$15+P435*Scorecard!$C$16+Q435*Scorecard!$C$17</f>
        <v>4.15528947124498</v>
      </c>
      <c r="S435" s="47" t="n">
        <f aca="false">L435*Scorecard!$D$12+M435*Scorecard!$D$13+N435*Scorecard!$D$14+O435*Scorecard!$D$15+P435*Scorecard!$D$16+Q435*Scorecard!$D$17</f>
        <v>2.81072764485602</v>
      </c>
      <c r="T435" s="47" t="n">
        <f aca="false">L435*Scorecard!$E$12+M435*Scorecard!$E$13+N435*Scorecard!$E$14+O435*Scorecard!$E$15+P435*Scorecard!$E$16+Q435*Scorecard!$E$17</f>
        <v>3.57279019935464</v>
      </c>
      <c r="U435" s="0" t="str">
        <f aca="false">IF(AND(R435&gt;=S435,R435&gt;=T435),"Distribution",IF(T435&gt;=S435,"Prof. services","Manufacturing"))</f>
        <v>Distribution</v>
      </c>
    </row>
    <row r="436" customFormat="false" ht="15" hidden="false" customHeight="false" outlineLevel="0" collapsed="false">
      <c r="A436" s="46" t="n">
        <v>0.351917</v>
      </c>
      <c r="B436" s="46" t="n">
        <v>0.323748</v>
      </c>
      <c r="C436" s="46" t="n">
        <v>0.1051</v>
      </c>
      <c r="D436" s="46" t="n">
        <v>0.071711</v>
      </c>
      <c r="E436" s="46" t="n">
        <v>0.100845</v>
      </c>
      <c r="F436" s="46" t="n">
        <v>0.04668</v>
      </c>
      <c r="G436" s="47" t="n">
        <f aca="false">A436*Scorecard!$C$12+B436*Scorecard!$C$13+C436*Scorecard!$C$14+D436*Scorecard!$C$15+E436*Scorecard!$C$16+F436*Scorecard!$C$17</f>
        <v>3.66864738132257</v>
      </c>
      <c r="H436" s="47" t="n">
        <f aca="false">A436*Scorecard!$D$12+B436*Scorecard!$D$13+C436*Scorecard!$D$14+D436*Scorecard!$D$15+E436*Scorecard!$D$16+F436*Scorecard!$D$17</f>
        <v>2.79312565234459</v>
      </c>
      <c r="I436" s="47" t="n">
        <f aca="false">A436*Scorecard!$E$12+B436*Scorecard!$E$13+C436*Scorecard!$E$14+D436*Scorecard!$E$15+E436*Scorecard!$E$16+F436*Scorecard!$E$17</f>
        <v>3.71683679605812</v>
      </c>
      <c r="J436" s="0" t="str">
        <f aca="false">IF(AND(G436&gt;=H436,G436&gt;=I436),"Distribution",IF(I436&gt;=H436,"Prof. services","Manufacturing"))</f>
        <v>Prof. services</v>
      </c>
      <c r="L436" s="46" t="n">
        <v>0.101447</v>
      </c>
      <c r="M436" s="46" t="n">
        <v>0.407901</v>
      </c>
      <c r="N436" s="46" t="n">
        <v>0.221606</v>
      </c>
      <c r="O436" s="46" t="n">
        <v>0.168726</v>
      </c>
      <c r="P436" s="46" t="n">
        <v>0.086939</v>
      </c>
      <c r="Q436" s="46" t="n">
        <v>0.01338</v>
      </c>
      <c r="R436" s="47" t="n">
        <f aca="false">L436*Scorecard!$C$12+M436*Scorecard!$C$13+N436*Scorecard!$C$14+O436*Scorecard!$C$15+P436*Scorecard!$C$16+Q436*Scorecard!$C$17</f>
        <v>4.36725695326748</v>
      </c>
      <c r="S436" s="47" t="n">
        <f aca="false">L436*Scorecard!$D$12+M436*Scorecard!$D$13+N436*Scorecard!$D$14+O436*Scorecard!$D$15+P436*Scorecard!$D$16+Q436*Scorecard!$D$17</f>
        <v>2.65898133418182</v>
      </c>
      <c r="T436" s="47" t="n">
        <f aca="false">L436*Scorecard!$E$12+M436*Scorecard!$E$13+N436*Scorecard!$E$14+O436*Scorecard!$E$15+P436*Scorecard!$E$16+Q436*Scorecard!$E$17</f>
        <v>3.44747630102955</v>
      </c>
      <c r="U436" s="0" t="str">
        <f aca="false">IF(AND(R436&gt;=S436,R436&gt;=T436),"Distribution",IF(T436&gt;=S436,"Prof. services","Manufacturing"))</f>
        <v>Distribution</v>
      </c>
    </row>
    <row r="437" customFormat="false" ht="15" hidden="false" customHeight="false" outlineLevel="0" collapsed="false">
      <c r="A437" s="46" t="n">
        <v>0.167333</v>
      </c>
      <c r="B437" s="46" t="n">
        <v>0.15123</v>
      </c>
      <c r="C437" s="46" t="n">
        <v>0.12123</v>
      </c>
      <c r="D437" s="46" t="n">
        <v>0.071464</v>
      </c>
      <c r="E437" s="46" t="n">
        <v>0.022163</v>
      </c>
      <c r="F437" s="46" t="n">
        <v>0.46658</v>
      </c>
      <c r="G437" s="47" t="n">
        <f aca="false">A437*Scorecard!$C$12+B437*Scorecard!$C$13+C437*Scorecard!$C$14+D437*Scorecard!$C$15+E437*Scorecard!$C$16+F437*Scorecard!$C$17</f>
        <v>2.98833221366927</v>
      </c>
      <c r="H437" s="47" t="n">
        <f aca="false">A437*Scorecard!$D$12+B437*Scorecard!$D$13+C437*Scorecard!$D$14+D437*Scorecard!$D$15+E437*Scorecard!$D$16+F437*Scorecard!$D$17</f>
        <v>2.27378245824531</v>
      </c>
      <c r="I437" s="47" t="n">
        <f aca="false">A437*Scorecard!$E$12+B437*Scorecard!$E$13+C437*Scorecard!$E$14+D437*Scorecard!$E$15+E437*Scorecard!$E$16+F437*Scorecard!$E$17</f>
        <v>4.21299753849547</v>
      </c>
      <c r="J437" s="0" t="str">
        <f aca="false">IF(AND(G437&gt;=H437,G437&gt;=I437),"Distribution",IF(I437&gt;=H437,"Prof. services","Manufacturing"))</f>
        <v>Prof. services</v>
      </c>
      <c r="L437" s="46" t="n">
        <v>0.209313</v>
      </c>
      <c r="M437" s="46" t="n">
        <v>0.192467</v>
      </c>
      <c r="N437" s="46" t="n">
        <v>0.101209</v>
      </c>
      <c r="O437" s="46" t="n">
        <v>0.154873</v>
      </c>
      <c r="P437" s="46" t="n">
        <v>0.185646</v>
      </c>
      <c r="Q437" s="46" t="n">
        <v>0.156492</v>
      </c>
      <c r="R437" s="47" t="n">
        <f aca="false">L437*Scorecard!$C$12+M437*Scorecard!$C$13+N437*Scorecard!$C$14+O437*Scorecard!$C$15+P437*Scorecard!$C$16+Q437*Scorecard!$C$17</f>
        <v>3.65758961499379</v>
      </c>
      <c r="S437" s="47" t="n">
        <f aca="false">L437*Scorecard!$D$12+M437*Scorecard!$D$13+N437*Scorecard!$D$14+O437*Scorecard!$D$15+P437*Scorecard!$D$16+Q437*Scorecard!$D$17</f>
        <v>2.85579951455029</v>
      </c>
      <c r="T437" s="47" t="n">
        <f aca="false">L437*Scorecard!$E$12+M437*Scorecard!$E$13+N437*Scorecard!$E$14+O437*Scorecard!$E$15+P437*Scorecard!$E$16+Q437*Scorecard!$E$17</f>
        <v>3.74378554080688</v>
      </c>
      <c r="U437" s="0" t="str">
        <f aca="false">IF(AND(R437&gt;=S437,R437&gt;=T437),"Distribution",IF(T437&gt;=S437,"Prof. services","Manufacturing"))</f>
        <v>Prof. services</v>
      </c>
    </row>
    <row r="438" customFormat="false" ht="15" hidden="false" customHeight="false" outlineLevel="0" collapsed="false">
      <c r="A438" s="46" t="n">
        <v>0.117877</v>
      </c>
      <c r="B438" s="46" t="n">
        <v>0.20961</v>
      </c>
      <c r="C438" s="46" t="n">
        <v>0.246911</v>
      </c>
      <c r="D438" s="46" t="n">
        <v>0.210953</v>
      </c>
      <c r="E438" s="46" t="n">
        <v>0.076759</v>
      </c>
      <c r="F438" s="46" t="n">
        <v>0.13789</v>
      </c>
      <c r="G438" s="47" t="n">
        <f aca="false">A438*Scorecard!$C$12+B438*Scorecard!$C$13+C438*Scorecard!$C$14+D438*Scorecard!$C$15+E438*Scorecard!$C$16+F438*Scorecard!$C$17</f>
        <v>3.93260271895976</v>
      </c>
      <c r="H438" s="47" t="n">
        <f aca="false">A438*Scorecard!$D$12+B438*Scorecard!$D$13+C438*Scorecard!$D$14+D438*Scorecard!$D$15+E438*Scorecard!$D$16+F438*Scorecard!$D$17</f>
        <v>2.82619772434783</v>
      </c>
      <c r="I438" s="47" t="n">
        <f aca="false">A438*Scorecard!$E$12+B438*Scorecard!$E$13+C438*Scorecard!$E$14+D438*Scorecard!$E$15+E438*Scorecard!$E$16+F438*Scorecard!$E$17</f>
        <v>3.9472789800999</v>
      </c>
      <c r="J438" s="0" t="str">
        <f aca="false">IF(AND(G438&gt;=H438,G438&gt;=I438),"Distribution",IF(I438&gt;=H438,"Prof. services","Manufacturing"))</f>
        <v>Prof. services</v>
      </c>
      <c r="L438" s="46" t="n">
        <v>0.07307</v>
      </c>
      <c r="M438" s="46" t="n">
        <v>0.121695</v>
      </c>
      <c r="N438" s="46" t="n">
        <v>0.149875</v>
      </c>
      <c r="O438" s="46" t="n">
        <v>0.265044</v>
      </c>
      <c r="P438" s="46" t="n">
        <v>0.26262</v>
      </c>
      <c r="Q438" s="46" t="n">
        <v>0.127695</v>
      </c>
      <c r="R438" s="47" t="n">
        <f aca="false">L438*Scorecard!$C$12+M438*Scorecard!$C$13+N438*Scorecard!$C$14+O438*Scorecard!$C$15+P438*Scorecard!$C$16+Q438*Scorecard!$C$17</f>
        <v>3.999817957951</v>
      </c>
      <c r="S438" s="47" t="n">
        <f aca="false">L438*Scorecard!$D$12+M438*Scorecard!$D$13+N438*Scorecard!$D$14+O438*Scorecard!$D$15+P438*Scorecard!$D$16+Q438*Scorecard!$D$17</f>
        <v>3.06842222968328</v>
      </c>
      <c r="T438" s="47" t="n">
        <f aca="false">L438*Scorecard!$E$12+M438*Scorecard!$E$13+N438*Scorecard!$E$14+O438*Scorecard!$E$15+P438*Scorecard!$E$16+Q438*Scorecard!$E$17</f>
        <v>3.66433531306998</v>
      </c>
      <c r="U438" s="0" t="str">
        <f aca="false">IF(AND(R438&gt;=S438,R438&gt;=T438),"Distribution",IF(T438&gt;=S438,"Prof. services","Manufacturing"))</f>
        <v>Distribution</v>
      </c>
    </row>
    <row r="439" customFormat="false" ht="15" hidden="false" customHeight="false" outlineLevel="0" collapsed="false">
      <c r="A439" s="46" t="n">
        <v>0.006172</v>
      </c>
      <c r="B439" s="46" t="n">
        <v>0.230545</v>
      </c>
      <c r="C439" s="46" t="n">
        <v>0.32178</v>
      </c>
      <c r="D439" s="46" t="n">
        <v>0.370214</v>
      </c>
      <c r="E439" s="46" t="n">
        <v>0.0376</v>
      </c>
      <c r="F439" s="46" t="n">
        <v>0.033689</v>
      </c>
      <c r="G439" s="47" t="n">
        <f aca="false">A439*Scorecard!$C$12+B439*Scorecard!$C$13+C439*Scorecard!$C$14+D439*Scorecard!$C$15+E439*Scorecard!$C$16+F439*Scorecard!$C$17</f>
        <v>4.5222713119813</v>
      </c>
      <c r="H439" s="47" t="n">
        <f aca="false">A439*Scorecard!$D$12+B439*Scorecard!$D$13+C439*Scorecard!$D$14+D439*Scorecard!$D$15+E439*Scorecard!$D$16+F439*Scorecard!$D$17</f>
        <v>3.04860320699523</v>
      </c>
      <c r="I439" s="47" t="n">
        <f aca="false">A439*Scorecard!$E$12+B439*Scorecard!$E$13+C439*Scorecard!$E$14+D439*Scorecard!$E$15+E439*Scorecard!$E$16+F439*Scorecard!$E$17</f>
        <v>3.91047841839915</v>
      </c>
      <c r="J439" s="0" t="str">
        <f aca="false">IF(AND(G439&gt;=H439,G439&gt;=I439),"Distribution",IF(I439&gt;=H439,"Prof. services","Manufacturing"))</f>
        <v>Distribution</v>
      </c>
      <c r="L439" s="46" t="n">
        <v>0.148657</v>
      </c>
      <c r="M439" s="46" t="n">
        <v>0.273841</v>
      </c>
      <c r="N439" s="46" t="n">
        <v>0.190059</v>
      </c>
      <c r="O439" s="46" t="n">
        <v>0.210621</v>
      </c>
      <c r="P439" s="46" t="n">
        <v>0.154598</v>
      </c>
      <c r="Q439" s="46" t="n">
        <v>0.022224</v>
      </c>
      <c r="R439" s="47" t="n">
        <f aca="false">L439*Scorecard!$C$12+M439*Scorecard!$C$13+N439*Scorecard!$C$14+O439*Scorecard!$C$15+P439*Scorecard!$C$16+Q439*Scorecard!$C$17</f>
        <v>4.17242928000713</v>
      </c>
      <c r="S439" s="47" t="n">
        <f aca="false">L439*Scorecard!$D$12+M439*Scorecard!$D$13+N439*Scorecard!$D$14+O439*Scorecard!$D$15+P439*Scorecard!$D$16+Q439*Scorecard!$D$17</f>
        <v>2.94917956106178</v>
      </c>
      <c r="T439" s="47" t="n">
        <f aca="false">L439*Scorecard!$E$12+M439*Scorecard!$E$13+N439*Scorecard!$E$14+O439*Scorecard!$E$15+P439*Scorecard!$E$16+Q439*Scorecard!$E$17</f>
        <v>3.61311696562923</v>
      </c>
      <c r="U439" s="0" t="str">
        <f aca="false">IF(AND(R439&gt;=S439,R439&gt;=T439),"Distribution",IF(T439&gt;=S439,"Prof. services","Manufacturing"))</f>
        <v>Distribution</v>
      </c>
    </row>
    <row r="440" customFormat="false" ht="15" hidden="false" customHeight="false" outlineLevel="0" collapsed="false">
      <c r="A440" s="46" t="n">
        <v>0.112026</v>
      </c>
      <c r="B440" s="46" t="n">
        <v>0.16754</v>
      </c>
      <c r="C440" s="46" t="n">
        <v>0.150561</v>
      </c>
      <c r="D440" s="46" t="n">
        <v>0.327139</v>
      </c>
      <c r="E440" s="46" t="n">
        <v>0.123713</v>
      </c>
      <c r="F440" s="46" t="n">
        <v>0.119021</v>
      </c>
      <c r="G440" s="47" t="n">
        <f aca="false">A440*Scorecard!$C$12+B440*Scorecard!$C$13+C440*Scorecard!$C$14+D440*Scorecard!$C$15+E440*Scorecard!$C$16+F440*Scorecard!$C$17</f>
        <v>4.05498860240069</v>
      </c>
      <c r="H440" s="47" t="n">
        <f aca="false">A440*Scorecard!$D$12+B440*Scorecard!$D$13+C440*Scorecard!$D$14+D440*Scorecard!$D$15+E440*Scorecard!$D$16+F440*Scorecard!$D$17</f>
        <v>3.06393653762364</v>
      </c>
      <c r="I440" s="47" t="n">
        <f aca="false">A440*Scorecard!$E$12+B440*Scorecard!$E$13+C440*Scorecard!$E$14+D440*Scorecard!$E$15+E440*Scorecard!$E$16+F440*Scorecard!$E$17</f>
        <v>3.85536009534779</v>
      </c>
      <c r="J440" s="0" t="str">
        <f aca="false">IF(AND(G440&gt;=H440,G440&gt;=I440),"Distribution",IF(I440&gt;=H440,"Prof. services","Manufacturing"))</f>
        <v>Distribution</v>
      </c>
      <c r="L440" s="46" t="n">
        <v>0.059943</v>
      </c>
      <c r="M440" s="46" t="n">
        <v>0.158898</v>
      </c>
      <c r="N440" s="46" t="n">
        <v>0.271537</v>
      </c>
      <c r="O440" s="46" t="n">
        <v>0.104804</v>
      </c>
      <c r="P440" s="46" t="n">
        <v>0.264214</v>
      </c>
      <c r="Q440" s="46" t="n">
        <v>0.140604</v>
      </c>
      <c r="R440" s="47" t="n">
        <f aca="false">L440*Scorecard!$C$12+M440*Scorecard!$C$13+N440*Scorecard!$C$14+O440*Scorecard!$C$15+P440*Scorecard!$C$16+Q440*Scorecard!$C$17</f>
        <v>3.87459574515473</v>
      </c>
      <c r="S440" s="47" t="n">
        <f aca="false">L440*Scorecard!$D$12+M440*Scorecard!$D$13+N440*Scorecard!$D$14+O440*Scorecard!$D$15+P440*Scorecard!$D$16+Q440*Scorecard!$D$17</f>
        <v>2.79957983527175</v>
      </c>
      <c r="T440" s="47" t="n">
        <f aca="false">L440*Scorecard!$E$12+M440*Scorecard!$E$13+N440*Scorecard!$E$14+O440*Scorecard!$E$15+P440*Scorecard!$E$16+Q440*Scorecard!$E$17</f>
        <v>3.68059763583806</v>
      </c>
      <c r="U440" s="0" t="str">
        <f aca="false">IF(AND(R440&gt;=S440,R440&gt;=T440),"Distribution",IF(T440&gt;=S440,"Prof. services","Manufacturing"))</f>
        <v>Distribution</v>
      </c>
    </row>
    <row r="441" customFormat="false" ht="15" hidden="false" customHeight="false" outlineLevel="0" collapsed="false">
      <c r="A441" s="46" t="n">
        <v>0.283524</v>
      </c>
      <c r="B441" s="46" t="n">
        <v>0.207081</v>
      </c>
      <c r="C441" s="46" t="n">
        <v>0.200734</v>
      </c>
      <c r="D441" s="46" t="n">
        <v>0.141166</v>
      </c>
      <c r="E441" s="46" t="n">
        <v>0.055478</v>
      </c>
      <c r="F441" s="46" t="n">
        <v>0.112017</v>
      </c>
      <c r="G441" s="47" t="n">
        <f aca="false">A441*Scorecard!$C$12+B441*Scorecard!$C$13+C441*Scorecard!$C$14+D441*Scorecard!$C$15+E441*Scorecard!$C$16+F441*Scorecard!$C$17</f>
        <v>3.61386575667302</v>
      </c>
      <c r="H441" s="47" t="n">
        <f aca="false">A441*Scorecard!$D$12+B441*Scorecard!$D$13+C441*Scorecard!$D$14+D441*Scorecard!$D$15+E441*Scorecard!$D$16+F441*Scorecard!$D$17</f>
        <v>2.89033925633584</v>
      </c>
      <c r="I441" s="47" t="n">
        <f aca="false">A441*Scorecard!$E$12+B441*Scorecard!$E$13+C441*Scorecard!$E$14+D441*Scorecard!$E$15+E441*Scorecard!$E$16+F441*Scorecard!$E$17</f>
        <v>4.08257141190884</v>
      </c>
      <c r="J441" s="0" t="str">
        <f aca="false">IF(AND(G441&gt;=H441,G441&gt;=I441),"Distribution",IF(I441&gt;=H441,"Prof. services","Manufacturing"))</f>
        <v>Prof. services</v>
      </c>
      <c r="L441" s="46" t="n">
        <v>0.359631</v>
      </c>
      <c r="M441" s="46" t="n">
        <v>0.18162</v>
      </c>
      <c r="N441" s="46" t="n">
        <v>0.13819</v>
      </c>
      <c r="O441" s="46" t="n">
        <v>0.086394</v>
      </c>
      <c r="P441" s="46" t="n">
        <v>0.20408</v>
      </c>
      <c r="Q441" s="46" t="n">
        <v>0.030086</v>
      </c>
      <c r="R441" s="47" t="n">
        <f aca="false">L441*Scorecard!$C$12+M441*Scorecard!$C$13+N441*Scorecard!$C$14+O441*Scorecard!$C$15+P441*Scorecard!$C$16+Q441*Scorecard!$C$17</f>
        <v>3.56050507131346</v>
      </c>
      <c r="S441" s="47" t="n">
        <f aca="false">L441*Scorecard!$D$12+M441*Scorecard!$D$13+N441*Scorecard!$D$14+O441*Scorecard!$D$15+P441*Scorecard!$D$16+Q441*Scorecard!$D$17</f>
        <v>3.08785585271123</v>
      </c>
      <c r="T441" s="47" t="n">
        <f aca="false">L441*Scorecard!$E$12+M441*Scorecard!$E$13+N441*Scorecard!$E$14+O441*Scorecard!$E$15+P441*Scorecard!$E$16+Q441*Scorecard!$E$17</f>
        <v>3.84626859931055</v>
      </c>
      <c r="U441" s="0" t="str">
        <f aca="false">IF(AND(R441&gt;=S441,R441&gt;=T441),"Distribution",IF(T441&gt;=S441,"Prof. services","Manufacturing"))</f>
        <v>Prof. services</v>
      </c>
    </row>
    <row r="442" customFormat="false" ht="15" hidden="false" customHeight="false" outlineLevel="0" collapsed="false">
      <c r="A442" s="46" t="n">
        <v>0.021628</v>
      </c>
      <c r="B442" s="46" t="n">
        <v>0.096021</v>
      </c>
      <c r="C442" s="46" t="n">
        <v>0.525192</v>
      </c>
      <c r="D442" s="46" t="n">
        <v>0.126589</v>
      </c>
      <c r="E442" s="46" t="n">
        <v>0.113003</v>
      </c>
      <c r="F442" s="46" t="n">
        <v>0.117568</v>
      </c>
      <c r="G442" s="47" t="n">
        <f aca="false">A442*Scorecard!$C$12+B442*Scorecard!$C$13+C442*Scorecard!$C$14+D442*Scorecard!$C$15+E442*Scorecard!$C$16+F442*Scorecard!$C$17</f>
        <v>3.94854729156376</v>
      </c>
      <c r="H442" s="47" t="n">
        <f aca="false">A442*Scorecard!$D$12+B442*Scorecard!$D$13+C442*Scorecard!$D$14+D442*Scorecard!$D$15+E442*Scorecard!$D$16+F442*Scorecard!$D$17</f>
        <v>2.87802194760659</v>
      </c>
      <c r="I442" s="47" t="n">
        <f aca="false">A442*Scorecard!$E$12+B442*Scorecard!$E$13+C442*Scorecard!$E$14+D442*Scorecard!$E$15+E442*Scorecard!$E$16+F442*Scorecard!$E$17</f>
        <v>4.25794842876204</v>
      </c>
      <c r="J442" s="0" t="str">
        <f aca="false">IF(AND(G442&gt;=H442,G442&gt;=I442),"Distribution",IF(I442&gt;=H442,"Prof. services","Manufacturing"))</f>
        <v>Prof. services</v>
      </c>
      <c r="L442" s="46" t="n">
        <v>0.094471</v>
      </c>
      <c r="M442" s="46" t="n">
        <v>0.15165</v>
      </c>
      <c r="N442" s="46" t="n">
        <v>0.218701</v>
      </c>
      <c r="O442" s="46" t="n">
        <v>0.096649</v>
      </c>
      <c r="P442" s="46" t="n">
        <v>0.243726</v>
      </c>
      <c r="Q442" s="46" t="n">
        <v>0.194803</v>
      </c>
      <c r="R442" s="47" t="n">
        <f aca="false">L442*Scorecard!$C$12+M442*Scorecard!$C$13+N442*Scorecard!$C$14+O442*Scorecard!$C$15+P442*Scorecard!$C$16+Q442*Scorecard!$C$17</f>
        <v>3.688643852752</v>
      </c>
      <c r="S442" s="47" t="n">
        <f aca="false">L442*Scorecard!$D$12+M442*Scorecard!$D$13+N442*Scorecard!$D$14+O442*Scorecard!$D$15+P442*Scorecard!$D$16+Q442*Scorecard!$D$17</f>
        <v>2.73569813847593</v>
      </c>
      <c r="T442" s="47" t="n">
        <f aca="false">L442*Scorecard!$E$12+M442*Scorecard!$E$13+N442*Scorecard!$E$14+O442*Scorecard!$E$15+P442*Scorecard!$E$16+Q442*Scorecard!$E$17</f>
        <v>3.73579174185064</v>
      </c>
      <c r="U442" s="0" t="str">
        <f aca="false">IF(AND(R442&gt;=S442,R442&gt;=T442),"Distribution",IF(T442&gt;=S442,"Prof. services","Manufacturing"))</f>
        <v>Prof. services</v>
      </c>
    </row>
    <row r="443" customFormat="false" ht="15" hidden="false" customHeight="false" outlineLevel="0" collapsed="false">
      <c r="A443" s="46" t="n">
        <v>0.057314</v>
      </c>
      <c r="B443" s="46" t="n">
        <v>0.153409</v>
      </c>
      <c r="C443" s="46" t="n">
        <v>0.052785</v>
      </c>
      <c r="D443" s="46" t="n">
        <v>0.252438</v>
      </c>
      <c r="E443" s="46" t="n">
        <v>0.426928</v>
      </c>
      <c r="F443" s="46" t="n">
        <v>0.057126</v>
      </c>
      <c r="G443" s="47" t="n">
        <f aca="false">A443*Scorecard!$C$12+B443*Scorecard!$C$13+C443*Scorecard!$C$14+D443*Scorecard!$C$15+E443*Scorecard!$C$16+F443*Scorecard!$C$17</f>
        <v>4.18842898264682</v>
      </c>
      <c r="H443" s="47" t="n">
        <f aca="false">A443*Scorecard!$D$12+B443*Scorecard!$D$13+C443*Scorecard!$D$14+D443*Scorecard!$D$15+E443*Scorecard!$D$16+F443*Scorecard!$D$17</f>
        <v>3.15644444980278</v>
      </c>
      <c r="I443" s="47" t="n">
        <f aca="false">A443*Scorecard!$E$12+B443*Scorecard!$E$13+C443*Scorecard!$E$14+D443*Scorecard!$E$15+E443*Scorecard!$E$16+F443*Scorecard!$E$17</f>
        <v>3.18081098931805</v>
      </c>
      <c r="J443" s="0" t="str">
        <f aca="false">IF(AND(G443&gt;=H443,G443&gt;=I443),"Distribution",IF(I443&gt;=H443,"Prof. services","Manufacturing"))</f>
        <v>Distribution</v>
      </c>
      <c r="L443" s="46" t="n">
        <v>0.0518</v>
      </c>
      <c r="M443" s="46" t="n">
        <v>0.250268</v>
      </c>
      <c r="N443" s="46" t="n">
        <v>0.162209</v>
      </c>
      <c r="O443" s="46" t="n">
        <v>0.234506</v>
      </c>
      <c r="P443" s="46" t="n">
        <v>0.192839</v>
      </c>
      <c r="Q443" s="46" t="n">
        <v>0.108378</v>
      </c>
      <c r="R443" s="47" t="n">
        <f aca="false">L443*Scorecard!$C$12+M443*Scorecard!$C$13+N443*Scorecard!$C$14+O443*Scorecard!$C$15+P443*Scorecard!$C$16+Q443*Scorecard!$C$17</f>
        <v>4.17477726128181</v>
      </c>
      <c r="S443" s="47" t="n">
        <f aca="false">L443*Scorecard!$D$12+M443*Scorecard!$D$13+N443*Scorecard!$D$14+O443*Scorecard!$D$15+P443*Scorecard!$D$16+Q443*Scorecard!$D$17</f>
        <v>2.83175014088623</v>
      </c>
      <c r="T443" s="47" t="n">
        <f aca="false">L443*Scorecard!$E$12+M443*Scorecard!$E$13+N443*Scorecard!$E$14+O443*Scorecard!$E$15+P443*Scorecard!$E$16+Q443*Scorecard!$E$17</f>
        <v>3.51588496413511</v>
      </c>
      <c r="U443" s="0" t="str">
        <f aca="false">IF(AND(R443&gt;=S443,R443&gt;=T443),"Distribution",IF(T443&gt;=S443,"Prof. services","Manufacturing"))</f>
        <v>Distribution</v>
      </c>
    </row>
    <row r="444" customFormat="false" ht="15" hidden="false" customHeight="false" outlineLevel="0" collapsed="false">
      <c r="A444" s="46" t="n">
        <v>0.471975</v>
      </c>
      <c r="B444" s="46" t="n">
        <v>0.383749</v>
      </c>
      <c r="C444" s="46" t="n">
        <v>0.000306</v>
      </c>
      <c r="D444" s="46" t="n">
        <v>0.077484</v>
      </c>
      <c r="E444" s="46" t="n">
        <v>0.037086</v>
      </c>
      <c r="F444" s="46" t="n">
        <v>0.029401</v>
      </c>
      <c r="G444" s="47" t="n">
        <f aca="false">A444*Scorecard!$C$12+B444*Scorecard!$C$13+C444*Scorecard!$C$14+D444*Scorecard!$C$15+E444*Scorecard!$C$16+F444*Scorecard!$C$17</f>
        <v>3.55287326917915</v>
      </c>
      <c r="H444" s="47" t="n">
        <f aca="false">A444*Scorecard!$D$12+B444*Scorecard!$D$13+C444*Scorecard!$D$14+D444*Scorecard!$D$15+E444*Scorecard!$D$16+F444*Scorecard!$D$17</f>
        <v>2.79371679231084</v>
      </c>
      <c r="I444" s="47" t="n">
        <f aca="false">A444*Scorecard!$E$12+B444*Scorecard!$E$13+C444*Scorecard!$E$14+D444*Scorecard!$E$15+E444*Scorecard!$E$16+F444*Scorecard!$E$17</f>
        <v>3.71813657665352</v>
      </c>
      <c r="J444" s="0" t="str">
        <f aca="false">IF(AND(G444&gt;=H444,G444&gt;=I444),"Distribution",IF(I444&gt;=H444,"Prof. services","Manufacturing"))</f>
        <v>Prof. services</v>
      </c>
      <c r="L444" s="46" t="n">
        <v>0.147005</v>
      </c>
      <c r="M444" s="46" t="n">
        <v>0.073828</v>
      </c>
      <c r="N444" s="46" t="n">
        <v>0.367553</v>
      </c>
      <c r="O444" s="46" t="n">
        <v>0.057803</v>
      </c>
      <c r="P444" s="46" t="n">
        <v>0.244569</v>
      </c>
      <c r="Q444" s="46" t="n">
        <v>0.109241</v>
      </c>
      <c r="R444" s="47" t="n">
        <f aca="false">L444*Scorecard!$C$12+M444*Scorecard!$C$13+N444*Scorecard!$C$14+O444*Scorecard!$C$15+P444*Scorecard!$C$16+Q444*Scorecard!$C$17</f>
        <v>3.64853390356625</v>
      </c>
      <c r="S444" s="47" t="n">
        <f aca="false">L444*Scorecard!$D$12+M444*Scorecard!$D$13+N444*Scorecard!$D$14+O444*Scorecard!$D$15+P444*Scorecard!$D$16+Q444*Scorecard!$D$17</f>
        <v>2.97086167130079</v>
      </c>
      <c r="T444" s="47" t="n">
        <f aca="false">L444*Scorecard!$E$12+M444*Scorecard!$E$13+N444*Scorecard!$E$14+O444*Scorecard!$E$15+P444*Scorecard!$E$16+Q444*Scorecard!$E$17</f>
        <v>4.03257468829814</v>
      </c>
      <c r="U444" s="0" t="str">
        <f aca="false">IF(AND(R444&gt;=S444,R444&gt;=T444),"Distribution",IF(T444&gt;=S444,"Prof. services","Manufacturing"))</f>
        <v>Prof. services</v>
      </c>
    </row>
    <row r="445" customFormat="false" ht="15" hidden="false" customHeight="false" outlineLevel="0" collapsed="false">
      <c r="A445" s="46" t="n">
        <v>0.257028</v>
      </c>
      <c r="B445" s="46" t="n">
        <v>0.183334</v>
      </c>
      <c r="C445" s="46" t="n">
        <v>0.096605</v>
      </c>
      <c r="D445" s="46" t="n">
        <v>0.237774</v>
      </c>
      <c r="E445" s="46" t="n">
        <v>0.211404</v>
      </c>
      <c r="F445" s="46" t="n">
        <v>0.013854</v>
      </c>
      <c r="G445" s="47" t="n">
        <f aca="false">A445*Scorecard!$C$12+B445*Scorecard!$C$13+C445*Scorecard!$C$14+D445*Scorecard!$C$15+E445*Scorecard!$C$16+F445*Scorecard!$C$17</f>
        <v>3.93074193453166</v>
      </c>
      <c r="H445" s="47" t="n">
        <f aca="false">A445*Scorecard!$D$12+B445*Scorecard!$D$13+C445*Scorecard!$D$14+D445*Scorecard!$D$15+E445*Scorecard!$D$16+F445*Scorecard!$D$17</f>
        <v>3.21953587558568</v>
      </c>
      <c r="I445" s="47" t="n">
        <f aca="false">A445*Scorecard!$E$12+B445*Scorecard!$E$13+C445*Scorecard!$E$14+D445*Scorecard!$E$15+E445*Scorecard!$E$16+F445*Scorecard!$E$17</f>
        <v>3.70337818610011</v>
      </c>
      <c r="J445" s="0" t="str">
        <f aca="false">IF(AND(G445&gt;=H445,G445&gt;=I445),"Distribution",IF(I445&gt;=H445,"Prof. services","Manufacturing"))</f>
        <v>Distribution</v>
      </c>
      <c r="L445" s="46" t="n">
        <v>0.202175</v>
      </c>
      <c r="M445" s="46" t="n">
        <v>0.188967</v>
      </c>
      <c r="N445" s="46" t="n">
        <v>0.117603</v>
      </c>
      <c r="O445" s="46" t="n">
        <v>0.189314</v>
      </c>
      <c r="P445" s="46" t="n">
        <v>0.072752</v>
      </c>
      <c r="Q445" s="46" t="n">
        <v>0.229188</v>
      </c>
      <c r="R445" s="47" t="n">
        <f aca="false">L445*Scorecard!$C$12+M445*Scorecard!$C$13+N445*Scorecard!$C$14+O445*Scorecard!$C$15+P445*Scorecard!$C$16+Q445*Scorecard!$C$17</f>
        <v>3.55598311678859</v>
      </c>
      <c r="S445" s="47" t="n">
        <f aca="false">L445*Scorecard!$D$12+M445*Scorecard!$D$13+N445*Scorecard!$D$14+O445*Scorecard!$D$15+P445*Scorecard!$D$16+Q445*Scorecard!$D$17</f>
        <v>2.74953000895092</v>
      </c>
      <c r="T445" s="47" t="n">
        <f aca="false">L445*Scorecard!$E$12+M445*Scorecard!$E$13+N445*Scorecard!$E$14+O445*Scorecard!$E$15+P445*Scorecard!$E$16+Q445*Scorecard!$E$17</f>
        <v>3.98975888517327</v>
      </c>
      <c r="U445" s="0" t="str">
        <f aca="false">IF(AND(R445&gt;=S445,R445&gt;=T445),"Distribution",IF(T445&gt;=S445,"Prof. services","Manufacturing"))</f>
        <v>Prof. services</v>
      </c>
    </row>
    <row r="446" customFormat="false" ht="15" hidden="false" customHeight="false" outlineLevel="0" collapsed="false">
      <c r="A446" s="46" t="n">
        <v>0.014371</v>
      </c>
      <c r="B446" s="46" t="n">
        <v>0.244685</v>
      </c>
      <c r="C446" s="46" t="n">
        <v>0.017575</v>
      </c>
      <c r="D446" s="46" t="n">
        <v>0.324997</v>
      </c>
      <c r="E446" s="46" t="n">
        <v>0.178266</v>
      </c>
      <c r="F446" s="46" t="n">
        <v>0.220106</v>
      </c>
      <c r="G446" s="47" t="n">
        <f aca="false">A446*Scorecard!$C$12+B446*Scorecard!$C$13+C446*Scorecard!$C$14+D446*Scorecard!$C$15+E446*Scorecard!$C$16+F446*Scorecard!$C$17</f>
        <v>4.10360199505561</v>
      </c>
      <c r="H446" s="47" t="n">
        <f aca="false">A446*Scorecard!$D$12+B446*Scorecard!$D$13+C446*Scorecard!$D$14+D446*Scorecard!$D$15+E446*Scorecard!$D$16+F446*Scorecard!$D$17</f>
        <v>2.74771298579655</v>
      </c>
      <c r="I446" s="47" t="n">
        <f aca="false">A446*Scorecard!$E$12+B446*Scorecard!$E$13+C446*Scorecard!$E$14+D446*Scorecard!$E$15+E446*Scorecard!$E$16+F446*Scorecard!$E$17</f>
        <v>3.43929620383948</v>
      </c>
      <c r="J446" s="0" t="str">
        <f aca="false">IF(AND(G446&gt;=H446,G446&gt;=I446),"Distribution",IF(I446&gt;=H446,"Prof. services","Manufacturing"))</f>
        <v>Distribution</v>
      </c>
      <c r="L446" s="46" t="n">
        <v>0.222534</v>
      </c>
      <c r="M446" s="46" t="n">
        <v>0.196001</v>
      </c>
      <c r="N446" s="46" t="n">
        <v>0.206856</v>
      </c>
      <c r="O446" s="46" t="n">
        <v>0.170028</v>
      </c>
      <c r="P446" s="46" t="n">
        <v>0.122785</v>
      </c>
      <c r="Q446" s="46" t="n">
        <v>0.081796</v>
      </c>
      <c r="R446" s="47" t="n">
        <f aca="false">L446*Scorecard!$C$12+M446*Scorecard!$C$13+N446*Scorecard!$C$14+O446*Scorecard!$C$15+P446*Scorecard!$C$16+Q446*Scorecard!$C$17</f>
        <v>3.80187262644952</v>
      </c>
      <c r="S446" s="47" t="n">
        <f aca="false">L446*Scorecard!$D$12+M446*Scorecard!$D$13+N446*Scorecard!$D$14+O446*Scorecard!$D$15+P446*Scorecard!$D$16+Q446*Scorecard!$D$17</f>
        <v>2.9678624779693</v>
      </c>
      <c r="T446" s="47" t="n">
        <f aca="false">L446*Scorecard!$E$12+M446*Scorecard!$E$13+N446*Scorecard!$E$14+O446*Scorecard!$E$15+P446*Scorecard!$E$16+Q446*Scorecard!$E$17</f>
        <v>3.92593263870251</v>
      </c>
      <c r="U446" s="0" t="str">
        <f aca="false">IF(AND(R446&gt;=S446,R446&gt;=T446),"Distribution",IF(T446&gt;=S446,"Prof. services","Manufacturing"))</f>
        <v>Prof. services</v>
      </c>
    </row>
    <row r="447" customFormat="false" ht="15" hidden="false" customHeight="false" outlineLevel="0" collapsed="false">
      <c r="A447" s="46" t="n">
        <v>0.178977</v>
      </c>
      <c r="B447" s="46" t="n">
        <v>0.104664</v>
      </c>
      <c r="C447" s="46" t="n">
        <v>0.136951</v>
      </c>
      <c r="D447" s="46" t="n">
        <v>0.042296</v>
      </c>
      <c r="E447" s="46" t="n">
        <v>0.1432</v>
      </c>
      <c r="F447" s="46" t="n">
        <v>0.393912</v>
      </c>
      <c r="G447" s="47" t="n">
        <f aca="false">A447*Scorecard!$C$12+B447*Scorecard!$C$13+C447*Scorecard!$C$14+D447*Scorecard!$C$15+E447*Scorecard!$C$16+F447*Scorecard!$C$17</f>
        <v>3.03697484761455</v>
      </c>
      <c r="H447" s="47" t="n">
        <f aca="false">A447*Scorecard!$D$12+B447*Scorecard!$D$13+C447*Scorecard!$D$14+D447*Scorecard!$D$15+E447*Scorecard!$D$16+F447*Scorecard!$D$17</f>
        <v>2.46695113950448</v>
      </c>
      <c r="I447" s="47" t="n">
        <f aca="false">A447*Scorecard!$E$12+B447*Scorecard!$E$13+C447*Scorecard!$E$14+D447*Scorecard!$E$15+E447*Scorecard!$E$16+F447*Scorecard!$E$17</f>
        <v>4.08485204655361</v>
      </c>
      <c r="J447" s="0" t="str">
        <f aca="false">IF(AND(G447&gt;=H447,G447&gt;=I447),"Distribution",IF(I447&gt;=H447,"Prof. services","Manufacturing"))</f>
        <v>Prof. services</v>
      </c>
      <c r="L447" s="46" t="n">
        <v>0.322818</v>
      </c>
      <c r="M447" s="46" t="n">
        <v>0.242468</v>
      </c>
      <c r="N447" s="46" t="n">
        <v>0.206727</v>
      </c>
      <c r="O447" s="46" t="n">
        <v>0.089988</v>
      </c>
      <c r="P447" s="46" t="n">
        <v>0.03645</v>
      </c>
      <c r="Q447" s="46" t="n">
        <v>0.101548</v>
      </c>
      <c r="R447" s="47" t="n">
        <f aca="false">L447*Scorecard!$C$12+M447*Scorecard!$C$13+N447*Scorecard!$C$14+O447*Scorecard!$C$15+P447*Scorecard!$C$16+Q447*Scorecard!$C$17</f>
        <v>3.54827899630251</v>
      </c>
      <c r="S447" s="47" t="n">
        <f aca="false">L447*Scorecard!$D$12+M447*Scorecard!$D$13+N447*Scorecard!$D$14+O447*Scorecard!$D$15+P447*Scorecard!$D$16+Q447*Scorecard!$D$17</f>
        <v>2.81329098607416</v>
      </c>
      <c r="T447" s="47" t="n">
        <f aca="false">L447*Scorecard!$E$12+M447*Scorecard!$E$13+N447*Scorecard!$E$14+O447*Scorecard!$E$15+P447*Scorecard!$E$16+Q447*Scorecard!$E$17</f>
        <v>4.07956299434697</v>
      </c>
      <c r="U447" s="0" t="str">
        <f aca="false">IF(AND(R447&gt;=S447,R447&gt;=T447),"Distribution",IF(T447&gt;=S447,"Prof. services","Manufacturing"))</f>
        <v>Prof. services</v>
      </c>
    </row>
    <row r="448" customFormat="false" ht="15" hidden="false" customHeight="false" outlineLevel="0" collapsed="false">
      <c r="A448" s="46" t="n">
        <v>0.195389</v>
      </c>
      <c r="B448" s="46" t="n">
        <v>0.00602</v>
      </c>
      <c r="C448" s="46" t="n">
        <v>0.18675</v>
      </c>
      <c r="D448" s="46" t="n">
        <v>0.288456</v>
      </c>
      <c r="E448" s="46" t="n">
        <v>0.248643</v>
      </c>
      <c r="F448" s="46" t="n">
        <v>0.074743</v>
      </c>
      <c r="G448" s="47" t="n">
        <f aca="false">A448*Scorecard!$C$12+B448*Scorecard!$C$13+C448*Scorecard!$C$14+D448*Scorecard!$C$15+E448*Scorecard!$C$16+F448*Scorecard!$C$17</f>
        <v>3.79329101356353</v>
      </c>
      <c r="H448" s="47" t="n">
        <f aca="false">A448*Scorecard!$D$12+B448*Scorecard!$D$13+C448*Scorecard!$D$14+D448*Scorecard!$D$15+E448*Scorecard!$D$16+F448*Scorecard!$D$17</f>
        <v>3.42472603190136</v>
      </c>
      <c r="I448" s="47" t="n">
        <f aca="false">A448*Scorecard!$E$12+B448*Scorecard!$E$13+C448*Scorecard!$E$14+D448*Scorecard!$E$15+E448*Scorecard!$E$16+F448*Scorecard!$E$17</f>
        <v>4.04115705091556</v>
      </c>
      <c r="J448" s="0" t="str">
        <f aca="false">IF(AND(G448&gt;=H448,G448&gt;=I448),"Distribution",IF(I448&gt;=H448,"Prof. services","Manufacturing"))</f>
        <v>Prof. services</v>
      </c>
      <c r="L448" s="46" t="n">
        <v>0.226246</v>
      </c>
      <c r="M448" s="46" t="n">
        <v>0.19662</v>
      </c>
      <c r="N448" s="46" t="n">
        <v>0.210236</v>
      </c>
      <c r="O448" s="46" t="n">
        <v>0.083532</v>
      </c>
      <c r="P448" s="46" t="n">
        <v>0.097235</v>
      </c>
      <c r="Q448" s="46" t="n">
        <v>0.18613</v>
      </c>
      <c r="R448" s="47" t="n">
        <f aca="false">L448*Scorecard!$C$12+M448*Scorecard!$C$13+N448*Scorecard!$C$14+O448*Scorecard!$C$15+P448*Scorecard!$C$16+Q448*Scorecard!$C$17</f>
        <v>3.50064197351281</v>
      </c>
      <c r="S448" s="47" t="n">
        <f aca="false">L448*Scorecard!$D$12+M448*Scorecard!$D$13+N448*Scorecard!$D$14+O448*Scorecard!$D$15+P448*Scorecard!$D$16+Q448*Scorecard!$D$17</f>
        <v>2.70423331763649</v>
      </c>
      <c r="T448" s="47" t="n">
        <f aca="false">L448*Scorecard!$E$12+M448*Scorecard!$E$13+N448*Scorecard!$E$14+O448*Scorecard!$E$15+P448*Scorecard!$E$16+Q448*Scorecard!$E$17</f>
        <v>4.01241510267822</v>
      </c>
      <c r="U448" s="0" t="str">
        <f aca="false">IF(AND(R448&gt;=S448,R448&gt;=T448),"Distribution",IF(T448&gt;=S448,"Prof. services","Manufacturing"))</f>
        <v>Prof. services</v>
      </c>
    </row>
    <row r="449" customFormat="false" ht="15" hidden="false" customHeight="false" outlineLevel="0" collapsed="false">
      <c r="A449" s="46" t="n">
        <v>0.285111</v>
      </c>
      <c r="B449" s="46" t="n">
        <v>0.207782</v>
      </c>
      <c r="C449" s="46" t="n">
        <v>0.110056</v>
      </c>
      <c r="D449" s="46" t="n">
        <v>0.12073</v>
      </c>
      <c r="E449" s="46" t="n">
        <v>0.025614</v>
      </c>
      <c r="F449" s="46" t="n">
        <v>0.250707</v>
      </c>
      <c r="G449" s="47" t="n">
        <f aca="false">A449*Scorecard!$C$12+B449*Scorecard!$C$13+C449*Scorecard!$C$14+D449*Scorecard!$C$15+E449*Scorecard!$C$16+F449*Scorecard!$C$17</f>
        <v>3.31389413404087</v>
      </c>
      <c r="H449" s="47" t="n">
        <f aca="false">A449*Scorecard!$D$12+B449*Scorecard!$D$13+C449*Scorecard!$D$14+D449*Scorecard!$D$15+E449*Scorecard!$D$16+F449*Scorecard!$D$17</f>
        <v>2.64868812345857</v>
      </c>
      <c r="I449" s="47" t="n">
        <f aca="false">A449*Scorecard!$E$12+B449*Scorecard!$E$13+C449*Scorecard!$E$14+D449*Scorecard!$E$15+E449*Scorecard!$E$16+F449*Scorecard!$E$17</f>
        <v>4.10793020119344</v>
      </c>
      <c r="J449" s="0" t="str">
        <f aca="false">IF(AND(G449&gt;=H449,G449&gt;=I449),"Distribution",IF(I449&gt;=H449,"Prof. services","Manufacturing"))</f>
        <v>Prof. services</v>
      </c>
      <c r="L449" s="46" t="n">
        <v>0.058802</v>
      </c>
      <c r="M449" s="46" t="n">
        <v>0.255155</v>
      </c>
      <c r="N449" s="46" t="n">
        <v>0.314658</v>
      </c>
      <c r="O449" s="46" t="n">
        <v>0.165642</v>
      </c>
      <c r="P449" s="46" t="n">
        <v>0.161683</v>
      </c>
      <c r="Q449" s="46" t="n">
        <v>0.044059</v>
      </c>
      <c r="R449" s="47" t="n">
        <f aca="false">L449*Scorecard!$C$12+M449*Scorecard!$C$13+N449*Scorecard!$C$14+O449*Scorecard!$C$15+P449*Scorecard!$C$16+Q449*Scorecard!$C$17</f>
        <v>4.2268305614265</v>
      </c>
      <c r="S449" s="47" t="n">
        <f aca="false">L449*Scorecard!$D$12+M449*Scorecard!$D$13+N449*Scorecard!$D$14+O449*Scorecard!$D$15+P449*Scorecard!$D$16+Q449*Scorecard!$D$17</f>
        <v>2.83541027302067</v>
      </c>
      <c r="T449" s="47" t="n">
        <f aca="false">L449*Scorecard!$E$12+M449*Scorecard!$E$13+N449*Scorecard!$E$14+O449*Scorecard!$E$15+P449*Scorecard!$E$16+Q449*Scorecard!$E$17</f>
        <v>3.67463184585623</v>
      </c>
      <c r="U449" s="0" t="str">
        <f aca="false">IF(AND(R449&gt;=S449,R449&gt;=T449),"Distribution",IF(T449&gt;=S449,"Prof. services","Manufacturing"))</f>
        <v>Distribution</v>
      </c>
    </row>
    <row r="450" customFormat="false" ht="15" hidden="false" customHeight="false" outlineLevel="0" collapsed="false">
      <c r="A450" s="46" t="n">
        <v>0.010197</v>
      </c>
      <c r="B450" s="46" t="n">
        <v>0.147347</v>
      </c>
      <c r="C450" s="46" t="n">
        <v>0.495611</v>
      </c>
      <c r="D450" s="46" t="n">
        <v>0.182528</v>
      </c>
      <c r="E450" s="46" t="n">
        <v>0.103407</v>
      </c>
      <c r="F450" s="46" t="n">
        <v>0.060911</v>
      </c>
      <c r="G450" s="47" t="n">
        <f aca="false">A450*Scorecard!$C$12+B450*Scorecard!$C$13+C450*Scorecard!$C$14+D450*Scorecard!$C$15+E450*Scorecard!$C$16+F450*Scorecard!$C$17</f>
        <v>4.1897022545809</v>
      </c>
      <c r="H450" s="47" t="n">
        <f aca="false">A450*Scorecard!$D$12+B450*Scorecard!$D$13+C450*Scorecard!$D$14+D450*Scorecard!$D$15+E450*Scorecard!$D$16+F450*Scorecard!$D$17</f>
        <v>2.93997490579332</v>
      </c>
      <c r="I450" s="47" t="n">
        <f aca="false">A450*Scorecard!$E$12+B450*Scorecard!$E$13+C450*Scorecard!$E$14+D450*Scorecard!$E$15+E450*Scorecard!$E$16+F450*Scorecard!$E$17</f>
        <v>4.11751501967316</v>
      </c>
      <c r="J450" s="0" t="str">
        <f aca="false">IF(AND(G450&gt;=H450,G450&gt;=I450),"Distribution",IF(I450&gt;=H450,"Prof. services","Manufacturing"))</f>
        <v>Distribution</v>
      </c>
      <c r="L450" s="46" t="n">
        <v>0.192614</v>
      </c>
      <c r="M450" s="46" t="n">
        <v>0.228804</v>
      </c>
      <c r="N450" s="46" t="n">
        <v>0.144305</v>
      </c>
      <c r="O450" s="46" t="n">
        <v>0.127623</v>
      </c>
      <c r="P450" s="46" t="n">
        <v>0.212114</v>
      </c>
      <c r="Q450" s="46" t="n">
        <v>0.09454</v>
      </c>
      <c r="R450" s="47" t="n">
        <f aca="false">L450*Scorecard!$C$12+M450*Scorecard!$C$13+N450*Scorecard!$C$14+O450*Scorecard!$C$15+P450*Scorecard!$C$16+Q450*Scorecard!$C$17</f>
        <v>3.82063905313772</v>
      </c>
      <c r="S450" s="47" t="n">
        <f aca="false">L450*Scorecard!$D$12+M450*Scorecard!$D$13+N450*Scorecard!$D$14+O450*Scorecard!$D$15+P450*Scorecard!$D$16+Q450*Scorecard!$D$17</f>
        <v>2.86043204053468</v>
      </c>
      <c r="T450" s="47" t="n">
        <f aca="false">L450*Scorecard!$E$12+M450*Scorecard!$E$13+N450*Scorecard!$E$14+O450*Scorecard!$E$15+P450*Scorecard!$E$16+Q450*Scorecard!$E$17</f>
        <v>3.62246797861333</v>
      </c>
      <c r="U450" s="0" t="str">
        <f aca="false">IF(AND(R450&gt;=S450,R450&gt;=T450),"Distribution",IF(T450&gt;=S450,"Prof. services","Manufacturing"))</f>
        <v>Distribution</v>
      </c>
    </row>
    <row r="451" customFormat="false" ht="15" hidden="false" customHeight="false" outlineLevel="0" collapsed="false">
      <c r="A451" s="46" t="n">
        <v>0.373661</v>
      </c>
      <c r="B451" s="46" t="n">
        <v>0.018722</v>
      </c>
      <c r="C451" s="46" t="n">
        <v>0.133793</v>
      </c>
      <c r="D451" s="46" t="n">
        <v>0.295124</v>
      </c>
      <c r="E451" s="46" t="n">
        <v>0.080961</v>
      </c>
      <c r="F451" s="46" t="n">
        <v>0.097739</v>
      </c>
      <c r="G451" s="47" t="n">
        <f aca="false">A451*Scorecard!$C$12+B451*Scorecard!$C$13+C451*Scorecard!$C$14+D451*Scorecard!$C$15+E451*Scorecard!$C$16+F451*Scorecard!$C$17</f>
        <v>3.44577287123206</v>
      </c>
      <c r="H451" s="47" t="n">
        <f aca="false">A451*Scorecard!$D$12+B451*Scorecard!$D$13+C451*Scorecard!$D$14+D451*Scorecard!$D$15+E451*Scorecard!$D$16+F451*Scorecard!$D$17</f>
        <v>3.44074585731083</v>
      </c>
      <c r="I451" s="47" t="n">
        <f aca="false">A451*Scorecard!$E$12+B451*Scorecard!$E$13+C451*Scorecard!$E$14+D451*Scorecard!$E$15+E451*Scorecard!$E$16+F451*Scorecard!$E$17</f>
        <v>4.43470662518337</v>
      </c>
      <c r="J451" s="0" t="str">
        <f aca="false">IF(AND(G451&gt;=H451,G451&gt;=I451),"Distribution",IF(I451&gt;=H451,"Prof. services","Manufacturing"))</f>
        <v>Prof. services</v>
      </c>
      <c r="L451" s="46" t="n">
        <v>0.188441</v>
      </c>
      <c r="M451" s="46" t="n">
        <v>0.266376</v>
      </c>
      <c r="N451" s="46" t="n">
        <v>0.187819</v>
      </c>
      <c r="O451" s="46" t="n">
        <v>0.159778</v>
      </c>
      <c r="P451" s="46" t="n">
        <v>0.049812</v>
      </c>
      <c r="Q451" s="46" t="n">
        <v>0.147774</v>
      </c>
      <c r="R451" s="47" t="n">
        <f aca="false">L451*Scorecard!$C$12+M451*Scorecard!$C$13+N451*Scorecard!$C$14+O451*Scorecard!$C$15+P451*Scorecard!$C$16+Q451*Scorecard!$C$17</f>
        <v>3.79140951264874</v>
      </c>
      <c r="S451" s="47" t="n">
        <f aca="false">L451*Scorecard!$D$12+M451*Scorecard!$D$13+N451*Scorecard!$D$14+O451*Scorecard!$D$15+P451*Scorecard!$D$16+Q451*Scorecard!$D$17</f>
        <v>2.70455220750911</v>
      </c>
      <c r="T451" s="47" t="n">
        <f aca="false">L451*Scorecard!$E$12+M451*Scorecard!$E$13+N451*Scorecard!$E$14+O451*Scorecard!$E$15+P451*Scorecard!$E$16+Q451*Scorecard!$E$17</f>
        <v>3.89373670221196</v>
      </c>
      <c r="U451" s="0" t="str">
        <f aca="false">IF(AND(R451&gt;=S451,R451&gt;=T451),"Distribution",IF(T451&gt;=S451,"Prof. services","Manufacturing"))</f>
        <v>Prof. services</v>
      </c>
    </row>
    <row r="452" customFormat="false" ht="15" hidden="false" customHeight="false" outlineLevel="0" collapsed="false">
      <c r="A452" s="46" t="n">
        <v>0.050162</v>
      </c>
      <c r="B452" s="46" t="n">
        <v>0.087691</v>
      </c>
      <c r="C452" s="46" t="n">
        <v>0.016074</v>
      </c>
      <c r="D452" s="46" t="n">
        <v>0.231918</v>
      </c>
      <c r="E452" s="46" t="n">
        <v>0.398627</v>
      </c>
      <c r="F452" s="46" t="n">
        <v>0.215529</v>
      </c>
      <c r="G452" s="47" t="n">
        <f aca="false">A452*Scorecard!$C$12+B452*Scorecard!$C$13+C452*Scorecard!$C$14+D452*Scorecard!$C$15+E452*Scorecard!$C$16+F452*Scorecard!$C$17</f>
        <v>3.79826268464127</v>
      </c>
      <c r="H452" s="47" t="n">
        <f aca="false">A452*Scorecard!$D$12+B452*Scorecard!$D$13+C452*Scorecard!$D$14+D452*Scorecard!$D$15+E452*Scorecard!$D$16+F452*Scorecard!$D$17</f>
        <v>2.97957308896218</v>
      </c>
      <c r="I452" s="47" t="n">
        <f aca="false">A452*Scorecard!$E$12+B452*Scorecard!$E$13+C452*Scorecard!$E$14+D452*Scorecard!$E$15+E452*Scorecard!$E$16+F452*Scorecard!$E$17</f>
        <v>3.383214142075</v>
      </c>
      <c r="J452" s="0" t="str">
        <f aca="false">IF(AND(G452&gt;=H452,G452&gt;=I452),"Distribution",IF(I452&gt;=H452,"Prof. services","Manufacturing"))</f>
        <v>Distribution</v>
      </c>
      <c r="L452" s="46" t="n">
        <v>0.128396</v>
      </c>
      <c r="M452" s="46" t="n">
        <v>0.224965</v>
      </c>
      <c r="N452" s="46" t="n">
        <v>0.170104</v>
      </c>
      <c r="O452" s="46" t="n">
        <v>0.066146</v>
      </c>
      <c r="P452" s="46" t="n">
        <v>0.223942</v>
      </c>
      <c r="Q452" s="46" t="n">
        <v>0.186447</v>
      </c>
      <c r="R452" s="47" t="n">
        <f aca="false">L452*Scorecard!$C$12+M452*Scorecard!$C$13+N452*Scorecard!$C$14+O452*Scorecard!$C$15+P452*Scorecard!$C$16+Q452*Scorecard!$C$17</f>
        <v>3.68710236894862</v>
      </c>
      <c r="S452" s="47" t="n">
        <f aca="false">L452*Scorecard!$D$12+M452*Scorecard!$D$13+N452*Scorecard!$D$14+O452*Scorecard!$D$15+P452*Scorecard!$D$16+Q452*Scorecard!$D$17</f>
        <v>2.61868910772084</v>
      </c>
      <c r="T452" s="47" t="n">
        <f aca="false">L452*Scorecard!$E$12+M452*Scorecard!$E$13+N452*Scorecard!$E$14+O452*Scorecard!$E$15+P452*Scorecard!$E$16+Q452*Scorecard!$E$17</f>
        <v>3.60740051965563</v>
      </c>
      <c r="U452" s="0" t="str">
        <f aca="false">IF(AND(R452&gt;=S452,R452&gt;=T452),"Distribution",IF(T452&gt;=S452,"Prof. services","Manufacturing"))</f>
        <v>Distribution</v>
      </c>
    </row>
    <row r="453" customFormat="false" ht="15" hidden="false" customHeight="false" outlineLevel="0" collapsed="false">
      <c r="A453" s="46" t="n">
        <v>0.056709</v>
      </c>
      <c r="B453" s="46" t="n">
        <v>0.18808</v>
      </c>
      <c r="C453" s="46" t="n">
        <v>0.450271</v>
      </c>
      <c r="D453" s="46" t="n">
        <v>0.122547</v>
      </c>
      <c r="E453" s="46" t="n">
        <v>0.128194</v>
      </c>
      <c r="F453" s="46" t="n">
        <v>0.054199</v>
      </c>
      <c r="G453" s="47" t="n">
        <f aca="false">A453*Scorecard!$C$12+B453*Scorecard!$C$13+C453*Scorecard!$C$14+D453*Scorecard!$C$15+E453*Scorecard!$C$16+F453*Scorecard!$C$17</f>
        <v>4.10015199127471</v>
      </c>
      <c r="H453" s="47" t="n">
        <f aca="false">A453*Scorecard!$D$12+B453*Scorecard!$D$13+C453*Scorecard!$D$14+D453*Scorecard!$D$15+E453*Scorecard!$D$16+F453*Scorecard!$D$17</f>
        <v>2.85844890660149</v>
      </c>
      <c r="I453" s="47" t="n">
        <f aca="false">A453*Scorecard!$E$12+B453*Scorecard!$E$13+C453*Scorecard!$E$14+D453*Scorecard!$E$15+E453*Scorecard!$E$16+F453*Scorecard!$E$17</f>
        <v>3.98777354854899</v>
      </c>
      <c r="J453" s="0" t="str">
        <f aca="false">IF(AND(G453&gt;=H453,G453&gt;=I453),"Distribution",IF(I453&gt;=H453,"Prof. services","Manufacturing"))</f>
        <v>Distribution</v>
      </c>
      <c r="L453" s="46" t="n">
        <v>0.376199</v>
      </c>
      <c r="M453" s="46" t="n">
        <v>0.234492</v>
      </c>
      <c r="N453" s="46" t="n">
        <v>0.141589</v>
      </c>
      <c r="O453" s="46" t="n">
        <v>0.118813</v>
      </c>
      <c r="P453" s="46" t="n">
        <v>0.052918</v>
      </c>
      <c r="Q453" s="46" t="n">
        <v>0.075989</v>
      </c>
      <c r="R453" s="47" t="n">
        <f aca="false">L453*Scorecard!$C$12+M453*Scorecard!$C$13+N453*Scorecard!$C$14+O453*Scorecard!$C$15+P453*Scorecard!$C$16+Q453*Scorecard!$C$17</f>
        <v>3.52416343503772</v>
      </c>
      <c r="S453" s="47" t="n">
        <f aca="false">L453*Scorecard!$D$12+M453*Scorecard!$D$13+N453*Scorecard!$D$14+O453*Scorecard!$D$15+P453*Scorecard!$D$16+Q453*Scorecard!$D$17</f>
        <v>2.93772358761877</v>
      </c>
      <c r="T453" s="47" t="n">
        <f aca="false">L453*Scorecard!$E$12+M453*Scorecard!$E$13+N453*Scorecard!$E$14+O453*Scorecard!$E$15+P453*Scorecard!$E$16+Q453*Scorecard!$E$17</f>
        <v>4.04727399200768</v>
      </c>
      <c r="U453" s="0" t="str">
        <f aca="false">IF(AND(R453&gt;=S453,R453&gt;=T453),"Distribution",IF(T453&gt;=S453,"Prof. services","Manufacturing"))</f>
        <v>Prof. services</v>
      </c>
    </row>
    <row r="454" customFormat="false" ht="15" hidden="false" customHeight="false" outlineLevel="0" collapsed="false">
      <c r="A454" s="46" t="n">
        <v>0.067381</v>
      </c>
      <c r="B454" s="46" t="n">
        <v>0.0594</v>
      </c>
      <c r="C454" s="46" t="n">
        <v>0.441865</v>
      </c>
      <c r="D454" s="46" t="n">
        <v>0.179096</v>
      </c>
      <c r="E454" s="46" t="n">
        <v>0.22133</v>
      </c>
      <c r="F454" s="46" t="n">
        <v>0.030927</v>
      </c>
      <c r="G454" s="47" t="n">
        <f aca="false">A454*Scorecard!$C$12+B454*Scorecard!$C$13+C454*Scorecard!$C$14+D454*Scorecard!$C$15+E454*Scorecard!$C$16+F454*Scorecard!$C$17</f>
        <v>4.05535123908165</v>
      </c>
      <c r="H454" s="47" t="n">
        <f aca="false">A454*Scorecard!$D$12+B454*Scorecard!$D$13+C454*Scorecard!$D$14+D454*Scorecard!$D$15+E454*Scorecard!$D$16+F454*Scorecard!$D$17</f>
        <v>3.19006100844666</v>
      </c>
      <c r="I454" s="47" t="n">
        <f aca="false">A454*Scorecard!$E$12+B454*Scorecard!$E$13+C454*Scorecard!$E$14+D454*Scorecard!$E$15+E454*Scorecard!$E$16+F454*Scorecard!$E$17</f>
        <v>4.07380375720976</v>
      </c>
      <c r="J454" s="0" t="str">
        <f aca="false">IF(AND(G454&gt;=H454,G454&gt;=I454),"Distribution",IF(I454&gt;=H454,"Prof. services","Manufacturing"))</f>
        <v>Prof. services</v>
      </c>
      <c r="L454" s="46" t="n">
        <v>0.191484</v>
      </c>
      <c r="M454" s="46" t="n">
        <v>0.239689</v>
      </c>
      <c r="N454" s="46" t="n">
        <v>0.266992</v>
      </c>
      <c r="O454" s="46" t="n">
        <v>0.179212</v>
      </c>
      <c r="P454" s="46" t="n">
        <v>0.084875</v>
      </c>
      <c r="Q454" s="46" t="n">
        <v>0.037748</v>
      </c>
      <c r="R454" s="47" t="n">
        <f aca="false">L454*Scorecard!$C$12+M454*Scorecard!$C$13+N454*Scorecard!$C$14+O454*Scorecard!$C$15+P454*Scorecard!$C$16+Q454*Scorecard!$C$17</f>
        <v>3.99873106925261</v>
      </c>
      <c r="S454" s="47" t="n">
        <f aca="false">L454*Scorecard!$D$12+M454*Scorecard!$D$13+N454*Scorecard!$D$14+O454*Scorecard!$D$15+P454*Scorecard!$D$16+Q454*Scorecard!$D$17</f>
        <v>2.94584376413347</v>
      </c>
      <c r="T454" s="47" t="n">
        <f aca="false">L454*Scorecard!$E$12+M454*Scorecard!$E$13+N454*Scorecard!$E$14+O454*Scorecard!$E$15+P454*Scorecard!$E$16+Q454*Scorecard!$E$17</f>
        <v>3.91574449223224</v>
      </c>
      <c r="U454" s="0" t="str">
        <f aca="false">IF(AND(R454&gt;=S454,R454&gt;=T454),"Distribution",IF(T454&gt;=S454,"Prof. services","Manufacturing"))</f>
        <v>Distribution</v>
      </c>
    </row>
    <row r="455" customFormat="false" ht="15" hidden="false" customHeight="false" outlineLevel="0" collapsed="false">
      <c r="A455" s="46" t="n">
        <v>0.406971</v>
      </c>
      <c r="B455" s="46" t="n">
        <v>0.136917</v>
      </c>
      <c r="C455" s="46" t="n">
        <v>0.03507</v>
      </c>
      <c r="D455" s="46" t="n">
        <v>0.241337</v>
      </c>
      <c r="E455" s="46" t="n">
        <v>0.037541</v>
      </c>
      <c r="F455" s="46" t="n">
        <v>0.142165</v>
      </c>
      <c r="G455" s="47" t="n">
        <f aca="false">A455*Scorecard!$C$12+B455*Scorecard!$C$13+C455*Scorecard!$C$14+D455*Scorecard!$C$15+E455*Scorecard!$C$16+F455*Scorecard!$C$17</f>
        <v>3.36137439619918</v>
      </c>
      <c r="H455" s="47" t="n">
        <f aca="false">A455*Scorecard!$D$12+B455*Scorecard!$D$13+C455*Scorecard!$D$14+D455*Scorecard!$D$15+E455*Scorecard!$D$16+F455*Scorecard!$D$17</f>
        <v>3.14196243503878</v>
      </c>
      <c r="I455" s="47" t="n">
        <f aca="false">A455*Scorecard!$E$12+B455*Scorecard!$E$13+C455*Scorecard!$E$14+D455*Scorecard!$E$15+E455*Scorecard!$E$16+F455*Scorecard!$E$17</f>
        <v>4.23336522439208</v>
      </c>
      <c r="J455" s="0" t="str">
        <f aca="false">IF(AND(G455&gt;=H455,G455&gt;=I455),"Distribution",IF(I455&gt;=H455,"Prof. services","Manufacturing"))</f>
        <v>Prof. services</v>
      </c>
      <c r="L455" s="46" t="n">
        <v>0.22435</v>
      </c>
      <c r="M455" s="46" t="n">
        <v>0.06326</v>
      </c>
      <c r="N455" s="46" t="n">
        <v>0.363734</v>
      </c>
      <c r="O455" s="46" t="n">
        <v>0.081939</v>
      </c>
      <c r="P455" s="46" t="n">
        <v>0.213925</v>
      </c>
      <c r="Q455" s="46" t="n">
        <v>0.052792</v>
      </c>
      <c r="R455" s="47" t="n">
        <f aca="false">L455*Scorecard!$C$12+M455*Scorecard!$C$13+N455*Scorecard!$C$14+O455*Scorecard!$C$15+P455*Scorecard!$C$16+Q455*Scorecard!$C$17</f>
        <v>3.6357818005516</v>
      </c>
      <c r="S455" s="47" t="n">
        <f aca="false">L455*Scorecard!$D$12+M455*Scorecard!$D$13+N455*Scorecard!$D$14+O455*Scorecard!$D$15+P455*Scorecard!$D$16+Q455*Scorecard!$D$17</f>
        <v>3.14021708814565</v>
      </c>
      <c r="T455" s="47" t="n">
        <f aca="false">L455*Scorecard!$E$12+M455*Scorecard!$E$13+N455*Scorecard!$E$14+O455*Scorecard!$E$15+P455*Scorecard!$E$16+Q455*Scorecard!$E$17</f>
        <v>4.15273569587054</v>
      </c>
      <c r="U455" s="0" t="str">
        <f aca="false">IF(AND(R455&gt;=S455,R455&gt;=T455),"Distribution",IF(T455&gt;=S455,"Prof. services","Manufacturing"))</f>
        <v>Prof. services</v>
      </c>
    </row>
    <row r="456" customFormat="false" ht="15" hidden="false" customHeight="false" outlineLevel="0" collapsed="false">
      <c r="A456" s="46" t="n">
        <v>0.082882</v>
      </c>
      <c r="B456" s="46" t="n">
        <v>0.495225</v>
      </c>
      <c r="C456" s="46" t="n">
        <v>0.141995</v>
      </c>
      <c r="D456" s="46" t="n">
        <v>0.15143</v>
      </c>
      <c r="E456" s="46" t="n">
        <v>0.101945</v>
      </c>
      <c r="F456" s="46" t="n">
        <v>0.026524</v>
      </c>
      <c r="G456" s="47" t="n">
        <f aca="false">A456*Scorecard!$C$12+B456*Scorecard!$C$13+C456*Scorecard!$C$14+D456*Scorecard!$C$15+E456*Scorecard!$C$16+F456*Scorecard!$C$17</f>
        <v>4.44442221802237</v>
      </c>
      <c r="H456" s="47" t="n">
        <f aca="false">A456*Scorecard!$D$12+B456*Scorecard!$D$13+C456*Scorecard!$D$14+D456*Scorecard!$D$15+E456*Scorecard!$D$16+F456*Scorecard!$D$17</f>
        <v>2.48091418008896</v>
      </c>
      <c r="I456" s="47" t="n">
        <f aca="false">A456*Scorecard!$E$12+B456*Scorecard!$E$13+C456*Scorecard!$E$14+D456*Scorecard!$E$15+E456*Scorecard!$E$16+F456*Scorecard!$E$17</f>
        <v>3.1642480438175</v>
      </c>
      <c r="J456" s="0" t="str">
        <f aca="false">IF(AND(G456&gt;=H456,G456&gt;=I456),"Distribution",IF(I456&gt;=H456,"Prof. services","Manufacturing"))</f>
        <v>Distribution</v>
      </c>
      <c r="L456" s="46" t="n">
        <v>0.304146</v>
      </c>
      <c r="M456" s="46" t="n">
        <v>0.136951</v>
      </c>
      <c r="N456" s="46" t="n">
        <v>0.242376</v>
      </c>
      <c r="O456" s="46" t="n">
        <v>0.063023</v>
      </c>
      <c r="P456" s="46" t="n">
        <v>0.206295</v>
      </c>
      <c r="Q456" s="46" t="n">
        <v>0.047208</v>
      </c>
      <c r="R456" s="47" t="n">
        <f aca="false">L456*Scorecard!$C$12+M456*Scorecard!$C$13+N456*Scorecard!$C$14+O456*Scorecard!$C$15+P456*Scorecard!$C$16+Q456*Scorecard!$C$17</f>
        <v>3.55808686258332</v>
      </c>
      <c r="S456" s="47" t="n">
        <f aca="false">L456*Scorecard!$D$12+M456*Scorecard!$D$13+N456*Scorecard!$D$14+O456*Scorecard!$D$15+P456*Scorecard!$D$16+Q456*Scorecard!$D$17</f>
        <v>3.0662476481155</v>
      </c>
      <c r="T456" s="47" t="n">
        <f aca="false">L456*Scorecard!$E$12+M456*Scorecard!$E$13+N456*Scorecard!$E$14+O456*Scorecard!$E$15+P456*Scorecard!$E$16+Q456*Scorecard!$E$17</f>
        <v>3.97977613162631</v>
      </c>
      <c r="U456" s="0" t="str">
        <f aca="false">IF(AND(R456&gt;=S456,R456&gt;=T456),"Distribution",IF(T456&gt;=S456,"Prof. services","Manufacturing"))</f>
        <v>Prof. services</v>
      </c>
    </row>
    <row r="457" customFormat="false" ht="15" hidden="false" customHeight="false" outlineLevel="0" collapsed="false">
      <c r="A457" s="46" t="n">
        <v>0.014177</v>
      </c>
      <c r="B457" s="46" t="n">
        <v>0.15771</v>
      </c>
      <c r="C457" s="46" t="n">
        <v>0.049942</v>
      </c>
      <c r="D457" s="46" t="n">
        <v>0.189279</v>
      </c>
      <c r="E457" s="46" t="n">
        <v>0.28258</v>
      </c>
      <c r="F457" s="46" t="n">
        <v>0.306311</v>
      </c>
      <c r="G457" s="47" t="n">
        <f aca="false">A457*Scorecard!$C$12+B457*Scorecard!$C$13+C457*Scorecard!$C$14+D457*Scorecard!$C$15+E457*Scorecard!$C$16+F457*Scorecard!$C$17</f>
        <v>3.70884419782224</v>
      </c>
      <c r="H457" s="47" t="n">
        <f aca="false">A457*Scorecard!$D$12+B457*Scorecard!$D$13+C457*Scorecard!$D$14+D457*Scorecard!$D$15+E457*Scorecard!$D$16+F457*Scorecard!$D$17</f>
        <v>2.62648257621336</v>
      </c>
      <c r="I457" s="47" t="n">
        <f aca="false">A457*Scorecard!$E$12+B457*Scorecard!$E$13+C457*Scorecard!$E$14+D457*Scorecard!$E$15+E457*Scorecard!$E$16+F457*Scorecard!$E$17</f>
        <v>3.48156754767857</v>
      </c>
      <c r="J457" s="0" t="str">
        <f aca="false">IF(AND(G457&gt;=H457,G457&gt;=I457),"Distribution",IF(I457&gt;=H457,"Prof. services","Manufacturing"))</f>
        <v>Distribution</v>
      </c>
      <c r="L457" s="46" t="n">
        <v>0.130348</v>
      </c>
      <c r="M457" s="46" t="n">
        <v>0.176061</v>
      </c>
      <c r="N457" s="46" t="n">
        <v>0.192008</v>
      </c>
      <c r="O457" s="46" t="n">
        <v>0.201129</v>
      </c>
      <c r="P457" s="46" t="n">
        <v>0.191366</v>
      </c>
      <c r="Q457" s="46" t="n">
        <v>0.109088</v>
      </c>
      <c r="R457" s="47" t="n">
        <f aca="false">L457*Scorecard!$C$12+M457*Scorecard!$C$13+N457*Scorecard!$C$14+O457*Scorecard!$C$15+P457*Scorecard!$C$16+Q457*Scorecard!$C$17</f>
        <v>3.92438574111121</v>
      </c>
      <c r="S457" s="47" t="n">
        <f aca="false">L457*Scorecard!$D$12+M457*Scorecard!$D$13+N457*Scorecard!$D$14+O457*Scorecard!$D$15+P457*Scorecard!$D$16+Q457*Scorecard!$D$17</f>
        <v>2.95482521424789</v>
      </c>
      <c r="T457" s="47" t="n">
        <f aca="false">L457*Scorecard!$E$12+M457*Scorecard!$E$13+N457*Scorecard!$E$14+O457*Scorecard!$E$15+P457*Scorecard!$E$16+Q457*Scorecard!$E$17</f>
        <v>3.76074618061821</v>
      </c>
      <c r="U457" s="0" t="str">
        <f aca="false">IF(AND(R457&gt;=S457,R457&gt;=T457),"Distribution",IF(T457&gt;=S457,"Prof. services","Manufacturing"))</f>
        <v>Distribution</v>
      </c>
    </row>
    <row r="458" customFormat="false" ht="15" hidden="false" customHeight="false" outlineLevel="0" collapsed="false">
      <c r="A458" s="46" t="n">
        <v>0.014442</v>
      </c>
      <c r="B458" s="46" t="n">
        <v>0.154965</v>
      </c>
      <c r="C458" s="46" t="n">
        <v>0.021151</v>
      </c>
      <c r="D458" s="46" t="n">
        <v>0.420317</v>
      </c>
      <c r="E458" s="46" t="n">
        <v>0.300356</v>
      </c>
      <c r="F458" s="46" t="n">
        <v>0.088769</v>
      </c>
      <c r="G458" s="47" t="n">
        <f aca="false">A458*Scorecard!$C$12+B458*Scorecard!$C$13+C458*Scorecard!$C$14+D458*Scorecard!$C$15+E458*Scorecard!$C$16+F458*Scorecard!$C$17</f>
        <v>4.37174819404309</v>
      </c>
      <c r="H458" s="47" t="n">
        <f aca="false">A458*Scorecard!$D$12+B458*Scorecard!$D$13+C458*Scorecard!$D$14+D458*Scorecard!$D$15+E458*Scorecard!$D$16+F458*Scorecard!$D$17</f>
        <v>3.23047830854511</v>
      </c>
      <c r="I458" s="47" t="n">
        <f aca="false">A458*Scorecard!$E$12+B458*Scorecard!$E$13+C458*Scorecard!$E$14+D458*Scorecard!$E$15+E458*Scorecard!$E$16+F458*Scorecard!$E$17</f>
        <v>3.3577120740464</v>
      </c>
      <c r="J458" s="0" t="str">
        <f aca="false">IF(AND(G458&gt;=H458,G458&gt;=I458),"Distribution",IF(I458&gt;=H458,"Prof. services","Manufacturing"))</f>
        <v>Distribution</v>
      </c>
      <c r="L458" s="46" t="n">
        <v>0.23428</v>
      </c>
      <c r="M458" s="46" t="n">
        <v>0.190169</v>
      </c>
      <c r="N458" s="46" t="n">
        <v>0.196002</v>
      </c>
      <c r="O458" s="46" t="n">
        <v>0.066033</v>
      </c>
      <c r="P458" s="46" t="n">
        <v>0.188973</v>
      </c>
      <c r="Q458" s="46" t="n">
        <v>0.124543</v>
      </c>
      <c r="R458" s="47" t="n">
        <f aca="false">L458*Scorecard!$C$12+M458*Scorecard!$C$13+N458*Scorecard!$C$14+O458*Scorecard!$C$15+P458*Scorecard!$C$16+Q458*Scorecard!$C$17</f>
        <v>3.58540865894018</v>
      </c>
      <c r="S458" s="47" t="n">
        <f aca="false">L458*Scorecard!$D$12+M458*Scorecard!$D$13+N458*Scorecard!$D$14+O458*Scorecard!$D$15+P458*Scorecard!$D$16+Q458*Scorecard!$D$17</f>
        <v>2.82192840300815</v>
      </c>
      <c r="T458" s="47" t="n">
        <f aca="false">L458*Scorecard!$E$12+M458*Scorecard!$E$13+N458*Scorecard!$E$14+O458*Scorecard!$E$15+P458*Scorecard!$E$16+Q458*Scorecard!$E$17</f>
        <v>3.83175658586049</v>
      </c>
      <c r="U458" s="0" t="str">
        <f aca="false">IF(AND(R458&gt;=S458,R458&gt;=T458),"Distribution",IF(T458&gt;=S458,"Prof. services","Manufacturing"))</f>
        <v>Prof. services</v>
      </c>
    </row>
    <row r="459" customFormat="false" ht="15" hidden="false" customHeight="false" outlineLevel="0" collapsed="false">
      <c r="A459" s="46" t="n">
        <v>0.093202</v>
      </c>
      <c r="B459" s="46" t="n">
        <v>0.153949</v>
      </c>
      <c r="C459" s="46" t="n">
        <v>0.222196</v>
      </c>
      <c r="D459" s="46" t="n">
        <v>0.352533</v>
      </c>
      <c r="E459" s="46" t="n">
        <v>0.02196</v>
      </c>
      <c r="F459" s="46" t="n">
        <v>0.156159</v>
      </c>
      <c r="G459" s="47" t="n">
        <f aca="false">A459*Scorecard!$C$12+B459*Scorecard!$C$13+C459*Scorecard!$C$14+D459*Scorecard!$C$15+E459*Scorecard!$C$16+F459*Scorecard!$C$17</f>
        <v>4.02639507084917</v>
      </c>
      <c r="H459" s="47" t="n">
        <f aca="false">A459*Scorecard!$D$12+B459*Scorecard!$D$13+C459*Scorecard!$D$14+D459*Scorecard!$D$15+E459*Scorecard!$D$16+F459*Scorecard!$D$17</f>
        <v>3.01167195387674</v>
      </c>
      <c r="I459" s="47" t="n">
        <f aca="false">A459*Scorecard!$E$12+B459*Scorecard!$E$13+C459*Scorecard!$E$14+D459*Scorecard!$E$15+E459*Scorecard!$E$16+F459*Scorecard!$E$17</f>
        <v>4.1259829547513</v>
      </c>
      <c r="J459" s="0" t="str">
        <f aca="false">IF(AND(G459&gt;=H459,G459&gt;=I459),"Distribution",IF(I459&gt;=H459,"Prof. services","Manufacturing"))</f>
        <v>Prof. services</v>
      </c>
      <c r="L459" s="46" t="n">
        <v>0.175926</v>
      </c>
      <c r="M459" s="46" t="n">
        <v>0.226312</v>
      </c>
      <c r="N459" s="46" t="n">
        <v>0.159466</v>
      </c>
      <c r="O459" s="46" t="n">
        <v>0.240812</v>
      </c>
      <c r="P459" s="46" t="n">
        <v>0.12494</v>
      </c>
      <c r="Q459" s="46" t="n">
        <v>0.072544</v>
      </c>
      <c r="R459" s="47" t="n">
        <f aca="false">L459*Scorecard!$C$12+M459*Scorecard!$C$13+N459*Scorecard!$C$14+O459*Scorecard!$C$15+P459*Scorecard!$C$16+Q459*Scorecard!$C$17</f>
        <v>4.00536669112477</v>
      </c>
      <c r="S459" s="47" t="n">
        <f aca="false">L459*Scorecard!$D$12+M459*Scorecard!$D$13+N459*Scorecard!$D$14+O459*Scorecard!$D$15+P459*Scorecard!$D$16+Q459*Scorecard!$D$17</f>
        <v>2.98811754241558</v>
      </c>
      <c r="T459" s="47" t="n">
        <f aca="false">L459*Scorecard!$E$12+M459*Scorecard!$E$13+N459*Scorecard!$E$14+O459*Scorecard!$E$15+P459*Scorecard!$E$16+Q459*Scorecard!$E$17</f>
        <v>3.77848241848455</v>
      </c>
      <c r="U459" s="0" t="str">
        <f aca="false">IF(AND(R459&gt;=S459,R459&gt;=T459),"Distribution",IF(T459&gt;=S459,"Prof. services","Manufacturing"))</f>
        <v>Distribution</v>
      </c>
    </row>
    <row r="460" customFormat="false" ht="15" hidden="false" customHeight="false" outlineLevel="0" collapsed="false">
      <c r="A460" s="46" t="n">
        <v>0.083947</v>
      </c>
      <c r="B460" s="46" t="n">
        <v>0.055975</v>
      </c>
      <c r="C460" s="46" t="n">
        <v>0.215518</v>
      </c>
      <c r="D460" s="46" t="n">
        <v>0.090036</v>
      </c>
      <c r="E460" s="46" t="n">
        <v>0.24755</v>
      </c>
      <c r="F460" s="46" t="n">
        <v>0.306974</v>
      </c>
      <c r="G460" s="47" t="n">
        <f aca="false">A460*Scorecard!$C$12+B460*Scorecard!$C$13+C460*Scorecard!$C$14+D460*Scorecard!$C$15+E460*Scorecard!$C$16+F460*Scorecard!$C$17</f>
        <v>3.38095720283443</v>
      </c>
      <c r="H460" s="47" t="n">
        <f aca="false">A460*Scorecard!$D$12+B460*Scorecard!$D$13+C460*Scorecard!$D$14+D460*Scorecard!$D$15+E460*Scorecard!$D$16+F460*Scorecard!$D$17</f>
        <v>2.69771757247623</v>
      </c>
      <c r="I460" s="47" t="n">
        <f aca="false">A460*Scorecard!$E$12+B460*Scorecard!$E$13+C460*Scorecard!$E$14+D460*Scorecard!$E$15+E460*Scorecard!$E$16+F460*Scorecard!$E$17</f>
        <v>3.95015848516325</v>
      </c>
      <c r="J460" s="0" t="str">
        <f aca="false">IF(AND(G460&gt;=H460,G460&gt;=I460),"Distribution",IF(I460&gt;=H460,"Prof. services","Manufacturing"))</f>
        <v>Prof. services</v>
      </c>
      <c r="L460" s="46" t="n">
        <v>0.201795</v>
      </c>
      <c r="M460" s="46" t="n">
        <v>0.344132</v>
      </c>
      <c r="N460" s="46" t="n">
        <v>0.133131</v>
      </c>
      <c r="O460" s="46" t="n">
        <v>0.147261</v>
      </c>
      <c r="P460" s="46" t="n">
        <v>0.097169</v>
      </c>
      <c r="Q460" s="46" t="n">
        <v>0.076513</v>
      </c>
      <c r="R460" s="47" t="n">
        <f aca="false">L460*Scorecard!$C$12+M460*Scorecard!$C$13+N460*Scorecard!$C$14+O460*Scorecard!$C$15+P460*Scorecard!$C$16+Q460*Scorecard!$C$17</f>
        <v>3.97513712220776</v>
      </c>
      <c r="S460" s="47" t="n">
        <f aca="false">L460*Scorecard!$D$12+M460*Scorecard!$D$13+N460*Scorecard!$D$14+O460*Scorecard!$D$15+P460*Scorecard!$D$16+Q460*Scorecard!$D$17</f>
        <v>2.70485123980529</v>
      </c>
      <c r="T460" s="47" t="n">
        <f aca="false">L460*Scorecard!$E$12+M460*Scorecard!$E$13+N460*Scorecard!$E$14+O460*Scorecard!$E$15+P460*Scorecard!$E$16+Q460*Scorecard!$E$17</f>
        <v>3.58995551614865</v>
      </c>
      <c r="U460" s="0" t="str">
        <f aca="false">IF(AND(R460&gt;=S460,R460&gt;=T460),"Distribution",IF(T460&gt;=S460,"Prof. services","Manufacturing"))</f>
        <v>Distribution</v>
      </c>
    </row>
    <row r="461" customFormat="false" ht="15" hidden="false" customHeight="false" outlineLevel="0" collapsed="false">
      <c r="A461" s="46" t="n">
        <v>0.062248</v>
      </c>
      <c r="B461" s="46" t="n">
        <v>0.002232</v>
      </c>
      <c r="C461" s="46" t="n">
        <v>0.463644</v>
      </c>
      <c r="D461" s="46" t="n">
        <v>0.160788</v>
      </c>
      <c r="E461" s="46" t="n">
        <v>0.298613</v>
      </c>
      <c r="F461" s="46" t="n">
        <v>0.012475</v>
      </c>
      <c r="G461" s="47" t="n">
        <f aca="false">A461*Scorecard!$C$12+B461*Scorecard!$C$13+C461*Scorecard!$C$14+D461*Scorecard!$C$15+E461*Scorecard!$C$16+F461*Scorecard!$C$17</f>
        <v>4.0260227122832</v>
      </c>
      <c r="H461" s="47" t="n">
        <f aca="false">A461*Scorecard!$D$12+B461*Scorecard!$D$13+C461*Scorecard!$D$14+D461*Scorecard!$D$15+E461*Scorecard!$D$16+F461*Scorecard!$D$17</f>
        <v>3.30472759797503</v>
      </c>
      <c r="I461" s="47" t="n">
        <f aca="false">A461*Scorecard!$E$12+B461*Scorecard!$E$13+C461*Scorecard!$E$14+D461*Scorecard!$E$15+E461*Scorecard!$E$16+F461*Scorecard!$E$17</f>
        <v>4.05664181506283</v>
      </c>
      <c r="J461" s="0" t="str">
        <f aca="false">IF(AND(G461&gt;=H461,G461&gt;=I461),"Distribution",IF(I461&gt;=H461,"Prof. services","Manufacturing"))</f>
        <v>Prof. services</v>
      </c>
      <c r="L461" s="46" t="n">
        <v>0.111215</v>
      </c>
      <c r="M461" s="46" t="n">
        <v>0.196194</v>
      </c>
      <c r="N461" s="46" t="n">
        <v>0.164721</v>
      </c>
      <c r="O461" s="46" t="n">
        <v>0.174984</v>
      </c>
      <c r="P461" s="46" t="n">
        <v>0.198412</v>
      </c>
      <c r="Q461" s="46" t="n">
        <v>0.154474</v>
      </c>
      <c r="R461" s="47" t="n">
        <f aca="false">L461*Scorecard!$C$12+M461*Scorecard!$C$13+N461*Scorecard!$C$14+O461*Scorecard!$C$15+P461*Scorecard!$C$16+Q461*Scorecard!$C$17</f>
        <v>3.86204141396633</v>
      </c>
      <c r="S461" s="47" t="n">
        <f aca="false">L461*Scorecard!$D$12+M461*Scorecard!$D$13+N461*Scorecard!$D$14+O461*Scorecard!$D$15+P461*Scorecard!$D$16+Q461*Scorecard!$D$17</f>
        <v>2.81597039380484</v>
      </c>
      <c r="T461" s="47" t="n">
        <f aca="false">L461*Scorecard!$E$12+M461*Scorecard!$E$13+N461*Scorecard!$E$14+O461*Scorecard!$E$15+P461*Scorecard!$E$16+Q461*Scorecard!$E$17</f>
        <v>3.68322398073445</v>
      </c>
      <c r="U461" s="0" t="str">
        <f aca="false">IF(AND(R461&gt;=S461,R461&gt;=T461),"Distribution",IF(T461&gt;=S461,"Prof. services","Manufacturing"))</f>
        <v>Distribution</v>
      </c>
    </row>
    <row r="462" customFormat="false" ht="15" hidden="false" customHeight="false" outlineLevel="0" collapsed="false">
      <c r="A462" s="46" t="n">
        <v>0.047544</v>
      </c>
      <c r="B462" s="46" t="n">
        <v>0.021029</v>
      </c>
      <c r="C462" s="46" t="n">
        <v>0.083859</v>
      </c>
      <c r="D462" s="46" t="n">
        <v>0.003008</v>
      </c>
      <c r="E462" s="46" t="n">
        <v>0.715669</v>
      </c>
      <c r="F462" s="46" t="n">
        <v>0.128891</v>
      </c>
      <c r="G462" s="47" t="n">
        <f aca="false">A462*Scorecard!$C$12+B462*Scorecard!$C$13+C462*Scorecard!$C$14+D462*Scorecard!$C$15+E462*Scorecard!$C$16+F462*Scorecard!$C$17</f>
        <v>3.68067512197649</v>
      </c>
      <c r="H462" s="47" t="n">
        <f aca="false">A462*Scorecard!$D$12+B462*Scorecard!$D$13+C462*Scorecard!$D$14+D462*Scorecard!$D$15+E462*Scorecard!$D$16+F462*Scorecard!$D$17</f>
        <v>3.04854259122321</v>
      </c>
      <c r="I462" s="47" t="n">
        <f aca="false">A462*Scorecard!$E$12+B462*Scorecard!$E$13+C462*Scorecard!$E$14+D462*Scorecard!$E$15+E462*Scorecard!$E$16+F462*Scorecard!$E$17</f>
        <v>2.96411874663066</v>
      </c>
      <c r="J462" s="0" t="str">
        <f aca="false">IF(AND(G462&gt;=H462,G462&gt;=I462),"Distribution",IF(I462&gt;=H462,"Prof. services","Manufacturing"))</f>
        <v>Distribution</v>
      </c>
      <c r="L462" s="46" t="n">
        <v>0.157207</v>
      </c>
      <c r="M462" s="46" t="n">
        <v>0.226962</v>
      </c>
      <c r="N462" s="46" t="n">
        <v>0.324631</v>
      </c>
      <c r="O462" s="46" t="n">
        <v>0.089061</v>
      </c>
      <c r="P462" s="46" t="n">
        <v>0.149767</v>
      </c>
      <c r="Q462" s="46" t="n">
        <v>0.052372</v>
      </c>
      <c r="R462" s="47" t="n">
        <f aca="false">L462*Scorecard!$C$12+M462*Scorecard!$C$13+N462*Scorecard!$C$14+O462*Scorecard!$C$15+P462*Scorecard!$C$16+Q462*Scorecard!$C$17</f>
        <v>3.92830415807585</v>
      </c>
      <c r="S462" s="47" t="n">
        <f aca="false">L462*Scorecard!$D$12+M462*Scorecard!$D$13+N462*Scorecard!$D$14+O462*Scorecard!$D$15+P462*Scorecard!$D$16+Q462*Scorecard!$D$17</f>
        <v>2.83763753324256</v>
      </c>
      <c r="T462" s="47" t="n">
        <f aca="false">L462*Scorecard!$E$12+M462*Scorecard!$E$13+N462*Scorecard!$E$14+O462*Scorecard!$E$15+P462*Scorecard!$E$16+Q462*Scorecard!$E$17</f>
        <v>3.84734105784862</v>
      </c>
      <c r="U462" s="0" t="str">
        <f aca="false">IF(AND(R462&gt;=S462,R462&gt;=T462),"Distribution",IF(T462&gt;=S462,"Prof. services","Manufacturing"))</f>
        <v>Distribution</v>
      </c>
    </row>
    <row r="463" customFormat="false" ht="15" hidden="false" customHeight="false" outlineLevel="0" collapsed="false">
      <c r="A463" s="46" t="n">
        <v>0.138295</v>
      </c>
      <c r="B463" s="46" t="n">
        <v>0.154598</v>
      </c>
      <c r="C463" s="46" t="n">
        <v>0.153353</v>
      </c>
      <c r="D463" s="46" t="n">
        <v>0.057361</v>
      </c>
      <c r="E463" s="46" t="n">
        <v>0.304642</v>
      </c>
      <c r="F463" s="46" t="n">
        <v>0.191752</v>
      </c>
      <c r="G463" s="47" t="n">
        <f aca="false">A463*Scorecard!$C$12+B463*Scorecard!$C$13+C463*Scorecard!$C$14+D463*Scorecard!$C$15+E463*Scorecard!$C$16+F463*Scorecard!$C$17</f>
        <v>3.57952602777929</v>
      </c>
      <c r="H463" s="47" t="n">
        <f aca="false">A463*Scorecard!$D$12+B463*Scorecard!$D$13+C463*Scorecard!$D$14+D463*Scorecard!$D$15+E463*Scorecard!$D$16+F463*Scorecard!$D$17</f>
        <v>2.73962451308299</v>
      </c>
      <c r="I463" s="47" t="n">
        <f aca="false">A463*Scorecard!$E$12+B463*Scorecard!$E$13+C463*Scorecard!$E$14+D463*Scorecard!$E$15+E463*Scorecard!$E$16+F463*Scorecard!$E$17</f>
        <v>3.59924277939657</v>
      </c>
      <c r="J463" s="0" t="str">
        <f aca="false">IF(AND(G463&gt;=H463,G463&gt;=I463),"Distribution",IF(I463&gt;=H463,"Prof. services","Manufacturing"))</f>
        <v>Prof. services</v>
      </c>
      <c r="L463" s="46" t="n">
        <v>0.268557</v>
      </c>
      <c r="M463" s="46" t="n">
        <v>0.225634</v>
      </c>
      <c r="N463" s="46" t="n">
        <v>0.16997</v>
      </c>
      <c r="O463" s="46" t="n">
        <v>0.128551</v>
      </c>
      <c r="P463" s="46" t="n">
        <v>0.067735</v>
      </c>
      <c r="Q463" s="46" t="n">
        <v>0.139553</v>
      </c>
      <c r="R463" s="47" t="n">
        <f aca="false">L463*Scorecard!$C$12+M463*Scorecard!$C$13+N463*Scorecard!$C$14+O463*Scorecard!$C$15+P463*Scorecard!$C$16+Q463*Scorecard!$C$17</f>
        <v>3.59167257011695</v>
      </c>
      <c r="S463" s="47" t="n">
        <f aca="false">L463*Scorecard!$D$12+M463*Scorecard!$D$13+N463*Scorecard!$D$14+O463*Scorecard!$D$15+P463*Scorecard!$D$16+Q463*Scorecard!$D$17</f>
        <v>2.80078275159871</v>
      </c>
      <c r="T463" s="47" t="n">
        <f aca="false">L463*Scorecard!$E$12+M463*Scorecard!$E$13+N463*Scorecard!$E$14+O463*Scorecard!$E$15+P463*Scorecard!$E$16+Q463*Scorecard!$E$17</f>
        <v>3.99331205209495</v>
      </c>
      <c r="U463" s="0" t="str">
        <f aca="false">IF(AND(R463&gt;=S463,R463&gt;=T463),"Distribution",IF(T463&gt;=S463,"Prof. services","Manufacturing"))</f>
        <v>Prof. services</v>
      </c>
    </row>
    <row r="464" customFormat="false" ht="15" hidden="false" customHeight="false" outlineLevel="0" collapsed="false">
      <c r="A464" s="46" t="n">
        <v>0.344819</v>
      </c>
      <c r="B464" s="46" t="n">
        <v>0.095595</v>
      </c>
      <c r="C464" s="46" t="n">
        <v>0.220608</v>
      </c>
      <c r="D464" s="46" t="n">
        <v>0.06625</v>
      </c>
      <c r="E464" s="46" t="n">
        <v>0.142894</v>
      </c>
      <c r="F464" s="46" t="n">
        <v>0.129834</v>
      </c>
      <c r="G464" s="47" t="n">
        <f aca="false">A464*Scorecard!$C$12+B464*Scorecard!$C$13+C464*Scorecard!$C$14+D464*Scorecard!$C$15+E464*Scorecard!$C$16+F464*Scorecard!$C$17</f>
        <v>3.28149788254693</v>
      </c>
      <c r="H464" s="47" t="n">
        <f aca="false">A464*Scorecard!$D$12+B464*Scorecard!$D$13+C464*Scorecard!$D$14+D464*Scorecard!$D$15+E464*Scorecard!$D$16+F464*Scorecard!$D$17</f>
        <v>3.01385564020715</v>
      </c>
      <c r="I464" s="47" t="n">
        <f aca="false">A464*Scorecard!$E$12+B464*Scorecard!$E$13+C464*Scorecard!$E$14+D464*Scorecard!$E$15+E464*Scorecard!$E$16+F464*Scorecard!$E$17</f>
        <v>4.22376284700562</v>
      </c>
      <c r="J464" s="0" t="str">
        <f aca="false">IF(AND(G464&gt;=H464,G464&gt;=I464),"Distribution",IF(I464&gt;=H464,"Prof. services","Manufacturing"))</f>
        <v>Prof. services</v>
      </c>
      <c r="L464" s="46" t="n">
        <v>0.171882</v>
      </c>
      <c r="M464" s="46" t="n">
        <v>0.147709</v>
      </c>
      <c r="N464" s="46" t="n">
        <v>0.307501</v>
      </c>
      <c r="O464" s="46" t="n">
        <v>0.117583</v>
      </c>
      <c r="P464" s="46" t="n">
        <v>0.105534</v>
      </c>
      <c r="Q464" s="46" t="n">
        <v>0.149792</v>
      </c>
      <c r="R464" s="47" t="n">
        <f aca="false">L464*Scorecard!$C$12+M464*Scorecard!$C$13+N464*Scorecard!$C$14+O464*Scorecard!$C$15+P464*Scorecard!$C$16+Q464*Scorecard!$C$17</f>
        <v>3.65632194879613</v>
      </c>
      <c r="S464" s="47" t="n">
        <f aca="false">L464*Scorecard!$D$12+M464*Scorecard!$D$13+N464*Scorecard!$D$14+O464*Scorecard!$D$15+P464*Scorecard!$D$16+Q464*Scorecard!$D$17</f>
        <v>2.83843691088557</v>
      </c>
      <c r="T464" s="47" t="n">
        <f aca="false">L464*Scorecard!$E$12+M464*Scorecard!$E$13+N464*Scorecard!$E$14+O464*Scorecard!$E$15+P464*Scorecard!$E$16+Q464*Scorecard!$E$17</f>
        <v>4.12064841643212</v>
      </c>
      <c r="U464" s="0" t="str">
        <f aca="false">IF(AND(R464&gt;=S464,R464&gt;=T464),"Distribution",IF(T464&gt;=S464,"Prof. services","Manufacturing"))</f>
        <v>Prof. services</v>
      </c>
    </row>
    <row r="465" customFormat="false" ht="15" hidden="false" customHeight="false" outlineLevel="0" collapsed="false">
      <c r="A465" s="46" t="n">
        <v>0.017594</v>
      </c>
      <c r="B465" s="46" t="n">
        <v>0.0533</v>
      </c>
      <c r="C465" s="46" t="n">
        <v>0.366952</v>
      </c>
      <c r="D465" s="46" t="n">
        <v>0.006239</v>
      </c>
      <c r="E465" s="46" t="n">
        <v>0.346942</v>
      </c>
      <c r="F465" s="46" t="n">
        <v>0.208974</v>
      </c>
      <c r="G465" s="47" t="n">
        <f aca="false">A465*Scorecard!$C$12+B465*Scorecard!$C$13+C465*Scorecard!$C$14+D465*Scorecard!$C$15+E465*Scorecard!$C$16+F465*Scorecard!$C$17</f>
        <v>3.60992554909251</v>
      </c>
      <c r="H465" s="47" t="n">
        <f aca="false">A465*Scorecard!$D$12+B465*Scorecard!$D$13+C465*Scorecard!$D$14+D465*Scorecard!$D$15+E465*Scorecard!$D$16+F465*Scorecard!$D$17</f>
        <v>2.74103014995053</v>
      </c>
      <c r="I465" s="47" t="n">
        <f aca="false">A465*Scorecard!$E$12+B465*Scorecard!$E$13+C465*Scorecard!$E$14+D465*Scorecard!$E$15+E465*Scorecard!$E$16+F465*Scorecard!$E$17</f>
        <v>3.81185540140478</v>
      </c>
      <c r="J465" s="0" t="str">
        <f aca="false">IF(AND(G465&gt;=H465,G465&gt;=I465),"Distribution",IF(I465&gt;=H465,"Prof. services","Manufacturing"))</f>
        <v>Prof. services</v>
      </c>
      <c r="L465" s="46" t="n">
        <v>0.089527</v>
      </c>
      <c r="M465" s="46" t="n">
        <v>0.193781</v>
      </c>
      <c r="N465" s="46" t="n">
        <v>0.161061</v>
      </c>
      <c r="O465" s="46" t="n">
        <v>0.160654</v>
      </c>
      <c r="P465" s="46" t="n">
        <v>0.139987</v>
      </c>
      <c r="Q465" s="46" t="n">
        <v>0.25499</v>
      </c>
      <c r="R465" s="47" t="n">
        <f aca="false">L465*Scorecard!$C$12+M465*Scorecard!$C$13+N465*Scorecard!$C$14+O465*Scorecard!$C$15+P465*Scorecard!$C$16+Q465*Scorecard!$C$17</f>
        <v>3.68330512325823</v>
      </c>
      <c r="S465" s="47" t="n">
        <f aca="false">L465*Scorecard!$D$12+M465*Scorecard!$D$13+N465*Scorecard!$D$14+O465*Scorecard!$D$15+P465*Scorecard!$D$16+Q465*Scorecard!$D$17</f>
        <v>2.61842832558144</v>
      </c>
      <c r="T465" s="47" t="n">
        <f aca="false">L465*Scorecard!$E$12+M465*Scorecard!$E$13+N465*Scorecard!$E$14+O465*Scorecard!$E$15+P465*Scorecard!$E$16+Q465*Scorecard!$E$17</f>
        <v>3.80768307350216</v>
      </c>
      <c r="U465" s="0" t="str">
        <f aca="false">IF(AND(R465&gt;=S465,R465&gt;=T465),"Distribution",IF(T465&gt;=S465,"Prof. services","Manufacturing"))</f>
        <v>Prof. services</v>
      </c>
    </row>
    <row r="466" customFormat="false" ht="15" hidden="false" customHeight="false" outlineLevel="0" collapsed="false">
      <c r="A466" s="46" t="n">
        <v>0.48432</v>
      </c>
      <c r="B466" s="46" t="n">
        <v>0.003543</v>
      </c>
      <c r="C466" s="46" t="n">
        <v>0.074493</v>
      </c>
      <c r="D466" s="46" t="n">
        <v>0.327111</v>
      </c>
      <c r="E466" s="46" t="n">
        <v>0.000896</v>
      </c>
      <c r="F466" s="46" t="n">
        <v>0.109637</v>
      </c>
      <c r="G466" s="47" t="n">
        <f aca="false">A466*Scorecard!$C$12+B466*Scorecard!$C$13+C466*Scorecard!$C$14+D466*Scorecard!$C$15+E466*Scorecard!$C$16+F466*Scorecard!$C$17</f>
        <v>3.23959709312749</v>
      </c>
      <c r="H466" s="47" t="n">
        <f aca="false">A466*Scorecard!$D$12+B466*Scorecard!$D$13+C466*Scorecard!$D$14+D466*Scorecard!$D$15+E466*Scorecard!$D$16+F466*Scorecard!$D$17</f>
        <v>3.52911939991759</v>
      </c>
      <c r="I466" s="47" t="n">
        <f aca="false">A466*Scorecard!$E$12+B466*Scorecard!$E$13+C466*Scorecard!$E$14+D466*Scorecard!$E$15+E466*Scorecard!$E$16+F466*Scorecard!$E$17</f>
        <v>4.65917522984708</v>
      </c>
      <c r="J466" s="0" t="str">
        <f aca="false">IF(AND(G466&gt;=H466,G466&gt;=I466),"Distribution",IF(I466&gt;=H466,"Prof. services","Manufacturing"))</f>
        <v>Prof. services</v>
      </c>
      <c r="L466" s="46" t="n">
        <v>0.179162</v>
      </c>
      <c r="M466" s="46" t="n">
        <v>0.137859</v>
      </c>
      <c r="N466" s="46" t="n">
        <v>0.164374</v>
      </c>
      <c r="O466" s="46" t="n">
        <v>0.149007</v>
      </c>
      <c r="P466" s="46" t="n">
        <v>0.257647</v>
      </c>
      <c r="Q466" s="46" t="n">
        <v>0.111951</v>
      </c>
      <c r="R466" s="47" t="n">
        <f aca="false">L466*Scorecard!$C$12+M466*Scorecard!$C$13+N466*Scorecard!$C$14+O466*Scorecard!$C$15+P466*Scorecard!$C$16+Q466*Scorecard!$C$17</f>
        <v>3.74046984497627</v>
      </c>
      <c r="S466" s="47" t="n">
        <f aca="false">L466*Scorecard!$D$12+M466*Scorecard!$D$13+N466*Scorecard!$D$14+O466*Scorecard!$D$15+P466*Scorecard!$D$16+Q466*Scorecard!$D$17</f>
        <v>3.00187112754019</v>
      </c>
      <c r="T466" s="47" t="n">
        <f aca="false">L466*Scorecard!$E$12+M466*Scorecard!$E$13+N466*Scorecard!$E$14+O466*Scorecard!$E$15+P466*Scorecard!$E$16+Q466*Scorecard!$E$17</f>
        <v>3.73598678769476</v>
      </c>
      <c r="U466" s="0" t="str">
        <f aca="false">IF(AND(R466&gt;=S466,R466&gt;=T466),"Distribution",IF(T466&gt;=S466,"Prof. services","Manufacturing"))</f>
        <v>Distribution</v>
      </c>
    </row>
    <row r="467" customFormat="false" ht="15" hidden="false" customHeight="false" outlineLevel="0" collapsed="false">
      <c r="A467" s="46" t="n">
        <v>0.121584</v>
      </c>
      <c r="B467" s="46" t="n">
        <v>0.081699</v>
      </c>
      <c r="C467" s="46" t="n">
        <v>0.381319</v>
      </c>
      <c r="D467" s="46" t="n">
        <v>0.176051</v>
      </c>
      <c r="E467" s="46" t="n">
        <v>0.239293</v>
      </c>
      <c r="F467" s="46" t="n">
        <v>5.3E-005</v>
      </c>
      <c r="G467" s="47" t="n">
        <f aca="false">A467*Scorecard!$C$12+B467*Scorecard!$C$13+C467*Scorecard!$C$14+D467*Scorecard!$C$15+E467*Scorecard!$C$16+F467*Scorecard!$C$17</f>
        <v>4.03878706609434</v>
      </c>
      <c r="H467" s="47" t="n">
        <f aca="false">A467*Scorecard!$D$12+B467*Scorecard!$D$13+C467*Scorecard!$D$14+D467*Scorecard!$D$15+E467*Scorecard!$D$16+F467*Scorecard!$D$17</f>
        <v>3.2411675545642</v>
      </c>
      <c r="I467" s="47" t="n">
        <f aca="false">A467*Scorecard!$E$12+B467*Scorecard!$E$13+C467*Scorecard!$E$14+D467*Scorecard!$E$15+E467*Scorecard!$E$16+F467*Scorecard!$E$17</f>
        <v>3.97976198162224</v>
      </c>
      <c r="J467" s="0" t="str">
        <f aca="false">IF(AND(G467&gt;=H467,G467&gt;=I467),"Distribution",IF(I467&gt;=H467,"Prof. services","Manufacturing"))</f>
        <v>Distribution</v>
      </c>
      <c r="L467" s="46" t="n">
        <v>0.097249</v>
      </c>
      <c r="M467" s="46" t="n">
        <v>0.547244</v>
      </c>
      <c r="N467" s="46" t="n">
        <v>0.20787</v>
      </c>
      <c r="O467" s="46" t="n">
        <v>0.065093</v>
      </c>
      <c r="P467" s="46" t="n">
        <v>0.056147</v>
      </c>
      <c r="Q467" s="46" t="n">
        <v>0.026397</v>
      </c>
      <c r="R467" s="47" t="n">
        <f aca="false">L467*Scorecard!$C$12+M467*Scorecard!$C$13+N467*Scorecard!$C$14+O467*Scorecard!$C$15+P467*Scorecard!$C$16+Q467*Scorecard!$C$17</f>
        <v>4.38449341313503</v>
      </c>
      <c r="S467" s="47" t="n">
        <f aca="false">L467*Scorecard!$D$12+M467*Scorecard!$D$13+N467*Scorecard!$D$14+O467*Scorecard!$D$15+P467*Scorecard!$D$16+Q467*Scorecard!$D$17</f>
        <v>2.29729789856591</v>
      </c>
      <c r="T467" s="47" t="n">
        <f aca="false">L467*Scorecard!$E$12+M467*Scorecard!$E$13+N467*Scorecard!$E$14+O467*Scorecard!$E$15+P467*Scorecard!$E$16+Q467*Scorecard!$E$17</f>
        <v>3.20901756850064</v>
      </c>
      <c r="U467" s="0" t="str">
        <f aca="false">IF(AND(R467&gt;=S467,R467&gt;=T467),"Distribution",IF(T467&gt;=S467,"Prof. services","Manufacturing"))</f>
        <v>Distribution</v>
      </c>
    </row>
    <row r="468" customFormat="false" ht="15" hidden="false" customHeight="false" outlineLevel="0" collapsed="false">
      <c r="A468" s="46" t="n">
        <v>0.269802</v>
      </c>
      <c r="B468" s="46" t="n">
        <v>0.027536</v>
      </c>
      <c r="C468" s="46" t="n">
        <v>0.226877</v>
      </c>
      <c r="D468" s="46" t="n">
        <v>0.030928</v>
      </c>
      <c r="E468" s="46" t="n">
        <v>0.379576</v>
      </c>
      <c r="F468" s="46" t="n">
        <v>0.065281</v>
      </c>
      <c r="G468" s="47" t="n">
        <f aca="false">A468*Scorecard!$C$12+B468*Scorecard!$C$13+C468*Scorecard!$C$14+D468*Scorecard!$C$15+E468*Scorecard!$C$16+F468*Scorecard!$C$17</f>
        <v>3.44225455236204</v>
      </c>
      <c r="H468" s="47" t="n">
        <f aca="false">A468*Scorecard!$D$12+B468*Scorecard!$D$13+C468*Scorecard!$D$14+D468*Scorecard!$D$15+E468*Scorecard!$D$16+F468*Scorecard!$D$17</f>
        <v>3.20129322522723</v>
      </c>
      <c r="I468" s="47" t="n">
        <f aca="false">A468*Scorecard!$E$12+B468*Scorecard!$E$13+C468*Scorecard!$E$14+D468*Scorecard!$E$15+E468*Scorecard!$E$16+F468*Scorecard!$E$17</f>
        <v>3.8501222568535</v>
      </c>
      <c r="J468" s="0" t="str">
        <f aca="false">IF(AND(G468&gt;=H468,G468&gt;=I468),"Distribution",IF(I468&gt;=H468,"Prof. services","Manufacturing"))</f>
        <v>Prof. services</v>
      </c>
      <c r="L468" s="46" t="n">
        <v>0.235296</v>
      </c>
      <c r="M468" s="46" t="n">
        <v>0.239507</v>
      </c>
      <c r="N468" s="46" t="n">
        <v>0.17932</v>
      </c>
      <c r="O468" s="46" t="n">
        <v>0.081086</v>
      </c>
      <c r="P468" s="46" t="n">
        <v>0.09896</v>
      </c>
      <c r="Q468" s="46" t="n">
        <v>0.165832</v>
      </c>
      <c r="R468" s="47" t="n">
        <f aca="false">L468*Scorecard!$C$12+M468*Scorecard!$C$13+N468*Scorecard!$C$14+O468*Scorecard!$C$15+P468*Scorecard!$C$16+Q468*Scorecard!$C$17</f>
        <v>3.56539684445104</v>
      </c>
      <c r="S468" s="47" t="n">
        <f aca="false">L468*Scorecard!$D$12+M468*Scorecard!$D$13+N468*Scorecard!$D$14+O468*Scorecard!$D$15+P468*Scorecard!$D$16+Q468*Scorecard!$D$17</f>
        <v>2.67403422332886</v>
      </c>
      <c r="T468" s="47" t="n">
        <f aca="false">L468*Scorecard!$E$12+M468*Scorecard!$E$13+N468*Scorecard!$E$14+O468*Scorecard!$E$15+P468*Scorecard!$E$16+Q468*Scorecard!$E$17</f>
        <v>3.89669336622013</v>
      </c>
      <c r="U468" s="0" t="str">
        <f aca="false">IF(AND(R468&gt;=S468,R468&gt;=T468),"Distribution",IF(T468&gt;=S468,"Prof. services","Manufacturing"))</f>
        <v>Prof. services</v>
      </c>
    </row>
    <row r="469" customFormat="false" ht="15" hidden="false" customHeight="false" outlineLevel="0" collapsed="false">
      <c r="A469" s="46" t="n">
        <v>0.006917</v>
      </c>
      <c r="B469" s="46" t="n">
        <v>0.434387</v>
      </c>
      <c r="C469" s="46" t="n">
        <v>0.062214</v>
      </c>
      <c r="D469" s="46" t="n">
        <v>0.002063</v>
      </c>
      <c r="E469" s="46" t="n">
        <v>0.304481</v>
      </c>
      <c r="F469" s="46" t="n">
        <v>0.189939</v>
      </c>
      <c r="G469" s="47" t="n">
        <f aca="false">A469*Scorecard!$C$12+B469*Scorecard!$C$13+C469*Scorecard!$C$14+D469*Scorecard!$C$15+E469*Scorecard!$C$16+F469*Scorecard!$C$17</f>
        <v>4.04412530135688</v>
      </c>
      <c r="H469" s="47" t="n">
        <f aca="false">A469*Scorecard!$D$12+B469*Scorecard!$D$13+C469*Scorecard!$D$14+D469*Scorecard!$D$15+E469*Scorecard!$D$16+F469*Scorecard!$D$17</f>
        <v>2.17152964073314</v>
      </c>
      <c r="I469" s="47" t="n">
        <f aca="false">A469*Scorecard!$E$12+B469*Scorecard!$E$13+C469*Scorecard!$E$14+D469*Scorecard!$E$15+E469*Scorecard!$E$16+F469*Scorecard!$E$17</f>
        <v>2.84224388194477</v>
      </c>
      <c r="J469" s="0" t="str">
        <f aca="false">IF(AND(G469&gt;=H469,G469&gt;=I469),"Distribution",IF(I469&gt;=H469,"Prof. services","Manufacturing"))</f>
        <v>Distribution</v>
      </c>
      <c r="L469" s="46" t="n">
        <v>0.183562</v>
      </c>
      <c r="M469" s="46" t="n">
        <v>0.13384</v>
      </c>
      <c r="N469" s="46" t="n">
        <v>0.217855</v>
      </c>
      <c r="O469" s="46" t="n">
        <v>0.176568</v>
      </c>
      <c r="P469" s="46" t="n">
        <v>0.186003</v>
      </c>
      <c r="Q469" s="46" t="n">
        <v>0.102172</v>
      </c>
      <c r="R469" s="47" t="n">
        <f aca="false">L469*Scorecard!$C$12+M469*Scorecard!$C$13+N469*Scorecard!$C$14+O469*Scorecard!$C$15+P469*Scorecard!$C$16+Q469*Scorecard!$C$17</f>
        <v>3.77564978222801</v>
      </c>
      <c r="S469" s="47" t="n">
        <f aca="false">L469*Scorecard!$D$12+M469*Scorecard!$D$13+N469*Scorecard!$D$14+O469*Scorecard!$D$15+P469*Scorecard!$D$16+Q469*Scorecard!$D$17</f>
        <v>3.03350298567964</v>
      </c>
      <c r="T469" s="47" t="n">
        <f aca="false">L469*Scorecard!$E$12+M469*Scorecard!$E$13+N469*Scorecard!$E$14+O469*Scorecard!$E$15+P469*Scorecard!$E$16+Q469*Scorecard!$E$17</f>
        <v>3.920445983435</v>
      </c>
      <c r="U469" s="0" t="str">
        <f aca="false">IF(AND(R469&gt;=S469,R469&gt;=T469),"Distribution",IF(T469&gt;=S469,"Prof. services","Manufacturing"))</f>
        <v>Prof. services</v>
      </c>
    </row>
    <row r="470" customFormat="false" ht="15" hidden="false" customHeight="false" outlineLevel="0" collapsed="false">
      <c r="A470" s="46" t="n">
        <v>0.177868</v>
      </c>
      <c r="B470" s="46" t="n">
        <v>0.386613</v>
      </c>
      <c r="C470" s="46" t="n">
        <v>0.038118</v>
      </c>
      <c r="D470" s="46" t="n">
        <v>0.053301</v>
      </c>
      <c r="E470" s="46" t="n">
        <v>0.258832</v>
      </c>
      <c r="F470" s="46" t="n">
        <v>0.085268</v>
      </c>
      <c r="G470" s="47" t="n">
        <f aca="false">A470*Scorecard!$C$12+B470*Scorecard!$C$13+C470*Scorecard!$C$14+D470*Scorecard!$C$15+E470*Scorecard!$C$16+F470*Scorecard!$C$17</f>
        <v>3.94921306342996</v>
      </c>
      <c r="H470" s="47" t="n">
        <f aca="false">A470*Scorecard!$D$12+B470*Scorecard!$D$13+C470*Scorecard!$D$14+D470*Scorecard!$D$15+E470*Scorecard!$D$16+F470*Scorecard!$D$17</f>
        <v>2.55726241776071</v>
      </c>
      <c r="I470" s="47" t="n">
        <f aca="false">A470*Scorecard!$E$12+B470*Scorecard!$E$13+C470*Scorecard!$E$14+D470*Scorecard!$E$15+E470*Scorecard!$E$16+F470*Scorecard!$E$17</f>
        <v>3.11085404896403</v>
      </c>
      <c r="J470" s="0" t="str">
        <f aca="false">IF(AND(G470&gt;=H470,G470&gt;=I470),"Distribution",IF(I470&gt;=H470,"Prof. services","Manufacturing"))</f>
        <v>Distribution</v>
      </c>
      <c r="L470" s="46" t="n">
        <v>0.214628</v>
      </c>
      <c r="M470" s="46" t="n">
        <v>0.361079</v>
      </c>
      <c r="N470" s="46" t="n">
        <v>0.138857</v>
      </c>
      <c r="O470" s="46" t="n">
        <v>0.14662</v>
      </c>
      <c r="P470" s="46" t="n">
        <v>0.05511</v>
      </c>
      <c r="Q470" s="46" t="n">
        <v>0.083706</v>
      </c>
      <c r="R470" s="47" t="n">
        <f aca="false">L470*Scorecard!$C$12+M470*Scorecard!$C$13+N470*Scorecard!$C$14+O470*Scorecard!$C$15+P470*Scorecard!$C$16+Q470*Scorecard!$C$17</f>
        <v>3.95395353919674</v>
      </c>
      <c r="S470" s="47" t="n">
        <f aca="false">L470*Scorecard!$D$12+M470*Scorecard!$D$13+N470*Scorecard!$D$14+O470*Scorecard!$D$15+P470*Scorecard!$D$16+Q470*Scorecard!$D$17</f>
        <v>2.66233637022759</v>
      </c>
      <c r="T470" s="47" t="n">
        <f aca="false">L470*Scorecard!$E$12+M470*Scorecard!$E$13+N470*Scorecard!$E$14+O470*Scorecard!$E$15+P470*Scorecard!$E$16+Q470*Scorecard!$E$17</f>
        <v>3.65031457278954</v>
      </c>
      <c r="U470" s="0" t="str">
        <f aca="false">IF(AND(R470&gt;=S470,R470&gt;=T470),"Distribution",IF(T470&gt;=S470,"Prof. services","Manufacturing"))</f>
        <v>Distribution</v>
      </c>
    </row>
    <row r="471" customFormat="false" ht="15" hidden="false" customHeight="false" outlineLevel="0" collapsed="false">
      <c r="A471" s="46" t="n">
        <v>0.051056</v>
      </c>
      <c r="B471" s="46" t="n">
        <v>0.290748</v>
      </c>
      <c r="C471" s="46" t="n">
        <v>0.074999</v>
      </c>
      <c r="D471" s="46" t="n">
        <v>0.072318</v>
      </c>
      <c r="E471" s="46" t="n">
        <v>0.507976</v>
      </c>
      <c r="F471" s="46" t="n">
        <v>0.002904</v>
      </c>
      <c r="G471" s="47" t="n">
        <f aca="false">A471*Scorecard!$C$12+B471*Scorecard!$C$13+C471*Scorecard!$C$14+D471*Scorecard!$C$15+E471*Scorecard!$C$16+F471*Scorecard!$C$17</f>
        <v>4.26536047189197</v>
      </c>
      <c r="H471" s="47" t="n">
        <f aca="false">A471*Scorecard!$D$12+B471*Scorecard!$D$13+C471*Scorecard!$D$14+D471*Scorecard!$D$15+E471*Scorecard!$D$16+F471*Scorecard!$D$17</f>
        <v>2.84600229019361</v>
      </c>
      <c r="I471" s="47" t="n">
        <f aca="false">A471*Scorecard!$E$12+B471*Scorecard!$E$13+C471*Scorecard!$E$14+D471*Scorecard!$E$15+E471*Scorecard!$E$16+F471*Scorecard!$E$17</f>
        <v>2.74742913309418</v>
      </c>
      <c r="J471" s="0" t="str">
        <f aca="false">IF(AND(G471&gt;=H471,G471&gt;=I471),"Distribution",IF(I471&gt;=H471,"Prof. services","Manufacturing"))</f>
        <v>Distribution</v>
      </c>
      <c r="L471" s="46" t="n">
        <v>0.180176</v>
      </c>
      <c r="M471" s="46" t="n">
        <v>0.233902</v>
      </c>
      <c r="N471" s="46" t="n">
        <v>0.068474</v>
      </c>
      <c r="O471" s="46" t="n">
        <v>0.132143</v>
      </c>
      <c r="P471" s="46" t="n">
        <v>0.280668</v>
      </c>
      <c r="Q471" s="46" t="n">
        <v>0.104638</v>
      </c>
      <c r="R471" s="47" t="n">
        <f aca="false">L471*Scorecard!$C$12+M471*Scorecard!$C$13+N471*Scorecard!$C$14+O471*Scorecard!$C$15+P471*Scorecard!$C$16+Q471*Scorecard!$C$17</f>
        <v>3.83245363051565</v>
      </c>
      <c r="S471" s="47" t="n">
        <f aca="false">L471*Scorecard!$D$12+M471*Scorecard!$D$13+N471*Scorecard!$D$14+O471*Scorecard!$D$15+P471*Scorecard!$D$16+Q471*Scorecard!$D$17</f>
        <v>2.85750389461628</v>
      </c>
      <c r="T471" s="47" t="n">
        <f aca="false">L471*Scorecard!$E$12+M471*Scorecard!$E$13+N471*Scorecard!$E$14+O471*Scorecard!$E$15+P471*Scorecard!$E$16+Q471*Scorecard!$E$17</f>
        <v>3.41617534502976</v>
      </c>
      <c r="U471" s="0" t="str">
        <f aca="false">IF(AND(R471&gt;=S471,R471&gt;=T471),"Distribution",IF(T471&gt;=S471,"Prof. services","Manufacturing"))</f>
        <v>Distribution</v>
      </c>
    </row>
    <row r="472" customFormat="false" ht="15" hidden="false" customHeight="false" outlineLevel="0" collapsed="false">
      <c r="A472" s="46" t="n">
        <v>0.333129</v>
      </c>
      <c r="B472" s="46" t="n">
        <v>0.044746</v>
      </c>
      <c r="C472" s="46" t="n">
        <v>0.362805</v>
      </c>
      <c r="D472" s="46" t="n">
        <v>0.015361</v>
      </c>
      <c r="E472" s="46" t="n">
        <v>0.095145</v>
      </c>
      <c r="F472" s="46" t="n">
        <v>0.148813</v>
      </c>
      <c r="G472" s="47" t="n">
        <f aca="false">A472*Scorecard!$C$12+B472*Scorecard!$C$13+C472*Scorecard!$C$14+D472*Scorecard!$C$15+E472*Scorecard!$C$16+F472*Scorecard!$C$17</f>
        <v>3.16284004925766</v>
      </c>
      <c r="H472" s="47" t="n">
        <f aca="false">A472*Scorecard!$D$12+B472*Scorecard!$D$13+C472*Scorecard!$D$14+D472*Scorecard!$D$15+E472*Scorecard!$D$16+F472*Scorecard!$D$17</f>
        <v>2.97915923727968</v>
      </c>
      <c r="I472" s="47" t="n">
        <f aca="false">A472*Scorecard!$E$12+B472*Scorecard!$E$13+C472*Scorecard!$E$14+D472*Scorecard!$E$15+E472*Scorecard!$E$16+F472*Scorecard!$E$17</f>
        <v>4.53035735762948</v>
      </c>
      <c r="J472" s="0" t="str">
        <f aca="false">IF(AND(G472&gt;=H472,G472&gt;=I472),"Distribution",IF(I472&gt;=H472,"Prof. services","Manufacturing"))</f>
        <v>Prof. services</v>
      </c>
      <c r="L472" s="46" t="n">
        <v>0.12524</v>
      </c>
      <c r="M472" s="46" t="n">
        <v>0.18815</v>
      </c>
      <c r="N472" s="46" t="n">
        <v>0.270733</v>
      </c>
      <c r="O472" s="46" t="n">
        <v>0.116562</v>
      </c>
      <c r="P472" s="46" t="n">
        <v>0.182866</v>
      </c>
      <c r="Q472" s="46" t="n">
        <v>0.116448</v>
      </c>
      <c r="R472" s="47" t="n">
        <f aca="false">L472*Scorecard!$C$12+M472*Scorecard!$C$13+N472*Scorecard!$C$14+O472*Scorecard!$C$15+P472*Scorecard!$C$16+Q472*Scorecard!$C$17</f>
        <v>3.84637821395624</v>
      </c>
      <c r="S472" s="47" t="n">
        <f aca="false">L472*Scorecard!$D$12+M472*Scorecard!$D$13+N472*Scorecard!$D$14+O472*Scorecard!$D$15+P472*Scorecard!$D$16+Q472*Scorecard!$D$17</f>
        <v>2.8215309414171</v>
      </c>
      <c r="T472" s="47" t="n">
        <f aca="false">L472*Scorecard!$E$12+M472*Scorecard!$E$13+N472*Scorecard!$E$14+O472*Scorecard!$E$15+P472*Scorecard!$E$16+Q472*Scorecard!$E$17</f>
        <v>3.81565355754132</v>
      </c>
      <c r="U472" s="0" t="str">
        <f aca="false">IF(AND(R472&gt;=S472,R472&gt;=T472),"Distribution",IF(T472&gt;=S472,"Prof. services","Manufacturing"))</f>
        <v>Distribution</v>
      </c>
    </row>
    <row r="473" customFormat="false" ht="15" hidden="false" customHeight="false" outlineLevel="0" collapsed="false">
      <c r="A473" s="46" t="n">
        <v>0.327338</v>
      </c>
      <c r="B473" s="46" t="n">
        <v>0.022558</v>
      </c>
      <c r="C473" s="46" t="n">
        <v>0.021338</v>
      </c>
      <c r="D473" s="46" t="n">
        <v>0.227418</v>
      </c>
      <c r="E473" s="46" t="n">
        <v>0.022515</v>
      </c>
      <c r="F473" s="46" t="n">
        <v>0.378832</v>
      </c>
      <c r="G473" s="47" t="n">
        <f aca="false">A473*Scorecard!$C$12+B473*Scorecard!$C$13+C473*Scorecard!$C$14+D473*Scorecard!$C$15+E473*Scorecard!$C$16+F473*Scorecard!$C$17</f>
        <v>2.90309493184293</v>
      </c>
      <c r="H473" s="47" t="n">
        <f aca="false">A473*Scorecard!$D$12+B473*Scorecard!$D$13+C473*Scorecard!$D$14+D473*Scorecard!$D$15+E473*Scorecard!$D$16+F473*Scorecard!$D$17</f>
        <v>2.88488564591145</v>
      </c>
      <c r="I473" s="47" t="n">
        <f aca="false">A473*Scorecard!$E$12+B473*Scorecard!$E$13+C473*Scorecard!$E$14+D473*Scorecard!$E$15+E473*Scorecard!$E$16+F473*Scorecard!$E$17</f>
        <v>4.49557512241704</v>
      </c>
      <c r="J473" s="0" t="str">
        <f aca="false">IF(AND(G473&gt;=H473,G473&gt;=I473),"Distribution",IF(I473&gt;=H473,"Prof. services","Manufacturing"))</f>
        <v>Prof. services</v>
      </c>
      <c r="L473" s="46" t="n">
        <v>0.194827</v>
      </c>
      <c r="M473" s="46" t="n">
        <v>0.109259</v>
      </c>
      <c r="N473" s="46" t="n">
        <v>0.145318</v>
      </c>
      <c r="O473" s="46" t="n">
        <v>0.353167</v>
      </c>
      <c r="P473" s="46" t="n">
        <v>0.119402</v>
      </c>
      <c r="Q473" s="46" t="n">
        <v>0.078028</v>
      </c>
      <c r="R473" s="47" t="n">
        <f aca="false">L473*Scorecard!$C$12+M473*Scorecard!$C$13+N473*Scorecard!$C$14+O473*Scorecard!$C$15+P473*Scorecard!$C$16+Q473*Scorecard!$C$17</f>
        <v>3.95568262157819</v>
      </c>
      <c r="S473" s="47" t="n">
        <f aca="false">L473*Scorecard!$D$12+M473*Scorecard!$D$13+N473*Scorecard!$D$14+O473*Scorecard!$D$15+P473*Scorecard!$D$16+Q473*Scorecard!$D$17</f>
        <v>3.29629714251994</v>
      </c>
      <c r="T473" s="47" t="n">
        <f aca="false">L473*Scorecard!$E$12+M473*Scorecard!$E$13+N473*Scorecard!$E$14+O473*Scorecard!$E$15+P473*Scorecard!$E$16+Q473*Scorecard!$E$17</f>
        <v>4.03319317442516</v>
      </c>
      <c r="U473" s="0" t="str">
        <f aca="false">IF(AND(R473&gt;=S473,R473&gt;=T473),"Distribution",IF(T473&gt;=S473,"Prof. services","Manufacturing"))</f>
        <v>Prof. services</v>
      </c>
    </row>
    <row r="474" customFormat="false" ht="15" hidden="false" customHeight="false" outlineLevel="0" collapsed="false">
      <c r="A474" s="46" t="n">
        <v>0.253027</v>
      </c>
      <c r="B474" s="46" t="n">
        <v>0.020605</v>
      </c>
      <c r="C474" s="46" t="n">
        <v>0.197446</v>
      </c>
      <c r="D474" s="46" t="n">
        <v>0.00672</v>
      </c>
      <c r="E474" s="46" t="n">
        <v>0.42287</v>
      </c>
      <c r="F474" s="46" t="n">
        <v>0.099332</v>
      </c>
      <c r="G474" s="47" t="n">
        <f aca="false">A474*Scorecard!$C$12+B474*Scorecard!$C$13+C474*Scorecard!$C$14+D474*Scorecard!$C$15+E474*Scorecard!$C$16+F474*Scorecard!$C$17</f>
        <v>3.3732087915898</v>
      </c>
      <c r="H474" s="47" t="n">
        <f aca="false">A474*Scorecard!$D$12+B474*Scorecard!$D$13+C474*Scorecard!$D$14+D474*Scorecard!$D$15+E474*Scorecard!$D$16+F474*Scorecard!$D$17</f>
        <v>3.13594661532963</v>
      </c>
      <c r="I474" s="47" t="n">
        <f aca="false">A474*Scorecard!$E$12+B474*Scorecard!$E$13+C474*Scorecard!$E$14+D474*Scorecard!$E$15+E474*Scorecard!$E$16+F474*Scorecard!$E$17</f>
        <v>3.75781200634932</v>
      </c>
      <c r="J474" s="0" t="str">
        <f aca="false">IF(AND(G474&gt;=H474,G474&gt;=I474),"Distribution",IF(I474&gt;=H474,"Prof. services","Manufacturing"))</f>
        <v>Prof. services</v>
      </c>
      <c r="L474" s="46" t="n">
        <v>0.149651</v>
      </c>
      <c r="M474" s="46" t="n">
        <v>0.236239</v>
      </c>
      <c r="N474" s="46" t="n">
        <v>0.293084</v>
      </c>
      <c r="O474" s="46" t="n">
        <v>0.110569</v>
      </c>
      <c r="P474" s="46" t="n">
        <v>0.122602</v>
      </c>
      <c r="Q474" s="46" t="n">
        <v>0.087856</v>
      </c>
      <c r="R474" s="47" t="n">
        <f aca="false">L474*Scorecard!$C$12+M474*Scorecard!$C$13+N474*Scorecard!$C$14+O474*Scorecard!$C$15+P474*Scorecard!$C$16+Q474*Scorecard!$C$17</f>
        <v>3.90172606583173</v>
      </c>
      <c r="S474" s="47" t="n">
        <f aca="false">L474*Scorecard!$D$12+M474*Scorecard!$D$13+N474*Scorecard!$D$14+O474*Scorecard!$D$15+P474*Scorecard!$D$16+Q474*Scorecard!$D$17</f>
        <v>2.78134217548164</v>
      </c>
      <c r="T474" s="47" t="n">
        <f aca="false">L474*Scorecard!$E$12+M474*Scorecard!$E$13+N474*Scorecard!$E$14+O474*Scorecard!$E$15+P474*Scorecard!$E$16+Q474*Scorecard!$E$17</f>
        <v>3.85738891563011</v>
      </c>
      <c r="U474" s="0" t="str">
        <f aca="false">IF(AND(R474&gt;=S474,R474&gt;=T474),"Distribution",IF(T474&gt;=S474,"Prof. services","Manufacturing"))</f>
        <v>Distribution</v>
      </c>
    </row>
    <row r="475" customFormat="false" ht="15" hidden="false" customHeight="false" outlineLevel="0" collapsed="false">
      <c r="A475" s="46" t="n">
        <v>0.198899</v>
      </c>
      <c r="B475" s="46" t="n">
        <v>0.196824</v>
      </c>
      <c r="C475" s="46" t="n">
        <v>0.161767</v>
      </c>
      <c r="D475" s="46" t="n">
        <v>0.13469</v>
      </c>
      <c r="E475" s="46" t="n">
        <v>0.004306</v>
      </c>
      <c r="F475" s="46" t="n">
        <v>0.303514</v>
      </c>
      <c r="G475" s="47" t="n">
        <f aca="false">A475*Scorecard!$C$12+B475*Scorecard!$C$13+C475*Scorecard!$C$14+D475*Scorecard!$C$15+E475*Scorecard!$C$16+F475*Scorecard!$C$17</f>
        <v>3.36646496350753</v>
      </c>
      <c r="H475" s="47" t="n">
        <f aca="false">A475*Scorecard!$D$12+B475*Scorecard!$D$13+C475*Scorecard!$D$14+D475*Scorecard!$D$15+E475*Scorecard!$D$16+F475*Scorecard!$D$17</f>
        <v>2.53803635233291</v>
      </c>
      <c r="I475" s="47" t="n">
        <f aca="false">A475*Scorecard!$E$12+B475*Scorecard!$E$13+C475*Scorecard!$E$14+D475*Scorecard!$E$15+E475*Scorecard!$E$16+F475*Scorecard!$E$17</f>
        <v>4.15818970194462</v>
      </c>
      <c r="J475" s="0" t="str">
        <f aca="false">IF(AND(G475&gt;=H475,G475&gt;=I475),"Distribution",IF(I475&gt;=H475,"Prof. services","Manufacturing"))</f>
        <v>Prof. services</v>
      </c>
      <c r="L475" s="46" t="n">
        <v>0.263194</v>
      </c>
      <c r="M475" s="46" t="n">
        <v>0.178446</v>
      </c>
      <c r="N475" s="46" t="n">
        <v>0.186651</v>
      </c>
      <c r="O475" s="46" t="n">
        <v>0.099117</v>
      </c>
      <c r="P475" s="46" t="n">
        <v>0.153409</v>
      </c>
      <c r="Q475" s="46" t="n">
        <v>0.119183</v>
      </c>
      <c r="R475" s="47" t="n">
        <f aca="false">L475*Scorecard!$C$12+M475*Scorecard!$C$13+N475*Scorecard!$C$14+O475*Scorecard!$C$15+P475*Scorecard!$C$16+Q475*Scorecard!$C$17</f>
        <v>3.56544404659852</v>
      </c>
      <c r="S475" s="47" t="n">
        <f aca="false">L475*Scorecard!$D$12+M475*Scorecard!$D$13+N475*Scorecard!$D$14+O475*Scorecard!$D$15+P475*Scorecard!$D$16+Q475*Scorecard!$D$17</f>
        <v>2.89310849907279</v>
      </c>
      <c r="T475" s="47" t="n">
        <f aca="false">L475*Scorecard!$E$12+M475*Scorecard!$E$13+N475*Scorecard!$E$14+O475*Scorecard!$E$15+P475*Scorecard!$E$16+Q475*Scorecard!$E$17</f>
        <v>3.9353298556075</v>
      </c>
      <c r="U475" s="0" t="str">
        <f aca="false">IF(AND(R475&gt;=S475,R475&gt;=T475),"Distribution",IF(T475&gt;=S475,"Prof. services","Manufacturing"))</f>
        <v>Prof. services</v>
      </c>
    </row>
    <row r="476" customFormat="false" ht="15" hidden="false" customHeight="false" outlineLevel="0" collapsed="false">
      <c r="A476" s="46" t="n">
        <v>0.391485</v>
      </c>
      <c r="B476" s="46" t="n">
        <v>0.121551</v>
      </c>
      <c r="C476" s="46" t="n">
        <v>0.179462</v>
      </c>
      <c r="D476" s="46" t="n">
        <v>0.190594</v>
      </c>
      <c r="E476" s="46" t="n">
        <v>0.028325</v>
      </c>
      <c r="F476" s="46" t="n">
        <v>0.088583</v>
      </c>
      <c r="G476" s="47" t="n">
        <f aca="false">A476*Scorecard!$C$12+B476*Scorecard!$C$13+C476*Scorecard!$C$14+D476*Scorecard!$C$15+E476*Scorecard!$C$16+F476*Scorecard!$C$17</f>
        <v>3.43030041704455</v>
      </c>
      <c r="H476" s="47" t="n">
        <f aca="false">A476*Scorecard!$D$12+B476*Scorecard!$D$13+C476*Scorecard!$D$14+D476*Scorecard!$D$15+E476*Scorecard!$D$16+F476*Scorecard!$D$17</f>
        <v>3.17335338272869</v>
      </c>
      <c r="I476" s="47" t="n">
        <f aca="false">A476*Scorecard!$E$12+B476*Scorecard!$E$13+C476*Scorecard!$E$14+D476*Scorecard!$E$15+E476*Scorecard!$E$16+F476*Scorecard!$E$17</f>
        <v>4.37132905581041</v>
      </c>
      <c r="J476" s="0" t="str">
        <f aca="false">IF(AND(G476&gt;=H476,G476&gt;=I476),"Distribution",IF(I476&gt;=H476,"Prof. services","Manufacturing"))</f>
        <v>Prof. services</v>
      </c>
      <c r="L476" s="46" t="n">
        <v>0.199718</v>
      </c>
      <c r="M476" s="46" t="n">
        <v>0.308237</v>
      </c>
      <c r="N476" s="46" t="n">
        <v>0.108024</v>
      </c>
      <c r="O476" s="46" t="n">
        <v>0.113084</v>
      </c>
      <c r="P476" s="46" t="n">
        <v>0.10004</v>
      </c>
      <c r="Q476" s="46" t="n">
        <v>0.170898</v>
      </c>
      <c r="R476" s="47" t="n">
        <f aca="false">L476*Scorecard!$C$12+M476*Scorecard!$C$13+N476*Scorecard!$C$14+O476*Scorecard!$C$15+P476*Scorecard!$C$16+Q476*Scorecard!$C$17</f>
        <v>3.72003375182779</v>
      </c>
      <c r="S476" s="47" t="n">
        <f aca="false">L476*Scorecard!$D$12+M476*Scorecard!$D$13+N476*Scorecard!$D$14+O476*Scorecard!$D$15+P476*Scorecard!$D$16+Q476*Scorecard!$D$17</f>
        <v>2.57717254373132</v>
      </c>
      <c r="T476" s="47" t="n">
        <f aca="false">L476*Scorecard!$E$12+M476*Scorecard!$E$13+N476*Scorecard!$E$14+O476*Scorecard!$E$15+P476*Scorecard!$E$16+Q476*Scorecard!$E$17</f>
        <v>3.66689443464405</v>
      </c>
      <c r="U476" s="0" t="str">
        <f aca="false">IF(AND(R476&gt;=S476,R476&gt;=T476),"Distribution",IF(T476&gt;=S476,"Prof. services","Manufacturing"))</f>
        <v>Distribution</v>
      </c>
    </row>
    <row r="477" customFormat="false" ht="15" hidden="false" customHeight="false" outlineLevel="0" collapsed="false">
      <c r="A477" s="46" t="n">
        <v>0.003509</v>
      </c>
      <c r="B477" s="46" t="n">
        <v>0.154902</v>
      </c>
      <c r="C477" s="46" t="n">
        <v>0.092896</v>
      </c>
      <c r="D477" s="46" t="n">
        <v>0.55331</v>
      </c>
      <c r="E477" s="46" t="n">
        <v>0.046952</v>
      </c>
      <c r="F477" s="46" t="n">
        <v>0.148432</v>
      </c>
      <c r="G477" s="47" t="n">
        <f aca="false">A477*Scorecard!$C$12+B477*Scorecard!$C$13+C477*Scorecard!$C$14+D477*Scorecard!$C$15+E477*Scorecard!$C$16+F477*Scorecard!$C$17</f>
        <v>4.40503574995826</v>
      </c>
      <c r="H477" s="47" t="n">
        <f aca="false">A477*Scorecard!$D$12+B477*Scorecard!$D$13+C477*Scorecard!$D$14+D477*Scorecard!$D$15+E477*Scorecard!$D$16+F477*Scorecard!$D$17</f>
        <v>3.20334976231405</v>
      </c>
      <c r="I477" s="47" t="n">
        <f aca="false">A477*Scorecard!$E$12+B477*Scorecard!$E$13+C477*Scorecard!$E$14+D477*Scorecard!$E$15+E477*Scorecard!$E$16+F477*Scorecard!$E$17</f>
        <v>3.89264325128862</v>
      </c>
      <c r="J477" s="0" t="str">
        <f aca="false">IF(AND(G477&gt;=H477,G477&gt;=I477),"Distribution",IF(I477&gt;=H477,"Prof. services","Manufacturing"))</f>
        <v>Distribution</v>
      </c>
      <c r="L477" s="46" t="n">
        <v>0.332254</v>
      </c>
      <c r="M477" s="46" t="n">
        <v>0.119217</v>
      </c>
      <c r="N477" s="46" t="n">
        <v>0.188373</v>
      </c>
      <c r="O477" s="46" t="n">
        <v>0.154112</v>
      </c>
      <c r="P477" s="46" t="n">
        <v>0.082068</v>
      </c>
      <c r="Q477" s="46" t="n">
        <v>0.123977</v>
      </c>
      <c r="R477" s="47" t="n">
        <f aca="false">L477*Scorecard!$C$12+M477*Scorecard!$C$13+N477*Scorecard!$C$14+O477*Scorecard!$C$15+P477*Scorecard!$C$16+Q477*Scorecard!$C$17</f>
        <v>3.427317061736</v>
      </c>
      <c r="S477" s="47" t="n">
        <f aca="false">L477*Scorecard!$D$12+M477*Scorecard!$D$13+N477*Scorecard!$D$14+O477*Scorecard!$D$15+P477*Scorecard!$D$16+Q477*Scorecard!$D$17</f>
        <v>3.0603250080121</v>
      </c>
      <c r="T477" s="47" t="n">
        <f aca="false">L477*Scorecard!$E$12+M477*Scorecard!$E$13+N477*Scorecard!$E$14+O477*Scorecard!$E$15+P477*Scorecard!$E$16+Q477*Scorecard!$E$17</f>
        <v>4.24752894011313</v>
      </c>
      <c r="U477" s="0" t="str">
        <f aca="false">IF(AND(R477&gt;=S477,R477&gt;=T477),"Distribution",IF(T477&gt;=S477,"Prof. services","Manufacturing"))</f>
        <v>Prof. services</v>
      </c>
    </row>
    <row r="478" customFormat="false" ht="15" hidden="false" customHeight="false" outlineLevel="0" collapsed="false">
      <c r="A478" s="46" t="n">
        <v>0.008941</v>
      </c>
      <c r="B478" s="46" t="n">
        <v>0.046629</v>
      </c>
      <c r="C478" s="46" t="n">
        <v>0.122563</v>
      </c>
      <c r="D478" s="46" t="n">
        <v>0.392263</v>
      </c>
      <c r="E478" s="46" t="n">
        <v>0.423152</v>
      </c>
      <c r="F478" s="46" t="n">
        <v>0.006452</v>
      </c>
      <c r="G478" s="47" t="n">
        <f aca="false">A478*Scorecard!$C$12+B478*Scorecard!$C$13+C478*Scorecard!$C$14+D478*Scorecard!$C$15+E478*Scorecard!$C$16+F478*Scorecard!$C$17</f>
        <v>4.40989407249268</v>
      </c>
      <c r="H478" s="47" t="n">
        <f aca="false">A478*Scorecard!$D$12+B478*Scorecard!$D$13+C478*Scorecard!$D$14+D478*Scorecard!$D$15+E478*Scorecard!$D$16+F478*Scorecard!$D$17</f>
        <v>3.52138821561913</v>
      </c>
      <c r="I478" s="47" t="n">
        <f aca="false">A478*Scorecard!$E$12+B478*Scorecard!$E$13+C478*Scorecard!$E$14+D478*Scorecard!$E$15+E478*Scorecard!$E$16+F478*Scorecard!$E$17</f>
        <v>3.406394276529</v>
      </c>
      <c r="J478" s="0" t="str">
        <f aca="false">IF(AND(G478&gt;=H478,G478&gt;=I478),"Distribution",IF(I478&gt;=H478,"Prof. services","Manufacturing"))</f>
        <v>Distribution</v>
      </c>
      <c r="L478" s="46" t="n">
        <v>0.145494</v>
      </c>
      <c r="M478" s="46" t="n">
        <v>0.375486</v>
      </c>
      <c r="N478" s="46" t="n">
        <v>0.206672</v>
      </c>
      <c r="O478" s="46" t="n">
        <v>0.110337</v>
      </c>
      <c r="P478" s="46" t="n">
        <v>0.08001</v>
      </c>
      <c r="Q478" s="46" t="n">
        <v>0.082</v>
      </c>
      <c r="R478" s="47" t="n">
        <f aca="false">L478*Scorecard!$C$12+M478*Scorecard!$C$13+N478*Scorecard!$C$14+O478*Scorecard!$C$15+P478*Scorecard!$C$16+Q478*Scorecard!$C$17</f>
        <v>4.05992772511458</v>
      </c>
      <c r="S478" s="47" t="n">
        <f aca="false">L478*Scorecard!$D$12+M478*Scorecard!$D$13+N478*Scorecard!$D$14+O478*Scorecard!$D$15+P478*Scorecard!$D$16+Q478*Scorecard!$D$17</f>
        <v>2.56389834091279</v>
      </c>
      <c r="T478" s="47" t="n">
        <f aca="false">L478*Scorecard!$E$12+M478*Scorecard!$E$13+N478*Scorecard!$E$14+O478*Scorecard!$E$15+P478*Scorecard!$E$16+Q478*Scorecard!$E$17</f>
        <v>3.57366257071419</v>
      </c>
      <c r="U478" s="0" t="str">
        <f aca="false">IF(AND(R478&gt;=S478,R478&gt;=T478),"Distribution",IF(T478&gt;=S478,"Prof. services","Manufacturing"))</f>
        <v>Distribution</v>
      </c>
    </row>
    <row r="479" customFormat="false" ht="15" hidden="false" customHeight="false" outlineLevel="0" collapsed="false">
      <c r="A479" s="46" t="n">
        <v>0.180597</v>
      </c>
      <c r="B479" s="46" t="n">
        <v>0.046958</v>
      </c>
      <c r="C479" s="46" t="n">
        <v>0.388547</v>
      </c>
      <c r="D479" s="46" t="n">
        <v>0.24872</v>
      </c>
      <c r="E479" s="46" t="n">
        <v>0.043712</v>
      </c>
      <c r="F479" s="46" t="n">
        <v>0.091466</v>
      </c>
      <c r="G479" s="47" t="n">
        <f aca="false">A479*Scorecard!$C$12+B479*Scorecard!$C$13+C479*Scorecard!$C$14+D479*Scorecard!$C$15+E479*Scorecard!$C$16+F479*Scorecard!$C$17</f>
        <v>3.78766882451178</v>
      </c>
      <c r="H479" s="47" t="n">
        <f aca="false">A479*Scorecard!$D$12+B479*Scorecard!$D$13+C479*Scorecard!$D$14+D479*Scorecard!$D$15+E479*Scorecard!$D$16+F479*Scorecard!$D$17</f>
        <v>3.21410930694053</v>
      </c>
      <c r="I479" s="47" t="n">
        <f aca="false">A479*Scorecard!$E$12+B479*Scorecard!$E$13+C479*Scorecard!$E$14+D479*Scorecard!$E$15+E479*Scorecard!$E$16+F479*Scorecard!$E$17</f>
        <v>4.49476732980456</v>
      </c>
      <c r="J479" s="0" t="str">
        <f aca="false">IF(AND(G479&gt;=H479,G479&gt;=I479),"Distribution",IF(I479&gt;=H479,"Prof. services","Manufacturing"))</f>
        <v>Prof. services</v>
      </c>
      <c r="L479" s="46" t="n">
        <v>0.239528</v>
      </c>
      <c r="M479" s="46" t="n">
        <v>0.121591</v>
      </c>
      <c r="N479" s="46" t="n">
        <v>0.130016</v>
      </c>
      <c r="O479" s="46" t="n">
        <v>0.273766</v>
      </c>
      <c r="P479" s="46" t="n">
        <v>0.16162</v>
      </c>
      <c r="Q479" s="46" t="n">
        <v>0.073479</v>
      </c>
      <c r="R479" s="47" t="n">
        <f aca="false">L479*Scorecard!$C$12+M479*Scorecard!$C$13+N479*Scorecard!$C$14+O479*Scorecard!$C$15+P479*Scorecard!$C$16+Q479*Scorecard!$C$17</f>
        <v>3.81724518409862</v>
      </c>
      <c r="S479" s="47" t="n">
        <f aca="false">L479*Scorecard!$D$12+M479*Scorecard!$D$13+N479*Scorecard!$D$14+O479*Scorecard!$D$15+P479*Scorecard!$D$16+Q479*Scorecard!$D$17</f>
        <v>3.23628928851518</v>
      </c>
      <c r="T479" s="47" t="n">
        <f aca="false">L479*Scorecard!$E$12+M479*Scorecard!$E$13+N479*Scorecard!$E$14+O479*Scorecard!$E$15+P479*Scorecard!$E$16+Q479*Scorecard!$E$17</f>
        <v>3.95379007715696</v>
      </c>
      <c r="U479" s="0" t="str">
        <f aca="false">IF(AND(R479&gt;=S479,R479&gt;=T479),"Distribution",IF(T479&gt;=S479,"Prof. services","Manufacturing"))</f>
        <v>Prof. services</v>
      </c>
    </row>
    <row r="480" customFormat="false" ht="15" hidden="false" customHeight="false" outlineLevel="0" collapsed="false">
      <c r="A480" s="46" t="n">
        <v>0.002304</v>
      </c>
      <c r="B480" s="46" t="n">
        <v>0.152413</v>
      </c>
      <c r="C480" s="46" t="n">
        <v>0.231576</v>
      </c>
      <c r="D480" s="46" t="n">
        <v>0.189337</v>
      </c>
      <c r="E480" s="46" t="n">
        <v>0.38107</v>
      </c>
      <c r="F480" s="46" t="n">
        <v>0.0433</v>
      </c>
      <c r="G480" s="47" t="n">
        <f aca="false">A480*Scorecard!$C$12+B480*Scorecard!$C$13+C480*Scorecard!$C$14+D480*Scorecard!$C$15+E480*Scorecard!$C$16+F480*Scorecard!$C$17</f>
        <v>4.25100276714273</v>
      </c>
      <c r="H480" s="47" t="n">
        <f aca="false">A480*Scorecard!$D$12+B480*Scorecard!$D$13+C480*Scorecard!$D$14+D480*Scorecard!$D$15+E480*Scorecard!$D$16+F480*Scorecard!$D$17</f>
        <v>3.05400732806427</v>
      </c>
      <c r="I480" s="47" t="n">
        <f aca="false">A480*Scorecard!$E$12+B480*Scorecard!$E$13+C480*Scorecard!$E$14+D480*Scorecard!$E$15+E480*Scorecard!$E$16+F480*Scorecard!$E$17</f>
        <v>3.36562155326596</v>
      </c>
      <c r="J480" s="0" t="str">
        <f aca="false">IF(AND(G480&gt;=H480,G480&gt;=I480),"Distribution",IF(I480&gt;=H480,"Prof. services","Manufacturing"))</f>
        <v>Distribution</v>
      </c>
      <c r="L480" s="46" t="n">
        <v>0.282184</v>
      </c>
      <c r="M480" s="46" t="n">
        <v>0.237595</v>
      </c>
      <c r="N480" s="46" t="n">
        <v>0.232099</v>
      </c>
      <c r="O480" s="46" t="n">
        <v>0.059985</v>
      </c>
      <c r="P480" s="46" t="n">
        <v>0.082847</v>
      </c>
      <c r="Q480" s="46" t="n">
        <v>0.10529</v>
      </c>
      <c r="R480" s="47" t="n">
        <f aca="false">L480*Scorecard!$C$12+M480*Scorecard!$C$13+N480*Scorecard!$C$14+O480*Scorecard!$C$15+P480*Scorecard!$C$16+Q480*Scorecard!$C$17</f>
        <v>3.57906477578272</v>
      </c>
      <c r="S480" s="47" t="n">
        <f aca="false">L480*Scorecard!$D$12+M480*Scorecard!$D$13+N480*Scorecard!$D$14+O480*Scorecard!$D$15+P480*Scorecard!$D$16+Q480*Scorecard!$D$17</f>
        <v>2.76888757679725</v>
      </c>
      <c r="T480" s="47" t="n">
        <f aca="false">L480*Scorecard!$E$12+M480*Scorecard!$E$13+N480*Scorecard!$E$14+O480*Scorecard!$E$15+P480*Scorecard!$E$16+Q480*Scorecard!$E$17</f>
        <v>3.99306359909005</v>
      </c>
      <c r="U480" s="0" t="str">
        <f aca="false">IF(AND(R480&gt;=S480,R480&gt;=T480),"Distribution",IF(T480&gt;=S480,"Prof. services","Manufacturing"))</f>
        <v>Prof. services</v>
      </c>
    </row>
    <row r="481" customFormat="false" ht="15" hidden="false" customHeight="false" outlineLevel="0" collapsed="false">
      <c r="A481" s="46" t="n">
        <v>0.34497</v>
      </c>
      <c r="B481" s="46" t="n">
        <v>0.092711</v>
      </c>
      <c r="C481" s="46" t="n">
        <v>0.096557</v>
      </c>
      <c r="D481" s="46" t="n">
        <v>0.069085</v>
      </c>
      <c r="E481" s="46" t="n">
        <v>0.29583</v>
      </c>
      <c r="F481" s="46" t="n">
        <v>0.100846</v>
      </c>
      <c r="G481" s="47" t="n">
        <f aca="false">A481*Scorecard!$C$12+B481*Scorecard!$C$13+C481*Scorecard!$C$14+D481*Scorecard!$C$15+E481*Scorecard!$C$16+F481*Scorecard!$C$17</f>
        <v>3.33914908039352</v>
      </c>
      <c r="H481" s="47" t="n">
        <f aca="false">A481*Scorecard!$D$12+B481*Scorecard!$D$13+C481*Scorecard!$D$14+D481*Scorecard!$D$15+E481*Scorecard!$D$16+F481*Scorecard!$D$17</f>
        <v>3.11602385230691</v>
      </c>
      <c r="I481" s="47" t="n">
        <f aca="false">A481*Scorecard!$E$12+B481*Scorecard!$E$13+C481*Scorecard!$E$14+D481*Scorecard!$E$15+E481*Scorecard!$E$16+F481*Scorecard!$E$17</f>
        <v>3.83634596070865</v>
      </c>
      <c r="J481" s="0" t="str">
        <f aca="false">IF(AND(G481&gt;=H481,G481&gt;=I481),"Distribution",IF(I481&gt;=H481,"Prof. services","Manufacturing"))</f>
        <v>Prof. services</v>
      </c>
      <c r="L481" s="46" t="n">
        <v>0.161128</v>
      </c>
      <c r="M481" s="46" t="n">
        <v>0.23289</v>
      </c>
      <c r="N481" s="46" t="n">
        <v>0.139518</v>
      </c>
      <c r="O481" s="46" t="n">
        <v>0.29157</v>
      </c>
      <c r="P481" s="46" t="n">
        <v>0.117019</v>
      </c>
      <c r="Q481" s="46" t="n">
        <v>0.057874</v>
      </c>
      <c r="R481" s="47" t="n">
        <f aca="false">L481*Scorecard!$C$12+M481*Scorecard!$C$13+N481*Scorecard!$C$14+O481*Scorecard!$C$15+P481*Scorecard!$C$16+Q481*Scorecard!$C$17</f>
        <v>4.11867530215859</v>
      </c>
      <c r="S481" s="47" t="n">
        <f aca="false">L481*Scorecard!$D$12+M481*Scorecard!$D$13+N481*Scorecard!$D$14+O481*Scorecard!$D$15+P481*Scorecard!$D$16+Q481*Scorecard!$D$17</f>
        <v>3.0465903639816</v>
      </c>
      <c r="T481" s="47" t="n">
        <f aca="false">L481*Scorecard!$E$12+M481*Scorecard!$E$13+N481*Scorecard!$E$14+O481*Scorecard!$E$15+P481*Scorecard!$E$16+Q481*Scorecard!$E$17</f>
        <v>3.74559137867693</v>
      </c>
      <c r="U481" s="0" t="str">
        <f aca="false">IF(AND(R481&gt;=S481,R481&gt;=T481),"Distribution",IF(T481&gt;=S481,"Prof. services","Manufacturing"))</f>
        <v>Distribution</v>
      </c>
    </row>
    <row r="482" customFormat="false" ht="15" hidden="false" customHeight="false" outlineLevel="0" collapsed="false">
      <c r="A482" s="46" t="n">
        <v>0.07137</v>
      </c>
      <c r="B482" s="46" t="n">
        <v>0.193603</v>
      </c>
      <c r="C482" s="46" t="n">
        <v>0.195533</v>
      </c>
      <c r="D482" s="46" t="n">
        <v>0.076683</v>
      </c>
      <c r="E482" s="46" t="n">
        <v>0.370294</v>
      </c>
      <c r="F482" s="46" t="n">
        <v>0.092516</v>
      </c>
      <c r="G482" s="47" t="n">
        <f aca="false">A482*Scorecard!$C$12+B482*Scorecard!$C$13+C482*Scorecard!$C$14+D482*Scorecard!$C$15+E482*Scorecard!$C$16+F482*Scorecard!$C$17</f>
        <v>3.95678298219464</v>
      </c>
      <c r="H482" s="47" t="n">
        <f aca="false">A482*Scorecard!$D$12+B482*Scorecard!$D$13+C482*Scorecard!$D$14+D482*Scorecard!$D$15+E482*Scorecard!$D$16+F482*Scorecard!$D$17</f>
        <v>2.82997062716687</v>
      </c>
      <c r="I482" s="47" t="n">
        <f aca="false">A482*Scorecard!$E$12+B482*Scorecard!$E$13+C482*Scorecard!$E$14+D482*Scorecard!$E$15+E482*Scorecard!$E$16+F482*Scorecard!$E$17</f>
        <v>3.34546542580836</v>
      </c>
      <c r="J482" s="0" t="str">
        <f aca="false">IF(AND(G482&gt;=H482,G482&gt;=I482),"Distribution",IF(I482&gt;=H482,"Prof. services","Manufacturing"))</f>
        <v>Distribution</v>
      </c>
      <c r="L482" s="46" t="n">
        <v>0.110214</v>
      </c>
      <c r="M482" s="46" t="n">
        <v>0.273524</v>
      </c>
      <c r="N482" s="46" t="n">
        <v>0.204026</v>
      </c>
      <c r="O482" s="46" t="n">
        <v>0.251131</v>
      </c>
      <c r="P482" s="46" t="n">
        <v>0.115948</v>
      </c>
      <c r="Q482" s="46" t="n">
        <v>0.045156</v>
      </c>
      <c r="R482" s="47" t="n">
        <f aca="false">L482*Scorecard!$C$12+M482*Scorecard!$C$13+N482*Scorecard!$C$14+O482*Scorecard!$C$15+P482*Scorecard!$C$16+Q482*Scorecard!$C$17</f>
        <v>4.23595222824156</v>
      </c>
      <c r="S482" s="47" t="n">
        <f aca="false">L482*Scorecard!$D$12+M482*Scorecard!$D$13+N482*Scorecard!$D$14+O482*Scorecard!$D$15+P482*Scorecard!$D$16+Q482*Scorecard!$D$17</f>
        <v>2.92387360217968</v>
      </c>
      <c r="T482" s="47" t="n">
        <f aca="false">L482*Scorecard!$E$12+M482*Scorecard!$E$13+N482*Scorecard!$E$14+O482*Scorecard!$E$15+P482*Scorecard!$E$16+Q482*Scorecard!$E$17</f>
        <v>3.67176230000133</v>
      </c>
      <c r="U482" s="0" t="str">
        <f aca="false">IF(AND(R482&gt;=S482,R482&gt;=T482),"Distribution",IF(T482&gt;=S482,"Prof. services","Manufacturing"))</f>
        <v>Distribution</v>
      </c>
    </row>
    <row r="483" customFormat="false" ht="15" hidden="false" customHeight="false" outlineLevel="0" collapsed="false">
      <c r="A483" s="46" t="n">
        <v>0.172883</v>
      </c>
      <c r="B483" s="46" t="n">
        <v>0.046535</v>
      </c>
      <c r="C483" s="46" t="n">
        <v>0.202599</v>
      </c>
      <c r="D483" s="46" t="n">
        <v>0.197034</v>
      </c>
      <c r="E483" s="46" t="n">
        <v>0.168091</v>
      </c>
      <c r="F483" s="46" t="n">
        <v>0.212858</v>
      </c>
      <c r="G483" s="47" t="n">
        <f aca="false">A483*Scorecard!$C$12+B483*Scorecard!$C$13+C483*Scorecard!$C$14+D483*Scorecard!$C$15+E483*Scorecard!$C$16+F483*Scorecard!$C$17</f>
        <v>3.5066611345209</v>
      </c>
      <c r="H483" s="47" t="n">
        <f aca="false">A483*Scorecard!$D$12+B483*Scorecard!$D$13+C483*Scorecard!$D$14+D483*Scorecard!$D$15+E483*Scorecard!$D$16+F483*Scorecard!$D$17</f>
        <v>3.00918657998861</v>
      </c>
      <c r="I483" s="47" t="n">
        <f aca="false">A483*Scorecard!$E$12+B483*Scorecard!$E$13+C483*Scorecard!$E$14+D483*Scorecard!$E$15+E483*Scorecard!$E$16+F483*Scorecard!$E$17</f>
        <v>4.1468141673275</v>
      </c>
      <c r="J483" s="0" t="str">
        <f aca="false">IF(AND(G483&gt;=H483,G483&gt;=I483),"Distribution",IF(I483&gt;=H483,"Prof. services","Manufacturing"))</f>
        <v>Prof. services</v>
      </c>
      <c r="L483" s="46" t="n">
        <v>0.164329</v>
      </c>
      <c r="M483" s="46" t="n">
        <v>0.284821</v>
      </c>
      <c r="N483" s="46" t="n">
        <v>0.079286</v>
      </c>
      <c r="O483" s="46" t="n">
        <v>0.142629</v>
      </c>
      <c r="P483" s="46" t="n">
        <v>0.149616</v>
      </c>
      <c r="Q483" s="46" t="n">
        <v>0.17932</v>
      </c>
      <c r="R483" s="47" t="n">
        <f aca="false">L483*Scorecard!$C$12+M483*Scorecard!$C$13+N483*Scorecard!$C$14+O483*Scorecard!$C$15+P483*Scorecard!$C$16+Q483*Scorecard!$C$17</f>
        <v>3.77301945650922</v>
      </c>
      <c r="S483" s="47" t="n">
        <f aca="false">L483*Scorecard!$D$12+M483*Scorecard!$D$13+N483*Scorecard!$D$14+O483*Scorecard!$D$15+P483*Scorecard!$D$16+Q483*Scorecard!$D$17</f>
        <v>2.6270386780851</v>
      </c>
      <c r="T483" s="47" t="n">
        <f aca="false">L483*Scorecard!$E$12+M483*Scorecard!$E$13+N483*Scorecard!$E$14+O483*Scorecard!$E$15+P483*Scorecard!$E$16+Q483*Scorecard!$E$17</f>
        <v>3.57311916328655</v>
      </c>
      <c r="U483" s="0" t="str">
        <f aca="false">IF(AND(R483&gt;=S483,R483&gt;=T483),"Distribution",IF(T483&gt;=S483,"Prof. services","Manufacturing"))</f>
        <v>Distribution</v>
      </c>
    </row>
    <row r="484" customFormat="false" ht="15" hidden="false" customHeight="false" outlineLevel="0" collapsed="false">
      <c r="A484" s="46" t="n">
        <v>0.277426</v>
      </c>
      <c r="B484" s="46" t="n">
        <v>0.066117</v>
      </c>
      <c r="C484" s="46" t="n">
        <v>0.23076</v>
      </c>
      <c r="D484" s="46" t="n">
        <v>0.076705</v>
      </c>
      <c r="E484" s="46" t="n">
        <v>0.310657</v>
      </c>
      <c r="F484" s="46" t="n">
        <v>0.038334</v>
      </c>
      <c r="G484" s="47" t="n">
        <f aca="false">A484*Scorecard!$C$12+B484*Scorecard!$C$13+C484*Scorecard!$C$14+D484*Scorecard!$C$15+E484*Scorecard!$C$16+F484*Scorecard!$C$17</f>
        <v>3.56677924363641</v>
      </c>
      <c r="H484" s="47" t="n">
        <f aca="false">A484*Scorecard!$D$12+B484*Scorecard!$D$13+C484*Scorecard!$D$14+D484*Scorecard!$D$15+E484*Scorecard!$D$16+F484*Scorecard!$D$17</f>
        <v>3.21885693322779</v>
      </c>
      <c r="I484" s="47" t="n">
        <f aca="false">A484*Scorecard!$E$12+B484*Scorecard!$E$13+C484*Scorecard!$E$14+D484*Scorecard!$E$15+E484*Scorecard!$E$16+F484*Scorecard!$E$17</f>
        <v>3.89816718919445</v>
      </c>
      <c r="J484" s="0" t="str">
        <f aca="false">IF(AND(G484&gt;=H484,G484&gt;=I484),"Distribution",IF(I484&gt;=H484,"Prof. services","Manufacturing"))</f>
        <v>Prof. services</v>
      </c>
      <c r="L484" s="46" t="n">
        <v>0.157277</v>
      </c>
      <c r="M484" s="46" t="n">
        <v>0.102318</v>
      </c>
      <c r="N484" s="46" t="n">
        <v>0.187817</v>
      </c>
      <c r="O484" s="46" t="n">
        <v>0.243761</v>
      </c>
      <c r="P484" s="46" t="n">
        <v>0.168093</v>
      </c>
      <c r="Q484" s="46" t="n">
        <v>0.140733</v>
      </c>
      <c r="R484" s="47" t="n">
        <f aca="false">L484*Scorecard!$C$12+M484*Scorecard!$C$13+N484*Scorecard!$C$14+O484*Scorecard!$C$15+P484*Scorecard!$C$16+Q484*Scorecard!$C$17</f>
        <v>3.78150815707758</v>
      </c>
      <c r="S484" s="47" t="n">
        <f aca="false">L484*Scorecard!$D$12+M484*Scorecard!$D$13+N484*Scorecard!$D$14+O484*Scorecard!$D$15+P484*Scorecard!$D$16+Q484*Scorecard!$D$17</f>
        <v>3.07742592271193</v>
      </c>
      <c r="T484" s="47" t="n">
        <f aca="false">L484*Scorecard!$E$12+M484*Scorecard!$E$13+N484*Scorecard!$E$14+O484*Scorecard!$E$15+P484*Scorecard!$E$16+Q484*Scorecard!$E$17</f>
        <v>3.98339881423702</v>
      </c>
      <c r="U484" s="0" t="str">
        <f aca="false">IF(AND(R484&gt;=S484,R484&gt;=T484),"Distribution",IF(T484&gt;=S484,"Prof. services","Manufacturing"))</f>
        <v>Prof. services</v>
      </c>
    </row>
    <row r="485" customFormat="false" ht="15" hidden="false" customHeight="false" outlineLevel="0" collapsed="false">
      <c r="A485" s="46" t="n">
        <v>0.11241</v>
      </c>
      <c r="B485" s="46" t="n">
        <v>0.02099</v>
      </c>
      <c r="C485" s="46" t="n">
        <v>0.118324</v>
      </c>
      <c r="D485" s="46" t="n">
        <v>0.546309</v>
      </c>
      <c r="E485" s="46" t="n">
        <v>0.153027</v>
      </c>
      <c r="F485" s="46" t="n">
        <v>0.04894</v>
      </c>
      <c r="G485" s="47" t="n">
        <f aca="false">A485*Scorecard!$C$12+B485*Scorecard!$C$13+C485*Scorecard!$C$14+D485*Scorecard!$C$15+E485*Scorecard!$C$16+F485*Scorecard!$C$17</f>
        <v>4.26707939692447</v>
      </c>
      <c r="H485" s="47" t="n">
        <f aca="false">A485*Scorecard!$D$12+B485*Scorecard!$D$13+C485*Scorecard!$D$14+D485*Scorecard!$D$15+E485*Scorecard!$D$16+F485*Scorecard!$D$17</f>
        <v>3.6527750829526</v>
      </c>
      <c r="I485" s="47" t="n">
        <f aca="false">A485*Scorecard!$E$12+B485*Scorecard!$E$13+C485*Scorecard!$E$14+D485*Scorecard!$E$15+E485*Scorecard!$E$16+F485*Scorecard!$E$17</f>
        <v>4.05044532720652</v>
      </c>
      <c r="J485" s="0" t="str">
        <f aca="false">IF(AND(G485&gt;=H485,G485&gt;=I485),"Distribution",IF(I485&gt;=H485,"Prof. services","Manufacturing"))</f>
        <v>Distribution</v>
      </c>
      <c r="L485" s="46" t="n">
        <v>0.156186</v>
      </c>
      <c r="M485" s="46" t="n">
        <v>0.225166</v>
      </c>
      <c r="N485" s="46" t="n">
        <v>0.256709</v>
      </c>
      <c r="O485" s="46" t="n">
        <v>0.079637</v>
      </c>
      <c r="P485" s="46" t="n">
        <v>0.188333</v>
      </c>
      <c r="Q485" s="46" t="n">
        <v>0.093968</v>
      </c>
      <c r="R485" s="47" t="n">
        <f aca="false">L485*Scorecard!$C$12+M485*Scorecard!$C$13+N485*Scorecard!$C$14+O485*Scorecard!$C$15+P485*Scorecard!$C$16+Q485*Scorecard!$C$17</f>
        <v>3.8357259726363</v>
      </c>
      <c r="S485" s="47" t="n">
        <f aca="false">L485*Scorecard!$D$12+M485*Scorecard!$D$13+N485*Scorecard!$D$14+O485*Scorecard!$D$15+P485*Scorecard!$D$16+Q485*Scorecard!$D$17</f>
        <v>2.77920763510552</v>
      </c>
      <c r="T485" s="47" t="n">
        <f aca="false">L485*Scorecard!$E$12+M485*Scorecard!$E$13+N485*Scorecard!$E$14+O485*Scorecard!$E$15+P485*Scorecard!$E$16+Q485*Scorecard!$E$17</f>
        <v>3.73673737135241</v>
      </c>
      <c r="U485" s="0" t="str">
        <f aca="false">IF(AND(R485&gt;=S485,R485&gt;=T485),"Distribution",IF(T485&gt;=S485,"Prof. services","Manufacturing"))</f>
        <v>Distribution</v>
      </c>
    </row>
    <row r="486" customFormat="false" ht="15" hidden="false" customHeight="false" outlineLevel="0" collapsed="false">
      <c r="A486" s="46" t="n">
        <v>0.072609</v>
      </c>
      <c r="B486" s="46" t="n">
        <v>0.144109</v>
      </c>
      <c r="C486" s="46" t="n">
        <v>0.19058</v>
      </c>
      <c r="D486" s="46" t="n">
        <v>0.247784</v>
      </c>
      <c r="E486" s="46" t="n">
        <v>0.077547</v>
      </c>
      <c r="F486" s="46" t="n">
        <v>0.267371</v>
      </c>
      <c r="G486" s="47" t="n">
        <f aca="false">A486*Scorecard!$C$12+B486*Scorecard!$C$13+C486*Scorecard!$C$14+D486*Scorecard!$C$15+E486*Scorecard!$C$16+F486*Scorecard!$C$17</f>
        <v>3.7264537645253</v>
      </c>
      <c r="H486" s="47" t="n">
        <f aca="false">A486*Scorecard!$D$12+B486*Scorecard!$D$13+C486*Scorecard!$D$14+D486*Scorecard!$D$15+E486*Scorecard!$D$16+F486*Scorecard!$D$17</f>
        <v>2.74329137087948</v>
      </c>
      <c r="I486" s="47" t="n">
        <f aca="false">A486*Scorecard!$E$12+B486*Scorecard!$E$13+C486*Scorecard!$E$14+D486*Scorecard!$E$15+E486*Scorecard!$E$16+F486*Scorecard!$E$17</f>
        <v>4.03800435096504</v>
      </c>
      <c r="J486" s="0" t="str">
        <f aca="false">IF(AND(G486&gt;=H486,G486&gt;=I486),"Distribution",IF(I486&gt;=H486,"Prof. services","Manufacturing"))</f>
        <v>Prof. services</v>
      </c>
      <c r="L486" s="46" t="n">
        <v>0.339118</v>
      </c>
      <c r="M486" s="46" t="n">
        <v>0.121098</v>
      </c>
      <c r="N486" s="46" t="n">
        <v>0.222942</v>
      </c>
      <c r="O486" s="46" t="n">
        <v>0.112161</v>
      </c>
      <c r="P486" s="46" t="n">
        <v>0.083383</v>
      </c>
      <c r="Q486" s="46" t="n">
        <v>0.121298</v>
      </c>
      <c r="R486" s="47" t="n">
        <f aca="false">L486*Scorecard!$C$12+M486*Scorecard!$C$13+N486*Scorecard!$C$14+O486*Scorecard!$C$15+P486*Scorecard!$C$16+Q486*Scorecard!$C$17</f>
        <v>3.38024576384871</v>
      </c>
      <c r="S486" s="47" t="n">
        <f aca="false">L486*Scorecard!$D$12+M486*Scorecard!$D$13+N486*Scorecard!$D$14+O486*Scorecard!$D$15+P486*Scorecard!$D$16+Q486*Scorecard!$D$17</f>
        <v>3.01792526015086</v>
      </c>
      <c r="T486" s="47" t="n">
        <f aca="false">L486*Scorecard!$E$12+M486*Scorecard!$E$13+N486*Scorecard!$E$14+O486*Scorecard!$E$15+P486*Scorecard!$E$16+Q486*Scorecard!$E$17</f>
        <v>4.27501420395212</v>
      </c>
      <c r="U486" s="0" t="str">
        <f aca="false">IF(AND(R486&gt;=S486,R486&gt;=T486),"Distribution",IF(T486&gt;=S486,"Prof. services","Manufacturing"))</f>
        <v>Prof. services</v>
      </c>
    </row>
    <row r="487" customFormat="false" ht="15" hidden="false" customHeight="false" outlineLevel="0" collapsed="false">
      <c r="A487" s="46" t="n">
        <v>0.030218</v>
      </c>
      <c r="B487" s="46" t="n">
        <v>0.429216</v>
      </c>
      <c r="C487" s="46" t="n">
        <v>0.216446</v>
      </c>
      <c r="D487" s="46" t="n">
        <v>0.106992</v>
      </c>
      <c r="E487" s="46" t="n">
        <v>0.189133</v>
      </c>
      <c r="F487" s="46" t="n">
        <v>0.027994</v>
      </c>
      <c r="G487" s="47" t="n">
        <f aca="false">A487*Scorecard!$C$12+B487*Scorecard!$C$13+C487*Scorecard!$C$14+D487*Scorecard!$C$15+E487*Scorecard!$C$16+F487*Scorecard!$C$17</f>
        <v>4.42582316906204</v>
      </c>
      <c r="H487" s="47" t="n">
        <f aca="false">A487*Scorecard!$D$12+B487*Scorecard!$D$13+C487*Scorecard!$D$14+D487*Scorecard!$D$15+E487*Scorecard!$D$16+F487*Scorecard!$D$17</f>
        <v>2.5206150737378</v>
      </c>
      <c r="I487" s="47" t="n">
        <f aca="false">A487*Scorecard!$E$12+B487*Scorecard!$E$13+C487*Scorecard!$E$14+D487*Scorecard!$E$15+E487*Scorecard!$E$16+F487*Scorecard!$E$17</f>
        <v>3.15796163678735</v>
      </c>
      <c r="J487" s="0" t="str">
        <f aca="false">IF(AND(G487&gt;=H487,G487&gt;=I487),"Distribution",IF(I487&gt;=H487,"Prof. services","Manufacturing"))</f>
        <v>Distribution</v>
      </c>
      <c r="L487" s="46" t="n">
        <v>0.139235</v>
      </c>
      <c r="M487" s="46" t="n">
        <v>0.195596</v>
      </c>
      <c r="N487" s="46" t="n">
        <v>0.340299</v>
      </c>
      <c r="O487" s="46" t="n">
        <v>0.047247</v>
      </c>
      <c r="P487" s="46" t="n">
        <v>0.170459</v>
      </c>
      <c r="Q487" s="46" t="n">
        <v>0.107164</v>
      </c>
      <c r="R487" s="47" t="n">
        <f aca="false">L487*Scorecard!$C$12+M487*Scorecard!$C$13+N487*Scorecard!$C$14+O487*Scorecard!$C$15+P487*Scorecard!$C$16+Q487*Scorecard!$C$17</f>
        <v>3.77789001437398</v>
      </c>
      <c r="S487" s="47" t="n">
        <f aca="false">L487*Scorecard!$D$12+M487*Scorecard!$D$13+N487*Scorecard!$D$14+O487*Scorecard!$D$15+P487*Scorecard!$D$16+Q487*Scorecard!$D$17</f>
        <v>2.74915029947269</v>
      </c>
      <c r="T487" s="47" t="n">
        <f aca="false">L487*Scorecard!$E$12+M487*Scorecard!$E$13+N487*Scorecard!$E$14+O487*Scorecard!$E$15+P487*Scorecard!$E$16+Q487*Scorecard!$E$17</f>
        <v>3.88991396369225</v>
      </c>
      <c r="U487" s="0" t="str">
        <f aca="false">IF(AND(R487&gt;=S487,R487&gt;=T487),"Distribution",IF(T487&gt;=S487,"Prof. services","Manufacturing"))</f>
        <v>Prof. services</v>
      </c>
    </row>
    <row r="488" customFormat="false" ht="15" hidden="false" customHeight="false" outlineLevel="0" collapsed="false">
      <c r="A488" s="46" t="n">
        <v>0.322203</v>
      </c>
      <c r="B488" s="46" t="n">
        <v>0.381335</v>
      </c>
      <c r="C488" s="46" t="n">
        <v>0.03557</v>
      </c>
      <c r="D488" s="46" t="n">
        <v>0.006332</v>
      </c>
      <c r="E488" s="46" t="n">
        <v>0.07216</v>
      </c>
      <c r="F488" s="46" t="n">
        <v>0.182399</v>
      </c>
      <c r="G488" s="47" t="n">
        <f aca="false">A488*Scorecard!$C$12+B488*Scorecard!$C$13+C488*Scorecard!$C$14+D488*Scorecard!$C$15+E488*Scorecard!$C$16+F488*Scorecard!$C$17</f>
        <v>3.442895005073</v>
      </c>
      <c r="H488" s="47" t="n">
        <f aca="false">A488*Scorecard!$D$12+B488*Scorecard!$D$13+C488*Scorecard!$D$14+D488*Scorecard!$D$15+E488*Scorecard!$D$16+F488*Scorecard!$D$17</f>
        <v>2.39822830587382</v>
      </c>
      <c r="I488" s="47" t="n">
        <f aca="false">A488*Scorecard!$E$12+B488*Scorecard!$E$13+C488*Scorecard!$E$14+D488*Scorecard!$E$15+E488*Scorecard!$E$16+F488*Scorecard!$E$17</f>
        <v>3.61451380539657</v>
      </c>
      <c r="J488" s="0" t="str">
        <f aca="false">IF(AND(G488&gt;=H488,G488&gt;=I488),"Distribution",IF(I488&gt;=H488,"Prof. services","Manufacturing"))</f>
        <v>Prof. services</v>
      </c>
      <c r="L488" s="46" t="n">
        <v>0.209532</v>
      </c>
      <c r="M488" s="46" t="n">
        <v>0.171172</v>
      </c>
      <c r="N488" s="46" t="n">
        <v>0.265685</v>
      </c>
      <c r="O488" s="46" t="n">
        <v>0.09245</v>
      </c>
      <c r="P488" s="46" t="n">
        <v>0.218994</v>
      </c>
      <c r="Q488" s="46" t="n">
        <v>0.042167</v>
      </c>
      <c r="R488" s="47" t="n">
        <f aca="false">L488*Scorecard!$C$12+M488*Scorecard!$C$13+N488*Scorecard!$C$14+O488*Scorecard!$C$15+P488*Scorecard!$C$16+Q488*Scorecard!$C$17</f>
        <v>3.80212741187064</v>
      </c>
      <c r="S488" s="47" t="n">
        <f aca="false">L488*Scorecard!$D$12+M488*Scorecard!$D$13+N488*Scorecard!$D$14+O488*Scorecard!$D$15+P488*Scorecard!$D$16+Q488*Scorecard!$D$17</f>
        <v>2.99824807707578</v>
      </c>
      <c r="T488" s="47" t="n">
        <f aca="false">L488*Scorecard!$E$12+M488*Scorecard!$E$13+N488*Scorecard!$E$14+O488*Scorecard!$E$15+P488*Scorecard!$E$16+Q488*Scorecard!$E$17</f>
        <v>3.82543442295647</v>
      </c>
      <c r="U488" s="0" t="str">
        <f aca="false">IF(AND(R488&gt;=S488,R488&gt;=T488),"Distribution",IF(T488&gt;=S488,"Prof. services","Manufacturing"))</f>
        <v>Prof. services</v>
      </c>
    </row>
    <row r="489" customFormat="false" ht="15" hidden="false" customHeight="false" outlineLevel="0" collapsed="false">
      <c r="A489" s="46" t="n">
        <v>0.371199</v>
      </c>
      <c r="B489" s="46" t="n">
        <v>0.042201</v>
      </c>
      <c r="C489" s="46" t="n">
        <v>0.041329</v>
      </c>
      <c r="D489" s="46" t="n">
        <v>0.01319</v>
      </c>
      <c r="E489" s="46" t="n">
        <v>0.209171</v>
      </c>
      <c r="F489" s="46" t="n">
        <v>0.32291</v>
      </c>
      <c r="G489" s="47" t="n">
        <f aca="false">A489*Scorecard!$C$12+B489*Scorecard!$C$13+C489*Scorecard!$C$14+D489*Scorecard!$C$15+E489*Scorecard!$C$16+F489*Scorecard!$C$17</f>
        <v>2.74140750634257</v>
      </c>
      <c r="H489" s="47" t="n">
        <f aca="false">A489*Scorecard!$D$12+B489*Scorecard!$D$13+C489*Scorecard!$D$14+D489*Scorecard!$D$15+E489*Scorecard!$D$16+F489*Scorecard!$D$17</f>
        <v>2.78247931764109</v>
      </c>
      <c r="I489" s="47" t="n">
        <f aca="false">A489*Scorecard!$E$12+B489*Scorecard!$E$13+C489*Scorecard!$E$14+D489*Scorecard!$E$15+E489*Scorecard!$E$16+F489*Scorecard!$E$17</f>
        <v>4.14837761121719</v>
      </c>
      <c r="J489" s="0" t="str">
        <f aca="false">IF(AND(G489&gt;=H489,G489&gt;=I489),"Distribution",IF(I489&gt;=H489,"Prof. services","Manufacturing"))</f>
        <v>Prof. services</v>
      </c>
      <c r="L489" s="46" t="n">
        <v>0.201508</v>
      </c>
      <c r="M489" s="46" t="n">
        <v>0.287011</v>
      </c>
      <c r="N489" s="46" t="n">
        <v>0.120223</v>
      </c>
      <c r="O489" s="46" t="n">
        <v>0.092744</v>
      </c>
      <c r="P489" s="46" t="n">
        <v>0.207302</v>
      </c>
      <c r="Q489" s="46" t="n">
        <v>0.091212</v>
      </c>
      <c r="R489" s="47" t="n">
        <f aca="false">L489*Scorecard!$C$12+M489*Scorecard!$C$13+N489*Scorecard!$C$14+O489*Scorecard!$C$15+P489*Scorecard!$C$16+Q489*Scorecard!$C$17</f>
        <v>3.83461372630066</v>
      </c>
      <c r="S489" s="47" t="n">
        <f aca="false">L489*Scorecard!$D$12+M489*Scorecard!$D$13+N489*Scorecard!$D$14+O489*Scorecard!$D$15+P489*Scorecard!$D$16+Q489*Scorecard!$D$17</f>
        <v>2.74194877347445</v>
      </c>
      <c r="T489" s="47" t="n">
        <f aca="false">L489*Scorecard!$E$12+M489*Scorecard!$E$13+N489*Scorecard!$E$14+O489*Scorecard!$E$15+P489*Scorecard!$E$16+Q489*Scorecard!$E$17</f>
        <v>3.49873965314123</v>
      </c>
      <c r="U489" s="0" t="str">
        <f aca="false">IF(AND(R489&gt;=S489,R489&gt;=T489),"Distribution",IF(T489&gt;=S489,"Prof. services","Manufacturing"))</f>
        <v>Distribution</v>
      </c>
    </row>
    <row r="490" customFormat="false" ht="15" hidden="false" customHeight="false" outlineLevel="0" collapsed="false">
      <c r="A490" s="46" t="n">
        <v>0.009084</v>
      </c>
      <c r="B490" s="46" t="n">
        <v>0.011929</v>
      </c>
      <c r="C490" s="46" t="n">
        <v>0.038274</v>
      </c>
      <c r="D490" s="46" t="n">
        <v>0.280516</v>
      </c>
      <c r="E490" s="46" t="n">
        <v>0.605404</v>
      </c>
      <c r="F490" s="46" t="n">
        <v>0.054794</v>
      </c>
      <c r="G490" s="47" t="n">
        <f aca="false">A490*Scorecard!$C$12+B490*Scorecard!$C$13+C490*Scorecard!$C$14+D490*Scorecard!$C$15+E490*Scorecard!$C$16+F490*Scorecard!$C$17</f>
        <v>4.16650967045336</v>
      </c>
      <c r="H490" s="47" t="n">
        <f aca="false">A490*Scorecard!$D$12+B490*Scorecard!$D$13+C490*Scorecard!$D$14+D490*Scorecard!$D$15+E490*Scorecard!$D$16+F490*Scorecard!$D$17</f>
        <v>3.43244518137317</v>
      </c>
      <c r="I490" s="47" t="n">
        <f aca="false">A490*Scorecard!$E$12+B490*Scorecard!$E$13+C490*Scorecard!$E$14+D490*Scorecard!$E$15+E490*Scorecard!$E$16+F490*Scorecard!$E$17</f>
        <v>3.08941400205291</v>
      </c>
      <c r="J490" s="0" t="str">
        <f aca="false">IF(AND(G490&gt;=H490,G490&gt;=I490),"Distribution",IF(I490&gt;=H490,"Prof. services","Manufacturing"))</f>
        <v>Distribution</v>
      </c>
      <c r="L490" s="46" t="n">
        <v>0.082119</v>
      </c>
      <c r="M490" s="46" t="n">
        <v>0.197637</v>
      </c>
      <c r="N490" s="46" t="n">
        <v>0.2361</v>
      </c>
      <c r="O490" s="46" t="n">
        <v>0.216999</v>
      </c>
      <c r="P490" s="46" t="n">
        <v>0.153117</v>
      </c>
      <c r="Q490" s="46" t="n">
        <v>0.114027</v>
      </c>
      <c r="R490" s="47" t="n">
        <f aca="false">L490*Scorecard!$C$12+M490*Scorecard!$C$13+N490*Scorecard!$C$14+O490*Scorecard!$C$15+P490*Scorecard!$C$16+Q490*Scorecard!$C$17</f>
        <v>4.03876262890349</v>
      </c>
      <c r="S490" s="47" t="n">
        <f aca="false">L490*Scorecard!$D$12+M490*Scorecard!$D$13+N490*Scorecard!$D$14+O490*Scorecard!$D$15+P490*Scorecard!$D$16+Q490*Scorecard!$D$17</f>
        <v>2.88879257340692</v>
      </c>
      <c r="T490" s="47" t="n">
        <f aca="false">L490*Scorecard!$E$12+M490*Scorecard!$E$13+N490*Scorecard!$E$14+O490*Scorecard!$E$15+P490*Scorecard!$E$16+Q490*Scorecard!$E$17</f>
        <v>3.78495976697313</v>
      </c>
      <c r="U490" s="0" t="str">
        <f aca="false">IF(AND(R490&gt;=S490,R490&gt;=T490),"Distribution",IF(T490&gt;=S490,"Prof. services","Manufacturing"))</f>
        <v>Distribution</v>
      </c>
    </row>
    <row r="491" customFormat="false" ht="15" hidden="false" customHeight="false" outlineLevel="0" collapsed="false">
      <c r="A491" s="46" t="n">
        <v>0.18222</v>
      </c>
      <c r="B491" s="46" t="n">
        <v>0.116608</v>
      </c>
      <c r="C491" s="46" t="n">
        <v>0.031697</v>
      </c>
      <c r="D491" s="46" t="n">
        <v>0.103394</v>
      </c>
      <c r="E491" s="46" t="n">
        <v>0.379463</v>
      </c>
      <c r="F491" s="46" t="n">
        <v>0.186618</v>
      </c>
      <c r="G491" s="47" t="n">
        <f aca="false">A491*Scorecard!$C$12+B491*Scorecard!$C$13+C491*Scorecard!$C$14+D491*Scorecard!$C$15+E491*Scorecard!$C$16+F491*Scorecard!$C$17</f>
        <v>3.51876740136623</v>
      </c>
      <c r="H491" s="47" t="n">
        <f aca="false">A491*Scorecard!$D$12+B491*Scorecard!$D$13+C491*Scorecard!$D$14+D491*Scorecard!$D$15+E491*Scorecard!$D$16+F491*Scorecard!$D$17</f>
        <v>2.91159022632304</v>
      </c>
      <c r="I491" s="47" t="n">
        <f aca="false">A491*Scorecard!$E$12+B491*Scorecard!$E$13+C491*Scorecard!$E$14+D491*Scorecard!$E$15+E491*Scorecard!$E$16+F491*Scorecard!$E$17</f>
        <v>3.47304717072315</v>
      </c>
      <c r="J491" s="0" t="str">
        <f aca="false">IF(AND(G491&gt;=H491,G491&gt;=I491),"Distribution",IF(I491&gt;=H491,"Prof. services","Manufacturing"))</f>
        <v>Distribution</v>
      </c>
      <c r="L491" s="46" t="n">
        <v>0.313874</v>
      </c>
      <c r="M491" s="46" t="n">
        <v>0.238073</v>
      </c>
      <c r="N491" s="46" t="n">
        <v>0.081287</v>
      </c>
      <c r="O491" s="46" t="n">
        <v>0.105312</v>
      </c>
      <c r="P491" s="46" t="n">
        <v>0.112173</v>
      </c>
      <c r="Q491" s="46" t="n">
        <v>0.149282</v>
      </c>
      <c r="R491" s="47" t="n">
        <f aca="false">L491*Scorecard!$C$12+M491*Scorecard!$C$13+N491*Scorecard!$C$14+O491*Scorecard!$C$15+P491*Scorecard!$C$16+Q491*Scorecard!$C$17</f>
        <v>3.47984732385261</v>
      </c>
      <c r="S491" s="47" t="n">
        <f aca="false">L491*Scorecard!$D$12+M491*Scorecard!$D$13+N491*Scorecard!$D$14+O491*Scorecard!$D$15+P491*Scorecard!$D$16+Q491*Scorecard!$D$17</f>
        <v>2.78536563256251</v>
      </c>
      <c r="T491" s="47" t="n">
        <f aca="false">L491*Scorecard!$E$12+M491*Scorecard!$E$13+N491*Scorecard!$E$14+O491*Scorecard!$E$15+P491*Scorecard!$E$16+Q491*Scorecard!$E$17</f>
        <v>3.85360702713692</v>
      </c>
      <c r="U491" s="0" t="str">
        <f aca="false">IF(AND(R491&gt;=S491,R491&gt;=T491),"Distribution",IF(T491&gt;=S491,"Prof. services","Manufacturing"))</f>
        <v>Prof. services</v>
      </c>
    </row>
    <row r="492" customFormat="false" ht="15" hidden="false" customHeight="false" outlineLevel="0" collapsed="false">
      <c r="A492" s="46" t="n">
        <v>0.265923</v>
      </c>
      <c r="B492" s="46" t="n">
        <v>0.242408</v>
      </c>
      <c r="C492" s="46" t="n">
        <v>0.02671</v>
      </c>
      <c r="D492" s="46" t="n">
        <v>0.125851</v>
      </c>
      <c r="E492" s="46" t="n">
        <v>0.205857</v>
      </c>
      <c r="F492" s="46" t="n">
        <v>0.133252</v>
      </c>
      <c r="G492" s="47" t="n">
        <f aca="false">A492*Scorecard!$C$12+B492*Scorecard!$C$13+C492*Scorecard!$C$14+D492*Scorecard!$C$15+E492*Scorecard!$C$16+F492*Scorecard!$C$17</f>
        <v>3.62309380768034</v>
      </c>
      <c r="H492" s="47" t="n">
        <f aca="false">A492*Scorecard!$D$12+B492*Scorecard!$D$13+C492*Scorecard!$D$14+D492*Scorecard!$D$15+E492*Scorecard!$D$16+F492*Scorecard!$D$17</f>
        <v>2.82623459324762</v>
      </c>
      <c r="I492" s="47" t="n">
        <f aca="false">A492*Scorecard!$E$12+B492*Scorecard!$E$13+C492*Scorecard!$E$14+D492*Scorecard!$E$15+E492*Scorecard!$E$16+F492*Scorecard!$E$17</f>
        <v>3.58216401569702</v>
      </c>
      <c r="J492" s="0" t="str">
        <f aca="false">IF(AND(G492&gt;=H492,G492&gt;=I492),"Distribution",IF(I492&gt;=H492,"Prof. services","Manufacturing"))</f>
        <v>Distribution</v>
      </c>
      <c r="L492" s="46" t="n">
        <v>0.279858</v>
      </c>
      <c r="M492" s="46" t="n">
        <v>0.187325</v>
      </c>
      <c r="N492" s="46" t="n">
        <v>0.175852</v>
      </c>
      <c r="O492" s="46" t="n">
        <v>0.105031</v>
      </c>
      <c r="P492" s="46" t="n">
        <v>0.206537</v>
      </c>
      <c r="Q492" s="46" t="n">
        <v>0.045396</v>
      </c>
      <c r="R492" s="47" t="n">
        <f aca="false">L492*Scorecard!$C$12+M492*Scorecard!$C$13+N492*Scorecard!$C$14+O492*Scorecard!$C$15+P492*Scorecard!$C$16+Q492*Scorecard!$C$17</f>
        <v>3.69781160895374</v>
      </c>
      <c r="S492" s="47" t="n">
        <f aca="false">L492*Scorecard!$D$12+M492*Scorecard!$D$13+N492*Scorecard!$D$14+O492*Scorecard!$D$15+P492*Scorecard!$D$16+Q492*Scorecard!$D$17</f>
        <v>3.02602161503686</v>
      </c>
      <c r="T492" s="47" t="n">
        <f aca="false">L492*Scorecard!$E$12+M492*Scorecard!$E$13+N492*Scorecard!$E$14+O492*Scorecard!$E$15+P492*Scorecard!$E$16+Q492*Scorecard!$E$17</f>
        <v>3.8000678952364</v>
      </c>
      <c r="U492" s="0" t="str">
        <f aca="false">IF(AND(R492&gt;=S492,R492&gt;=T492),"Distribution",IF(T492&gt;=S492,"Prof. services","Manufacturing"))</f>
        <v>Prof. services</v>
      </c>
    </row>
    <row r="493" customFormat="false" ht="15" hidden="false" customHeight="false" outlineLevel="0" collapsed="false">
      <c r="A493" s="46" t="n">
        <v>0.001458</v>
      </c>
      <c r="B493" s="46" t="n">
        <v>0.012713</v>
      </c>
      <c r="C493" s="46" t="n">
        <v>0.317761</v>
      </c>
      <c r="D493" s="46" t="n">
        <v>0.192083</v>
      </c>
      <c r="E493" s="46" t="n">
        <v>0.183492</v>
      </c>
      <c r="F493" s="46" t="n">
        <v>0.292494</v>
      </c>
      <c r="G493" s="47" t="n">
        <f aca="false">A493*Scorecard!$C$12+B493*Scorecard!$C$13+C493*Scorecard!$C$14+D493*Scorecard!$C$15+E493*Scorecard!$C$16+F493*Scorecard!$C$17</f>
        <v>3.61718757920751</v>
      </c>
      <c r="H493" s="47" t="n">
        <f aca="false">A493*Scorecard!$D$12+B493*Scorecard!$D$13+C493*Scorecard!$D$14+D493*Scorecard!$D$15+E493*Scorecard!$D$16+F493*Scorecard!$D$17</f>
        <v>2.82667003286961</v>
      </c>
      <c r="I493" s="47" t="n">
        <f aca="false">A493*Scorecard!$E$12+B493*Scorecard!$E$13+C493*Scorecard!$E$14+D493*Scorecard!$E$15+E493*Scorecard!$E$16+F493*Scorecard!$E$17</f>
        <v>4.16732844585291</v>
      </c>
      <c r="J493" s="0" t="str">
        <f aca="false">IF(AND(G493&gt;=H493,G493&gt;=I493),"Distribution",IF(I493&gt;=H493,"Prof. services","Manufacturing"))</f>
        <v>Prof. services</v>
      </c>
      <c r="L493" s="46" t="n">
        <v>0.116696</v>
      </c>
      <c r="M493" s="46" t="n">
        <v>0.223479</v>
      </c>
      <c r="N493" s="46" t="n">
        <v>0.222341</v>
      </c>
      <c r="O493" s="46" t="n">
        <v>0.280526</v>
      </c>
      <c r="P493" s="46" t="n">
        <v>0.101783</v>
      </c>
      <c r="Q493" s="46" t="n">
        <v>0.055175</v>
      </c>
      <c r="R493" s="47" t="n">
        <f aca="false">L493*Scorecard!$C$12+M493*Scorecard!$C$13+N493*Scorecard!$C$14+O493*Scorecard!$C$15+P493*Scorecard!$C$16+Q493*Scorecard!$C$17</f>
        <v>4.18360053580196</v>
      </c>
      <c r="S493" s="47" t="n">
        <f aca="false">L493*Scorecard!$D$12+M493*Scorecard!$D$13+N493*Scorecard!$D$14+O493*Scorecard!$D$15+P493*Scorecard!$D$16+Q493*Scorecard!$D$17</f>
        <v>3.01755462228331</v>
      </c>
      <c r="T493" s="47" t="n">
        <f aca="false">L493*Scorecard!$E$12+M493*Scorecard!$E$13+N493*Scorecard!$E$14+O493*Scorecard!$E$15+P493*Scorecard!$E$16+Q493*Scorecard!$E$17</f>
        <v>3.8238689326739</v>
      </c>
      <c r="U493" s="0" t="str">
        <f aca="false">IF(AND(R493&gt;=S493,R493&gt;=T493),"Distribution",IF(T493&gt;=S493,"Prof. services","Manufacturing"))</f>
        <v>Distribution</v>
      </c>
    </row>
    <row r="494" customFormat="false" ht="15" hidden="false" customHeight="false" outlineLevel="0" collapsed="false">
      <c r="A494" s="46" t="n">
        <v>0.13737</v>
      </c>
      <c r="B494" s="46" t="n">
        <v>0.429122</v>
      </c>
      <c r="C494" s="46" t="n">
        <v>0.266547</v>
      </c>
      <c r="D494" s="46" t="n">
        <v>0.035929</v>
      </c>
      <c r="E494" s="46" t="n">
        <v>0.046745</v>
      </c>
      <c r="F494" s="46" t="n">
        <v>0.084287</v>
      </c>
      <c r="G494" s="47" t="n">
        <f aca="false">A494*Scorecard!$C$12+B494*Scorecard!$C$13+C494*Scorecard!$C$14+D494*Scorecard!$C$15+E494*Scorecard!$C$16+F494*Scorecard!$C$17</f>
        <v>4.04920904097069</v>
      </c>
      <c r="H494" s="47" t="n">
        <f aca="false">A494*Scorecard!$D$12+B494*Scorecard!$D$13+C494*Scorecard!$D$14+D494*Scorecard!$D$15+E494*Scorecard!$D$16+F494*Scorecard!$D$17</f>
        <v>2.37737069861575</v>
      </c>
      <c r="I494" s="47" t="n">
        <f aca="false">A494*Scorecard!$E$12+B494*Scorecard!$E$13+C494*Scorecard!$E$14+D494*Scorecard!$E$15+E494*Scorecard!$E$16+F494*Scorecard!$E$17</f>
        <v>3.56919260825333</v>
      </c>
      <c r="J494" s="0" t="str">
        <f aca="false">IF(AND(G494&gt;=H494,G494&gt;=I494),"Distribution",IF(I494&gt;=H494,"Prof. services","Manufacturing"))</f>
        <v>Distribution</v>
      </c>
      <c r="L494" s="46" t="n">
        <v>0.262869</v>
      </c>
      <c r="M494" s="46" t="n">
        <v>0.136676</v>
      </c>
      <c r="N494" s="46" t="n">
        <v>0.104509</v>
      </c>
      <c r="O494" s="46" t="n">
        <v>0.240802</v>
      </c>
      <c r="P494" s="46" t="n">
        <v>0.173902</v>
      </c>
      <c r="Q494" s="46" t="n">
        <v>0.081242</v>
      </c>
      <c r="R494" s="47" t="n">
        <f aca="false">L494*Scorecard!$C$12+M494*Scorecard!$C$13+N494*Scorecard!$C$14+O494*Scorecard!$C$15+P494*Scorecard!$C$16+Q494*Scorecard!$C$17</f>
        <v>3.74182605123334</v>
      </c>
      <c r="S494" s="47" t="n">
        <f aca="false">L494*Scorecard!$D$12+M494*Scorecard!$D$13+N494*Scorecard!$D$14+O494*Scorecard!$D$15+P494*Scorecard!$D$16+Q494*Scorecard!$D$17</f>
        <v>3.1833535649572</v>
      </c>
      <c r="T494" s="47" t="n">
        <f aca="false">L494*Scorecard!$E$12+M494*Scorecard!$E$13+N494*Scorecard!$E$14+O494*Scorecard!$E$15+P494*Scorecard!$E$16+Q494*Scorecard!$E$17</f>
        <v>3.90133260866881</v>
      </c>
      <c r="U494" s="0" t="str">
        <f aca="false">IF(AND(R494&gt;=S494,R494&gt;=T494),"Distribution",IF(T494&gt;=S494,"Prof. services","Manufacturing"))</f>
        <v>Prof. services</v>
      </c>
    </row>
    <row r="495" customFormat="false" ht="15" hidden="false" customHeight="false" outlineLevel="0" collapsed="false">
      <c r="A495" s="46" t="n">
        <v>0.054989</v>
      </c>
      <c r="B495" s="46" t="n">
        <v>0.348734</v>
      </c>
      <c r="C495" s="46" t="n">
        <v>0.034395</v>
      </c>
      <c r="D495" s="46" t="n">
        <v>0.158822</v>
      </c>
      <c r="E495" s="46" t="n">
        <v>0.243751</v>
      </c>
      <c r="F495" s="46" t="n">
        <v>0.159308</v>
      </c>
      <c r="G495" s="47" t="n">
        <f aca="false">A495*Scorecard!$C$12+B495*Scorecard!$C$13+C495*Scorecard!$C$14+D495*Scorecard!$C$15+E495*Scorecard!$C$16+F495*Scorecard!$C$17</f>
        <v>4.08995501580358</v>
      </c>
      <c r="H495" s="47" t="n">
        <f aca="false">A495*Scorecard!$D$12+B495*Scorecard!$D$13+C495*Scorecard!$D$14+D495*Scorecard!$D$15+E495*Scorecard!$D$16+F495*Scorecard!$D$17</f>
        <v>2.53901672008443</v>
      </c>
      <c r="I495" s="47" t="n">
        <f aca="false">A495*Scorecard!$E$12+B495*Scorecard!$E$13+C495*Scorecard!$E$14+D495*Scorecard!$E$15+E495*Scorecard!$E$16+F495*Scorecard!$E$17</f>
        <v>3.13476550762752</v>
      </c>
      <c r="J495" s="0" t="str">
        <f aca="false">IF(AND(G495&gt;=H495,G495&gt;=I495),"Distribution",IF(I495&gt;=H495,"Prof. services","Manufacturing"))</f>
        <v>Distribution</v>
      </c>
      <c r="L495" s="46" t="n">
        <v>0.202912</v>
      </c>
      <c r="M495" s="46" t="n">
        <v>0.221156</v>
      </c>
      <c r="N495" s="46" t="n">
        <v>0.184532</v>
      </c>
      <c r="O495" s="46" t="n">
        <v>0.135809</v>
      </c>
      <c r="P495" s="46" t="n">
        <v>0.117516</v>
      </c>
      <c r="Q495" s="46" t="n">
        <v>0.138076</v>
      </c>
      <c r="R495" s="47" t="n">
        <f aca="false">L495*Scorecard!$C$12+M495*Scorecard!$C$13+N495*Scorecard!$C$14+O495*Scorecard!$C$15+P495*Scorecard!$C$16+Q495*Scorecard!$C$17</f>
        <v>3.71557250627826</v>
      </c>
      <c r="S495" s="47" t="n">
        <f aca="false">L495*Scorecard!$D$12+M495*Scorecard!$D$13+N495*Scorecard!$D$14+O495*Scorecard!$D$15+P495*Scorecard!$D$16+Q495*Scorecard!$D$17</f>
        <v>2.79135682208413</v>
      </c>
      <c r="T495" s="47" t="n">
        <f aca="false">L495*Scorecard!$E$12+M495*Scorecard!$E$13+N495*Scorecard!$E$14+O495*Scorecard!$E$15+P495*Scorecard!$E$16+Q495*Scorecard!$E$17</f>
        <v>3.86811621199535</v>
      </c>
      <c r="U495" s="0" t="str">
        <f aca="false">IF(AND(R495&gt;=S495,R495&gt;=T495),"Distribution",IF(T495&gt;=S495,"Prof. services","Manufacturing"))</f>
        <v>Prof. services</v>
      </c>
    </row>
    <row r="496" customFormat="false" ht="15" hidden="false" customHeight="false" outlineLevel="0" collapsed="false">
      <c r="A496" s="46" t="n">
        <v>0.087555</v>
      </c>
      <c r="B496" s="46" t="n">
        <v>0.203457</v>
      </c>
      <c r="C496" s="46" t="n">
        <v>0.045646</v>
      </c>
      <c r="D496" s="46" t="n">
        <v>0.216652</v>
      </c>
      <c r="E496" s="46" t="n">
        <v>0.240118</v>
      </c>
      <c r="F496" s="46" t="n">
        <v>0.206571</v>
      </c>
      <c r="G496" s="47" t="n">
        <f aca="false">A496*Scorecard!$C$12+B496*Scorecard!$C$13+C496*Scorecard!$C$14+D496*Scorecard!$C$15+E496*Scorecard!$C$16+F496*Scorecard!$C$17</f>
        <v>3.84936275138086</v>
      </c>
      <c r="H496" s="47" t="n">
        <f aca="false">A496*Scorecard!$D$12+B496*Scorecard!$D$13+C496*Scorecard!$D$14+D496*Scorecard!$D$15+E496*Scorecard!$D$16+F496*Scorecard!$D$17</f>
        <v>2.77343011826079</v>
      </c>
      <c r="I496" s="47" t="n">
        <f aca="false">A496*Scorecard!$E$12+B496*Scorecard!$E$13+C496*Scorecard!$E$14+D496*Scorecard!$E$15+E496*Scorecard!$E$16+F496*Scorecard!$E$17</f>
        <v>3.49023923457245</v>
      </c>
      <c r="J496" s="0" t="str">
        <f aca="false">IF(AND(G496&gt;=H496,G496&gt;=I496),"Distribution",IF(I496&gt;=H496,"Prof. services","Manufacturing"))</f>
        <v>Distribution</v>
      </c>
      <c r="L496" s="46" t="n">
        <v>0.146165</v>
      </c>
      <c r="M496" s="46" t="n">
        <v>0.120076</v>
      </c>
      <c r="N496" s="46" t="n">
        <v>0.153283</v>
      </c>
      <c r="O496" s="46" t="n">
        <v>0.151539</v>
      </c>
      <c r="P496" s="46" t="n">
        <v>0.194978</v>
      </c>
      <c r="Q496" s="46" t="n">
        <v>0.233959</v>
      </c>
      <c r="R496" s="47" t="n">
        <f aca="false">L496*Scorecard!$C$12+M496*Scorecard!$C$13+N496*Scorecard!$C$14+O496*Scorecard!$C$15+P496*Scorecard!$C$16+Q496*Scorecard!$C$17</f>
        <v>3.54059791554547</v>
      </c>
      <c r="S496" s="47" t="n">
        <f aca="false">L496*Scorecard!$D$12+M496*Scorecard!$D$13+N496*Scorecard!$D$14+O496*Scorecard!$D$15+P496*Scorecard!$D$16+Q496*Scorecard!$D$17</f>
        <v>2.80579678974806</v>
      </c>
      <c r="T496" s="47" t="n">
        <f aca="false">L496*Scorecard!$E$12+M496*Scorecard!$E$13+N496*Scorecard!$E$14+O496*Scorecard!$E$15+P496*Scorecard!$E$16+Q496*Scorecard!$E$17</f>
        <v>3.8911202213963</v>
      </c>
      <c r="U496" s="0" t="str">
        <f aca="false">IF(AND(R496&gt;=S496,R496&gt;=T496),"Distribution",IF(T496&gt;=S496,"Prof. services","Manufacturing"))</f>
        <v>Prof. services</v>
      </c>
    </row>
    <row r="497" customFormat="false" ht="15" hidden="false" customHeight="false" outlineLevel="0" collapsed="false">
      <c r="A497" s="46" t="n">
        <v>0.101236</v>
      </c>
      <c r="B497" s="46" t="n">
        <v>0.036176</v>
      </c>
      <c r="C497" s="46" t="n">
        <v>0.433262</v>
      </c>
      <c r="D497" s="46" t="n">
        <v>0.165801</v>
      </c>
      <c r="E497" s="46" t="n">
        <v>0.124425</v>
      </c>
      <c r="F497" s="46" t="n">
        <v>0.1391</v>
      </c>
      <c r="G497" s="47" t="n">
        <f aca="false">A497*Scorecard!$C$12+B497*Scorecard!$C$13+C497*Scorecard!$C$14+D497*Scorecard!$C$15+E497*Scorecard!$C$16+F497*Scorecard!$C$17</f>
        <v>3.74155075627654</v>
      </c>
      <c r="H497" s="47" t="n">
        <f aca="false">A497*Scorecard!$D$12+B497*Scorecard!$D$13+C497*Scorecard!$D$14+D497*Scorecard!$D$15+E497*Scorecard!$D$16+F497*Scorecard!$D$17</f>
        <v>3.03733416115186</v>
      </c>
      <c r="I497" s="47" t="n">
        <f aca="false">A497*Scorecard!$E$12+B497*Scorecard!$E$13+C497*Scorecard!$E$14+D497*Scorecard!$E$15+E497*Scorecard!$E$16+F497*Scorecard!$E$17</f>
        <v>4.35603138969355</v>
      </c>
      <c r="J497" s="0" t="str">
        <f aca="false">IF(AND(G497&gt;=H497,G497&gt;=I497),"Distribution",IF(I497&gt;=H497,"Prof. services","Manufacturing"))</f>
        <v>Prof. services</v>
      </c>
      <c r="L497" s="46" t="n">
        <v>0.183222</v>
      </c>
      <c r="M497" s="46" t="n">
        <v>0.321001</v>
      </c>
      <c r="N497" s="46" t="n">
        <v>0.134132</v>
      </c>
      <c r="O497" s="46" t="n">
        <v>0.085427</v>
      </c>
      <c r="P497" s="46" t="n">
        <v>0.159655</v>
      </c>
      <c r="Q497" s="46" t="n">
        <v>0.116564</v>
      </c>
      <c r="R497" s="47" t="n">
        <f aca="false">L497*Scorecard!$C$12+M497*Scorecard!$C$13+N497*Scorecard!$C$14+O497*Scorecard!$C$15+P497*Scorecard!$C$16+Q497*Scorecard!$C$17</f>
        <v>3.84350178707674</v>
      </c>
      <c r="S497" s="47" t="n">
        <f aca="false">L497*Scorecard!$D$12+M497*Scorecard!$D$13+N497*Scorecard!$D$14+O497*Scorecard!$D$15+P497*Scorecard!$D$16+Q497*Scorecard!$D$17</f>
        <v>2.61647312145439</v>
      </c>
      <c r="T497" s="47" t="n">
        <f aca="false">L497*Scorecard!$E$12+M497*Scorecard!$E$13+N497*Scorecard!$E$14+O497*Scorecard!$E$15+P497*Scorecard!$E$16+Q497*Scorecard!$E$17</f>
        <v>3.52150230462655</v>
      </c>
      <c r="U497" s="0" t="str">
        <f aca="false">IF(AND(R497&gt;=S497,R497&gt;=T497),"Distribution",IF(T497&gt;=S497,"Prof. services","Manufacturing"))</f>
        <v>Distribution</v>
      </c>
    </row>
    <row r="498" customFormat="false" ht="15" hidden="false" customHeight="false" outlineLevel="0" collapsed="false">
      <c r="A498" s="46" t="n">
        <v>0.091188</v>
      </c>
      <c r="B498" s="46" t="n">
        <v>0.493028</v>
      </c>
      <c r="C498" s="46" t="n">
        <v>0.029165</v>
      </c>
      <c r="D498" s="46" t="n">
        <v>0.008148</v>
      </c>
      <c r="E498" s="46" t="n">
        <v>0.21225</v>
      </c>
      <c r="F498" s="46" t="n">
        <v>0.166221</v>
      </c>
      <c r="G498" s="47" t="n">
        <f aca="false">A498*Scorecard!$C$12+B498*Scorecard!$C$13+C498*Scorecard!$C$14+D498*Scorecard!$C$15+E498*Scorecard!$C$16+F498*Scorecard!$C$17</f>
        <v>4.00459429957076</v>
      </c>
      <c r="H498" s="47" t="n">
        <f aca="false">A498*Scorecard!$D$12+B498*Scorecard!$D$13+C498*Scorecard!$D$14+D498*Scorecard!$D$15+E498*Scorecard!$D$16+F498*Scorecard!$D$17</f>
        <v>2.15104909170653</v>
      </c>
      <c r="I498" s="47" t="n">
        <f aca="false">A498*Scorecard!$E$12+B498*Scorecard!$E$13+C498*Scorecard!$E$14+D498*Scorecard!$E$15+E498*Scorecard!$E$16+F498*Scorecard!$E$17</f>
        <v>2.92633349732591</v>
      </c>
      <c r="J498" s="0" t="str">
        <f aca="false">IF(AND(G498&gt;=H498,G498&gt;=I498),"Distribution",IF(I498&gt;=H498,"Prof. services","Manufacturing"))</f>
        <v>Distribution</v>
      </c>
      <c r="L498" s="46" t="n">
        <v>0.151334</v>
      </c>
      <c r="M498" s="46" t="n">
        <v>0.388746</v>
      </c>
      <c r="N498" s="46" t="n">
        <v>0.108873</v>
      </c>
      <c r="O498" s="46" t="n">
        <v>0.185682</v>
      </c>
      <c r="P498" s="46" t="n">
        <v>0.068662</v>
      </c>
      <c r="Q498" s="46" t="n">
        <v>0.096703</v>
      </c>
      <c r="R498" s="47" t="n">
        <f aca="false">L498*Scorecard!$C$12+M498*Scorecard!$C$13+N498*Scorecard!$C$14+O498*Scorecard!$C$15+P498*Scorecard!$C$16+Q498*Scorecard!$C$17</f>
        <v>4.10861864183052</v>
      </c>
      <c r="S498" s="47" t="n">
        <f aca="false">L498*Scorecard!$D$12+M498*Scorecard!$D$13+N498*Scorecard!$D$14+O498*Scorecard!$D$15+P498*Scorecard!$D$16+Q498*Scorecard!$D$17</f>
        <v>2.60924096888959</v>
      </c>
      <c r="T498" s="47" t="n">
        <f aca="false">L498*Scorecard!$E$12+M498*Scorecard!$E$13+N498*Scorecard!$E$14+O498*Scorecard!$E$15+P498*Scorecard!$E$16+Q498*Scorecard!$E$17</f>
        <v>3.49546700049478</v>
      </c>
      <c r="U498" s="0" t="str">
        <f aca="false">IF(AND(R498&gt;=S498,R498&gt;=T498),"Distribution",IF(T498&gt;=S498,"Prof. services","Manufacturing"))</f>
        <v>Distribution</v>
      </c>
    </row>
    <row r="499" customFormat="false" ht="15" hidden="false" customHeight="false" outlineLevel="0" collapsed="false">
      <c r="A499" s="46" t="n">
        <v>0.04902</v>
      </c>
      <c r="B499" s="46" t="n">
        <v>0.490973</v>
      </c>
      <c r="C499" s="46" t="n">
        <v>0.154359</v>
      </c>
      <c r="D499" s="46" t="n">
        <v>0.0896</v>
      </c>
      <c r="E499" s="46" t="n">
        <v>0.194134</v>
      </c>
      <c r="F499" s="46" t="n">
        <v>0.021914</v>
      </c>
      <c r="G499" s="47" t="n">
        <f aca="false">A499*Scorecard!$C$12+B499*Scorecard!$C$13+C499*Scorecard!$C$14+D499*Scorecard!$C$15+E499*Scorecard!$C$16+F499*Scorecard!$C$17</f>
        <v>4.4485083009273</v>
      </c>
      <c r="H499" s="47" t="n">
        <f aca="false">A499*Scorecard!$D$12+B499*Scorecard!$D$13+C499*Scorecard!$D$14+D499*Scorecard!$D$15+E499*Scorecard!$D$16+F499*Scorecard!$D$17</f>
        <v>2.43099364093791</v>
      </c>
      <c r="I499" s="47" t="n">
        <f aca="false">A499*Scorecard!$E$12+B499*Scorecard!$E$13+C499*Scorecard!$E$14+D499*Scorecard!$E$15+E499*Scorecard!$E$16+F499*Scorecard!$E$17</f>
        <v>2.98462077159304</v>
      </c>
      <c r="J499" s="0" t="str">
        <f aca="false">IF(AND(G499&gt;=H499,G499&gt;=I499),"Distribution",IF(I499&gt;=H499,"Prof. services","Manufacturing"))</f>
        <v>Distribution</v>
      </c>
      <c r="L499" s="46" t="n">
        <v>0.207502</v>
      </c>
      <c r="M499" s="46" t="n">
        <v>0.226508</v>
      </c>
      <c r="N499" s="46" t="n">
        <v>0.244749</v>
      </c>
      <c r="O499" s="46" t="n">
        <v>0.155537</v>
      </c>
      <c r="P499" s="46" t="n">
        <v>0.14087</v>
      </c>
      <c r="Q499" s="46" t="n">
        <v>0.024835</v>
      </c>
      <c r="R499" s="47" t="n">
        <f aca="false">L499*Scorecard!$C$12+M499*Scorecard!$C$13+N499*Scorecard!$C$14+O499*Scorecard!$C$15+P499*Scorecard!$C$16+Q499*Scorecard!$C$17</f>
        <v>3.95887244082041</v>
      </c>
      <c r="S499" s="47" t="n">
        <f aca="false">L499*Scorecard!$D$12+M499*Scorecard!$D$13+N499*Scorecard!$D$14+O499*Scorecard!$D$15+P499*Scorecard!$D$16+Q499*Scorecard!$D$17</f>
        <v>2.98683949140011</v>
      </c>
      <c r="T499" s="47" t="n">
        <f aca="false">L499*Scorecard!$E$12+M499*Scorecard!$E$13+N499*Scorecard!$E$14+O499*Scorecard!$E$15+P499*Scorecard!$E$16+Q499*Scorecard!$E$17</f>
        <v>3.83057880127793</v>
      </c>
      <c r="U499" s="0" t="str">
        <f aca="false">IF(AND(R499&gt;=S499,R499&gt;=T499),"Distribution",IF(T499&gt;=S499,"Prof. services","Manufacturing"))</f>
        <v>Distribution</v>
      </c>
    </row>
    <row r="500" customFormat="false" ht="15" hidden="false" customHeight="false" outlineLevel="0" collapsed="false">
      <c r="A500" s="46" t="n">
        <v>0.108668</v>
      </c>
      <c r="B500" s="46" t="n">
        <v>0.058031</v>
      </c>
      <c r="C500" s="46" t="n">
        <v>0.06133</v>
      </c>
      <c r="D500" s="46" t="n">
        <v>0.393349</v>
      </c>
      <c r="E500" s="46" t="n">
        <v>0.164825</v>
      </c>
      <c r="F500" s="46" t="n">
        <v>0.213797</v>
      </c>
      <c r="G500" s="47" t="n">
        <f aca="false">A500*Scorecard!$C$12+B500*Scorecard!$C$13+C500*Scorecard!$C$14+D500*Scorecard!$C$15+E500*Scorecard!$C$16+F500*Scorecard!$C$17</f>
        <v>3.82818205028902</v>
      </c>
      <c r="H500" s="47" t="n">
        <f aca="false">A500*Scorecard!$D$12+B500*Scorecard!$D$13+C500*Scorecard!$D$14+D500*Scorecard!$D$15+E500*Scorecard!$D$16+F500*Scorecard!$D$17</f>
        <v>3.17427906489027</v>
      </c>
      <c r="I500" s="47" t="n">
        <f aca="false">A500*Scorecard!$E$12+B500*Scorecard!$E$13+C500*Scorecard!$E$14+D500*Scorecard!$E$15+E500*Scorecard!$E$16+F500*Scorecard!$E$17</f>
        <v>3.9578985511502</v>
      </c>
      <c r="J500" s="0" t="str">
        <f aca="false">IF(AND(G500&gt;=H500,G500&gt;=I500),"Distribution",IF(I500&gt;=H500,"Prof. services","Manufacturing"))</f>
        <v>Prof. services</v>
      </c>
      <c r="L500" s="46" t="n">
        <v>0.317953</v>
      </c>
      <c r="M500" s="46" t="n">
        <v>0.123226</v>
      </c>
      <c r="N500" s="46" t="n">
        <v>0.186101</v>
      </c>
      <c r="O500" s="46" t="n">
        <v>0.188216</v>
      </c>
      <c r="P500" s="46" t="n">
        <v>0.089409</v>
      </c>
      <c r="Q500" s="46" t="n">
        <v>0.095094</v>
      </c>
      <c r="R500" s="47" t="n">
        <f aca="false">L500*Scorecard!$C$12+M500*Scorecard!$C$13+N500*Scorecard!$C$14+O500*Scorecard!$C$15+P500*Scorecard!$C$16+Q500*Scorecard!$C$17</f>
        <v>3.54893006568212</v>
      </c>
      <c r="S500" s="47" t="n">
        <f aca="false">L500*Scorecard!$D$12+M500*Scorecard!$D$13+N500*Scorecard!$D$14+O500*Scorecard!$D$15+P500*Scorecard!$D$16+Q500*Scorecard!$D$17</f>
        <v>3.13010667372554</v>
      </c>
      <c r="T500" s="47" t="n">
        <f aca="false">L500*Scorecard!$E$12+M500*Scorecard!$E$13+N500*Scorecard!$E$14+O500*Scorecard!$E$15+P500*Scorecard!$E$16+Q500*Scorecard!$E$17</f>
        <v>4.20234902582851</v>
      </c>
      <c r="U500" s="0" t="str">
        <f aca="false">IF(AND(R500&gt;=S500,R500&gt;=T500),"Distribution",IF(T500&gt;=S500,"Prof. services","Manufacturing"))</f>
        <v>Prof. services</v>
      </c>
    </row>
    <row r="501" customFormat="false" ht="15" hidden="false" customHeight="false" outlineLevel="0" collapsed="false">
      <c r="A501" s="46" t="n">
        <v>0.110544</v>
      </c>
      <c r="B501" s="46" t="n">
        <v>0.039212</v>
      </c>
      <c r="C501" s="46" t="n">
        <v>0.089763</v>
      </c>
      <c r="D501" s="46" t="n">
        <v>0.092914</v>
      </c>
      <c r="E501" s="46" t="n">
        <v>0.280125</v>
      </c>
      <c r="F501" s="46" t="n">
        <v>0.387442</v>
      </c>
      <c r="G501" s="47" t="n">
        <f aca="false">A501*Scorecard!$C$12+B501*Scorecard!$C$13+C501*Scorecard!$C$14+D501*Scorecard!$C$15+E501*Scorecard!$C$16+F501*Scorecard!$C$17</f>
        <v>3.15826122353544</v>
      </c>
      <c r="H501" s="47" t="n">
        <f aca="false">A501*Scorecard!$D$12+B501*Scorecard!$D$13+C501*Scorecard!$D$14+D501*Scorecard!$D$15+E501*Scorecard!$D$16+F501*Scorecard!$D$17</f>
        <v>2.63393551698625</v>
      </c>
      <c r="I501" s="47" t="n">
        <f aca="false">A501*Scorecard!$E$12+B501*Scorecard!$E$13+C501*Scorecard!$E$14+D501*Scorecard!$E$15+E501*Scorecard!$E$16+F501*Scorecard!$E$17</f>
        <v>3.86885560172376</v>
      </c>
      <c r="J501" s="0" t="str">
        <f aca="false">IF(AND(G501&gt;=H501,G501&gt;=I501),"Distribution",IF(I501&gt;=H501,"Prof. services","Manufacturing"))</f>
        <v>Prof. services</v>
      </c>
      <c r="L501" s="46" t="n">
        <v>0.309721</v>
      </c>
      <c r="M501" s="46" t="n">
        <v>0.188368</v>
      </c>
      <c r="N501" s="46" t="n">
        <v>0.21409</v>
      </c>
      <c r="O501" s="46" t="n">
        <v>0.101233</v>
      </c>
      <c r="P501" s="46" t="n">
        <v>0.142283</v>
      </c>
      <c r="Q501" s="46" t="n">
        <v>0.044306</v>
      </c>
      <c r="R501" s="47" t="n">
        <f aca="false">L501*Scorecard!$C$12+M501*Scorecard!$C$13+N501*Scorecard!$C$14+O501*Scorecard!$C$15+P501*Scorecard!$C$16+Q501*Scorecard!$C$17</f>
        <v>3.64349078307842</v>
      </c>
      <c r="S501" s="47" t="n">
        <f aca="false">L501*Scorecard!$D$12+M501*Scorecard!$D$13+N501*Scorecard!$D$14+O501*Scorecard!$D$15+P501*Scorecard!$D$16+Q501*Scorecard!$D$17</f>
        <v>3.02000832523088</v>
      </c>
      <c r="T501" s="47" t="n">
        <f aca="false">L501*Scorecard!$E$12+M501*Scorecard!$E$13+N501*Scorecard!$E$14+O501*Scorecard!$E$15+P501*Scorecard!$E$16+Q501*Scorecard!$E$17</f>
        <v>3.97214236668263</v>
      </c>
      <c r="U501" s="0" t="str">
        <f aca="false">IF(AND(R501&gt;=S501,R501&gt;=T501),"Distribution",IF(T501&gt;=S501,"Prof. services","Manufacturing"))</f>
        <v>Prof. services</v>
      </c>
    </row>
    <row r="502" customFormat="false" ht="15" hidden="false" customHeight="false" outlineLevel="0" collapsed="false">
      <c r="A502" s="46" t="n">
        <v>0.330226</v>
      </c>
      <c r="B502" s="46" t="n">
        <v>0.176497</v>
      </c>
      <c r="C502" s="46" t="n">
        <v>0.361102</v>
      </c>
      <c r="D502" s="46" t="n">
        <v>0.122147</v>
      </c>
      <c r="E502" s="46" t="n">
        <v>0.000877</v>
      </c>
      <c r="F502" s="46" t="n">
        <v>0.009151</v>
      </c>
      <c r="G502" s="47" t="n">
        <f aca="false">A502*Scorecard!$C$12+B502*Scorecard!$C$13+C502*Scorecard!$C$14+D502*Scorecard!$C$15+E502*Scorecard!$C$16+F502*Scorecard!$C$17</f>
        <v>3.68593049065725</v>
      </c>
      <c r="H502" s="47" t="n">
        <f aca="false">A502*Scorecard!$D$12+B502*Scorecard!$D$13+C502*Scorecard!$D$14+D502*Scorecard!$D$15+E502*Scorecard!$D$16+F502*Scorecard!$D$17</f>
        <v>3.08117635274247</v>
      </c>
      <c r="I502" s="47" t="n">
        <f aca="false">A502*Scorecard!$E$12+B502*Scorecard!$E$13+C502*Scorecard!$E$14+D502*Scorecard!$E$15+E502*Scorecard!$E$16+F502*Scorecard!$E$17</f>
        <v>4.38345183490766</v>
      </c>
      <c r="J502" s="0" t="str">
        <f aca="false">IF(AND(G502&gt;=H502,G502&gt;=I502),"Distribution",IF(I502&gt;=H502,"Prof. services","Manufacturing"))</f>
        <v>Prof. services</v>
      </c>
      <c r="L502" s="46" t="n">
        <v>0.248993</v>
      </c>
      <c r="M502" s="46" t="n">
        <v>0.116702</v>
      </c>
      <c r="N502" s="46" t="n">
        <v>0.174848</v>
      </c>
      <c r="O502" s="46" t="n">
        <v>0.172128</v>
      </c>
      <c r="P502" s="46" t="n">
        <v>0.152761</v>
      </c>
      <c r="Q502" s="46" t="n">
        <v>0.134568</v>
      </c>
      <c r="R502" s="47" t="n">
        <f aca="false">L502*Scorecard!$C$12+M502*Scorecard!$C$13+N502*Scorecard!$C$14+O502*Scorecard!$C$15+P502*Scorecard!$C$16+Q502*Scorecard!$C$17</f>
        <v>3.57150304911854</v>
      </c>
      <c r="S502" s="47" t="n">
        <f aca="false">L502*Scorecard!$D$12+M502*Scorecard!$D$13+N502*Scorecard!$D$14+O502*Scorecard!$D$15+P502*Scorecard!$D$16+Q502*Scorecard!$D$17</f>
        <v>3.03763294986056</v>
      </c>
      <c r="T502" s="47" t="n">
        <f aca="false">L502*Scorecard!$E$12+M502*Scorecard!$E$13+N502*Scorecard!$E$14+O502*Scorecard!$E$15+P502*Scorecard!$E$16+Q502*Scorecard!$E$17</f>
        <v>4.0458864864718</v>
      </c>
      <c r="U502" s="0" t="str">
        <f aca="false">IF(AND(R502&gt;=S502,R502&gt;=T502),"Distribution",IF(T502&gt;=S502,"Prof. services","Manufacturing"))</f>
        <v>Prof. services</v>
      </c>
    </row>
    <row r="503" customFormat="false" ht="15" hidden="false" customHeight="false" outlineLevel="0" collapsed="false">
      <c r="A503" s="46" t="n">
        <v>0.232339</v>
      </c>
      <c r="B503" s="46" t="n">
        <v>0.17752</v>
      </c>
      <c r="C503" s="46" t="n">
        <v>0.06381</v>
      </c>
      <c r="D503" s="46" t="n">
        <v>0.066549</v>
      </c>
      <c r="E503" s="46" t="n">
        <v>0.346076</v>
      </c>
      <c r="F503" s="46" t="n">
        <v>0.113704</v>
      </c>
      <c r="G503" s="47" t="n">
        <f aca="false">A503*Scorecard!$C$12+B503*Scorecard!$C$13+C503*Scorecard!$C$14+D503*Scorecard!$C$15+E503*Scorecard!$C$16+F503*Scorecard!$C$17</f>
        <v>3.59843948662072</v>
      </c>
      <c r="H503" s="47" t="n">
        <f aca="false">A503*Scorecard!$D$12+B503*Scorecard!$D$13+C503*Scorecard!$D$14+D503*Scorecard!$D$15+E503*Scorecard!$D$16+F503*Scorecard!$D$17</f>
        <v>2.90884996115304</v>
      </c>
      <c r="I503" s="47" t="n">
        <f aca="false">A503*Scorecard!$E$12+B503*Scorecard!$E$13+C503*Scorecard!$E$14+D503*Scorecard!$E$15+E503*Scorecard!$E$16+F503*Scorecard!$E$17</f>
        <v>3.45416674019626</v>
      </c>
      <c r="J503" s="0" t="str">
        <f aca="false">IF(AND(G503&gt;=H503,G503&gt;=I503),"Distribution",IF(I503&gt;=H503,"Prof. services","Manufacturing"))</f>
        <v>Distribution</v>
      </c>
      <c r="L503" s="46" t="n">
        <v>0.203847</v>
      </c>
      <c r="M503" s="46" t="n">
        <v>0.090485</v>
      </c>
      <c r="N503" s="46" t="n">
        <v>0.128735</v>
      </c>
      <c r="O503" s="46" t="n">
        <v>0.156592</v>
      </c>
      <c r="P503" s="46" t="n">
        <v>0.255943</v>
      </c>
      <c r="Q503" s="46" t="n">
        <v>0.164397</v>
      </c>
      <c r="R503" s="47" t="n">
        <f aca="false">L503*Scorecard!$C$12+M503*Scorecard!$C$13+N503*Scorecard!$C$14+O503*Scorecard!$C$15+P503*Scorecard!$C$16+Q503*Scorecard!$C$17</f>
        <v>3.55135149294425</v>
      </c>
      <c r="S503" s="47" t="n">
        <f aca="false">L503*Scorecard!$D$12+M503*Scorecard!$D$13+N503*Scorecard!$D$14+O503*Scorecard!$D$15+P503*Scorecard!$D$16+Q503*Scorecard!$D$17</f>
        <v>3.01882595830007</v>
      </c>
      <c r="T503" s="47" t="n">
        <f aca="false">L503*Scorecard!$E$12+M503*Scorecard!$E$13+N503*Scorecard!$E$14+O503*Scorecard!$E$15+P503*Scorecard!$E$16+Q503*Scorecard!$E$17</f>
        <v>3.84419064804276</v>
      </c>
      <c r="U503" s="0" t="str">
        <f aca="false">IF(AND(R503&gt;=S503,R503&gt;=T503),"Distribution",IF(T503&gt;=S503,"Prof. services","Manufacturing"))</f>
        <v>Prof. services</v>
      </c>
    </row>
    <row r="504" customFormat="false" ht="15" hidden="false" customHeight="false" outlineLevel="0" collapsed="false">
      <c r="A504" s="46" t="n">
        <v>0.263593</v>
      </c>
      <c r="B504" s="46" t="n">
        <v>0.236846</v>
      </c>
      <c r="C504" s="46" t="n">
        <v>0.097767</v>
      </c>
      <c r="D504" s="46" t="n">
        <v>0.148734</v>
      </c>
      <c r="E504" s="46" t="n">
        <v>0.071905</v>
      </c>
      <c r="F504" s="46" t="n">
        <v>0.181154</v>
      </c>
      <c r="G504" s="47" t="n">
        <f aca="false">A504*Scorecard!$C$12+B504*Scorecard!$C$13+C504*Scorecard!$C$14+D504*Scorecard!$C$15+E504*Scorecard!$C$16+F504*Scorecard!$C$17</f>
        <v>3.5487968409084</v>
      </c>
      <c r="H504" s="47" t="n">
        <f aca="false">A504*Scorecard!$D$12+B504*Scorecard!$D$13+C504*Scorecard!$D$14+D504*Scorecard!$D$15+E504*Scorecard!$D$16+F504*Scorecard!$D$17</f>
        <v>2.74302472355177</v>
      </c>
      <c r="I504" s="47" t="n">
        <f aca="false">A504*Scorecard!$E$12+B504*Scorecard!$E$13+C504*Scorecard!$E$14+D504*Scorecard!$E$15+E504*Scorecard!$E$16+F504*Scorecard!$E$17</f>
        <v>3.91227470190031</v>
      </c>
      <c r="J504" s="0" t="str">
        <f aca="false">IF(AND(G504&gt;=H504,G504&gt;=I504),"Distribution",IF(I504&gt;=H504,"Prof. services","Manufacturing"))</f>
        <v>Prof. services</v>
      </c>
      <c r="L504" s="46" t="n">
        <v>0.328649</v>
      </c>
      <c r="M504" s="46" t="n">
        <v>0.096092</v>
      </c>
      <c r="N504" s="46" t="n">
        <v>0.163409</v>
      </c>
      <c r="O504" s="46" t="n">
        <v>0.121751</v>
      </c>
      <c r="P504" s="46" t="n">
        <v>0.177747</v>
      </c>
      <c r="Q504" s="46" t="n">
        <v>0.112351</v>
      </c>
      <c r="R504" s="47" t="n">
        <f aca="false">L504*Scorecard!$C$12+M504*Scorecard!$C$13+N504*Scorecard!$C$14+O504*Scorecard!$C$15+P504*Scorecard!$C$16+Q504*Scorecard!$C$17</f>
        <v>3.4015641131468</v>
      </c>
      <c r="S504" s="47" t="n">
        <f aca="false">L504*Scorecard!$D$12+M504*Scorecard!$D$13+N504*Scorecard!$D$14+O504*Scorecard!$D$15+P504*Scorecard!$D$16+Q504*Scorecard!$D$17</f>
        <v>3.10451797377127</v>
      </c>
      <c r="T504" s="47" t="n">
        <f aca="false">L504*Scorecard!$E$12+M504*Scorecard!$E$13+N504*Scorecard!$E$14+O504*Scorecard!$E$15+P504*Scorecard!$E$16+Q504*Scorecard!$E$17</f>
        <v>4.09173612996338</v>
      </c>
      <c r="U504" s="0" t="str">
        <f aca="false">IF(AND(R504&gt;=S504,R504&gt;=T504),"Distribution",IF(T504&gt;=S504,"Prof. services","Manufacturing"))</f>
        <v>Prof. services</v>
      </c>
    </row>
    <row r="505" customFormat="false" ht="15" hidden="false" customHeight="false" outlineLevel="0" collapsed="false">
      <c r="A505" s="46" t="n">
        <v>0.345445</v>
      </c>
      <c r="B505" s="46" t="n">
        <v>0.197555</v>
      </c>
      <c r="C505" s="46" t="n">
        <v>0.131787</v>
      </c>
      <c r="D505" s="46" t="n">
        <v>0.182454</v>
      </c>
      <c r="E505" s="46" t="n">
        <v>0.071731</v>
      </c>
      <c r="F505" s="46" t="n">
        <v>0.071028</v>
      </c>
      <c r="G505" s="47" t="n">
        <f aca="false">A505*Scorecard!$C$12+B505*Scorecard!$C$13+C505*Scorecard!$C$14+D505*Scorecard!$C$15+E505*Scorecard!$C$16+F505*Scorecard!$C$17</f>
        <v>3.61614707361956</v>
      </c>
      <c r="H505" s="47" t="n">
        <f aca="false">A505*Scorecard!$D$12+B505*Scorecard!$D$13+C505*Scorecard!$D$14+D505*Scorecard!$D$15+E505*Scorecard!$D$16+F505*Scorecard!$D$17</f>
        <v>3.06023751529524</v>
      </c>
      <c r="I505" s="47" t="n">
        <f aca="false">A505*Scorecard!$E$12+B505*Scorecard!$E$13+C505*Scorecard!$E$14+D505*Scorecard!$E$15+E505*Scorecard!$E$16+F505*Scorecard!$E$17</f>
        <v>4.05260520970383</v>
      </c>
      <c r="J505" s="0" t="str">
        <f aca="false">IF(AND(G505&gt;=H505,G505&gt;=I505),"Distribution",IF(I505&gt;=H505,"Prof. services","Manufacturing"))</f>
        <v>Prof. services</v>
      </c>
      <c r="L505" s="46" t="n">
        <v>0.195296</v>
      </c>
      <c r="M505" s="46" t="n">
        <v>0.221367</v>
      </c>
      <c r="N505" s="46" t="n">
        <v>0.204095</v>
      </c>
      <c r="O505" s="46" t="n">
        <v>0.1256</v>
      </c>
      <c r="P505" s="46" t="n">
        <v>0.163119</v>
      </c>
      <c r="Q505" s="46" t="n">
        <v>0.090524</v>
      </c>
      <c r="R505" s="47" t="n">
        <f aca="false">L505*Scorecard!$C$12+M505*Scorecard!$C$13+N505*Scorecard!$C$14+O505*Scorecard!$C$15+P505*Scorecard!$C$16+Q505*Scorecard!$C$17</f>
        <v>3.8143874148898</v>
      </c>
      <c r="S505" s="47" t="n">
        <f aca="false">L505*Scorecard!$D$12+M505*Scorecard!$D$13+N505*Scorecard!$D$14+O505*Scorecard!$D$15+P505*Scorecard!$D$16+Q505*Scorecard!$D$17</f>
        <v>2.86072001023487</v>
      </c>
      <c r="T505" s="47" t="n">
        <f aca="false">L505*Scorecard!$E$12+M505*Scorecard!$E$13+N505*Scorecard!$E$14+O505*Scorecard!$E$15+P505*Scorecard!$E$16+Q505*Scorecard!$E$17</f>
        <v>3.77821106142494</v>
      </c>
      <c r="U505" s="0" t="str">
        <f aca="false">IF(AND(R505&gt;=S505,R505&gt;=T505),"Distribution",IF(T505&gt;=S505,"Prof. services","Manufacturing"))</f>
        <v>Distribution</v>
      </c>
    </row>
    <row r="506" customFormat="false" ht="15" hidden="false" customHeight="false" outlineLevel="0" collapsed="false">
      <c r="A506" s="46" t="n">
        <v>0.076204</v>
      </c>
      <c r="B506" s="46" t="n">
        <v>0.247239</v>
      </c>
      <c r="C506" s="46" t="n">
        <v>0.402043</v>
      </c>
      <c r="D506" s="46" t="n">
        <v>0.218198</v>
      </c>
      <c r="E506" s="46" t="n">
        <v>0.033101</v>
      </c>
      <c r="F506" s="46" t="n">
        <v>0.023216</v>
      </c>
      <c r="G506" s="47" t="n">
        <f aca="false">A506*Scorecard!$C$12+B506*Scorecard!$C$13+C506*Scorecard!$C$14+D506*Scorecard!$C$15+E506*Scorecard!$C$16+F506*Scorecard!$C$17</f>
        <v>4.28184071325712</v>
      </c>
      <c r="H506" s="47" t="n">
        <f aca="false">A506*Scorecard!$D$12+B506*Scorecard!$D$13+C506*Scorecard!$D$14+D506*Scorecard!$D$15+E506*Scorecard!$D$16+F506*Scorecard!$D$17</f>
        <v>2.90803790277421</v>
      </c>
      <c r="I506" s="47" t="n">
        <f aca="false">A506*Scorecard!$E$12+B506*Scorecard!$E$13+C506*Scorecard!$E$14+D506*Scorecard!$E$15+E506*Scorecard!$E$16+F506*Scorecard!$E$17</f>
        <v>4.00678080874102</v>
      </c>
      <c r="J506" s="0" t="str">
        <f aca="false">IF(AND(G506&gt;=H506,G506&gt;=I506),"Distribution",IF(I506&gt;=H506,"Prof. services","Manufacturing"))</f>
        <v>Distribution</v>
      </c>
      <c r="L506" s="46" t="n">
        <v>0.178561</v>
      </c>
      <c r="M506" s="46" t="n">
        <v>0.31808</v>
      </c>
      <c r="N506" s="46" t="n">
        <v>0.191323</v>
      </c>
      <c r="O506" s="46" t="n">
        <v>0.129472</v>
      </c>
      <c r="P506" s="46" t="n">
        <v>0.114653</v>
      </c>
      <c r="Q506" s="46" t="n">
        <v>0.067911</v>
      </c>
      <c r="R506" s="47" t="n">
        <f aca="false">L506*Scorecard!$C$12+M506*Scorecard!$C$13+N506*Scorecard!$C$14+O506*Scorecard!$C$15+P506*Scorecard!$C$16+Q506*Scorecard!$C$17</f>
        <v>3.99031765354711</v>
      </c>
      <c r="S506" s="47" t="n">
        <f aca="false">L506*Scorecard!$D$12+M506*Scorecard!$D$13+N506*Scorecard!$D$14+O506*Scorecard!$D$15+P506*Scorecard!$D$16+Q506*Scorecard!$D$17</f>
        <v>2.72674286827025</v>
      </c>
      <c r="T506" s="47" t="n">
        <f aca="false">L506*Scorecard!$E$12+M506*Scorecard!$E$13+N506*Scorecard!$E$14+O506*Scorecard!$E$15+P506*Scorecard!$E$16+Q506*Scorecard!$E$17</f>
        <v>3.63741196536978</v>
      </c>
      <c r="U506" s="0" t="str">
        <f aca="false">IF(AND(R506&gt;=S506,R506&gt;=T506),"Distribution",IF(T506&gt;=S506,"Prof. services","Manufacturing"))</f>
        <v>Distribution</v>
      </c>
    </row>
    <row r="507" customFormat="false" ht="15" hidden="false" customHeight="false" outlineLevel="0" collapsed="false">
      <c r="A507" s="46" t="n">
        <v>0.110632</v>
      </c>
      <c r="B507" s="46" t="n">
        <v>0.073424</v>
      </c>
      <c r="C507" s="46" t="n">
        <v>0.192002</v>
      </c>
      <c r="D507" s="46" t="n">
        <v>0.283109</v>
      </c>
      <c r="E507" s="46" t="n">
        <v>0.276127</v>
      </c>
      <c r="F507" s="46" t="n">
        <v>0.064705</v>
      </c>
      <c r="G507" s="47" t="n">
        <f aca="false">A507*Scorecard!$C$12+B507*Scorecard!$C$13+C507*Scorecard!$C$14+D507*Scorecard!$C$15+E507*Scorecard!$C$16+F507*Scorecard!$C$17</f>
        <v>4.02797982228048</v>
      </c>
      <c r="H507" s="47" t="n">
        <f aca="false">A507*Scorecard!$D$12+B507*Scorecard!$D$13+C507*Scorecard!$D$14+D507*Scorecard!$D$15+E507*Scorecard!$D$16+F507*Scorecard!$D$17</f>
        <v>3.28558876234878</v>
      </c>
      <c r="I507" s="47" t="n">
        <f aca="false">A507*Scorecard!$E$12+B507*Scorecard!$E$13+C507*Scorecard!$E$14+D507*Scorecard!$E$15+E507*Scorecard!$E$16+F507*Scorecard!$E$17</f>
        <v>3.78351878425256</v>
      </c>
      <c r="J507" s="0" t="str">
        <f aca="false">IF(AND(G507&gt;=H507,G507&gt;=I507),"Distribution",IF(I507&gt;=H507,"Prof. services","Manufacturing"))</f>
        <v>Distribution</v>
      </c>
      <c r="L507" s="46" t="n">
        <v>0.106227</v>
      </c>
      <c r="M507" s="46" t="n">
        <v>0.175554</v>
      </c>
      <c r="N507" s="46" t="n">
        <v>0.278716</v>
      </c>
      <c r="O507" s="46" t="n">
        <v>0.09938</v>
      </c>
      <c r="P507" s="46" t="n">
        <v>0.325259</v>
      </c>
      <c r="Q507" s="46" t="n">
        <v>0.014864</v>
      </c>
      <c r="R507" s="47" t="n">
        <f aca="false">L507*Scorecard!$C$12+M507*Scorecard!$C$13+N507*Scorecard!$C$14+O507*Scorecard!$C$15+P507*Scorecard!$C$16+Q507*Scorecard!$C$17</f>
        <v>4.05399588510005</v>
      </c>
      <c r="S507" s="47" t="n">
        <f aca="false">L507*Scorecard!$D$12+M507*Scorecard!$D$13+N507*Scorecard!$D$14+O507*Scorecard!$D$15+P507*Scorecard!$D$16+Q507*Scorecard!$D$17</f>
        <v>3.0078312860151</v>
      </c>
      <c r="T507" s="47" t="n">
        <f aca="false">L507*Scorecard!$E$12+M507*Scorecard!$E$13+N507*Scorecard!$E$14+O507*Scorecard!$E$15+P507*Scorecard!$E$16+Q507*Scorecard!$E$17</f>
        <v>3.53731904910002</v>
      </c>
      <c r="U507" s="0" t="str">
        <f aca="false">IF(AND(R507&gt;=S507,R507&gt;=T507),"Distribution",IF(T507&gt;=S507,"Prof. services","Manufacturing"))</f>
        <v>Distribution</v>
      </c>
    </row>
    <row r="508" customFormat="false" ht="15" hidden="false" customHeight="false" outlineLevel="0" collapsed="false">
      <c r="A508" s="46" t="n">
        <v>0.255176</v>
      </c>
      <c r="B508" s="46" t="n">
        <v>0.406067</v>
      </c>
      <c r="C508" s="46" t="n">
        <v>0.161609</v>
      </c>
      <c r="D508" s="46" t="n">
        <v>0.135945</v>
      </c>
      <c r="E508" s="46" t="n">
        <v>0.036418</v>
      </c>
      <c r="F508" s="46" t="n">
        <v>0.004784</v>
      </c>
      <c r="G508" s="47" t="n">
        <f aca="false">A508*Scorecard!$C$12+B508*Scorecard!$C$13+C508*Scorecard!$C$14+D508*Scorecard!$C$15+E508*Scorecard!$C$16+F508*Scorecard!$C$17</f>
        <v>4.07311956094297</v>
      </c>
      <c r="H508" s="47" t="n">
        <f aca="false">A508*Scorecard!$D$12+B508*Scorecard!$D$13+C508*Scorecard!$D$14+D508*Scorecard!$D$15+E508*Scorecard!$D$16+F508*Scorecard!$D$17</f>
        <v>2.72138474896553</v>
      </c>
      <c r="I508" s="47" t="n">
        <f aca="false">A508*Scorecard!$E$12+B508*Scorecard!$E$13+C508*Scorecard!$E$14+D508*Scorecard!$E$15+E508*Scorecard!$E$16+F508*Scorecard!$E$17</f>
        <v>3.61917209695235</v>
      </c>
      <c r="J508" s="0" t="str">
        <f aca="false">IF(AND(G508&gt;=H508,G508&gt;=I508),"Distribution",IF(I508&gt;=H508,"Prof. services","Manufacturing"))</f>
        <v>Distribution</v>
      </c>
      <c r="L508" s="46" t="n">
        <v>0.221558</v>
      </c>
      <c r="M508" s="46" t="n">
        <v>0.198958</v>
      </c>
      <c r="N508" s="46" t="n">
        <v>0.340321</v>
      </c>
      <c r="O508" s="46" t="n">
        <v>0.096214</v>
      </c>
      <c r="P508" s="46" t="n">
        <v>0.068125</v>
      </c>
      <c r="Q508" s="46" t="n">
        <v>0.074824</v>
      </c>
      <c r="R508" s="47" t="n">
        <f aca="false">L508*Scorecard!$C$12+M508*Scorecard!$C$13+N508*Scorecard!$C$14+O508*Scorecard!$C$15+P508*Scorecard!$C$16+Q508*Scorecard!$C$17</f>
        <v>3.74671644036823</v>
      </c>
      <c r="S508" s="47" t="n">
        <f aca="false">L508*Scorecard!$D$12+M508*Scorecard!$D$13+N508*Scorecard!$D$14+O508*Scorecard!$D$15+P508*Scorecard!$D$16+Q508*Scorecard!$D$17</f>
        <v>2.8695671930866</v>
      </c>
      <c r="T508" s="47" t="n">
        <f aca="false">L508*Scorecard!$E$12+M508*Scorecard!$E$13+N508*Scorecard!$E$14+O508*Scorecard!$E$15+P508*Scorecard!$E$16+Q508*Scorecard!$E$17</f>
        <v>4.1283758919413</v>
      </c>
      <c r="U508" s="0" t="str">
        <f aca="false">IF(AND(R508&gt;=S508,R508&gt;=T508),"Distribution",IF(T508&gt;=S508,"Prof. services","Manufacturing"))</f>
        <v>Prof. services</v>
      </c>
    </row>
    <row r="509" customFormat="false" ht="15" hidden="false" customHeight="false" outlineLevel="0" collapsed="false">
      <c r="A509" s="46" t="n">
        <v>0.154257</v>
      </c>
      <c r="B509" s="46" t="n">
        <v>0.295297</v>
      </c>
      <c r="C509" s="46" t="n">
        <v>0.344789</v>
      </c>
      <c r="D509" s="46" t="n">
        <v>0.006185</v>
      </c>
      <c r="E509" s="46" t="n">
        <v>0.127398</v>
      </c>
      <c r="F509" s="46" t="n">
        <v>0.072075</v>
      </c>
      <c r="G509" s="47" t="n">
        <f aca="false">A509*Scorecard!$C$12+B509*Scorecard!$C$13+C509*Scorecard!$C$14+D509*Scorecard!$C$15+E509*Scorecard!$C$16+F509*Scorecard!$C$17</f>
        <v>3.8796712001457</v>
      </c>
      <c r="H509" s="47" t="n">
        <f aca="false">A509*Scorecard!$D$12+B509*Scorecard!$D$13+C509*Scorecard!$D$14+D509*Scorecard!$D$15+E509*Scorecard!$D$16+F509*Scorecard!$D$17</f>
        <v>2.60016943779493</v>
      </c>
      <c r="I509" s="47" t="n">
        <f aca="false">A509*Scorecard!$E$12+B509*Scorecard!$E$13+C509*Scorecard!$E$14+D509*Scorecard!$E$15+E509*Scorecard!$E$16+F509*Scorecard!$E$17</f>
        <v>3.76991714851152</v>
      </c>
      <c r="J509" s="0" t="str">
        <f aca="false">IF(AND(G509&gt;=H509,G509&gt;=I509),"Distribution",IF(I509&gt;=H509,"Prof. services","Manufacturing"))</f>
        <v>Distribution</v>
      </c>
      <c r="L509" s="46" t="n">
        <v>0.177015</v>
      </c>
      <c r="M509" s="46" t="n">
        <v>0.097596</v>
      </c>
      <c r="N509" s="46" t="n">
        <v>0.21577</v>
      </c>
      <c r="O509" s="46" t="n">
        <v>0.121286</v>
      </c>
      <c r="P509" s="46" t="n">
        <v>0.28437</v>
      </c>
      <c r="Q509" s="46" t="n">
        <v>0.103964</v>
      </c>
      <c r="R509" s="47" t="n">
        <f aca="false">L509*Scorecard!$C$12+M509*Scorecard!$C$13+N509*Scorecard!$C$14+O509*Scorecard!$C$15+P509*Scorecard!$C$16+Q509*Scorecard!$C$17</f>
        <v>3.69232847559457</v>
      </c>
      <c r="S509" s="47" t="n">
        <f aca="false">L509*Scorecard!$D$12+M509*Scorecard!$D$13+N509*Scorecard!$D$14+O509*Scorecard!$D$15+P509*Scorecard!$D$16+Q509*Scorecard!$D$17</f>
        <v>3.04968796791195</v>
      </c>
      <c r="T509" s="47" t="n">
        <f aca="false">L509*Scorecard!$E$12+M509*Scorecard!$E$13+N509*Scorecard!$E$14+O509*Scorecard!$E$15+P509*Scorecard!$E$16+Q509*Scorecard!$E$17</f>
        <v>3.80767543503628</v>
      </c>
      <c r="U509" s="0" t="str">
        <f aca="false">IF(AND(R509&gt;=S509,R509&gt;=T509),"Distribution",IF(T509&gt;=S509,"Prof. services","Manufacturing"))</f>
        <v>Prof. services</v>
      </c>
    </row>
    <row r="510" customFormat="false" ht="15" hidden="false" customHeight="false" outlineLevel="0" collapsed="false">
      <c r="A510" s="46" t="n">
        <v>0.00568</v>
      </c>
      <c r="B510" s="46" t="n">
        <v>0.148724</v>
      </c>
      <c r="C510" s="46" t="n">
        <v>0.082622</v>
      </c>
      <c r="D510" s="46" t="n">
        <v>0.218324</v>
      </c>
      <c r="E510" s="46" t="n">
        <v>0.328566</v>
      </c>
      <c r="F510" s="46" t="n">
        <v>0.216084</v>
      </c>
      <c r="G510" s="47" t="n">
        <f aca="false">A510*Scorecard!$C$12+B510*Scorecard!$C$13+C510*Scorecard!$C$14+D510*Scorecard!$C$15+E510*Scorecard!$C$16+F510*Scorecard!$C$17</f>
        <v>3.9246559189977</v>
      </c>
      <c r="H510" s="47" t="n">
        <f aca="false">A510*Scorecard!$D$12+B510*Scorecard!$D$13+C510*Scorecard!$D$14+D510*Scorecard!$D$15+E510*Scorecard!$D$16+F510*Scorecard!$D$17</f>
        <v>2.81865374963112</v>
      </c>
      <c r="I510" s="47" t="n">
        <f aca="false">A510*Scorecard!$E$12+B510*Scorecard!$E$13+C510*Scorecard!$E$14+D510*Scorecard!$E$15+E510*Scorecard!$E$16+F510*Scorecard!$E$17</f>
        <v>3.40561832634295</v>
      </c>
      <c r="J510" s="0" t="str">
        <f aca="false">IF(AND(G510&gt;=H510,G510&gt;=I510),"Distribution",IF(I510&gt;=H510,"Prof. services","Manufacturing"))</f>
        <v>Distribution</v>
      </c>
      <c r="L510" s="46" t="n">
        <v>0.121741</v>
      </c>
      <c r="M510" s="46" t="n">
        <v>0.169193</v>
      </c>
      <c r="N510" s="46" t="n">
        <v>0.184382</v>
      </c>
      <c r="O510" s="46" t="n">
        <v>0.164</v>
      </c>
      <c r="P510" s="46" t="n">
        <v>0.127032</v>
      </c>
      <c r="Q510" s="46" t="n">
        <v>0.233651</v>
      </c>
      <c r="R510" s="47" t="n">
        <f aca="false">L510*Scorecard!$C$12+M510*Scorecard!$C$13+N510*Scorecard!$C$14+O510*Scorecard!$C$15+P510*Scorecard!$C$16+Q510*Scorecard!$C$17</f>
        <v>3.64675146385537</v>
      </c>
      <c r="S510" s="47" t="n">
        <f aca="false">L510*Scorecard!$D$12+M510*Scorecard!$D$13+N510*Scorecard!$D$14+O510*Scorecard!$D$15+P510*Scorecard!$D$16+Q510*Scorecard!$D$17</f>
        <v>2.70817452423121</v>
      </c>
      <c r="T510" s="47" t="n">
        <f aca="false">L510*Scorecard!$E$12+M510*Scorecard!$E$13+N510*Scorecard!$E$14+O510*Scorecard!$E$15+P510*Scorecard!$E$16+Q510*Scorecard!$E$17</f>
        <v>3.92080229948606</v>
      </c>
      <c r="U510" s="0" t="str">
        <f aca="false">IF(AND(R510&gt;=S510,R510&gt;=T510),"Distribution",IF(T510&gt;=S510,"Prof. services","Manufacturing"))</f>
        <v>Prof. services</v>
      </c>
    </row>
    <row r="511" customFormat="false" ht="15" hidden="false" customHeight="false" outlineLevel="0" collapsed="false">
      <c r="A511" s="46" t="n">
        <v>0.138163</v>
      </c>
      <c r="B511" s="46" t="n">
        <v>0.132859</v>
      </c>
      <c r="C511" s="46" t="n">
        <v>0.000173</v>
      </c>
      <c r="D511" s="46" t="n">
        <v>0.496405</v>
      </c>
      <c r="E511" s="46" t="n">
        <v>0.228164</v>
      </c>
      <c r="F511" s="46" t="n">
        <v>0.004236</v>
      </c>
      <c r="G511" s="47" t="n">
        <f aca="false">A511*Scorecard!$C$12+B511*Scorecard!$C$13+C511*Scorecard!$C$14+D511*Scorecard!$C$15+E511*Scorecard!$C$16+F511*Scorecard!$C$17</f>
        <v>4.37209662966174</v>
      </c>
      <c r="H511" s="47" t="n">
        <f aca="false">A511*Scorecard!$D$12+B511*Scorecard!$D$13+C511*Scorecard!$D$14+D511*Scorecard!$D$15+E511*Scorecard!$D$16+F511*Scorecard!$D$17</f>
        <v>3.53620135083761</v>
      </c>
      <c r="I511" s="47" t="n">
        <f aca="false">A511*Scorecard!$E$12+B511*Scorecard!$E$13+C511*Scorecard!$E$14+D511*Scorecard!$E$15+E511*Scorecard!$E$16+F511*Scorecard!$E$17</f>
        <v>3.59245713330775</v>
      </c>
      <c r="J511" s="0" t="str">
        <f aca="false">IF(AND(G511&gt;=H511,G511&gt;=I511),"Distribution",IF(I511&gt;=H511,"Prof. services","Manufacturing"))</f>
        <v>Distribution</v>
      </c>
      <c r="L511" s="46" t="n">
        <v>0.142079</v>
      </c>
      <c r="M511" s="46" t="n">
        <v>0.197664</v>
      </c>
      <c r="N511" s="46" t="n">
        <v>0.17302</v>
      </c>
      <c r="O511" s="46" t="n">
        <v>0.150735</v>
      </c>
      <c r="P511" s="46" t="n">
        <v>0.205842</v>
      </c>
      <c r="Q511" s="46" t="n">
        <v>0.130659</v>
      </c>
      <c r="R511" s="47" t="n">
        <f aca="false">L511*Scorecard!$C$12+M511*Scorecard!$C$13+N511*Scorecard!$C$14+O511*Scorecard!$C$15+P511*Scorecard!$C$16+Q511*Scorecard!$C$17</f>
        <v>3.83133277381579</v>
      </c>
      <c r="S511" s="47" t="n">
        <f aca="false">L511*Scorecard!$D$12+M511*Scorecard!$D$13+N511*Scorecard!$D$14+O511*Scorecard!$D$15+P511*Scorecard!$D$16+Q511*Scorecard!$D$17</f>
        <v>2.84427563263895</v>
      </c>
      <c r="T511" s="47" t="n">
        <f aca="false">L511*Scorecard!$E$12+M511*Scorecard!$E$13+N511*Scorecard!$E$14+O511*Scorecard!$E$15+P511*Scorecard!$E$16+Q511*Scorecard!$E$17</f>
        <v>3.69135552413038</v>
      </c>
      <c r="U511" s="0" t="str">
        <f aca="false">IF(AND(R511&gt;=S511,R511&gt;=T511),"Distribution",IF(T511&gt;=S511,"Prof. services","Manufacturing"))</f>
        <v>Distribution</v>
      </c>
    </row>
    <row r="512" customFormat="false" ht="15" hidden="false" customHeight="false" outlineLevel="0" collapsed="false">
      <c r="A512" s="46" t="n">
        <v>0.165433</v>
      </c>
      <c r="B512" s="46" t="n">
        <v>0.174339</v>
      </c>
      <c r="C512" s="46" t="n">
        <v>0.077154</v>
      </c>
      <c r="D512" s="46" t="n">
        <v>0.05185</v>
      </c>
      <c r="E512" s="46" t="n">
        <v>0.454929</v>
      </c>
      <c r="F512" s="46" t="n">
        <v>0.076294</v>
      </c>
      <c r="G512" s="47" t="n">
        <f aca="false">A512*Scorecard!$C$12+B512*Scorecard!$C$13+C512*Scorecard!$C$14+D512*Scorecard!$C$15+E512*Scorecard!$C$16+F512*Scorecard!$C$17</f>
        <v>3.77581524076511</v>
      </c>
      <c r="H512" s="47" t="n">
        <f aca="false">A512*Scorecard!$D$12+B512*Scorecard!$D$13+C512*Scorecard!$D$14+D512*Scorecard!$D$15+E512*Scorecard!$D$16+F512*Scorecard!$D$17</f>
        <v>2.9448161189509</v>
      </c>
      <c r="I512" s="47" t="n">
        <f aca="false">A512*Scorecard!$E$12+B512*Scorecard!$E$13+C512*Scorecard!$E$14+D512*Scorecard!$E$15+E512*Scorecard!$E$16+F512*Scorecard!$E$17</f>
        <v>3.2040360608427</v>
      </c>
      <c r="J512" s="0" t="str">
        <f aca="false">IF(AND(G512&gt;=H512,G512&gt;=I512),"Distribution",IF(I512&gt;=H512,"Prof. services","Manufacturing"))</f>
        <v>Distribution</v>
      </c>
      <c r="L512" s="46" t="n">
        <v>0.24604</v>
      </c>
      <c r="M512" s="46" t="n">
        <v>0.205519</v>
      </c>
      <c r="N512" s="46" t="n">
        <v>0.210607</v>
      </c>
      <c r="O512" s="46" t="n">
        <v>0.153456</v>
      </c>
      <c r="P512" s="46" t="n">
        <v>0.117002</v>
      </c>
      <c r="Q512" s="46" t="n">
        <v>0.067375</v>
      </c>
      <c r="R512" s="47" t="n">
        <f aca="false">L512*Scorecard!$C$12+M512*Scorecard!$C$13+N512*Scorecard!$C$14+O512*Scorecard!$C$15+P512*Scorecard!$C$16+Q512*Scorecard!$C$17</f>
        <v>3.78134549123119</v>
      </c>
      <c r="S512" s="47" t="n">
        <f aca="false">L512*Scorecard!$D$12+M512*Scorecard!$D$13+N512*Scorecard!$D$14+O512*Scorecard!$D$15+P512*Scorecard!$D$16+Q512*Scorecard!$D$17</f>
        <v>2.96961921072164</v>
      </c>
      <c r="T512" s="47" t="n">
        <f aca="false">L512*Scorecard!$E$12+M512*Scorecard!$E$13+N512*Scorecard!$E$14+O512*Scorecard!$E$15+P512*Scorecard!$E$16+Q512*Scorecard!$E$17</f>
        <v>3.93504199468603</v>
      </c>
      <c r="U512" s="0" t="str">
        <f aca="false">IF(AND(R512&gt;=S512,R512&gt;=T512),"Distribution",IF(T512&gt;=S512,"Prof. services","Manufacturing"))</f>
        <v>Prof. services</v>
      </c>
    </row>
    <row r="513" customFormat="false" ht="15" hidden="false" customHeight="false" outlineLevel="0" collapsed="false">
      <c r="A513" s="46" t="n">
        <v>0.183736</v>
      </c>
      <c r="B513" s="46" t="n">
        <v>0.090996</v>
      </c>
      <c r="C513" s="46" t="n">
        <v>0.033038</v>
      </c>
      <c r="D513" s="46" t="n">
        <v>0.170609</v>
      </c>
      <c r="E513" s="46" t="n">
        <v>0.147631</v>
      </c>
      <c r="F513" s="46" t="n">
        <v>0.37399</v>
      </c>
      <c r="G513" s="47" t="n">
        <f aca="false">A513*Scorecard!$C$12+B513*Scorecard!$C$13+C513*Scorecard!$C$14+D513*Scorecard!$C$15+E513*Scorecard!$C$16+F513*Scorecard!$C$17</f>
        <v>3.1828975797466</v>
      </c>
      <c r="H513" s="47" t="n">
        <f aca="false">A513*Scorecard!$D$12+B513*Scorecard!$D$13+C513*Scorecard!$D$14+D513*Scorecard!$D$15+E513*Scorecard!$D$16+F513*Scorecard!$D$17</f>
        <v>2.67051080061562</v>
      </c>
      <c r="I513" s="47" t="n">
        <f aca="false">A513*Scorecard!$E$12+B513*Scorecard!$E$13+C513*Scorecard!$E$14+D513*Scorecard!$E$15+E513*Scorecard!$E$16+F513*Scorecard!$E$17</f>
        <v>4.01504505626367</v>
      </c>
      <c r="J513" s="0" t="str">
        <f aca="false">IF(AND(G513&gt;=H513,G513&gt;=I513),"Distribution",IF(I513&gt;=H513,"Prof. services","Manufacturing"))</f>
        <v>Prof. services</v>
      </c>
      <c r="L513" s="46" t="n">
        <v>0.140346</v>
      </c>
      <c r="M513" s="46" t="n">
        <v>0.252634</v>
      </c>
      <c r="N513" s="46" t="n">
        <v>0.0741</v>
      </c>
      <c r="O513" s="46" t="n">
        <v>0.155536</v>
      </c>
      <c r="P513" s="46" t="n">
        <v>0.209624</v>
      </c>
      <c r="Q513" s="46" t="n">
        <v>0.167761</v>
      </c>
      <c r="R513" s="47" t="n">
        <f aca="false">L513*Scorecard!$C$12+M513*Scorecard!$C$13+N513*Scorecard!$C$14+O513*Scorecard!$C$15+P513*Scorecard!$C$16+Q513*Scorecard!$C$17</f>
        <v>3.82002719853004</v>
      </c>
      <c r="S513" s="47" t="n">
        <f aca="false">L513*Scorecard!$D$12+M513*Scorecard!$D$13+N513*Scorecard!$D$14+O513*Scorecard!$D$15+P513*Scorecard!$D$16+Q513*Scorecard!$D$17</f>
        <v>2.71179232293593</v>
      </c>
      <c r="T513" s="47" t="n">
        <f aca="false">L513*Scorecard!$E$12+M513*Scorecard!$E$13+N513*Scorecard!$E$14+O513*Scorecard!$E$15+P513*Scorecard!$E$16+Q513*Scorecard!$E$17</f>
        <v>3.50064503713124</v>
      </c>
      <c r="U513" s="0" t="str">
        <f aca="false">IF(AND(R513&gt;=S513,R513&gt;=T513),"Distribution",IF(T513&gt;=S513,"Prof. services","Manufacturing"))</f>
        <v>Distribution</v>
      </c>
    </row>
    <row r="514" customFormat="false" ht="15" hidden="false" customHeight="false" outlineLevel="0" collapsed="false">
      <c r="A514" s="46" t="n">
        <v>0.029102</v>
      </c>
      <c r="B514" s="46" t="n">
        <v>0.024645</v>
      </c>
      <c r="C514" s="46" t="n">
        <v>0.027022</v>
      </c>
      <c r="D514" s="46" t="n">
        <v>0.074471</v>
      </c>
      <c r="E514" s="46" t="n">
        <v>0.309616</v>
      </c>
      <c r="F514" s="46" t="n">
        <v>0.535145</v>
      </c>
      <c r="G514" s="47" t="n">
        <f aca="false">A514*Scorecard!$C$12+B514*Scorecard!$C$13+C514*Scorecard!$C$14+D514*Scorecard!$C$15+E514*Scorecard!$C$16+F514*Scorecard!$C$17</f>
        <v>2.97644598497728</v>
      </c>
      <c r="H514" s="47" t="n">
        <f aca="false">A514*Scorecard!$D$12+B514*Scorecard!$D$13+C514*Scorecard!$D$14+D514*Scorecard!$D$15+E514*Scorecard!$D$16+F514*Scorecard!$D$17</f>
        <v>2.36893263393164</v>
      </c>
      <c r="I514" s="47" t="n">
        <f aca="false">A514*Scorecard!$E$12+B514*Scorecard!$E$13+C514*Scorecard!$E$14+D514*Scorecard!$E$15+E514*Scorecard!$E$16+F514*Scorecard!$E$17</f>
        <v>3.77367143328891</v>
      </c>
      <c r="J514" s="0" t="str">
        <f aca="false">IF(AND(G514&gt;=H514,G514&gt;=I514),"Distribution",IF(I514&gt;=H514,"Prof. services","Manufacturing"))</f>
        <v>Prof. services</v>
      </c>
      <c r="L514" s="46" t="n">
        <v>0.07869</v>
      </c>
      <c r="M514" s="46" t="n">
        <v>0.207829</v>
      </c>
      <c r="N514" s="46" t="n">
        <v>0.178625</v>
      </c>
      <c r="O514" s="46" t="n">
        <v>0.142206</v>
      </c>
      <c r="P514" s="46" t="n">
        <v>0.320902</v>
      </c>
      <c r="Q514" s="46" t="n">
        <v>0.071748</v>
      </c>
      <c r="R514" s="47" t="n">
        <f aca="false">L514*Scorecard!$C$12+M514*Scorecard!$C$13+N514*Scorecard!$C$14+O514*Scorecard!$C$15+P514*Scorecard!$C$16+Q514*Scorecard!$C$17</f>
        <v>4.06489587780435</v>
      </c>
      <c r="S514" s="47" t="n">
        <f aca="false">L514*Scorecard!$D$12+M514*Scorecard!$D$13+N514*Scorecard!$D$14+O514*Scorecard!$D$15+P514*Scorecard!$D$16+Q514*Scorecard!$D$17</f>
        <v>2.9039957148065</v>
      </c>
      <c r="T514" s="47" t="n">
        <f aca="false">L514*Scorecard!$E$12+M514*Scorecard!$E$13+N514*Scorecard!$E$14+O514*Scorecard!$E$15+P514*Scorecard!$E$16+Q514*Scorecard!$E$17</f>
        <v>3.3918883137624</v>
      </c>
      <c r="U514" s="0" t="str">
        <f aca="false">IF(AND(R514&gt;=S514,R514&gt;=T514),"Distribution",IF(T514&gt;=S514,"Prof. services","Manufacturing"))</f>
        <v>Distribution</v>
      </c>
    </row>
    <row r="515" customFormat="false" ht="15" hidden="false" customHeight="false" outlineLevel="0" collapsed="false">
      <c r="A515" s="46" t="n">
        <v>0.0947</v>
      </c>
      <c r="B515" s="46" t="n">
        <v>0.174664</v>
      </c>
      <c r="C515" s="46" t="n">
        <v>0.435861</v>
      </c>
      <c r="D515" s="46" t="n">
        <v>0.003313</v>
      </c>
      <c r="E515" s="46" t="n">
        <v>0.251956</v>
      </c>
      <c r="F515" s="46" t="n">
        <v>0.039505</v>
      </c>
      <c r="G515" s="47" t="n">
        <f aca="false">A515*Scorecard!$C$12+B515*Scorecard!$C$13+C515*Scorecard!$C$14+D515*Scorecard!$C$15+E515*Scorecard!$C$16+F515*Scorecard!$C$17</f>
        <v>3.92850164948624</v>
      </c>
      <c r="H515" s="47" t="n">
        <f aca="false">A515*Scorecard!$D$12+B515*Scorecard!$D$13+C515*Scorecard!$D$14+D515*Scorecard!$D$15+E515*Scorecard!$D$16+F515*Scorecard!$D$17</f>
        <v>2.82894308022537</v>
      </c>
      <c r="I515" s="47" t="n">
        <f aca="false">A515*Scorecard!$E$12+B515*Scorecard!$E$13+C515*Scorecard!$E$14+D515*Scorecard!$E$15+E515*Scorecard!$E$16+F515*Scorecard!$E$17</f>
        <v>3.80332890874834</v>
      </c>
      <c r="J515" s="0" t="str">
        <f aca="false">IF(AND(G515&gt;=H515,G515&gt;=I515),"Distribution",IF(I515&gt;=H515,"Prof. services","Manufacturing"))</f>
        <v>Distribution</v>
      </c>
      <c r="L515" s="46" t="n">
        <v>0.271214</v>
      </c>
      <c r="M515" s="46" t="n">
        <v>0.210863</v>
      </c>
      <c r="N515" s="46" t="n">
        <v>0.158568</v>
      </c>
      <c r="O515" s="46" t="n">
        <v>0.106437</v>
      </c>
      <c r="P515" s="46" t="n">
        <v>0.164199</v>
      </c>
      <c r="Q515" s="46" t="n">
        <v>0.088718</v>
      </c>
      <c r="R515" s="47" t="n">
        <f aca="false">L515*Scorecard!$C$12+M515*Scorecard!$C$13+N515*Scorecard!$C$14+O515*Scorecard!$C$15+P515*Scorecard!$C$16+Q515*Scorecard!$C$17</f>
        <v>3.65167093222555</v>
      </c>
      <c r="S515" s="47" t="n">
        <f aca="false">L515*Scorecard!$D$12+M515*Scorecard!$D$13+N515*Scorecard!$D$14+O515*Scorecard!$D$15+P515*Scorecard!$D$16+Q515*Scorecard!$D$17</f>
        <v>2.90751322065126</v>
      </c>
      <c r="T515" s="47" t="n">
        <f aca="false">L515*Scorecard!$E$12+M515*Scorecard!$E$13+N515*Scorecard!$E$14+O515*Scorecard!$E$15+P515*Scorecard!$E$16+Q515*Scorecard!$E$17</f>
        <v>3.82244738810291</v>
      </c>
      <c r="U515" s="0" t="str">
        <f aca="false">IF(AND(R515&gt;=S515,R515&gt;=T515),"Distribution",IF(T515&gt;=S515,"Prof. services","Manufacturing"))</f>
        <v>Prof. services</v>
      </c>
    </row>
    <row r="516" customFormat="false" ht="15" hidden="false" customHeight="false" outlineLevel="0" collapsed="false">
      <c r="A516" s="46" t="n">
        <v>0.002263</v>
      </c>
      <c r="B516" s="46" t="n">
        <v>0.102272</v>
      </c>
      <c r="C516" s="46" t="n">
        <v>0.58698</v>
      </c>
      <c r="D516" s="46" t="n">
        <v>0.106815</v>
      </c>
      <c r="E516" s="46" t="n">
        <v>0.145576</v>
      </c>
      <c r="F516" s="46" t="n">
        <v>0.056095</v>
      </c>
      <c r="G516" s="47" t="n">
        <f aca="false">A516*Scorecard!$C$12+B516*Scorecard!$C$13+C516*Scorecard!$C$14+D516*Scorecard!$C$15+E516*Scorecard!$C$16+F516*Scorecard!$C$17</f>
        <v>4.09282756772743</v>
      </c>
      <c r="H516" s="47" t="n">
        <f aca="false">A516*Scorecard!$D$12+B516*Scorecard!$D$13+C516*Scorecard!$D$14+D516*Scorecard!$D$15+E516*Scorecard!$D$16+F516*Scorecard!$D$17</f>
        <v>2.9360236215612</v>
      </c>
      <c r="I516" s="47" t="n">
        <f aca="false">A516*Scorecard!$E$12+B516*Scorecard!$E$13+C516*Scorecard!$E$14+D516*Scorecard!$E$15+E516*Scorecard!$E$16+F516*Scorecard!$E$17</f>
        <v>4.20037718152934</v>
      </c>
      <c r="J516" s="0" t="str">
        <f aca="false">IF(AND(G516&gt;=H516,G516&gt;=I516),"Distribution",IF(I516&gt;=H516,"Prof. services","Manufacturing"))</f>
        <v>Prof. services</v>
      </c>
      <c r="L516" s="46" t="n">
        <v>0.116536</v>
      </c>
      <c r="M516" s="46" t="n">
        <v>0.168117</v>
      </c>
      <c r="N516" s="46" t="n">
        <v>0.287428</v>
      </c>
      <c r="O516" s="46" t="n">
        <v>0.097634</v>
      </c>
      <c r="P516" s="46" t="n">
        <v>0.2888</v>
      </c>
      <c r="Q516" s="46" t="n">
        <v>0.041485</v>
      </c>
      <c r="R516" s="47" t="n">
        <f aca="false">L516*Scorecard!$C$12+M516*Scorecard!$C$13+N516*Scorecard!$C$14+O516*Scorecard!$C$15+P516*Scorecard!$C$16+Q516*Scorecard!$C$17</f>
        <v>3.97301453808372</v>
      </c>
      <c r="S516" s="47" t="n">
        <f aca="false">L516*Scorecard!$D$12+M516*Scorecard!$D$13+N516*Scorecard!$D$14+O516*Scorecard!$D$15+P516*Scorecard!$D$16+Q516*Scorecard!$D$17</f>
        <v>2.97169809664598</v>
      </c>
      <c r="T516" s="47" t="n">
        <f aca="false">L516*Scorecard!$E$12+M516*Scorecard!$E$13+N516*Scorecard!$E$14+O516*Scorecard!$E$15+P516*Scorecard!$E$16+Q516*Scorecard!$E$17</f>
        <v>3.64407775711911</v>
      </c>
      <c r="U516" s="0" t="str">
        <f aca="false">IF(AND(R516&gt;=S516,R516&gt;=T516),"Distribution",IF(T516&gt;=S516,"Prof. services","Manufacturing"))</f>
        <v>Distribution</v>
      </c>
    </row>
    <row r="517" customFormat="false" ht="15" hidden="false" customHeight="false" outlineLevel="0" collapsed="false">
      <c r="A517" s="46" t="n">
        <v>0.000803</v>
      </c>
      <c r="B517" s="46" t="n">
        <v>0.520688</v>
      </c>
      <c r="C517" s="46" t="n">
        <v>0.186906</v>
      </c>
      <c r="D517" s="46" t="n">
        <v>0.015095</v>
      </c>
      <c r="E517" s="46" t="n">
        <v>0.217153</v>
      </c>
      <c r="F517" s="46" t="n">
        <v>0.059355</v>
      </c>
      <c r="G517" s="47" t="n">
        <f aca="false">A517*Scorecard!$C$12+B517*Scorecard!$C$13+C517*Scorecard!$C$14+D517*Scorecard!$C$15+E517*Scorecard!$C$16+F517*Scorecard!$C$17</f>
        <v>4.41562758854844</v>
      </c>
      <c r="H517" s="47" t="n">
        <f aca="false">A517*Scorecard!$D$12+B517*Scorecard!$D$13+C517*Scorecard!$D$14+D517*Scorecard!$D$15+E517*Scorecard!$D$16+F517*Scorecard!$D$17</f>
        <v>2.21980311637864</v>
      </c>
      <c r="I517" s="47" t="n">
        <f aca="false">A517*Scorecard!$E$12+B517*Scorecard!$E$13+C517*Scorecard!$E$14+D517*Scorecard!$E$15+E517*Scorecard!$E$16+F517*Scorecard!$E$17</f>
        <v>2.88134615328429</v>
      </c>
      <c r="J517" s="0" t="str">
        <f aca="false">IF(AND(G517&gt;=H517,G517&gt;=I517),"Distribution",IF(I517&gt;=H517,"Prof. services","Manufacturing"))</f>
        <v>Distribution</v>
      </c>
      <c r="L517" s="46" t="n">
        <v>0.184317</v>
      </c>
      <c r="M517" s="46" t="n">
        <v>0.266967</v>
      </c>
      <c r="N517" s="46" t="n">
        <v>0.131042</v>
      </c>
      <c r="O517" s="46" t="n">
        <v>0.075979</v>
      </c>
      <c r="P517" s="46" t="n">
        <v>0.187033</v>
      </c>
      <c r="Q517" s="46" t="n">
        <v>0.154663</v>
      </c>
      <c r="R517" s="47" t="n">
        <f aca="false">L517*Scorecard!$C$12+M517*Scorecard!$C$13+N517*Scorecard!$C$14+O517*Scorecard!$C$15+P517*Scorecard!$C$16+Q517*Scorecard!$C$17</f>
        <v>3.70185077146098</v>
      </c>
      <c r="S517" s="47" t="n">
        <f aca="false">L517*Scorecard!$D$12+M517*Scorecard!$D$13+N517*Scorecard!$D$14+O517*Scorecard!$D$15+P517*Scorecard!$D$16+Q517*Scorecard!$D$17</f>
        <v>2.63934167108549</v>
      </c>
      <c r="T517" s="47" t="n">
        <f aca="false">L517*Scorecard!$E$12+M517*Scorecard!$E$13+N517*Scorecard!$E$14+O517*Scorecard!$E$15+P517*Scorecard!$E$16+Q517*Scorecard!$E$17</f>
        <v>3.5927217879982</v>
      </c>
      <c r="U517" s="0" t="str">
        <f aca="false">IF(AND(R517&gt;=S517,R517&gt;=T517),"Distribution",IF(T517&gt;=S517,"Prof. services","Manufacturing"))</f>
        <v>Distribution</v>
      </c>
    </row>
    <row r="518" customFormat="false" ht="15" hidden="false" customHeight="false" outlineLevel="0" collapsed="false">
      <c r="A518" s="46" t="n">
        <v>0.008637</v>
      </c>
      <c r="B518" s="46" t="n">
        <v>0.069982</v>
      </c>
      <c r="C518" s="46" t="n">
        <v>0.265284</v>
      </c>
      <c r="D518" s="46" t="n">
        <v>0.313506</v>
      </c>
      <c r="E518" s="46" t="n">
        <v>0.186012</v>
      </c>
      <c r="F518" s="46" t="n">
        <v>0.156579</v>
      </c>
      <c r="G518" s="47" t="n">
        <f aca="false">A518*Scorecard!$C$12+B518*Scorecard!$C$13+C518*Scorecard!$C$14+D518*Scorecard!$C$15+E518*Scorecard!$C$16+F518*Scorecard!$C$17</f>
        <v>4.05478327682801</v>
      </c>
      <c r="H518" s="47" t="n">
        <f aca="false">A518*Scorecard!$D$12+B518*Scorecard!$D$13+C518*Scorecard!$D$14+D518*Scorecard!$D$15+E518*Scorecard!$D$16+F518*Scorecard!$D$17</f>
        <v>3.09072499580841</v>
      </c>
      <c r="I518" s="47" t="n">
        <f aca="false">A518*Scorecard!$E$12+B518*Scorecard!$E$13+C518*Scorecard!$E$14+D518*Scorecard!$E$15+E518*Scorecard!$E$16+F518*Scorecard!$E$17</f>
        <v>3.96238268266793</v>
      </c>
      <c r="J518" s="0" t="str">
        <f aca="false">IF(AND(G518&gt;=H518,G518&gt;=I518),"Distribution",IF(I518&gt;=H518,"Prof. services","Manufacturing"))</f>
        <v>Distribution</v>
      </c>
      <c r="L518" s="46" t="n">
        <v>0.217477</v>
      </c>
      <c r="M518" s="46" t="n">
        <v>0.19791</v>
      </c>
      <c r="N518" s="46" t="n">
        <v>0.117185</v>
      </c>
      <c r="O518" s="46" t="n">
        <v>0.179239</v>
      </c>
      <c r="P518" s="46" t="n">
        <v>0.061976</v>
      </c>
      <c r="Q518" s="46" t="n">
        <v>0.226213</v>
      </c>
      <c r="R518" s="47" t="n">
        <f aca="false">L518*Scorecard!$C$12+M518*Scorecard!$C$13+N518*Scorecard!$C$14+O518*Scorecard!$C$15+P518*Scorecard!$C$16+Q518*Scorecard!$C$17</f>
        <v>3.53326129856724</v>
      </c>
      <c r="S518" s="47" t="n">
        <f aca="false">L518*Scorecard!$D$12+M518*Scorecard!$D$13+N518*Scorecard!$D$14+O518*Scorecard!$D$15+P518*Scorecard!$D$16+Q518*Scorecard!$D$17</f>
        <v>2.73542453480722</v>
      </c>
      <c r="T518" s="47" t="n">
        <f aca="false">L518*Scorecard!$E$12+M518*Scorecard!$E$13+N518*Scorecard!$E$14+O518*Scorecard!$E$15+P518*Scorecard!$E$16+Q518*Scorecard!$E$17</f>
        <v>4.00269259498906</v>
      </c>
      <c r="U518" s="0" t="str">
        <f aca="false">IF(AND(R518&gt;=S518,R518&gt;=T518),"Distribution",IF(T518&gt;=S518,"Prof. services","Manufacturing"))</f>
        <v>Prof. services</v>
      </c>
    </row>
    <row r="519" customFormat="false" ht="15" hidden="false" customHeight="false" outlineLevel="0" collapsed="false">
      <c r="A519" s="46" t="n">
        <v>0.043042</v>
      </c>
      <c r="B519" s="46" t="n">
        <v>0.026466</v>
      </c>
      <c r="C519" s="46" t="n">
        <v>0.280579</v>
      </c>
      <c r="D519" s="46" t="n">
        <v>0.07588</v>
      </c>
      <c r="E519" s="46" t="n">
        <v>0.439791</v>
      </c>
      <c r="F519" s="46" t="n">
        <v>0.134242</v>
      </c>
      <c r="G519" s="47" t="n">
        <f aca="false">A519*Scorecard!$C$12+B519*Scorecard!$C$13+C519*Scorecard!$C$14+D519*Scorecard!$C$15+E519*Scorecard!$C$16+F519*Scorecard!$C$17</f>
        <v>3.75638578617937</v>
      </c>
      <c r="H519" s="47" t="n">
        <f aca="false">A519*Scorecard!$D$12+B519*Scorecard!$D$13+C519*Scorecard!$D$14+D519*Scorecard!$D$15+E519*Scorecard!$D$16+F519*Scorecard!$D$17</f>
        <v>3.02178164622537</v>
      </c>
      <c r="I519" s="47" t="n">
        <f aca="false">A519*Scorecard!$E$12+B519*Scorecard!$E$13+C519*Scorecard!$E$14+D519*Scorecard!$E$15+E519*Scorecard!$E$16+F519*Scorecard!$E$17</f>
        <v>3.62057038639776</v>
      </c>
      <c r="J519" s="0" t="str">
        <f aca="false">IF(AND(G519&gt;=H519,G519&gt;=I519),"Distribution",IF(I519&gt;=H519,"Prof. services","Manufacturing"))</f>
        <v>Distribution</v>
      </c>
      <c r="L519" s="46" t="n">
        <v>0.223689</v>
      </c>
      <c r="M519" s="46" t="n">
        <v>0.158109</v>
      </c>
      <c r="N519" s="46" t="n">
        <v>0.182438</v>
      </c>
      <c r="O519" s="46" t="n">
        <v>0.187336</v>
      </c>
      <c r="P519" s="46" t="n">
        <v>0.138513</v>
      </c>
      <c r="Q519" s="46" t="n">
        <v>0.109914</v>
      </c>
      <c r="R519" s="47" t="n">
        <f aca="false">L519*Scorecard!$C$12+M519*Scorecard!$C$13+N519*Scorecard!$C$14+O519*Scorecard!$C$15+P519*Scorecard!$C$16+Q519*Scorecard!$C$17</f>
        <v>3.7229696099781</v>
      </c>
      <c r="S519" s="47" t="n">
        <f aca="false">L519*Scorecard!$D$12+M519*Scorecard!$D$13+N519*Scorecard!$D$14+O519*Scorecard!$D$15+P519*Scorecard!$D$16+Q519*Scorecard!$D$17</f>
        <v>3.00860050027995</v>
      </c>
      <c r="T519" s="47" t="n">
        <f aca="false">L519*Scorecard!$E$12+M519*Scorecard!$E$13+N519*Scorecard!$E$14+O519*Scorecard!$E$15+P519*Scorecard!$E$16+Q519*Scorecard!$E$17</f>
        <v>3.9644214886906</v>
      </c>
      <c r="U519" s="0" t="str">
        <f aca="false">IF(AND(R519&gt;=S519,R519&gt;=T519),"Distribution",IF(T519&gt;=S519,"Prof. services","Manufacturing"))</f>
        <v>Prof. services</v>
      </c>
    </row>
    <row r="520" customFormat="false" ht="15" hidden="false" customHeight="false" outlineLevel="0" collapsed="false">
      <c r="A520" s="46" t="n">
        <v>0.380356</v>
      </c>
      <c r="B520" s="46" t="n">
        <v>0.310405</v>
      </c>
      <c r="C520" s="46" t="n">
        <v>0.193908</v>
      </c>
      <c r="D520" s="46" t="n">
        <v>0.003445</v>
      </c>
      <c r="E520" s="46" t="n">
        <v>0.042414</v>
      </c>
      <c r="F520" s="46" t="n">
        <v>0.069472</v>
      </c>
      <c r="G520" s="47" t="n">
        <f aca="false">A520*Scorecard!$C$12+B520*Scorecard!$C$13+C520*Scorecard!$C$14+D520*Scorecard!$C$15+E520*Scorecard!$C$16+F520*Scorecard!$C$17</f>
        <v>3.49025977575487</v>
      </c>
      <c r="H520" s="47" t="n">
        <f aca="false">A520*Scorecard!$D$12+B520*Scorecard!$D$13+C520*Scorecard!$D$14+D520*Scorecard!$D$15+E520*Scorecard!$D$16+F520*Scorecard!$D$17</f>
        <v>2.69924334390432</v>
      </c>
      <c r="I520" s="47" t="n">
        <f aca="false">A520*Scorecard!$E$12+B520*Scorecard!$E$13+C520*Scorecard!$E$14+D520*Scorecard!$E$15+E520*Scorecard!$E$16+F520*Scorecard!$E$17</f>
        <v>3.9566836098762</v>
      </c>
      <c r="J520" s="0" t="str">
        <f aca="false">IF(AND(G520&gt;=H520,G520&gt;=I520),"Distribution",IF(I520&gt;=H520,"Prof. services","Manufacturing"))</f>
        <v>Prof. services</v>
      </c>
      <c r="L520" s="46" t="n">
        <v>0.154134</v>
      </c>
      <c r="M520" s="46" t="n">
        <v>0.37942</v>
      </c>
      <c r="N520" s="46" t="n">
        <v>0.191128</v>
      </c>
      <c r="O520" s="46" t="n">
        <v>0.054051</v>
      </c>
      <c r="P520" s="46" t="n">
        <v>0.149964</v>
      </c>
      <c r="Q520" s="46" t="n">
        <v>0.071303</v>
      </c>
      <c r="R520" s="47" t="n">
        <f aca="false">L520*Scorecard!$C$12+M520*Scorecard!$C$13+N520*Scorecard!$C$14+O520*Scorecard!$C$15+P520*Scorecard!$C$16+Q520*Scorecard!$C$17</f>
        <v>4.0134216018998</v>
      </c>
      <c r="S520" s="47" t="n">
        <f aca="false">L520*Scorecard!$D$12+M520*Scorecard!$D$13+N520*Scorecard!$D$14+O520*Scorecard!$D$15+P520*Scorecard!$D$16+Q520*Scorecard!$D$17</f>
        <v>2.53790805141051</v>
      </c>
      <c r="T520" s="47" t="n">
        <f aca="false">L520*Scorecard!$E$12+M520*Scorecard!$E$13+N520*Scorecard!$E$14+O520*Scorecard!$E$15+P520*Scorecard!$E$16+Q520*Scorecard!$E$17</f>
        <v>3.42820839948838</v>
      </c>
      <c r="U520" s="0" t="str">
        <f aca="false">IF(AND(R520&gt;=S520,R520&gt;=T520),"Distribution",IF(T520&gt;=S520,"Prof. services","Manufacturing"))</f>
        <v>Distribution</v>
      </c>
    </row>
    <row r="521" customFormat="false" ht="15" hidden="false" customHeight="false" outlineLevel="0" collapsed="false">
      <c r="A521" s="46" t="n">
        <v>0.021484</v>
      </c>
      <c r="B521" s="46" t="n">
        <v>0.040571</v>
      </c>
      <c r="C521" s="46" t="n">
        <v>0.241345</v>
      </c>
      <c r="D521" s="46" t="n">
        <v>0.269558</v>
      </c>
      <c r="E521" s="46" t="n">
        <v>0.366517</v>
      </c>
      <c r="F521" s="46" t="n">
        <v>0.060525</v>
      </c>
      <c r="G521" s="47" t="n">
        <f aca="false">A521*Scorecard!$C$12+B521*Scorecard!$C$13+C521*Scorecard!$C$14+D521*Scorecard!$C$15+E521*Scorecard!$C$16+F521*Scorecard!$C$17</f>
        <v>4.15040749361734</v>
      </c>
      <c r="H521" s="47" t="n">
        <f aca="false">A521*Scorecard!$D$12+B521*Scorecard!$D$13+C521*Scorecard!$D$14+D521*Scorecard!$D$15+E521*Scorecard!$D$16+F521*Scorecard!$D$17</f>
        <v>3.2967303582272</v>
      </c>
      <c r="I521" s="47" t="n">
        <f aca="false">A521*Scorecard!$E$12+B521*Scorecard!$E$13+C521*Scorecard!$E$14+D521*Scorecard!$E$15+E521*Scorecard!$E$16+F521*Scorecard!$E$17</f>
        <v>3.65037260358785</v>
      </c>
      <c r="J521" s="0" t="str">
        <f aca="false">IF(AND(G521&gt;=H521,G521&gt;=I521),"Distribution",IF(I521&gt;=H521,"Prof. services","Manufacturing"))</f>
        <v>Distribution</v>
      </c>
      <c r="L521" s="46" t="n">
        <v>0.260995</v>
      </c>
      <c r="M521" s="46" t="n">
        <v>0.116334</v>
      </c>
      <c r="N521" s="46" t="n">
        <v>0.142552</v>
      </c>
      <c r="O521" s="46" t="n">
        <v>0.139364</v>
      </c>
      <c r="P521" s="46" t="n">
        <v>0.167081</v>
      </c>
      <c r="Q521" s="46" t="n">
        <v>0.173675</v>
      </c>
      <c r="R521" s="47" t="n">
        <f aca="false">L521*Scorecard!$C$12+M521*Scorecard!$C$13+N521*Scorecard!$C$14+O521*Scorecard!$C$15+P521*Scorecard!$C$16+Q521*Scorecard!$C$17</f>
        <v>3.4385572779584</v>
      </c>
      <c r="S521" s="47" t="n">
        <f aca="false">L521*Scorecard!$D$12+M521*Scorecard!$D$13+N521*Scorecard!$D$14+O521*Scorecard!$D$15+P521*Scorecard!$D$16+Q521*Scorecard!$D$17</f>
        <v>2.95430010608352</v>
      </c>
      <c r="T521" s="47" t="n">
        <f aca="false">L521*Scorecard!$E$12+M521*Scorecard!$E$13+N521*Scorecard!$E$14+O521*Scorecard!$E$15+P521*Scorecard!$E$16+Q521*Scorecard!$E$17</f>
        <v>4.01659662760385</v>
      </c>
      <c r="U521" s="0" t="str">
        <f aca="false">IF(AND(R521&gt;=S521,R521&gt;=T521),"Distribution",IF(T521&gt;=S521,"Prof. services","Manufacturing"))</f>
        <v>Prof. services</v>
      </c>
    </row>
    <row r="522" customFormat="false" ht="15" hidden="false" customHeight="false" outlineLevel="0" collapsed="false">
      <c r="A522" s="46" t="n">
        <v>0.46011</v>
      </c>
      <c r="B522" s="46" t="n">
        <v>0.06807</v>
      </c>
      <c r="C522" s="46" t="n">
        <v>0.006086</v>
      </c>
      <c r="D522" s="46" t="n">
        <v>0.14488</v>
      </c>
      <c r="E522" s="46" t="n">
        <v>0.058902</v>
      </c>
      <c r="F522" s="46" t="n">
        <v>0.261952</v>
      </c>
      <c r="G522" s="47" t="n">
        <f aca="false">A522*Scorecard!$C$12+B522*Scorecard!$C$13+C522*Scorecard!$C$14+D522*Scorecard!$C$15+E522*Scorecard!$C$16+F522*Scorecard!$C$17</f>
        <v>2.86084143838555</v>
      </c>
      <c r="H522" s="47" t="n">
        <f aca="false">A522*Scorecard!$D$12+B522*Scorecard!$D$13+C522*Scorecard!$D$14+D522*Scorecard!$D$15+E522*Scorecard!$D$16+F522*Scorecard!$D$17</f>
        <v>2.99617707435636</v>
      </c>
      <c r="I522" s="47" t="n">
        <f aca="false">A522*Scorecard!$E$12+B522*Scorecard!$E$13+C522*Scorecard!$E$14+D522*Scorecard!$E$15+E522*Scorecard!$E$16+F522*Scorecard!$E$17</f>
        <v>4.39510705007573</v>
      </c>
      <c r="J522" s="0" t="str">
        <f aca="false">IF(AND(G522&gt;=H522,G522&gt;=I522),"Distribution",IF(I522&gt;=H522,"Prof. services","Manufacturing"))</f>
        <v>Prof. services</v>
      </c>
      <c r="L522" s="46" t="n">
        <v>0.129054</v>
      </c>
      <c r="M522" s="46" t="n">
        <v>0.305104</v>
      </c>
      <c r="N522" s="46" t="n">
        <v>0.275266</v>
      </c>
      <c r="O522" s="46" t="n">
        <v>0.093227</v>
      </c>
      <c r="P522" s="46" t="n">
        <v>0.087687</v>
      </c>
      <c r="Q522" s="46" t="n">
        <v>0.109662</v>
      </c>
      <c r="R522" s="47" t="n">
        <f aca="false">L522*Scorecard!$C$12+M522*Scorecard!$C$13+N522*Scorecard!$C$14+O522*Scorecard!$C$15+P522*Scorecard!$C$16+Q522*Scorecard!$C$17</f>
        <v>3.94670795956491</v>
      </c>
      <c r="S522" s="47" t="n">
        <f aca="false">L522*Scorecard!$D$12+M522*Scorecard!$D$13+N522*Scorecard!$D$14+O522*Scorecard!$D$15+P522*Scorecard!$D$16+Q522*Scorecard!$D$17</f>
        <v>2.59994419686949</v>
      </c>
      <c r="T522" s="47" t="n">
        <f aca="false">L522*Scorecard!$E$12+M522*Scorecard!$E$13+N522*Scorecard!$E$14+O522*Scorecard!$E$15+P522*Scorecard!$E$16+Q522*Scorecard!$E$17</f>
        <v>3.75605624639008</v>
      </c>
      <c r="U522" s="0" t="str">
        <f aca="false">IF(AND(R522&gt;=S522,R522&gt;=T522),"Distribution",IF(T522&gt;=S522,"Prof. services","Manufacturing"))</f>
        <v>Distribution</v>
      </c>
    </row>
    <row r="523" customFormat="false" ht="15" hidden="false" customHeight="false" outlineLevel="0" collapsed="false">
      <c r="A523" s="46" t="n">
        <v>0.299915</v>
      </c>
      <c r="B523" s="46" t="n">
        <v>0.067621</v>
      </c>
      <c r="C523" s="46" t="n">
        <v>0.292508</v>
      </c>
      <c r="D523" s="46" t="n">
        <v>0.054908</v>
      </c>
      <c r="E523" s="46" t="n">
        <v>0.003152</v>
      </c>
      <c r="F523" s="46" t="n">
        <v>0.281896</v>
      </c>
      <c r="G523" s="47" t="n">
        <f aca="false">A523*Scorecard!$C$12+B523*Scorecard!$C$13+C523*Scorecard!$C$14+D523*Scorecard!$C$15+E523*Scorecard!$C$16+F523*Scorecard!$C$17</f>
        <v>3.01888572292148</v>
      </c>
      <c r="H523" s="47" t="n">
        <f aca="false">A523*Scorecard!$D$12+B523*Scorecard!$D$13+C523*Scorecard!$D$14+D523*Scorecard!$D$15+E523*Scorecard!$D$16+F523*Scorecard!$D$17</f>
        <v>2.73837974248268</v>
      </c>
      <c r="I523" s="47" t="n">
        <f aca="false">A523*Scorecard!$E$12+B523*Scorecard!$E$13+C523*Scorecard!$E$14+D523*Scorecard!$E$15+E523*Scorecard!$E$16+F523*Scorecard!$E$17</f>
        <v>4.61029952762755</v>
      </c>
      <c r="J523" s="0" t="str">
        <f aca="false">IF(AND(G523&gt;=H523,G523&gt;=I523),"Distribution",IF(I523&gt;=H523,"Prof. services","Manufacturing"))</f>
        <v>Prof. services</v>
      </c>
      <c r="L523" s="46" t="n">
        <v>0.195157</v>
      </c>
      <c r="M523" s="46" t="n">
        <v>0.232084</v>
      </c>
      <c r="N523" s="46" t="n">
        <v>0.171409</v>
      </c>
      <c r="O523" s="46" t="n">
        <v>0.14967</v>
      </c>
      <c r="P523" s="46" t="n">
        <v>0.136243</v>
      </c>
      <c r="Q523" s="46" t="n">
        <v>0.115436</v>
      </c>
      <c r="R523" s="47" t="n">
        <f aca="false">L523*Scorecard!$C$12+M523*Scorecard!$C$13+N523*Scorecard!$C$14+O523*Scorecard!$C$15+P523*Scorecard!$C$16+Q523*Scorecard!$C$17</f>
        <v>3.79959261687207</v>
      </c>
      <c r="S523" s="47" t="n">
        <f aca="false">L523*Scorecard!$D$12+M523*Scorecard!$D$13+N523*Scorecard!$D$14+O523*Scorecard!$D$15+P523*Scorecard!$D$16+Q523*Scorecard!$D$17</f>
        <v>2.8260737119804</v>
      </c>
      <c r="T523" s="47" t="n">
        <f aca="false">L523*Scorecard!$E$12+M523*Scorecard!$E$13+N523*Scorecard!$E$14+O523*Scorecard!$E$15+P523*Scorecard!$E$16+Q523*Scorecard!$E$17</f>
        <v>3.78647685695894</v>
      </c>
      <c r="U523" s="0" t="str">
        <f aca="false">IF(AND(R523&gt;=S523,R523&gt;=T523),"Distribution",IF(T523&gt;=S523,"Prof. services","Manufacturing"))</f>
        <v>Distribution</v>
      </c>
    </row>
    <row r="524" customFormat="false" ht="15" hidden="false" customHeight="false" outlineLevel="0" collapsed="false">
      <c r="A524" s="46" t="n">
        <v>0.138167</v>
      </c>
      <c r="B524" s="46" t="n">
        <v>0.419696</v>
      </c>
      <c r="C524" s="46" t="n">
        <v>0.050973</v>
      </c>
      <c r="D524" s="46" t="n">
        <v>0.171319</v>
      </c>
      <c r="E524" s="46" t="n">
        <v>0.018022</v>
      </c>
      <c r="F524" s="46" t="n">
        <v>0.201824</v>
      </c>
      <c r="G524" s="47" t="n">
        <f aca="false">A524*Scorecard!$C$12+B524*Scorecard!$C$13+C524*Scorecard!$C$14+D524*Scorecard!$C$15+E524*Scorecard!$C$16+F524*Scorecard!$C$17</f>
        <v>3.9386684296047</v>
      </c>
      <c r="H524" s="47" t="n">
        <f aca="false">A524*Scorecard!$D$12+B524*Scorecard!$D$13+C524*Scorecard!$D$14+D524*Scorecard!$D$15+E524*Scorecard!$D$16+F524*Scorecard!$D$17</f>
        <v>2.36290180716152</v>
      </c>
      <c r="I524" s="47" t="n">
        <f aca="false">A524*Scorecard!$E$12+B524*Scorecard!$E$13+C524*Scorecard!$E$14+D524*Scorecard!$E$15+E524*Scorecard!$E$16+F524*Scorecard!$E$17</f>
        <v>3.50095795056995</v>
      </c>
      <c r="J524" s="0" t="str">
        <f aca="false">IF(AND(G524&gt;=H524,G524&gt;=I524),"Distribution",IF(I524&gt;=H524,"Prof. services","Manufacturing"))</f>
        <v>Distribution</v>
      </c>
      <c r="L524" s="46" t="n">
        <v>0.115936</v>
      </c>
      <c r="M524" s="46" t="n">
        <v>0.181412</v>
      </c>
      <c r="N524" s="46" t="n">
        <v>0.291599</v>
      </c>
      <c r="O524" s="46" t="n">
        <v>0.225542</v>
      </c>
      <c r="P524" s="46" t="n">
        <v>0.14172</v>
      </c>
      <c r="Q524" s="46" t="n">
        <v>0.043791</v>
      </c>
      <c r="R524" s="47" t="n">
        <f aca="false">L524*Scorecard!$C$12+M524*Scorecard!$C$13+N524*Scorecard!$C$14+O524*Scorecard!$C$15+P524*Scorecard!$C$16+Q524*Scorecard!$C$17</f>
        <v>4.1106855466403</v>
      </c>
      <c r="S524" s="47" t="n">
        <f aca="false">L524*Scorecard!$D$12+M524*Scorecard!$D$13+N524*Scorecard!$D$14+O524*Scorecard!$D$15+P524*Scorecard!$D$16+Q524*Scorecard!$D$17</f>
        <v>3.04693184698238</v>
      </c>
      <c r="T524" s="47" t="n">
        <f aca="false">L524*Scorecard!$E$12+M524*Scorecard!$E$13+N524*Scorecard!$E$14+O524*Scorecard!$E$15+P524*Scorecard!$E$16+Q524*Scorecard!$E$17</f>
        <v>3.88999016870263</v>
      </c>
      <c r="U524" s="0" t="str">
        <f aca="false">IF(AND(R524&gt;=S524,R524&gt;=T524),"Distribution",IF(T524&gt;=S524,"Prof. services","Manufacturing"))</f>
        <v>Distribution</v>
      </c>
    </row>
    <row r="525" customFormat="false" ht="15" hidden="false" customHeight="false" outlineLevel="0" collapsed="false">
      <c r="A525" s="46" t="n">
        <v>0.090105</v>
      </c>
      <c r="B525" s="46" t="n">
        <v>0.29535</v>
      </c>
      <c r="C525" s="46" t="n">
        <v>0.168411</v>
      </c>
      <c r="D525" s="46" t="n">
        <v>0.176018</v>
      </c>
      <c r="E525" s="46" t="n">
        <v>0.080254</v>
      </c>
      <c r="F525" s="46" t="n">
        <v>0.189862</v>
      </c>
      <c r="G525" s="47" t="n">
        <f aca="false">A525*Scorecard!$C$12+B525*Scorecard!$C$13+C525*Scorecard!$C$14+D525*Scorecard!$C$15+E525*Scorecard!$C$16+F525*Scorecard!$C$17</f>
        <v>3.92945371501539</v>
      </c>
      <c r="H525" s="47" t="n">
        <f aca="false">A525*Scorecard!$D$12+B525*Scorecard!$D$13+C525*Scorecard!$D$14+D525*Scorecard!$D$15+E525*Scorecard!$D$16+F525*Scorecard!$D$17</f>
        <v>2.56192184948426</v>
      </c>
      <c r="I525" s="47" t="n">
        <f aca="false">A525*Scorecard!$E$12+B525*Scorecard!$E$13+C525*Scorecard!$E$14+D525*Scorecard!$E$15+E525*Scorecard!$E$16+F525*Scorecard!$E$17</f>
        <v>3.69462191275007</v>
      </c>
      <c r="J525" s="0" t="str">
        <f aca="false">IF(AND(G525&gt;=H525,G525&gt;=I525),"Distribution",IF(I525&gt;=H525,"Prof. services","Manufacturing"))</f>
        <v>Distribution</v>
      </c>
      <c r="L525" s="46" t="n">
        <v>0.272285</v>
      </c>
      <c r="M525" s="46" t="n">
        <v>0.156244</v>
      </c>
      <c r="N525" s="46" t="n">
        <v>0.261032</v>
      </c>
      <c r="O525" s="46" t="n">
        <v>0.119762</v>
      </c>
      <c r="P525" s="46" t="n">
        <v>0.023316</v>
      </c>
      <c r="Q525" s="46" t="n">
        <v>0.167361</v>
      </c>
      <c r="R525" s="47" t="n">
        <f aca="false">L525*Scorecard!$C$12+M525*Scorecard!$C$13+N525*Scorecard!$C$14+O525*Scorecard!$C$15+P525*Scorecard!$C$16+Q525*Scorecard!$C$17</f>
        <v>3.45116711695205</v>
      </c>
      <c r="S525" s="47" t="n">
        <f aca="false">L525*Scorecard!$D$12+M525*Scorecard!$D$13+N525*Scorecard!$D$14+O525*Scorecard!$D$15+P525*Scorecard!$D$16+Q525*Scorecard!$D$17</f>
        <v>2.84070696587466</v>
      </c>
      <c r="T525" s="47" t="n">
        <f aca="false">L525*Scorecard!$E$12+M525*Scorecard!$E$13+N525*Scorecard!$E$14+O525*Scorecard!$E$15+P525*Scorecard!$E$16+Q525*Scorecard!$E$17</f>
        <v>4.30474237303621</v>
      </c>
      <c r="U525" s="0" t="str">
        <f aca="false">IF(AND(R525&gt;=S525,R525&gt;=T525),"Distribution",IF(T525&gt;=S525,"Prof. services","Manufacturing"))</f>
        <v>Prof. services</v>
      </c>
    </row>
    <row r="526" customFormat="false" ht="15" hidden="false" customHeight="false" outlineLevel="0" collapsed="false">
      <c r="A526" s="46" t="n">
        <v>0.236029</v>
      </c>
      <c r="B526" s="46" t="n">
        <v>0.128412</v>
      </c>
      <c r="C526" s="46" t="n">
        <v>0.304298</v>
      </c>
      <c r="D526" s="46" t="n">
        <v>0.045348</v>
      </c>
      <c r="E526" s="46" t="n">
        <v>0.119008</v>
      </c>
      <c r="F526" s="46" t="n">
        <v>0.166906</v>
      </c>
      <c r="G526" s="47" t="n">
        <f aca="false">A526*Scorecard!$C$12+B526*Scorecard!$C$13+C526*Scorecard!$C$14+D526*Scorecard!$C$15+E526*Scorecard!$C$16+F526*Scorecard!$C$17</f>
        <v>3.41509643399775</v>
      </c>
      <c r="H526" s="47" t="n">
        <f aca="false">A526*Scorecard!$D$12+B526*Scorecard!$D$13+C526*Scorecard!$D$14+D526*Scorecard!$D$15+E526*Scorecard!$D$16+F526*Scorecard!$D$17</f>
        <v>2.80497210959055</v>
      </c>
      <c r="I526" s="47" t="n">
        <f aca="false">A526*Scorecard!$E$12+B526*Scorecard!$E$13+C526*Scorecard!$E$14+D526*Scorecard!$E$15+E526*Scorecard!$E$16+F526*Scorecard!$E$17</f>
        <v>4.19203145818442</v>
      </c>
      <c r="J526" s="0" t="str">
        <f aca="false">IF(AND(G526&gt;=H526,G526&gt;=I526),"Distribution",IF(I526&gt;=H526,"Prof. services","Manufacturing"))</f>
        <v>Prof. services</v>
      </c>
      <c r="L526" s="46" t="n">
        <v>0.220346</v>
      </c>
      <c r="M526" s="46" t="n">
        <v>0.159942</v>
      </c>
      <c r="N526" s="46" t="n">
        <v>0.070495</v>
      </c>
      <c r="O526" s="46" t="n">
        <v>0.178935</v>
      </c>
      <c r="P526" s="46" t="n">
        <v>0.140813</v>
      </c>
      <c r="Q526" s="46" t="n">
        <v>0.229469</v>
      </c>
      <c r="R526" s="47" t="n">
        <f aca="false">L526*Scorecard!$C$12+M526*Scorecard!$C$13+N526*Scorecard!$C$14+O526*Scorecard!$C$15+P526*Scorecard!$C$16+Q526*Scorecard!$C$17</f>
        <v>3.48331305765252</v>
      </c>
      <c r="S526" s="47" t="n">
        <f aca="false">L526*Scorecard!$D$12+M526*Scorecard!$D$13+N526*Scorecard!$D$14+O526*Scorecard!$D$15+P526*Scorecard!$D$16+Q526*Scorecard!$D$17</f>
        <v>2.8153527712209</v>
      </c>
      <c r="T526" s="47" t="n">
        <f aca="false">L526*Scorecard!$E$12+M526*Scorecard!$E$13+N526*Scorecard!$E$14+O526*Scorecard!$E$15+P526*Scorecard!$E$16+Q526*Scorecard!$E$17</f>
        <v>3.90026701314124</v>
      </c>
      <c r="U526" s="0" t="str">
        <f aca="false">IF(AND(R526&gt;=S526,R526&gt;=T526),"Distribution",IF(T526&gt;=S526,"Prof. services","Manufacturing"))</f>
        <v>Prof. services</v>
      </c>
    </row>
    <row r="527" customFormat="false" ht="15" hidden="false" customHeight="false" outlineLevel="0" collapsed="false">
      <c r="A527" s="46" t="n">
        <v>0.218574</v>
      </c>
      <c r="B527" s="46" t="n">
        <v>0.113774</v>
      </c>
      <c r="C527" s="46" t="n">
        <v>0.051259</v>
      </c>
      <c r="D527" s="46" t="n">
        <v>0.44408</v>
      </c>
      <c r="E527" s="46" t="n">
        <v>0.140007</v>
      </c>
      <c r="F527" s="46" t="n">
        <v>0.032305</v>
      </c>
      <c r="G527" s="47" t="n">
        <f aca="false">A527*Scorecard!$C$12+B527*Scorecard!$C$13+C527*Scorecard!$C$14+D527*Scorecard!$C$15+E527*Scorecard!$C$16+F527*Scorecard!$C$17</f>
        <v>4.09980368292296</v>
      </c>
      <c r="H527" s="47" t="n">
        <f aca="false">A527*Scorecard!$D$12+B527*Scorecard!$D$13+C527*Scorecard!$D$14+D527*Scorecard!$D$15+E527*Scorecard!$D$16+F527*Scorecard!$D$17</f>
        <v>3.48589764287777</v>
      </c>
      <c r="I527" s="47" t="n">
        <f aca="false">A527*Scorecard!$E$12+B527*Scorecard!$E$13+C527*Scorecard!$E$14+D527*Scorecard!$E$15+E527*Scorecard!$E$16+F527*Scorecard!$E$17</f>
        <v>3.91212148569148</v>
      </c>
      <c r="J527" s="0" t="str">
        <f aca="false">IF(AND(G527&gt;=H527,G527&gt;=I527),"Distribution",IF(I527&gt;=H527,"Prof. services","Manufacturing"))</f>
        <v>Distribution</v>
      </c>
      <c r="L527" s="46" t="n">
        <v>0.270976</v>
      </c>
      <c r="M527" s="46" t="n">
        <v>0.279312</v>
      </c>
      <c r="N527" s="46" t="n">
        <v>0.159218</v>
      </c>
      <c r="O527" s="46" t="n">
        <v>0.116021</v>
      </c>
      <c r="P527" s="46" t="n">
        <v>0.129836</v>
      </c>
      <c r="Q527" s="46" t="n">
        <v>0.044637</v>
      </c>
      <c r="R527" s="47" t="n">
        <f aca="false">L527*Scorecard!$C$12+M527*Scorecard!$C$13+N527*Scorecard!$C$14+O527*Scorecard!$C$15+P527*Scorecard!$C$16+Q527*Scorecard!$C$17</f>
        <v>3.81829833561966</v>
      </c>
      <c r="S527" s="47" t="n">
        <f aca="false">L527*Scorecard!$D$12+M527*Scorecard!$D$13+N527*Scorecard!$D$14+O527*Scorecard!$D$15+P527*Scorecard!$D$16+Q527*Scorecard!$D$17</f>
        <v>2.87037892354134</v>
      </c>
      <c r="T527" s="47" t="n">
        <f aca="false">L527*Scorecard!$E$12+M527*Scorecard!$E$13+N527*Scorecard!$E$14+O527*Scorecard!$E$15+P527*Scorecard!$E$16+Q527*Scorecard!$E$17</f>
        <v>3.73128529602213</v>
      </c>
      <c r="U527" s="0" t="str">
        <f aca="false">IF(AND(R527&gt;=S527,R527&gt;=T527),"Distribution",IF(T527&gt;=S527,"Prof. services","Manufacturing"))</f>
        <v>Distribution</v>
      </c>
    </row>
    <row r="528" customFormat="false" ht="15" hidden="false" customHeight="false" outlineLevel="0" collapsed="false">
      <c r="A528" s="46" t="n">
        <v>0.151945</v>
      </c>
      <c r="B528" s="46" t="n">
        <v>0.020143</v>
      </c>
      <c r="C528" s="46" t="n">
        <v>0.380869</v>
      </c>
      <c r="D528" s="46" t="n">
        <v>0.015461</v>
      </c>
      <c r="E528" s="46" t="n">
        <v>0.249274</v>
      </c>
      <c r="F528" s="46" t="n">
        <v>0.182307</v>
      </c>
      <c r="G528" s="47" t="n">
        <f aca="false">A528*Scorecard!$C$12+B528*Scorecard!$C$13+C528*Scorecard!$C$14+D528*Scorecard!$C$15+E528*Scorecard!$C$16+F528*Scorecard!$C$17</f>
        <v>3.39748283311706</v>
      </c>
      <c r="H528" s="47" t="n">
        <f aca="false">A528*Scorecard!$D$12+B528*Scorecard!$D$13+C528*Scorecard!$D$14+D528*Scorecard!$D$15+E528*Scorecard!$D$16+F528*Scorecard!$D$17</f>
        <v>2.89765856670728</v>
      </c>
      <c r="I528" s="47" t="n">
        <f aca="false">A528*Scorecard!$E$12+B528*Scorecard!$E$13+C528*Scorecard!$E$14+D528*Scorecard!$E$15+E528*Scorecard!$E$16+F528*Scorecard!$E$17</f>
        <v>4.17326418220335</v>
      </c>
      <c r="J528" s="0" t="str">
        <f aca="false">IF(AND(G528&gt;=H528,G528&gt;=I528),"Distribution",IF(I528&gt;=H528,"Prof. services","Manufacturing"))</f>
        <v>Prof. services</v>
      </c>
      <c r="L528" s="46" t="n">
        <v>0.163262</v>
      </c>
      <c r="M528" s="46" t="n">
        <v>0.149828</v>
      </c>
      <c r="N528" s="46" t="n">
        <v>0.258289</v>
      </c>
      <c r="O528" s="46" t="n">
        <v>0.223445</v>
      </c>
      <c r="P528" s="46" t="n">
        <v>0.161267</v>
      </c>
      <c r="Q528" s="46" t="n">
        <v>0.04391</v>
      </c>
      <c r="R528" s="47" t="n">
        <f aca="false">L528*Scorecard!$C$12+M528*Scorecard!$C$13+N528*Scorecard!$C$14+O528*Scorecard!$C$15+P528*Scorecard!$C$16+Q528*Scorecard!$C$17</f>
        <v>3.99158307172568</v>
      </c>
      <c r="S528" s="47" t="n">
        <f aca="false">L528*Scorecard!$D$12+M528*Scorecard!$D$13+N528*Scorecard!$D$14+O528*Scorecard!$D$15+P528*Scorecard!$D$16+Q528*Scorecard!$D$17</f>
        <v>3.12951323205633</v>
      </c>
      <c r="T528" s="47" t="n">
        <f aca="false">L528*Scorecard!$E$12+M528*Scorecard!$E$13+N528*Scorecard!$E$14+O528*Scorecard!$E$15+P528*Scorecard!$E$16+Q528*Scorecard!$E$17</f>
        <v>3.93038575298597</v>
      </c>
      <c r="U528" s="0" t="str">
        <f aca="false">IF(AND(R528&gt;=S528,R528&gt;=T528),"Distribution",IF(T528&gt;=S528,"Prof. services","Manufacturing"))</f>
        <v>Distribution</v>
      </c>
    </row>
    <row r="529" customFormat="false" ht="15" hidden="false" customHeight="false" outlineLevel="0" collapsed="false">
      <c r="A529" s="46" t="n">
        <v>0.01101</v>
      </c>
      <c r="B529" s="46" t="n">
        <v>0.093095</v>
      </c>
      <c r="C529" s="46" t="n">
        <v>0.362212</v>
      </c>
      <c r="D529" s="46" t="n">
        <v>0.034918</v>
      </c>
      <c r="E529" s="46" t="n">
        <v>0.132312</v>
      </c>
      <c r="F529" s="46" t="n">
        <v>0.366454</v>
      </c>
      <c r="G529" s="47" t="n">
        <f aca="false">A529*Scorecard!$C$12+B529*Scorecard!$C$13+C529*Scorecard!$C$14+D529*Scorecard!$C$15+E529*Scorecard!$C$16+F529*Scorecard!$C$17</f>
        <v>3.37529084298673</v>
      </c>
      <c r="H529" s="47" t="n">
        <f aca="false">A529*Scorecard!$D$12+B529*Scorecard!$D$13+C529*Scorecard!$D$14+D529*Scorecard!$D$15+E529*Scorecard!$D$16+F529*Scorecard!$D$17</f>
        <v>2.4023853782847</v>
      </c>
      <c r="I529" s="47" t="n">
        <f aca="false">A529*Scorecard!$E$12+B529*Scorecard!$E$13+C529*Scorecard!$E$14+D529*Scorecard!$E$15+E529*Scorecard!$E$16+F529*Scorecard!$E$17</f>
        <v>4.1670555799896</v>
      </c>
      <c r="J529" s="0" t="str">
        <f aca="false">IF(AND(G529&gt;=H529,G529&gt;=I529),"Distribution",IF(I529&gt;=H529,"Prof. services","Manufacturing"))</f>
        <v>Prof. services</v>
      </c>
      <c r="L529" s="46" t="n">
        <v>0.323643</v>
      </c>
      <c r="M529" s="46" t="n">
        <v>0.225676</v>
      </c>
      <c r="N529" s="46" t="n">
        <v>0.179259</v>
      </c>
      <c r="O529" s="46" t="n">
        <v>0.150186</v>
      </c>
      <c r="P529" s="46" t="n">
        <v>0.054958</v>
      </c>
      <c r="Q529" s="46" t="n">
        <v>0.066279</v>
      </c>
      <c r="R529" s="47" t="n">
        <f aca="false">L529*Scorecard!$C$12+M529*Scorecard!$C$13+N529*Scorecard!$C$14+O529*Scorecard!$C$15+P529*Scorecard!$C$16+Q529*Scorecard!$C$17</f>
        <v>3.66074598453721</v>
      </c>
      <c r="S529" s="47" t="n">
        <f aca="false">L529*Scorecard!$D$12+M529*Scorecard!$D$13+N529*Scorecard!$D$14+O529*Scorecard!$D$15+P529*Scorecard!$D$16+Q529*Scorecard!$D$17</f>
        <v>2.96780728179806</v>
      </c>
      <c r="T529" s="47" t="n">
        <f aca="false">L529*Scorecard!$E$12+M529*Scorecard!$E$13+N529*Scorecard!$E$14+O529*Scorecard!$E$15+P529*Scorecard!$E$16+Q529*Scorecard!$E$17</f>
        <v>4.04582080279892</v>
      </c>
      <c r="U529" s="0" t="str">
        <f aca="false">IF(AND(R529&gt;=S529,R529&gt;=T529),"Distribution",IF(T529&gt;=S529,"Prof. services","Manufacturing"))</f>
        <v>Prof. services</v>
      </c>
    </row>
    <row r="530" customFormat="false" ht="15" hidden="false" customHeight="false" outlineLevel="0" collapsed="false">
      <c r="A530" s="46" t="n">
        <v>0.030877</v>
      </c>
      <c r="B530" s="46" t="n">
        <v>0.046981</v>
      </c>
      <c r="C530" s="46" t="n">
        <v>0.01752</v>
      </c>
      <c r="D530" s="46" t="n">
        <v>0.395515</v>
      </c>
      <c r="E530" s="46" t="n">
        <v>0.015319</v>
      </c>
      <c r="F530" s="46" t="n">
        <v>0.493787</v>
      </c>
      <c r="G530" s="47" t="n">
        <f aca="false">A530*Scorecard!$C$12+B530*Scorecard!$C$13+C530*Scorecard!$C$14+D530*Scorecard!$C$15+E530*Scorecard!$C$16+F530*Scorecard!$C$17</f>
        <v>3.39933895966406</v>
      </c>
      <c r="H530" s="47" t="n">
        <f aca="false">A530*Scorecard!$D$12+B530*Scorecard!$D$13+C530*Scorecard!$D$14+D530*Scorecard!$D$15+E530*Scorecard!$D$16+F530*Scorecard!$D$17</f>
        <v>2.67216448281101</v>
      </c>
      <c r="I530" s="47" t="n">
        <f aca="false">A530*Scorecard!$E$12+B530*Scorecard!$E$13+C530*Scorecard!$E$14+D530*Scorecard!$E$15+E530*Scorecard!$E$16+F530*Scorecard!$E$17</f>
        <v>4.24654592293335</v>
      </c>
      <c r="J530" s="0" t="str">
        <f aca="false">IF(AND(G530&gt;=H530,G530&gt;=I530),"Distribution",IF(I530&gt;=H530,"Prof. services","Manufacturing"))</f>
        <v>Prof. services</v>
      </c>
      <c r="L530" s="46" t="n">
        <v>0.337216</v>
      </c>
      <c r="M530" s="46" t="n">
        <v>0.106544</v>
      </c>
      <c r="N530" s="46" t="n">
        <v>0.105125</v>
      </c>
      <c r="O530" s="46" t="n">
        <v>0.227661</v>
      </c>
      <c r="P530" s="46" t="n">
        <v>0.187924</v>
      </c>
      <c r="Q530" s="46" t="n">
        <v>0.035529</v>
      </c>
      <c r="R530" s="47" t="n">
        <f aca="false">L530*Scorecard!$C$12+M530*Scorecard!$C$13+N530*Scorecard!$C$14+O530*Scorecard!$C$15+P530*Scorecard!$C$16+Q530*Scorecard!$C$17</f>
        <v>3.65614939097308</v>
      </c>
      <c r="S530" s="47" t="n">
        <f aca="false">L530*Scorecard!$D$12+M530*Scorecard!$D$13+N530*Scorecard!$D$14+O530*Scorecard!$D$15+P530*Scorecard!$D$16+Q530*Scorecard!$D$17</f>
        <v>3.33571953532718</v>
      </c>
      <c r="T530" s="47" t="n">
        <f aca="false">L530*Scorecard!$E$12+M530*Scorecard!$E$13+N530*Scorecard!$E$14+O530*Scorecard!$E$15+P530*Scorecard!$E$16+Q530*Scorecard!$E$17</f>
        <v>3.98442373951607</v>
      </c>
      <c r="U530" s="0" t="str">
        <f aca="false">IF(AND(R530&gt;=S530,R530&gt;=T530),"Distribution",IF(T530&gt;=S530,"Prof. services","Manufacturing"))</f>
        <v>Prof. services</v>
      </c>
    </row>
    <row r="531" customFormat="false" ht="15" hidden="false" customHeight="false" outlineLevel="0" collapsed="false">
      <c r="A531" s="46" t="n">
        <v>0.084705</v>
      </c>
      <c r="B531" s="46" t="n">
        <v>0.268117</v>
      </c>
      <c r="C531" s="46" t="n">
        <v>0.232935</v>
      </c>
      <c r="D531" s="46" t="n">
        <v>0.163154</v>
      </c>
      <c r="E531" s="46" t="n">
        <v>0.095902</v>
      </c>
      <c r="F531" s="46" t="n">
        <v>0.155188</v>
      </c>
      <c r="G531" s="47" t="n">
        <f aca="false">A531*Scorecard!$C$12+B531*Scorecard!$C$13+C531*Scorecard!$C$14+D531*Scorecard!$C$15+E531*Scorecard!$C$16+F531*Scorecard!$C$17</f>
        <v>3.96842879202462</v>
      </c>
      <c r="H531" s="47" t="n">
        <f aca="false">A531*Scorecard!$D$12+B531*Scorecard!$D$13+C531*Scorecard!$D$14+D531*Scorecard!$D$15+E531*Scorecard!$D$16+F531*Scorecard!$D$17</f>
        <v>2.64156977600962</v>
      </c>
      <c r="I531" s="47" t="n">
        <f aca="false">A531*Scorecard!$E$12+B531*Scorecard!$E$13+C531*Scorecard!$E$14+D531*Scorecard!$E$15+E531*Scorecard!$E$16+F531*Scorecard!$E$17</f>
        <v>3.75929967386341</v>
      </c>
      <c r="J531" s="0" t="str">
        <f aca="false">IF(AND(G531&gt;=H531,G531&gt;=I531),"Distribution",IF(I531&gt;=H531,"Prof. services","Manufacturing"))</f>
        <v>Distribution</v>
      </c>
      <c r="L531" s="46" t="n">
        <v>0.172871</v>
      </c>
      <c r="M531" s="46" t="n">
        <v>0.220394</v>
      </c>
      <c r="N531" s="46" t="n">
        <v>0.209739</v>
      </c>
      <c r="O531" s="46" t="n">
        <v>0.171638</v>
      </c>
      <c r="P531" s="46" t="n">
        <v>0.120091</v>
      </c>
      <c r="Q531" s="46" t="n">
        <v>0.105267</v>
      </c>
      <c r="R531" s="47" t="n">
        <f aca="false">L531*Scorecard!$C$12+M531*Scorecard!$C$13+N531*Scorecard!$C$14+O531*Scorecard!$C$15+P531*Scorecard!$C$16+Q531*Scorecard!$C$17</f>
        <v>3.87032773469203</v>
      </c>
      <c r="S531" s="47" t="n">
        <f aca="false">L531*Scorecard!$D$12+M531*Scorecard!$D$13+N531*Scorecard!$D$14+O531*Scorecard!$D$15+P531*Scorecard!$D$16+Q531*Scorecard!$D$17</f>
        <v>2.86420299057205</v>
      </c>
      <c r="T531" s="47" t="n">
        <f aca="false">L531*Scorecard!$E$12+M531*Scorecard!$E$13+N531*Scorecard!$E$14+O531*Scorecard!$E$15+P531*Scorecard!$E$16+Q531*Scorecard!$E$17</f>
        <v>3.84989114938223</v>
      </c>
      <c r="U531" s="0" t="str">
        <f aca="false">IF(AND(R531&gt;=S531,R531&gt;=T531),"Distribution",IF(T531&gt;=S531,"Prof. services","Manufacturing"))</f>
        <v>Distribution</v>
      </c>
    </row>
    <row r="532" customFormat="false" ht="15" hidden="false" customHeight="false" outlineLevel="0" collapsed="false">
      <c r="A532" s="46" t="n">
        <v>0.20835</v>
      </c>
      <c r="B532" s="46" t="n">
        <v>0.592743</v>
      </c>
      <c r="C532" s="46" t="n">
        <v>0.003816</v>
      </c>
      <c r="D532" s="46" t="n">
        <v>0.036928</v>
      </c>
      <c r="E532" s="46" t="n">
        <v>0.060501</v>
      </c>
      <c r="F532" s="46" t="n">
        <v>0.097661</v>
      </c>
      <c r="G532" s="47" t="n">
        <f aca="false">A532*Scorecard!$C$12+B532*Scorecard!$C$13+C532*Scorecard!$C$14+D532*Scorecard!$C$15+E532*Scorecard!$C$16+F532*Scorecard!$C$17</f>
        <v>4.05931202872711</v>
      </c>
      <c r="H532" s="47" t="n">
        <f aca="false">A532*Scorecard!$D$12+B532*Scorecard!$D$13+C532*Scorecard!$D$14+D532*Scorecard!$D$15+E532*Scorecard!$D$16+F532*Scorecard!$D$17</f>
        <v>2.16433883865027</v>
      </c>
      <c r="I532" s="47" t="n">
        <f aca="false">A532*Scorecard!$E$12+B532*Scorecard!$E$13+C532*Scorecard!$E$14+D532*Scorecard!$E$15+E532*Scorecard!$E$16+F532*Scorecard!$E$17</f>
        <v>3.05447637906015</v>
      </c>
      <c r="J532" s="0" t="str">
        <f aca="false">IF(AND(G532&gt;=H532,G532&gt;=I532),"Distribution",IF(I532&gt;=H532,"Prof. services","Manufacturing"))</f>
        <v>Distribution</v>
      </c>
      <c r="L532" s="46" t="n">
        <v>0.248257</v>
      </c>
      <c r="M532" s="46" t="n">
        <v>0.240453</v>
      </c>
      <c r="N532" s="46" t="n">
        <v>0.167134</v>
      </c>
      <c r="O532" s="46" t="n">
        <v>0.198588</v>
      </c>
      <c r="P532" s="46" t="n">
        <v>0.085936</v>
      </c>
      <c r="Q532" s="46" t="n">
        <v>0.059631</v>
      </c>
      <c r="R532" s="47" t="n">
        <f aca="false">L532*Scorecard!$C$12+M532*Scorecard!$C$13+N532*Scorecard!$C$14+O532*Scorecard!$C$15+P532*Scorecard!$C$16+Q532*Scorecard!$C$17</f>
        <v>3.87290885961462</v>
      </c>
      <c r="S532" s="47" t="n">
        <f aca="false">L532*Scorecard!$D$12+M532*Scorecard!$D$13+N532*Scorecard!$D$14+O532*Scorecard!$D$15+P532*Scorecard!$D$16+Q532*Scorecard!$D$17</f>
        <v>2.97215497238548</v>
      </c>
      <c r="T532" s="47" t="n">
        <f aca="false">L532*Scorecard!$E$12+M532*Scorecard!$E$13+N532*Scorecard!$E$14+O532*Scorecard!$E$15+P532*Scorecard!$E$16+Q532*Scorecard!$E$17</f>
        <v>3.88357551033245</v>
      </c>
      <c r="U532" s="0" t="str">
        <f aca="false">IF(AND(R532&gt;=S532,R532&gt;=T532),"Distribution",IF(T532&gt;=S532,"Prof. services","Manufacturing"))</f>
        <v>Prof. services</v>
      </c>
    </row>
    <row r="533" customFormat="false" ht="15" hidden="false" customHeight="false" outlineLevel="0" collapsed="false">
      <c r="A533" s="46" t="n">
        <v>0.043482</v>
      </c>
      <c r="B533" s="46" t="n">
        <v>0.284993</v>
      </c>
      <c r="C533" s="46" t="n">
        <v>0.59092</v>
      </c>
      <c r="D533" s="46" t="n">
        <v>0.032854</v>
      </c>
      <c r="E533" s="46" t="n">
        <v>0.011133</v>
      </c>
      <c r="F533" s="46" t="n">
        <v>0.036618</v>
      </c>
      <c r="G533" s="47" t="n">
        <f aca="false">A533*Scorecard!$C$12+B533*Scorecard!$C$13+C533*Scorecard!$C$14+D533*Scorecard!$C$15+E533*Scorecard!$C$16+F533*Scorecard!$C$17</f>
        <v>4.16634277990455</v>
      </c>
      <c r="H533" s="47" t="n">
        <f aca="false">A533*Scorecard!$D$12+B533*Scorecard!$D$13+C533*Scorecard!$D$14+D533*Scorecard!$D$15+E533*Scorecard!$D$16+F533*Scorecard!$D$17</f>
        <v>2.58776407329977</v>
      </c>
      <c r="I533" s="47" t="n">
        <f aca="false">A533*Scorecard!$E$12+B533*Scorecard!$E$13+C533*Scorecard!$E$14+D533*Scorecard!$E$15+E533*Scorecard!$E$16+F533*Scorecard!$E$17</f>
        <v>4.10501835891788</v>
      </c>
      <c r="J533" s="0" t="str">
        <f aca="false">IF(AND(G533&gt;=H533,G533&gt;=I533),"Distribution",IF(I533&gt;=H533,"Prof. services","Manufacturing"))</f>
        <v>Distribution</v>
      </c>
      <c r="L533" s="46" t="n">
        <v>0.263864</v>
      </c>
      <c r="M533" s="46" t="n">
        <v>0.246116</v>
      </c>
      <c r="N533" s="46" t="n">
        <v>0.166993</v>
      </c>
      <c r="O533" s="46" t="n">
        <v>0.09691</v>
      </c>
      <c r="P533" s="46" t="n">
        <v>0.103432</v>
      </c>
      <c r="Q533" s="46" t="n">
        <v>0.122686</v>
      </c>
      <c r="R533" s="47" t="n">
        <f aca="false">L533*Scorecard!$C$12+M533*Scorecard!$C$13+N533*Scorecard!$C$14+O533*Scorecard!$C$15+P533*Scorecard!$C$16+Q533*Scorecard!$C$17</f>
        <v>3.62269903704367</v>
      </c>
      <c r="S533" s="47" t="n">
        <f aca="false">L533*Scorecard!$D$12+M533*Scorecard!$D$13+N533*Scorecard!$D$14+O533*Scorecard!$D$15+P533*Scorecard!$D$16+Q533*Scorecard!$D$17</f>
        <v>2.76751284724494</v>
      </c>
      <c r="T533" s="47" t="n">
        <f aca="false">L533*Scorecard!$E$12+M533*Scorecard!$E$13+N533*Scorecard!$E$14+O533*Scorecard!$E$15+P533*Scorecard!$E$16+Q533*Scorecard!$E$17</f>
        <v>3.87410915552856</v>
      </c>
      <c r="U533" s="0" t="str">
        <f aca="false">IF(AND(R533&gt;=S533,R533&gt;=T533),"Distribution",IF(T533&gt;=S533,"Prof. services","Manufacturing"))</f>
        <v>Prof. services</v>
      </c>
    </row>
    <row r="534" customFormat="false" ht="15" hidden="false" customHeight="false" outlineLevel="0" collapsed="false">
      <c r="A534" s="46" t="n">
        <v>0.193383</v>
      </c>
      <c r="B534" s="46" t="n">
        <v>0.288972</v>
      </c>
      <c r="C534" s="46" t="n">
        <v>0.085757</v>
      </c>
      <c r="D534" s="46" t="n">
        <v>0.079447</v>
      </c>
      <c r="E534" s="46" t="n">
        <v>0.146982</v>
      </c>
      <c r="F534" s="46" t="n">
        <v>0.20546</v>
      </c>
      <c r="G534" s="47" t="n">
        <f aca="false">A534*Scorecard!$C$12+B534*Scorecard!$C$13+C534*Scorecard!$C$14+D534*Scorecard!$C$15+E534*Scorecard!$C$16+F534*Scorecard!$C$17</f>
        <v>3.60941084217103</v>
      </c>
      <c r="H534" s="47" t="n">
        <f aca="false">A534*Scorecard!$D$12+B534*Scorecard!$D$13+C534*Scorecard!$D$14+D534*Scorecard!$D$15+E534*Scorecard!$D$16+F534*Scorecard!$D$17</f>
        <v>2.526769526017</v>
      </c>
      <c r="I534" s="47" t="n">
        <f aca="false">A534*Scorecard!$E$12+B534*Scorecard!$E$13+C534*Scorecard!$E$14+D534*Scorecard!$E$15+E534*Scorecard!$E$16+F534*Scorecard!$E$17</f>
        <v>3.607949785242</v>
      </c>
      <c r="J534" s="0" t="str">
        <f aca="false">IF(AND(G534&gt;=H534,G534&gt;=I534),"Distribution",IF(I534&gt;=H534,"Prof. services","Manufacturing"))</f>
        <v>Distribution</v>
      </c>
      <c r="L534" s="46" t="n">
        <v>0.250712</v>
      </c>
      <c r="M534" s="46" t="n">
        <v>0.155936</v>
      </c>
      <c r="N534" s="46" t="n">
        <v>0.283615</v>
      </c>
      <c r="O534" s="46" t="n">
        <v>0.136571</v>
      </c>
      <c r="P534" s="46" t="n">
        <v>0.09728</v>
      </c>
      <c r="Q534" s="46" t="n">
        <v>0.075886</v>
      </c>
      <c r="R534" s="47" t="n">
        <f aca="false">L534*Scorecard!$C$12+M534*Scorecard!$C$13+N534*Scorecard!$C$14+O534*Scorecard!$C$15+P534*Scorecard!$C$16+Q534*Scorecard!$C$17</f>
        <v>3.68944982460394</v>
      </c>
      <c r="S534" s="47" t="n">
        <f aca="false">L534*Scorecard!$D$12+M534*Scorecard!$D$13+N534*Scorecard!$D$14+O534*Scorecard!$D$15+P534*Scorecard!$D$16+Q534*Scorecard!$D$17</f>
        <v>3.00824520695214</v>
      </c>
      <c r="T534" s="47" t="n">
        <f aca="false">L534*Scorecard!$E$12+M534*Scorecard!$E$13+N534*Scorecard!$E$14+O534*Scorecard!$E$15+P534*Scorecard!$E$16+Q534*Scorecard!$E$17</f>
        <v>4.14007774995173</v>
      </c>
      <c r="U534" s="0" t="str">
        <f aca="false">IF(AND(R534&gt;=S534,R534&gt;=T534),"Distribution",IF(T534&gt;=S534,"Prof. services","Manufacturing"))</f>
        <v>Prof. services</v>
      </c>
    </row>
    <row r="535" customFormat="false" ht="15" hidden="false" customHeight="false" outlineLevel="0" collapsed="false">
      <c r="A535" s="46" t="n">
        <v>0.134262</v>
      </c>
      <c r="B535" s="46" t="n">
        <v>0.004861</v>
      </c>
      <c r="C535" s="46" t="n">
        <v>0.657467</v>
      </c>
      <c r="D535" s="46" t="n">
        <v>0.084065</v>
      </c>
      <c r="E535" s="46" t="n">
        <v>0.103605</v>
      </c>
      <c r="F535" s="46" t="n">
        <v>0.01574</v>
      </c>
      <c r="G535" s="47" t="n">
        <f aca="false">A535*Scorecard!$C$12+B535*Scorecard!$C$13+C535*Scorecard!$C$14+D535*Scorecard!$C$15+E535*Scorecard!$C$16+F535*Scorecard!$C$17</f>
        <v>3.81577248529378</v>
      </c>
      <c r="H535" s="47" t="n">
        <f aca="false">A535*Scorecard!$D$12+B535*Scorecard!$D$13+C535*Scorecard!$D$14+D535*Scorecard!$D$15+E535*Scorecard!$D$16+F535*Scorecard!$D$17</f>
        <v>3.18963237255405</v>
      </c>
      <c r="I535" s="47" t="n">
        <f aca="false">A535*Scorecard!$E$12+B535*Scorecard!$E$13+C535*Scorecard!$E$14+D535*Scorecard!$E$15+E535*Scorecard!$E$16+F535*Scorecard!$E$17</f>
        <v>4.63160269761403</v>
      </c>
      <c r="J535" s="0" t="str">
        <f aca="false">IF(AND(G535&gt;=H535,G535&gt;=I535),"Distribution",IF(I535&gt;=H535,"Prof. services","Manufacturing"))</f>
        <v>Prof. services</v>
      </c>
      <c r="L535" s="46" t="n">
        <v>0.18673</v>
      </c>
      <c r="M535" s="46" t="n">
        <v>0.235989</v>
      </c>
      <c r="N535" s="46" t="n">
        <v>0.229806</v>
      </c>
      <c r="O535" s="46" t="n">
        <v>0.126004</v>
      </c>
      <c r="P535" s="46" t="n">
        <v>0.14594</v>
      </c>
      <c r="Q535" s="46" t="n">
        <v>0.075531</v>
      </c>
      <c r="R535" s="47" t="n">
        <f aca="false">L535*Scorecard!$C$12+M535*Scorecard!$C$13+N535*Scorecard!$C$14+O535*Scorecard!$C$15+P535*Scorecard!$C$16+Q535*Scorecard!$C$17</f>
        <v>3.87481433704926</v>
      </c>
      <c r="S535" s="47" t="n">
        <f aca="false">L535*Scorecard!$D$12+M535*Scorecard!$D$13+N535*Scorecard!$D$14+O535*Scorecard!$D$15+P535*Scorecard!$D$16+Q535*Scorecard!$D$17</f>
        <v>2.85034194941419</v>
      </c>
      <c r="T535" s="47" t="n">
        <f aca="false">L535*Scorecard!$E$12+M535*Scorecard!$E$13+N535*Scorecard!$E$14+O535*Scorecard!$E$15+P535*Scorecard!$E$16+Q535*Scorecard!$E$17</f>
        <v>3.78912868764381</v>
      </c>
      <c r="U535" s="0" t="str">
        <f aca="false">IF(AND(R535&gt;=S535,R535&gt;=T535),"Distribution",IF(T535&gt;=S535,"Prof. services","Manufacturing"))</f>
        <v>Distribution</v>
      </c>
    </row>
    <row r="536" customFormat="false" ht="15" hidden="false" customHeight="false" outlineLevel="0" collapsed="false">
      <c r="A536" s="46" t="n">
        <v>0.012696</v>
      </c>
      <c r="B536" s="46" t="n">
        <v>0.01445</v>
      </c>
      <c r="C536" s="46" t="n">
        <v>0.157111</v>
      </c>
      <c r="D536" s="46" t="n">
        <v>0.01315</v>
      </c>
      <c r="E536" s="46" t="n">
        <v>0.664879</v>
      </c>
      <c r="F536" s="46" t="n">
        <v>0.137714</v>
      </c>
      <c r="G536" s="47" t="n">
        <f aca="false">A536*Scorecard!$C$12+B536*Scorecard!$C$13+C536*Scorecard!$C$14+D536*Scorecard!$C$15+E536*Scorecard!$C$16+F536*Scorecard!$C$17</f>
        <v>3.72931901894274</v>
      </c>
      <c r="H536" s="47" t="n">
        <f aca="false">A536*Scorecard!$D$12+B536*Scorecard!$D$13+C536*Scorecard!$D$14+D536*Scorecard!$D$15+E536*Scorecard!$D$16+F536*Scorecard!$D$17</f>
        <v>3.01697516672202</v>
      </c>
      <c r="I536" s="47" t="n">
        <f aca="false">A536*Scorecard!$E$12+B536*Scorecard!$E$13+C536*Scorecard!$E$14+D536*Scorecard!$E$15+E536*Scorecard!$E$16+F536*Scorecard!$E$17</f>
        <v>3.10558814326048</v>
      </c>
      <c r="J536" s="0" t="str">
        <f aca="false">IF(AND(G536&gt;=H536,G536&gt;=I536),"Distribution",IF(I536&gt;=H536,"Prof. services","Manufacturing"))</f>
        <v>Distribution</v>
      </c>
      <c r="L536" s="46" t="n">
        <v>0.14816</v>
      </c>
      <c r="M536" s="46" t="n">
        <v>0.197071</v>
      </c>
      <c r="N536" s="46" t="n">
        <v>0.088358</v>
      </c>
      <c r="O536" s="46" t="n">
        <v>0.281213</v>
      </c>
      <c r="P536" s="46" t="n">
        <v>0.162122</v>
      </c>
      <c r="Q536" s="46" t="n">
        <v>0.123075</v>
      </c>
      <c r="R536" s="47" t="n">
        <f aca="false">L536*Scorecard!$C$12+M536*Scorecard!$C$13+N536*Scorecard!$C$14+O536*Scorecard!$C$15+P536*Scorecard!$C$16+Q536*Scorecard!$C$17</f>
        <v>3.96543988709483</v>
      </c>
      <c r="S536" s="47" t="n">
        <f aca="false">L536*Scorecard!$D$12+M536*Scorecard!$D$13+N536*Scorecard!$D$14+O536*Scorecard!$D$15+P536*Scorecard!$D$16+Q536*Scorecard!$D$17</f>
        <v>2.99703189822279</v>
      </c>
      <c r="T536" s="47" t="n">
        <f aca="false">L536*Scorecard!$E$12+M536*Scorecard!$E$13+N536*Scorecard!$E$14+O536*Scorecard!$E$15+P536*Scorecard!$E$16+Q536*Scorecard!$E$17</f>
        <v>3.70437419214187</v>
      </c>
      <c r="U536" s="0" t="str">
        <f aca="false">IF(AND(R536&gt;=S536,R536&gt;=T536),"Distribution",IF(T536&gt;=S536,"Prof. services","Manufacturing"))</f>
        <v>Distribution</v>
      </c>
    </row>
    <row r="537" customFormat="false" ht="15" hidden="false" customHeight="false" outlineLevel="0" collapsed="false">
      <c r="A537" s="46" t="n">
        <v>0.142121</v>
      </c>
      <c r="B537" s="46" t="n">
        <v>0.418555</v>
      </c>
      <c r="C537" s="46" t="n">
        <v>0.138318</v>
      </c>
      <c r="D537" s="46" t="n">
        <v>0.047891</v>
      </c>
      <c r="E537" s="46" t="n">
        <v>0.245371</v>
      </c>
      <c r="F537" s="46" t="n">
        <v>0.007743</v>
      </c>
      <c r="G537" s="47" t="n">
        <f aca="false">A537*Scorecard!$C$12+B537*Scorecard!$C$13+C537*Scorecard!$C$14+D537*Scorecard!$C$15+E537*Scorecard!$C$16+F537*Scorecard!$C$17</f>
        <v>4.19513617321683</v>
      </c>
      <c r="H537" s="47" t="n">
        <f aca="false">A537*Scorecard!$D$12+B537*Scorecard!$D$13+C537*Scorecard!$D$14+D537*Scorecard!$D$15+E537*Scorecard!$D$16+F537*Scorecard!$D$17</f>
        <v>2.59123942582606</v>
      </c>
      <c r="I537" s="47" t="n">
        <f aca="false">A537*Scorecard!$E$12+B537*Scorecard!$E$13+C537*Scorecard!$E$14+D537*Scorecard!$E$15+E537*Scorecard!$E$16+F537*Scorecard!$E$17</f>
        <v>3.09817769531946</v>
      </c>
      <c r="J537" s="0" t="str">
        <f aca="false">IF(AND(G537&gt;=H537,G537&gt;=I537),"Distribution",IF(I537&gt;=H537,"Prof. services","Manufacturing"))</f>
        <v>Distribution</v>
      </c>
      <c r="L537" s="46" t="n">
        <v>0.166021</v>
      </c>
      <c r="M537" s="46" t="n">
        <v>0.238873</v>
      </c>
      <c r="N537" s="46" t="n">
        <v>0.255078</v>
      </c>
      <c r="O537" s="46" t="n">
        <v>0.14606</v>
      </c>
      <c r="P537" s="46" t="n">
        <v>0.149835</v>
      </c>
      <c r="Q537" s="46" t="n">
        <v>0.044133</v>
      </c>
      <c r="R537" s="47" t="n">
        <f aca="false">L537*Scorecard!$C$12+M537*Scorecard!$C$13+N537*Scorecard!$C$14+O537*Scorecard!$C$15+P537*Scorecard!$C$16+Q537*Scorecard!$C$17</f>
        <v>3.99782683237966</v>
      </c>
      <c r="S537" s="47" t="n">
        <f aca="false">L537*Scorecard!$D$12+M537*Scorecard!$D$13+N537*Scorecard!$D$14+O537*Scorecard!$D$15+P537*Scorecard!$D$16+Q537*Scorecard!$D$17</f>
        <v>2.90394673405892</v>
      </c>
      <c r="T537" s="47" t="n">
        <f aca="false">L537*Scorecard!$E$12+M537*Scorecard!$E$13+N537*Scorecard!$E$14+O537*Scorecard!$E$15+P537*Scorecard!$E$16+Q537*Scorecard!$E$17</f>
        <v>3.76938322180245</v>
      </c>
      <c r="U537" s="0" t="str">
        <f aca="false">IF(AND(R537&gt;=S537,R537&gt;=T537),"Distribution",IF(T537&gt;=S537,"Prof. services","Manufacturing"))</f>
        <v>Distribution</v>
      </c>
    </row>
    <row r="538" customFormat="false" ht="15" hidden="false" customHeight="false" outlineLevel="0" collapsed="false">
      <c r="A538" s="46" t="n">
        <v>0.015207</v>
      </c>
      <c r="B538" s="46" t="n">
        <v>0.106492</v>
      </c>
      <c r="C538" s="46" t="n">
        <v>0.001987</v>
      </c>
      <c r="D538" s="46" t="n">
        <v>0.095698</v>
      </c>
      <c r="E538" s="46" t="n">
        <v>0.242149</v>
      </c>
      <c r="F538" s="46" t="n">
        <v>0.538467</v>
      </c>
      <c r="G538" s="47" t="n">
        <f aca="false">A538*Scorecard!$C$12+B538*Scorecard!$C$13+C538*Scorecard!$C$14+D538*Scorecard!$C$15+E538*Scorecard!$C$16+F538*Scorecard!$C$17</f>
        <v>3.09788318313344</v>
      </c>
      <c r="H538" s="47" t="n">
        <f aca="false">A538*Scorecard!$D$12+B538*Scorecard!$D$13+C538*Scorecard!$D$14+D538*Scorecard!$D$15+E538*Scorecard!$D$16+F538*Scorecard!$D$17</f>
        <v>2.23400004309642</v>
      </c>
      <c r="I538" s="47" t="n">
        <f aca="false">A538*Scorecard!$E$12+B538*Scorecard!$E$13+C538*Scorecard!$E$14+D538*Scorecard!$E$15+E538*Scorecard!$E$16+F538*Scorecard!$E$17</f>
        <v>3.69881578840411</v>
      </c>
      <c r="J538" s="0" t="str">
        <f aca="false">IF(AND(G538&gt;=H538,G538&gt;=I538),"Distribution",IF(I538&gt;=H538,"Prof. services","Manufacturing"))</f>
        <v>Prof. services</v>
      </c>
      <c r="L538" s="46" t="n">
        <v>0.30087</v>
      </c>
      <c r="M538" s="46" t="n">
        <v>0.113275</v>
      </c>
      <c r="N538" s="46" t="n">
        <v>0.119357</v>
      </c>
      <c r="O538" s="46" t="n">
        <v>0.218755</v>
      </c>
      <c r="P538" s="46" t="n">
        <v>0.141235</v>
      </c>
      <c r="Q538" s="46" t="n">
        <v>0.106507</v>
      </c>
      <c r="R538" s="47" t="n">
        <f aca="false">L538*Scorecard!$C$12+M538*Scorecard!$C$13+N538*Scorecard!$C$14+O538*Scorecard!$C$15+P538*Scorecard!$C$16+Q538*Scorecard!$C$17</f>
        <v>3.57744170930226</v>
      </c>
      <c r="S538" s="47" t="n">
        <f aca="false">L538*Scorecard!$D$12+M538*Scorecard!$D$13+N538*Scorecard!$D$14+O538*Scorecard!$D$15+P538*Scorecard!$D$16+Q538*Scorecard!$D$17</f>
        <v>3.16926802246441</v>
      </c>
      <c r="T538" s="47" t="n">
        <f aca="false">L538*Scorecard!$E$12+M538*Scorecard!$E$13+N538*Scorecard!$E$14+O538*Scorecard!$E$15+P538*Scorecard!$E$16+Q538*Scorecard!$E$17</f>
        <v>4.06152759385633</v>
      </c>
      <c r="U538" s="0" t="str">
        <f aca="false">IF(AND(R538&gt;=S538,R538&gt;=T538),"Distribution",IF(T538&gt;=S538,"Prof. services","Manufacturing"))</f>
        <v>Prof. services</v>
      </c>
    </row>
    <row r="539" customFormat="false" ht="15" hidden="false" customHeight="false" outlineLevel="0" collapsed="false">
      <c r="A539" s="46" t="n">
        <v>0.384138</v>
      </c>
      <c r="B539" s="46" t="n">
        <v>0.057032</v>
      </c>
      <c r="C539" s="46" t="n">
        <v>0.105977</v>
      </c>
      <c r="D539" s="46" t="n">
        <v>0.080312</v>
      </c>
      <c r="E539" s="46" t="n">
        <v>0.086361</v>
      </c>
      <c r="F539" s="46" t="n">
        <v>0.28618</v>
      </c>
      <c r="G539" s="47" t="n">
        <f aca="false">A539*Scorecard!$C$12+B539*Scorecard!$C$13+C539*Scorecard!$C$14+D539*Scorecard!$C$15+E539*Scorecard!$C$16+F539*Scorecard!$C$17</f>
        <v>2.87353012181989</v>
      </c>
      <c r="H539" s="47" t="n">
        <f aca="false">A539*Scorecard!$D$12+B539*Scorecard!$D$13+C539*Scorecard!$D$14+D539*Scorecard!$D$15+E539*Scorecard!$D$16+F539*Scorecard!$D$17</f>
        <v>2.86062632579963</v>
      </c>
      <c r="I539" s="47" t="n">
        <f aca="false">A539*Scorecard!$E$12+B539*Scorecard!$E$13+C539*Scorecard!$E$14+D539*Scorecard!$E$15+E539*Scorecard!$E$16+F539*Scorecard!$E$17</f>
        <v>4.3954815143424</v>
      </c>
      <c r="J539" s="0" t="str">
        <f aca="false">IF(AND(G539&gt;=H539,G539&gt;=I539),"Distribution",IF(I539&gt;=H539,"Prof. services","Manufacturing"))</f>
        <v>Prof. services</v>
      </c>
      <c r="L539" s="46" t="n">
        <v>0.119997</v>
      </c>
      <c r="M539" s="46" t="n">
        <v>0.231933</v>
      </c>
      <c r="N539" s="46" t="n">
        <v>0.120605</v>
      </c>
      <c r="O539" s="46" t="n">
        <v>0.104259</v>
      </c>
      <c r="P539" s="46" t="n">
        <v>0.370758</v>
      </c>
      <c r="Q539" s="46" t="n">
        <v>0.052447</v>
      </c>
      <c r="R539" s="47" t="n">
        <f aca="false">L539*Scorecard!$C$12+M539*Scorecard!$C$13+N539*Scorecard!$C$14+O539*Scorecard!$C$15+P539*Scorecard!$C$16+Q539*Scorecard!$C$17</f>
        <v>4.0152976887265</v>
      </c>
      <c r="S539" s="47" t="n">
        <f aca="false">L539*Scorecard!$D$12+M539*Scorecard!$D$13+N539*Scorecard!$D$14+O539*Scorecard!$D$15+P539*Scorecard!$D$16+Q539*Scorecard!$D$17</f>
        <v>2.89673901919653</v>
      </c>
      <c r="T539" s="47" t="n">
        <f aca="false">L539*Scorecard!$E$12+M539*Scorecard!$E$13+N539*Scorecard!$E$14+O539*Scorecard!$E$15+P539*Scorecard!$E$16+Q539*Scorecard!$E$17</f>
        <v>3.23099082652544</v>
      </c>
      <c r="U539" s="0" t="str">
        <f aca="false">IF(AND(R539&gt;=S539,R539&gt;=T539),"Distribution",IF(T539&gt;=S539,"Prof. services","Manufacturing"))</f>
        <v>Distribution</v>
      </c>
    </row>
    <row r="540" customFormat="false" ht="15" hidden="false" customHeight="false" outlineLevel="0" collapsed="false">
      <c r="A540" s="46" t="n">
        <v>0.516195</v>
      </c>
      <c r="B540" s="46" t="n">
        <v>0.120204</v>
      </c>
      <c r="C540" s="46" t="n">
        <v>0.002992</v>
      </c>
      <c r="D540" s="46" t="n">
        <v>0.091005</v>
      </c>
      <c r="E540" s="46" t="n">
        <v>0.201945</v>
      </c>
      <c r="F540" s="46" t="n">
        <v>0.06766</v>
      </c>
      <c r="G540" s="47" t="n">
        <f aca="false">A540*Scorecard!$C$12+B540*Scorecard!$C$13+C540*Scorecard!$C$14+D540*Scorecard!$C$15+E540*Scorecard!$C$16+F540*Scorecard!$C$17</f>
        <v>3.1467346385591</v>
      </c>
      <c r="H540" s="47" t="n">
        <f aca="false">A540*Scorecard!$D$12+B540*Scorecard!$D$13+C540*Scorecard!$D$14+D540*Scorecard!$D$15+E540*Scorecard!$D$16+F540*Scorecard!$D$17</f>
        <v>3.23172481115183</v>
      </c>
      <c r="I540" s="47" t="n">
        <f aca="false">A540*Scorecard!$E$12+B540*Scorecard!$E$13+C540*Scorecard!$E$14+D540*Scorecard!$E$15+E540*Scorecard!$E$16+F540*Scorecard!$E$17</f>
        <v>4.00592772931025</v>
      </c>
      <c r="J540" s="0" t="str">
        <f aca="false">IF(AND(G540&gt;=H540,G540&gt;=I540),"Distribution",IF(I540&gt;=H540,"Prof. services","Manufacturing"))</f>
        <v>Prof. services</v>
      </c>
      <c r="L540" s="46" t="n">
        <v>0.225246</v>
      </c>
      <c r="M540" s="46" t="n">
        <v>0.116645</v>
      </c>
      <c r="N540" s="46" t="n">
        <v>0.122611</v>
      </c>
      <c r="O540" s="46" t="n">
        <v>0.381629</v>
      </c>
      <c r="P540" s="46" t="n">
        <v>0.122491</v>
      </c>
      <c r="Q540" s="46" t="n">
        <v>0.031379</v>
      </c>
      <c r="R540" s="47" t="n">
        <f aca="false">L540*Scorecard!$C$12+M540*Scorecard!$C$13+N540*Scorecard!$C$14+O540*Scorecard!$C$15+P540*Scorecard!$C$16+Q540*Scorecard!$C$17</f>
        <v>4.03007398777378</v>
      </c>
      <c r="S540" s="47" t="n">
        <f aca="false">L540*Scorecard!$D$12+M540*Scorecard!$D$13+N540*Scorecard!$D$14+O540*Scorecard!$D$15+P540*Scorecard!$D$16+Q540*Scorecard!$D$17</f>
        <v>3.40925593341897</v>
      </c>
      <c r="T540" s="47" t="n">
        <f aca="false">L540*Scorecard!$E$12+M540*Scorecard!$E$13+N540*Scorecard!$E$14+O540*Scorecard!$E$15+P540*Scorecard!$E$16+Q540*Scorecard!$E$17</f>
        <v>4.00325015762669</v>
      </c>
      <c r="U540" s="0" t="str">
        <f aca="false">IF(AND(R540&gt;=S540,R540&gt;=T540),"Distribution",IF(T540&gt;=S540,"Prof. services","Manufacturing"))</f>
        <v>Distribution</v>
      </c>
    </row>
    <row r="541" customFormat="false" ht="15" hidden="false" customHeight="false" outlineLevel="0" collapsed="false">
      <c r="A541" s="46" t="n">
        <v>0.077523</v>
      </c>
      <c r="B541" s="46" t="n">
        <v>0.307275</v>
      </c>
      <c r="C541" s="46" t="n">
        <v>0.050089</v>
      </c>
      <c r="D541" s="46" t="n">
        <v>0.113697</v>
      </c>
      <c r="E541" s="46" t="n">
        <v>0.125439</v>
      </c>
      <c r="F541" s="46" t="n">
        <v>0.325977</v>
      </c>
      <c r="G541" s="47" t="n">
        <f aca="false">A541*Scorecard!$C$12+B541*Scorecard!$C$13+C541*Scorecard!$C$14+D541*Scorecard!$C$15+E541*Scorecard!$C$16+F541*Scorecard!$C$17</f>
        <v>3.6294754944469</v>
      </c>
      <c r="H541" s="47" t="n">
        <f aca="false">A541*Scorecard!$D$12+B541*Scorecard!$D$13+C541*Scorecard!$D$14+D541*Scorecard!$D$15+E541*Scorecard!$D$16+F541*Scorecard!$D$17</f>
        <v>2.27445518302607</v>
      </c>
      <c r="I541" s="47" t="n">
        <f aca="false">A541*Scorecard!$E$12+B541*Scorecard!$E$13+C541*Scorecard!$E$14+D541*Scorecard!$E$15+E541*Scorecard!$E$16+F541*Scorecard!$E$17</f>
        <v>3.52387318277632</v>
      </c>
      <c r="J541" s="0" t="str">
        <f aca="false">IF(AND(G541&gt;=H541,G541&gt;=I541),"Distribution",IF(I541&gt;=H541,"Prof. services","Manufacturing"))</f>
        <v>Distribution</v>
      </c>
      <c r="L541" s="46" t="n">
        <v>0.219893</v>
      </c>
      <c r="M541" s="46" t="n">
        <v>0.268079</v>
      </c>
      <c r="N541" s="46" t="n">
        <v>0.228039</v>
      </c>
      <c r="O541" s="46" t="n">
        <v>0.112728</v>
      </c>
      <c r="P541" s="46" t="n">
        <v>0.114535</v>
      </c>
      <c r="Q541" s="46" t="n">
        <v>0.056726</v>
      </c>
      <c r="R541" s="47" t="n">
        <f aca="false">L541*Scorecard!$C$12+M541*Scorecard!$C$13+N541*Scorecard!$C$14+O541*Scorecard!$C$15+P541*Scorecard!$C$16+Q541*Scorecard!$C$17</f>
        <v>3.87154446411274</v>
      </c>
      <c r="S541" s="47" t="n">
        <f aca="false">L541*Scorecard!$D$12+M541*Scorecard!$D$13+N541*Scorecard!$D$14+O541*Scorecard!$D$15+P541*Scorecard!$D$16+Q541*Scorecard!$D$17</f>
        <v>2.82645090583807</v>
      </c>
      <c r="T541" s="47" t="n">
        <f aca="false">L541*Scorecard!$E$12+M541*Scorecard!$E$13+N541*Scorecard!$E$14+O541*Scorecard!$E$15+P541*Scorecard!$E$16+Q541*Scorecard!$E$17</f>
        <v>3.80109752243937</v>
      </c>
      <c r="U541" s="0" t="str">
        <f aca="false">IF(AND(R541&gt;=S541,R541&gt;=T541),"Distribution",IF(T541&gt;=S541,"Prof. services","Manufacturing"))</f>
        <v>Distribution</v>
      </c>
    </row>
    <row r="542" customFormat="false" ht="15" hidden="false" customHeight="false" outlineLevel="0" collapsed="false">
      <c r="A542" s="46" t="n">
        <v>0.066157</v>
      </c>
      <c r="B542" s="46" t="n">
        <v>0.109622</v>
      </c>
      <c r="C542" s="46" t="n">
        <v>0.054544</v>
      </c>
      <c r="D542" s="46" t="n">
        <v>0.059373</v>
      </c>
      <c r="E542" s="46" t="n">
        <v>0.620224</v>
      </c>
      <c r="F542" s="46" t="n">
        <v>0.090079</v>
      </c>
      <c r="G542" s="47" t="n">
        <f aca="false">A542*Scorecard!$C$12+B542*Scorecard!$C$13+C542*Scorecard!$C$14+D542*Scorecard!$C$15+E542*Scorecard!$C$16+F542*Scorecard!$C$17</f>
        <v>3.86974945653707</v>
      </c>
      <c r="H542" s="47" t="n">
        <f aca="false">A542*Scorecard!$D$12+B542*Scorecard!$D$13+C542*Scorecard!$D$14+D542*Scorecard!$D$15+E542*Scorecard!$D$16+F542*Scorecard!$D$17</f>
        <v>3.01950956540202</v>
      </c>
      <c r="I542" s="47" t="n">
        <f aca="false">A542*Scorecard!$E$12+B542*Scorecard!$E$13+C542*Scorecard!$E$14+D542*Scorecard!$E$15+E542*Scorecard!$E$16+F542*Scorecard!$E$17</f>
        <v>2.9361678943721</v>
      </c>
      <c r="J542" s="0" t="str">
        <f aca="false">IF(AND(G542&gt;=H542,G542&gt;=I542),"Distribution",IF(I542&gt;=H542,"Prof. services","Manufacturing"))</f>
        <v>Distribution</v>
      </c>
      <c r="L542" s="46" t="n">
        <v>0.151219</v>
      </c>
      <c r="M542" s="46" t="n">
        <v>0.281645</v>
      </c>
      <c r="N542" s="46" t="n">
        <v>0.225061</v>
      </c>
      <c r="O542" s="46" t="n">
        <v>0.091286</v>
      </c>
      <c r="P542" s="46" t="n">
        <v>0.175961</v>
      </c>
      <c r="Q542" s="46" t="n">
        <v>0.074828</v>
      </c>
      <c r="R542" s="47" t="n">
        <f aca="false">L542*Scorecard!$C$12+M542*Scorecard!$C$13+N542*Scorecard!$C$14+O542*Scorecard!$C$15+P542*Scorecard!$C$16+Q542*Scorecard!$C$17</f>
        <v>3.95107864347053</v>
      </c>
      <c r="S542" s="47" t="n">
        <f aca="false">L542*Scorecard!$D$12+M542*Scorecard!$D$13+N542*Scorecard!$D$14+O542*Scorecard!$D$15+P542*Scorecard!$D$16+Q542*Scorecard!$D$17</f>
        <v>2.72922595786391</v>
      </c>
      <c r="T542" s="47" t="n">
        <f aca="false">L542*Scorecard!$E$12+M542*Scorecard!$E$13+N542*Scorecard!$E$14+O542*Scorecard!$E$15+P542*Scorecard!$E$16+Q542*Scorecard!$E$17</f>
        <v>3.60715678312125</v>
      </c>
      <c r="U542" s="0" t="str">
        <f aca="false">IF(AND(R542&gt;=S542,R542&gt;=T542),"Distribution",IF(T542&gt;=S542,"Prof. services","Manufacturing"))</f>
        <v>Distribution</v>
      </c>
    </row>
    <row r="543" customFormat="false" ht="15" hidden="false" customHeight="false" outlineLevel="0" collapsed="false">
      <c r="A543" s="46" t="n">
        <v>0.677913</v>
      </c>
      <c r="B543" s="46" t="n">
        <v>0.102296</v>
      </c>
      <c r="C543" s="46" t="n">
        <v>0.008841</v>
      </c>
      <c r="D543" s="46" t="n">
        <v>0.01856</v>
      </c>
      <c r="E543" s="46" t="n">
        <v>0.006728</v>
      </c>
      <c r="F543" s="46" t="n">
        <v>0.185662</v>
      </c>
      <c r="G543" s="47" t="n">
        <f aca="false">A543*Scorecard!$C$12+B543*Scorecard!$C$13+C543*Scorecard!$C$14+D543*Scorecard!$C$15+E543*Scorecard!$C$16+F543*Scorecard!$C$17</f>
        <v>2.52927893230372</v>
      </c>
      <c r="H543" s="47" t="n">
        <f aca="false">A543*Scorecard!$D$12+B543*Scorecard!$D$13+C543*Scorecard!$D$14+D543*Scorecard!$D$15+E543*Scorecard!$D$16+F543*Scorecard!$D$17</f>
        <v>3.03948377879115</v>
      </c>
      <c r="I543" s="47" t="n">
        <f aca="false">A543*Scorecard!$E$12+B543*Scorecard!$E$13+C543*Scorecard!$E$14+D543*Scorecard!$E$15+E543*Scorecard!$E$16+F543*Scorecard!$E$17</f>
        <v>4.57955245015093</v>
      </c>
      <c r="J543" s="0" t="str">
        <f aca="false">IF(AND(G543&gt;=H543,G543&gt;=I543),"Distribution",IF(I543&gt;=H543,"Prof. services","Manufacturing"))</f>
        <v>Prof. services</v>
      </c>
      <c r="L543" s="46" t="n">
        <v>0.209843</v>
      </c>
      <c r="M543" s="46" t="n">
        <v>0.201535</v>
      </c>
      <c r="N543" s="46" t="n">
        <v>0.161551</v>
      </c>
      <c r="O543" s="46" t="n">
        <v>0.13694</v>
      </c>
      <c r="P543" s="46" t="n">
        <v>0.142528</v>
      </c>
      <c r="Q543" s="46" t="n">
        <v>0.147602</v>
      </c>
      <c r="R543" s="47" t="n">
        <f aca="false">L543*Scorecard!$C$12+M543*Scorecard!$C$13+N543*Scorecard!$C$14+O543*Scorecard!$C$15+P543*Scorecard!$C$16+Q543*Scorecard!$C$17</f>
        <v>3.66554660743548</v>
      </c>
      <c r="S543" s="47" t="n">
        <f aca="false">L543*Scorecard!$D$12+M543*Scorecard!$D$13+N543*Scorecard!$D$14+O543*Scorecard!$D$15+P543*Scorecard!$D$16+Q543*Scorecard!$D$17</f>
        <v>2.82073787342643</v>
      </c>
      <c r="T543" s="47" t="n">
        <f aca="false">L543*Scorecard!$E$12+M543*Scorecard!$E$13+N543*Scorecard!$E$14+O543*Scorecard!$E$15+P543*Scorecard!$E$16+Q543*Scorecard!$E$17</f>
        <v>3.85212105712491</v>
      </c>
      <c r="U543" s="0" t="str">
        <f aca="false">IF(AND(R543&gt;=S543,R543&gt;=T543),"Distribution",IF(T543&gt;=S543,"Prof. services","Manufacturing"))</f>
        <v>Prof. services</v>
      </c>
    </row>
    <row r="544" customFormat="false" ht="15" hidden="false" customHeight="false" outlineLevel="0" collapsed="false">
      <c r="A544" s="46" t="n">
        <v>0.153278</v>
      </c>
      <c r="B544" s="46" t="n">
        <v>0.045145</v>
      </c>
      <c r="C544" s="46" t="n">
        <v>0.236224</v>
      </c>
      <c r="D544" s="46" t="n">
        <v>0.309121</v>
      </c>
      <c r="E544" s="46" t="n">
        <v>0.152955</v>
      </c>
      <c r="F544" s="46" t="n">
        <v>0.103276</v>
      </c>
      <c r="G544" s="47" t="n">
        <f aca="false">A544*Scorecard!$C$12+B544*Scorecard!$C$13+C544*Scorecard!$C$14+D544*Scorecard!$C$15+E544*Scorecard!$C$16+F544*Scorecard!$C$17</f>
        <v>3.87180741410719</v>
      </c>
      <c r="H544" s="47" t="n">
        <f aca="false">A544*Scorecard!$D$12+B544*Scorecard!$D$13+C544*Scorecard!$D$14+D544*Scorecard!$D$15+E544*Scorecard!$D$16+F544*Scorecard!$D$17</f>
        <v>3.28740410214813</v>
      </c>
      <c r="I544" s="47" t="n">
        <f aca="false">A544*Scorecard!$E$12+B544*Scorecard!$E$13+C544*Scorecard!$E$14+D544*Scorecard!$E$15+E544*Scorecard!$E$16+F544*Scorecard!$E$17</f>
        <v>4.15226752689602</v>
      </c>
      <c r="J544" s="0" t="str">
        <f aca="false">IF(AND(G544&gt;=H544,G544&gt;=I544),"Distribution",IF(I544&gt;=H544,"Prof. services","Manufacturing"))</f>
        <v>Prof. services</v>
      </c>
      <c r="L544" s="46" t="n">
        <v>0.191283</v>
      </c>
      <c r="M544" s="46" t="n">
        <v>0.158747</v>
      </c>
      <c r="N544" s="46" t="n">
        <v>0.174954</v>
      </c>
      <c r="O544" s="46" t="n">
        <v>0.302556</v>
      </c>
      <c r="P544" s="46" t="n">
        <v>0.091343</v>
      </c>
      <c r="Q544" s="46" t="n">
        <v>0.081115</v>
      </c>
      <c r="R544" s="47" t="n">
        <f aca="false">L544*Scorecard!$C$12+M544*Scorecard!$C$13+N544*Scorecard!$C$14+O544*Scorecard!$C$15+P544*Scorecard!$C$16+Q544*Scorecard!$C$17</f>
        <v>3.95475287211907</v>
      </c>
      <c r="S544" s="47" t="n">
        <f aca="false">L544*Scorecard!$D$12+M544*Scorecard!$D$13+N544*Scorecard!$D$14+O544*Scorecard!$D$15+P544*Scorecard!$D$16+Q544*Scorecard!$D$17</f>
        <v>3.14709269171539</v>
      </c>
      <c r="T544" s="47" t="n">
        <f aca="false">L544*Scorecard!$E$12+M544*Scorecard!$E$13+N544*Scorecard!$E$14+O544*Scorecard!$E$15+P544*Scorecard!$E$16+Q544*Scorecard!$E$17</f>
        <v>4.0064568141615</v>
      </c>
      <c r="U544" s="0" t="str">
        <f aca="false">IF(AND(R544&gt;=S544,R544&gt;=T544),"Distribution",IF(T544&gt;=S544,"Prof. services","Manufacturing"))</f>
        <v>Prof. services</v>
      </c>
    </row>
    <row r="545" customFormat="false" ht="15" hidden="false" customHeight="false" outlineLevel="0" collapsed="false">
      <c r="A545" s="46" t="n">
        <v>0.113138</v>
      </c>
      <c r="B545" s="46" t="n">
        <v>0.064341</v>
      </c>
      <c r="C545" s="46" t="n">
        <v>0.184681</v>
      </c>
      <c r="D545" s="46" t="n">
        <v>0.258419</v>
      </c>
      <c r="E545" s="46" t="n">
        <v>0.178224</v>
      </c>
      <c r="F545" s="46" t="n">
        <v>0.201197</v>
      </c>
      <c r="G545" s="47" t="n">
        <f aca="false">A545*Scorecard!$C$12+B545*Scorecard!$C$13+C545*Scorecard!$C$14+D545*Scorecard!$C$15+E545*Scorecard!$C$16+F545*Scorecard!$C$17</f>
        <v>3.71671598654249</v>
      </c>
      <c r="H545" s="47" t="n">
        <f aca="false">A545*Scorecard!$D$12+B545*Scorecard!$D$13+C545*Scorecard!$D$14+D545*Scorecard!$D$15+E545*Scorecard!$D$16+F545*Scorecard!$D$17</f>
        <v>3.03492620541468</v>
      </c>
      <c r="I545" s="47" t="n">
        <f aca="false">A545*Scorecard!$E$12+B545*Scorecard!$E$13+C545*Scorecard!$E$14+D545*Scorecard!$E$15+E545*Scorecard!$E$16+F545*Scorecard!$E$17</f>
        <v>4.02310953032181</v>
      </c>
      <c r="J545" s="0" t="str">
        <f aca="false">IF(AND(G545&gt;=H545,G545&gt;=I545),"Distribution",IF(I545&gt;=H545,"Prof. services","Manufacturing"))</f>
        <v>Prof. services</v>
      </c>
      <c r="L545" s="46" t="n">
        <v>0.24722</v>
      </c>
      <c r="M545" s="46" t="n">
        <v>0.251476</v>
      </c>
      <c r="N545" s="46" t="n">
        <v>0.127093</v>
      </c>
      <c r="O545" s="46" t="n">
        <v>0.10945</v>
      </c>
      <c r="P545" s="46" t="n">
        <v>0.174258</v>
      </c>
      <c r="Q545" s="46" t="n">
        <v>0.090502</v>
      </c>
      <c r="R545" s="47" t="n">
        <f aca="false">L545*Scorecard!$C$12+M545*Scorecard!$C$13+N545*Scorecard!$C$14+O545*Scorecard!$C$15+P545*Scorecard!$C$16+Q545*Scorecard!$C$17</f>
        <v>3.73491847440324</v>
      </c>
      <c r="S545" s="47" t="n">
        <f aca="false">L545*Scorecard!$D$12+M545*Scorecard!$D$13+N545*Scorecard!$D$14+O545*Scorecard!$D$15+P545*Scorecard!$D$16+Q545*Scorecard!$D$17</f>
        <v>2.83486878506686</v>
      </c>
      <c r="T545" s="47" t="n">
        <f aca="false">L545*Scorecard!$E$12+M545*Scorecard!$E$13+N545*Scorecard!$E$14+O545*Scorecard!$E$15+P545*Scorecard!$E$16+Q545*Scorecard!$E$17</f>
        <v>3.67542661559334</v>
      </c>
      <c r="U545" s="0" t="str">
        <f aca="false">IF(AND(R545&gt;=S545,R545&gt;=T545),"Distribution",IF(T545&gt;=S545,"Prof. services","Manufacturing"))</f>
        <v>Distribution</v>
      </c>
    </row>
    <row r="546" customFormat="false" ht="15" hidden="false" customHeight="false" outlineLevel="0" collapsed="false">
      <c r="A546" s="46" t="n">
        <v>0.23328</v>
      </c>
      <c r="B546" s="46" t="n">
        <v>0.179946</v>
      </c>
      <c r="C546" s="46" t="n">
        <v>0.032801</v>
      </c>
      <c r="D546" s="46" t="n">
        <v>0.019625</v>
      </c>
      <c r="E546" s="46" t="n">
        <v>0.526357</v>
      </c>
      <c r="F546" s="46" t="n">
        <v>0.007991</v>
      </c>
      <c r="G546" s="47" t="n">
        <f aca="false">A546*Scorecard!$C$12+B546*Scorecard!$C$13+C546*Scorecard!$C$14+D546*Scorecard!$C$15+E546*Scorecard!$C$16+F546*Scorecard!$C$17</f>
        <v>3.76368167320115</v>
      </c>
      <c r="H546" s="47" t="n">
        <f aca="false">A546*Scorecard!$D$12+B546*Scorecard!$D$13+C546*Scorecard!$D$14+D546*Scorecard!$D$15+E546*Scorecard!$D$16+F546*Scorecard!$D$17</f>
        <v>3.07017811887956</v>
      </c>
      <c r="I546" s="47" t="n">
        <f aca="false">A546*Scorecard!$E$12+B546*Scorecard!$E$13+C546*Scorecard!$E$14+D546*Scorecard!$E$15+E546*Scorecard!$E$16+F546*Scorecard!$E$17</f>
        <v>3.05853102185872</v>
      </c>
      <c r="J546" s="0" t="str">
        <f aca="false">IF(AND(G546&gt;=H546,G546&gt;=I546),"Distribution",IF(I546&gt;=H546,"Prof. services","Manufacturing"))</f>
        <v>Distribution</v>
      </c>
      <c r="L546" s="46" t="n">
        <v>0.186271</v>
      </c>
      <c r="M546" s="46" t="n">
        <v>0.253736</v>
      </c>
      <c r="N546" s="46" t="n">
        <v>0.192089</v>
      </c>
      <c r="O546" s="46" t="n">
        <v>0.12895</v>
      </c>
      <c r="P546" s="46" t="n">
        <v>0.150992</v>
      </c>
      <c r="Q546" s="46" t="n">
        <v>0.087963</v>
      </c>
      <c r="R546" s="47" t="n">
        <f aca="false">L546*Scorecard!$C$12+M546*Scorecard!$C$13+N546*Scorecard!$C$14+O546*Scorecard!$C$15+P546*Scorecard!$C$16+Q546*Scorecard!$C$17</f>
        <v>3.87147354359504</v>
      </c>
      <c r="S546" s="47" t="n">
        <f aca="false">L546*Scorecard!$D$12+M546*Scorecard!$D$13+N546*Scorecard!$D$14+O546*Scorecard!$D$15+P546*Scorecard!$D$16+Q546*Scorecard!$D$17</f>
        <v>2.80984988574889</v>
      </c>
      <c r="T546" s="47" t="n">
        <f aca="false">L546*Scorecard!$E$12+M546*Scorecard!$E$13+N546*Scorecard!$E$14+O546*Scorecard!$E$15+P546*Scorecard!$E$16+Q546*Scorecard!$E$17</f>
        <v>3.71595010440734</v>
      </c>
      <c r="U546" s="0" t="str">
        <f aca="false">IF(AND(R546&gt;=S546,R546&gt;=T546),"Distribution",IF(T546&gt;=S546,"Prof. services","Manufacturing"))</f>
        <v>Distribution</v>
      </c>
    </row>
    <row r="547" customFormat="false" ht="15" hidden="false" customHeight="false" outlineLevel="0" collapsed="false">
      <c r="A547" s="46" t="n">
        <v>0.152904</v>
      </c>
      <c r="B547" s="46" t="n">
        <v>0.228714</v>
      </c>
      <c r="C547" s="46" t="n">
        <v>0.002678</v>
      </c>
      <c r="D547" s="46" t="n">
        <v>0.392773</v>
      </c>
      <c r="E547" s="46" t="n">
        <v>0.079242</v>
      </c>
      <c r="F547" s="46" t="n">
        <v>0.143689</v>
      </c>
      <c r="G547" s="47" t="n">
        <f aca="false">A547*Scorecard!$C$12+B547*Scorecard!$C$13+C547*Scorecard!$C$14+D547*Scorecard!$C$15+E547*Scorecard!$C$16+F547*Scorecard!$C$17</f>
        <v>4.0588796194408</v>
      </c>
      <c r="H547" s="47" t="n">
        <f aca="false">A547*Scorecard!$D$12+B547*Scorecard!$D$13+C547*Scorecard!$D$14+D547*Scorecard!$D$15+E547*Scorecard!$D$16+F547*Scorecard!$D$17</f>
        <v>3.02327111993546</v>
      </c>
      <c r="I547" s="47" t="n">
        <f aca="false">A547*Scorecard!$E$12+B547*Scorecard!$E$13+C547*Scorecard!$E$14+D547*Scorecard!$E$15+E547*Scorecard!$E$16+F547*Scorecard!$E$17</f>
        <v>3.730841449106</v>
      </c>
      <c r="J547" s="0" t="str">
        <f aca="false">IF(AND(G547&gt;=H547,G547&gt;=I547),"Distribution",IF(I547&gt;=H547,"Prof. services","Manufacturing"))</f>
        <v>Distribution</v>
      </c>
      <c r="L547" s="46" t="n">
        <v>0.249209</v>
      </c>
      <c r="M547" s="46" t="n">
        <v>0.356018</v>
      </c>
      <c r="N547" s="46" t="n">
        <v>0.051296</v>
      </c>
      <c r="O547" s="46" t="n">
        <v>0.159959</v>
      </c>
      <c r="P547" s="46" t="n">
        <v>0.101082</v>
      </c>
      <c r="Q547" s="46" t="n">
        <v>0.082435</v>
      </c>
      <c r="R547" s="47" t="n">
        <f aca="false">L547*Scorecard!$C$12+M547*Scorecard!$C$13+N547*Scorecard!$C$14+O547*Scorecard!$C$15+P547*Scorecard!$C$16+Q547*Scorecard!$C$17</f>
        <v>3.90252324603818</v>
      </c>
      <c r="S547" s="47" t="n">
        <f aca="false">L547*Scorecard!$D$12+M547*Scorecard!$D$13+N547*Scorecard!$D$14+O547*Scorecard!$D$15+P547*Scorecard!$D$16+Q547*Scorecard!$D$17</f>
        <v>2.72544466401015</v>
      </c>
      <c r="T547" s="47" t="n">
        <f aca="false">L547*Scorecard!$E$12+M547*Scorecard!$E$13+N547*Scorecard!$E$14+O547*Scorecard!$E$15+P547*Scorecard!$E$16+Q547*Scorecard!$E$17</f>
        <v>3.53175648802285</v>
      </c>
      <c r="U547" s="0" t="str">
        <f aca="false">IF(AND(R547&gt;=S547,R547&gt;=T547),"Distribution",IF(T547&gt;=S547,"Prof. services","Manufacturing"))</f>
        <v>Distribution</v>
      </c>
    </row>
    <row r="548" customFormat="false" ht="15" hidden="false" customHeight="false" outlineLevel="0" collapsed="false">
      <c r="A548" s="46" t="n">
        <v>0.022729</v>
      </c>
      <c r="B548" s="46" t="n">
        <v>0.420107</v>
      </c>
      <c r="C548" s="46" t="n">
        <v>0.228811</v>
      </c>
      <c r="D548" s="46" t="n">
        <v>0.133143</v>
      </c>
      <c r="E548" s="46" t="n">
        <v>0.048821</v>
      </c>
      <c r="F548" s="46" t="n">
        <v>0.146389</v>
      </c>
      <c r="G548" s="47" t="n">
        <f aca="false">A548*Scorecard!$C$12+B548*Scorecard!$C$13+C548*Scorecard!$C$14+D548*Scorecard!$C$15+E548*Scorecard!$C$16+F548*Scorecard!$C$17</f>
        <v>4.21955947586244</v>
      </c>
      <c r="H548" s="47" t="n">
        <f aca="false">A548*Scorecard!$D$12+B548*Scorecard!$D$13+C548*Scorecard!$D$14+D548*Scorecard!$D$15+E548*Scorecard!$D$16+F548*Scorecard!$D$17</f>
        <v>2.33525415694252</v>
      </c>
      <c r="I548" s="47" t="n">
        <f aca="false">A548*Scorecard!$E$12+B548*Scorecard!$E$13+C548*Scorecard!$E$14+D548*Scorecard!$E$15+E548*Scorecard!$E$16+F548*Scorecard!$E$17</f>
        <v>3.47726884430586</v>
      </c>
      <c r="J548" s="0" t="str">
        <f aca="false">IF(AND(G548&gt;=H548,G548&gt;=I548),"Distribution",IF(I548&gt;=H548,"Prof. services","Manufacturing"))</f>
        <v>Distribution</v>
      </c>
      <c r="L548" s="46" t="n">
        <v>0.114432</v>
      </c>
      <c r="M548" s="46" t="n">
        <v>0.327607</v>
      </c>
      <c r="N548" s="46" t="n">
        <v>0.239644</v>
      </c>
      <c r="O548" s="46" t="n">
        <v>0.119643</v>
      </c>
      <c r="P548" s="46" t="n">
        <v>0.080785</v>
      </c>
      <c r="Q548" s="46" t="n">
        <v>0.117889</v>
      </c>
      <c r="R548" s="47" t="n">
        <f aca="false">L548*Scorecard!$C$12+M548*Scorecard!$C$13+N548*Scorecard!$C$14+O548*Scorecard!$C$15+P548*Scorecard!$C$16+Q548*Scorecard!$C$17</f>
        <v>4.0054927680888</v>
      </c>
      <c r="S548" s="47" t="n">
        <f aca="false">L548*Scorecard!$D$12+M548*Scorecard!$D$13+N548*Scorecard!$D$14+O548*Scorecard!$D$15+P548*Scorecard!$D$16+Q548*Scorecard!$D$17</f>
        <v>2.57244768321328</v>
      </c>
      <c r="T548" s="47" t="n">
        <f aca="false">L548*Scorecard!$E$12+M548*Scorecard!$E$13+N548*Scorecard!$E$14+O548*Scorecard!$E$15+P548*Scorecard!$E$16+Q548*Scorecard!$E$17</f>
        <v>3.68355786985252</v>
      </c>
      <c r="U548" s="0" t="str">
        <f aca="false">IF(AND(R548&gt;=S548,R548&gt;=T548),"Distribution",IF(T548&gt;=S548,"Prof. services","Manufacturing"))</f>
        <v>Distribution</v>
      </c>
    </row>
    <row r="549" customFormat="false" ht="15" hidden="false" customHeight="false" outlineLevel="0" collapsed="false">
      <c r="A549" s="46" t="n">
        <v>0.200025</v>
      </c>
      <c r="B549" s="46" t="n">
        <v>0.587937</v>
      </c>
      <c r="C549" s="46" t="n">
        <v>0.020766</v>
      </c>
      <c r="D549" s="46" t="n">
        <v>0.098559</v>
      </c>
      <c r="E549" s="46" t="n">
        <v>0.040776</v>
      </c>
      <c r="F549" s="46" t="n">
        <v>0.051938</v>
      </c>
      <c r="G549" s="47" t="n">
        <f aca="false">A549*Scorecard!$C$12+B549*Scorecard!$C$13+C549*Scorecard!$C$14+D549*Scorecard!$C$15+E549*Scorecard!$C$16+F549*Scorecard!$C$17</f>
        <v>4.22257614744968</v>
      </c>
      <c r="H549" s="47" t="n">
        <f aca="false">A549*Scorecard!$D$12+B549*Scorecard!$D$13+C549*Scorecard!$D$14+D549*Scorecard!$D$15+E549*Scorecard!$D$16+F549*Scorecard!$D$17</f>
        <v>2.29941566696128</v>
      </c>
      <c r="I549" s="47" t="n">
        <f aca="false">A549*Scorecard!$E$12+B549*Scorecard!$E$13+C549*Scorecard!$E$14+D549*Scorecard!$E$15+E549*Scorecard!$E$16+F549*Scorecard!$E$17</f>
        <v>3.09225123193607</v>
      </c>
      <c r="J549" s="0" t="str">
        <f aca="false">IF(AND(G549&gt;=H549,G549&gt;=I549),"Distribution",IF(I549&gt;=H549,"Prof. services","Manufacturing"))</f>
        <v>Distribution</v>
      </c>
      <c r="L549" s="46" t="n">
        <v>0.219705</v>
      </c>
      <c r="M549" s="46" t="n">
        <v>0.188158</v>
      </c>
      <c r="N549" s="46" t="n">
        <v>0.220418</v>
      </c>
      <c r="O549" s="46" t="n">
        <v>0.137136</v>
      </c>
      <c r="P549" s="46" t="n">
        <v>0.191369</v>
      </c>
      <c r="Q549" s="46" t="n">
        <v>0.043215</v>
      </c>
      <c r="R549" s="47" t="n">
        <f aca="false">L549*Scorecard!$C$12+M549*Scorecard!$C$13+N549*Scorecard!$C$14+O549*Scorecard!$C$15+P549*Scorecard!$C$16+Q549*Scorecard!$C$17</f>
        <v>3.84339586679381</v>
      </c>
      <c r="S549" s="47" t="n">
        <f aca="false">L549*Scorecard!$D$12+M549*Scorecard!$D$13+N549*Scorecard!$D$14+O549*Scorecard!$D$15+P549*Scorecard!$D$16+Q549*Scorecard!$D$17</f>
        <v>3.02042484303801</v>
      </c>
      <c r="T549" s="47" t="n">
        <f aca="false">L549*Scorecard!$E$12+M549*Scorecard!$E$13+N549*Scorecard!$E$14+O549*Scorecard!$E$15+P549*Scorecard!$E$16+Q549*Scorecard!$E$17</f>
        <v>3.81238479057372</v>
      </c>
      <c r="U549" s="0" t="str">
        <f aca="false">IF(AND(R549&gt;=S549,R549&gt;=T549),"Distribution",IF(T549&gt;=S549,"Prof. services","Manufacturing"))</f>
        <v>Distribution</v>
      </c>
    </row>
    <row r="550" customFormat="false" ht="15" hidden="false" customHeight="false" outlineLevel="0" collapsed="false">
      <c r="A550" s="46" t="n">
        <v>0.345315</v>
      </c>
      <c r="B550" s="46" t="n">
        <v>0.013025</v>
      </c>
      <c r="C550" s="46" t="n">
        <v>0.19754</v>
      </c>
      <c r="D550" s="46" t="n">
        <v>0.407404</v>
      </c>
      <c r="E550" s="46" t="n">
        <v>0.002866</v>
      </c>
      <c r="F550" s="46" t="n">
        <v>0.03385</v>
      </c>
      <c r="G550" s="47" t="n">
        <f aca="false">A550*Scorecard!$C$12+B550*Scorecard!$C$13+C550*Scorecard!$C$14+D550*Scorecard!$C$15+E550*Scorecard!$C$16+F550*Scorecard!$C$17</f>
        <v>3.73115707547349</v>
      </c>
      <c r="H550" s="47" t="n">
        <f aca="false">A550*Scorecard!$D$12+B550*Scorecard!$D$13+C550*Scorecard!$D$14+D550*Scorecard!$D$15+E550*Scorecard!$D$16+F550*Scorecard!$D$17</f>
        <v>3.63035492720955</v>
      </c>
      <c r="I550" s="47" t="n">
        <f aca="false">A550*Scorecard!$E$12+B550*Scorecard!$E$13+C550*Scorecard!$E$14+D550*Scorecard!$E$15+E550*Scorecard!$E$16+F550*Scorecard!$E$17</f>
        <v>4.59743298022713</v>
      </c>
      <c r="J550" s="0" t="str">
        <f aca="false">IF(AND(G550&gt;=H550,G550&gt;=I550),"Distribution",IF(I550&gt;=H550,"Prof. services","Manufacturing"))</f>
        <v>Prof. services</v>
      </c>
      <c r="L550" s="46" t="n">
        <v>0.155479</v>
      </c>
      <c r="M550" s="46" t="n">
        <v>0.117054</v>
      </c>
      <c r="N550" s="46" t="n">
        <v>0.186237</v>
      </c>
      <c r="O550" s="46" t="n">
        <v>0.161944</v>
      </c>
      <c r="P550" s="46" t="n">
        <v>0.177941</v>
      </c>
      <c r="Q550" s="46" t="n">
        <v>0.201345</v>
      </c>
      <c r="R550" s="47" t="n">
        <f aca="false">L550*Scorecard!$C$12+M550*Scorecard!$C$13+N550*Scorecard!$C$14+O550*Scorecard!$C$15+P550*Scorecard!$C$16+Q550*Scorecard!$C$17</f>
        <v>3.5964435827188</v>
      </c>
      <c r="S550" s="47" t="n">
        <f aca="false">L550*Scorecard!$D$12+M550*Scorecard!$D$13+N550*Scorecard!$D$14+O550*Scorecard!$D$15+P550*Scorecard!$D$16+Q550*Scorecard!$D$17</f>
        <v>2.87177242820055</v>
      </c>
      <c r="T550" s="47" t="n">
        <f aca="false">L550*Scorecard!$E$12+M550*Scorecard!$E$13+N550*Scorecard!$E$14+O550*Scorecard!$E$15+P550*Scorecard!$E$16+Q550*Scorecard!$E$17</f>
        <v>3.95285181414815</v>
      </c>
      <c r="U550" s="0" t="str">
        <f aca="false">IF(AND(R550&gt;=S550,R550&gt;=T550),"Distribution",IF(T550&gt;=S550,"Prof. services","Manufacturing"))</f>
        <v>Prof. services</v>
      </c>
    </row>
    <row r="551" customFormat="false" ht="15" hidden="false" customHeight="false" outlineLevel="0" collapsed="false">
      <c r="A551" s="46" t="n">
        <v>0.191062</v>
      </c>
      <c r="B551" s="46" t="n">
        <v>0.055976</v>
      </c>
      <c r="C551" s="46" t="n">
        <v>0.034083</v>
      </c>
      <c r="D551" s="46" t="n">
        <v>0.12315</v>
      </c>
      <c r="E551" s="46" t="n">
        <v>0.088477</v>
      </c>
      <c r="F551" s="46" t="n">
        <v>0.507252</v>
      </c>
      <c r="G551" s="47" t="n">
        <f aca="false">A551*Scorecard!$C$12+B551*Scorecard!$C$13+C551*Scorecard!$C$14+D551*Scorecard!$C$15+E551*Scorecard!$C$16+F551*Scorecard!$C$17</f>
        <v>2.82070767527074</v>
      </c>
      <c r="H551" s="47" t="n">
        <f aca="false">A551*Scorecard!$D$12+B551*Scorecard!$D$13+C551*Scorecard!$D$14+D551*Scorecard!$D$15+E551*Scorecard!$D$16+F551*Scorecard!$D$17</f>
        <v>2.45336358041455</v>
      </c>
      <c r="I551" s="47" t="n">
        <f aca="false">A551*Scorecard!$E$12+B551*Scorecard!$E$13+C551*Scorecard!$E$14+D551*Scorecard!$E$15+E551*Scorecard!$E$16+F551*Scorecard!$E$17</f>
        <v>4.24653162324738</v>
      </c>
      <c r="J551" s="0" t="str">
        <f aca="false">IF(AND(G551&gt;=H551,G551&gt;=I551),"Distribution",IF(I551&gt;=H551,"Prof. services","Manufacturing"))</f>
        <v>Prof. services</v>
      </c>
      <c r="L551" s="46" t="n">
        <v>0.326697</v>
      </c>
      <c r="M551" s="46" t="n">
        <v>0.250613</v>
      </c>
      <c r="N551" s="46" t="n">
        <v>0.209175</v>
      </c>
      <c r="O551" s="46" t="n">
        <v>0.061187</v>
      </c>
      <c r="P551" s="46" t="n">
        <v>0.030253</v>
      </c>
      <c r="Q551" s="46" t="n">
        <v>0.122076</v>
      </c>
      <c r="R551" s="47" t="n">
        <f aca="false">L551*Scorecard!$C$12+M551*Scorecard!$C$13+N551*Scorecard!$C$14+O551*Scorecard!$C$15+P551*Scorecard!$C$16+Q551*Scorecard!$C$17</f>
        <v>3.47959274098421</v>
      </c>
      <c r="S551" s="47" t="n">
        <f aca="false">L551*Scorecard!$D$12+M551*Scorecard!$D$13+N551*Scorecard!$D$14+O551*Scorecard!$D$15+P551*Scorecard!$D$16+Q551*Scorecard!$D$17</f>
        <v>2.7374347042449</v>
      </c>
      <c r="T551" s="47" t="n">
        <f aca="false">L551*Scorecard!$E$12+M551*Scorecard!$E$13+N551*Scorecard!$E$14+O551*Scorecard!$E$15+P551*Scorecard!$E$16+Q551*Scorecard!$E$17</f>
        <v>4.08648712770502</v>
      </c>
      <c r="U551" s="0" t="str">
        <f aca="false">IF(AND(R551&gt;=S551,R551&gt;=T551),"Distribution",IF(T551&gt;=S551,"Prof. services","Manufacturing"))</f>
        <v>Prof. services</v>
      </c>
    </row>
    <row r="552" customFormat="false" ht="15" hidden="false" customHeight="false" outlineLevel="0" collapsed="false">
      <c r="A552" s="46" t="n">
        <v>0.1742</v>
      </c>
      <c r="B552" s="46" t="n">
        <v>0.182729</v>
      </c>
      <c r="C552" s="46" t="n">
        <v>0.431603</v>
      </c>
      <c r="D552" s="46" t="n">
        <v>0.013478</v>
      </c>
      <c r="E552" s="46" t="n">
        <v>0.104793</v>
      </c>
      <c r="F552" s="46" t="n">
        <v>0.093197</v>
      </c>
      <c r="G552" s="47" t="n">
        <f aca="false">A552*Scorecard!$C$12+B552*Scorecard!$C$13+C552*Scorecard!$C$14+D552*Scorecard!$C$15+E552*Scorecard!$C$16+F552*Scorecard!$C$17</f>
        <v>3.6962505157392</v>
      </c>
      <c r="H552" s="47" t="n">
        <f aca="false">A552*Scorecard!$D$12+B552*Scorecard!$D$13+C552*Scorecard!$D$14+D552*Scorecard!$D$15+E552*Scorecard!$D$16+F552*Scorecard!$D$17</f>
        <v>2.75152923835158</v>
      </c>
      <c r="I552" s="47" t="n">
        <f aca="false">A552*Scorecard!$E$12+B552*Scorecard!$E$13+C552*Scorecard!$E$14+D552*Scorecard!$E$15+E552*Scorecard!$E$16+F552*Scorecard!$E$17</f>
        <v>4.13723414266378</v>
      </c>
      <c r="J552" s="0" t="str">
        <f aca="false">IF(AND(G552&gt;=H552,G552&gt;=I552),"Distribution",IF(I552&gt;=H552,"Prof. services","Manufacturing"))</f>
        <v>Prof. services</v>
      </c>
      <c r="L552" s="46" t="n">
        <v>0.114922</v>
      </c>
      <c r="M552" s="46" t="n">
        <v>0.463005</v>
      </c>
      <c r="N552" s="46" t="n">
        <v>0.084181</v>
      </c>
      <c r="O552" s="46" t="n">
        <v>0.17568</v>
      </c>
      <c r="P552" s="46" t="n">
        <v>0.13254</v>
      </c>
      <c r="Q552" s="46" t="n">
        <v>0.029673</v>
      </c>
      <c r="R552" s="47" t="n">
        <f aca="false">L552*Scorecard!$C$12+M552*Scorecard!$C$13+N552*Scorecard!$C$14+O552*Scorecard!$C$15+P552*Scorecard!$C$16+Q552*Scorecard!$C$17</f>
        <v>4.37248176110092</v>
      </c>
      <c r="S552" s="47" t="n">
        <f aca="false">L552*Scorecard!$D$12+M552*Scorecard!$D$13+N552*Scorecard!$D$14+O552*Scorecard!$D$15+P552*Scorecard!$D$16+Q552*Scorecard!$D$17</f>
        <v>2.58398808839555</v>
      </c>
      <c r="T552" s="47" t="n">
        <f aca="false">L552*Scorecard!$E$12+M552*Scorecard!$E$13+N552*Scorecard!$E$14+O552*Scorecard!$E$15+P552*Scorecard!$E$16+Q552*Scorecard!$E$17</f>
        <v>3.15346798134727</v>
      </c>
      <c r="U552" s="0" t="str">
        <f aca="false">IF(AND(R552&gt;=S552,R552&gt;=T552),"Distribution",IF(T552&gt;=S552,"Prof. services","Manufacturing"))</f>
        <v>Distribution</v>
      </c>
    </row>
    <row r="553" customFormat="false" ht="15" hidden="false" customHeight="false" outlineLevel="0" collapsed="false">
      <c r="A553" s="46" t="n">
        <v>0.502639</v>
      </c>
      <c r="B553" s="46" t="n">
        <v>0.040282</v>
      </c>
      <c r="C553" s="46" t="n">
        <v>0.240007</v>
      </c>
      <c r="D553" s="46" t="n">
        <v>0.034929</v>
      </c>
      <c r="E553" s="46" t="n">
        <v>0.015316</v>
      </c>
      <c r="F553" s="46" t="n">
        <v>0.166828</v>
      </c>
      <c r="G553" s="47" t="n">
        <f aca="false">A553*Scorecard!$C$12+B553*Scorecard!$C$13+C553*Scorecard!$C$14+D553*Scorecard!$C$15+E553*Scorecard!$C$16+F553*Scorecard!$C$17</f>
        <v>2.8368016318808</v>
      </c>
      <c r="H553" s="47" t="n">
        <f aca="false">A553*Scorecard!$D$12+B553*Scorecard!$D$13+C553*Scorecard!$D$14+D553*Scorecard!$D$15+E553*Scorecard!$D$16+F553*Scorecard!$D$17</f>
        <v>3.06685593681151</v>
      </c>
      <c r="I553" s="47" t="n">
        <f aca="false">A553*Scorecard!$E$12+B553*Scorecard!$E$13+C553*Scorecard!$E$14+D553*Scorecard!$E$15+E553*Scorecard!$E$16+F553*Scorecard!$E$17</f>
        <v>4.73071712321784</v>
      </c>
      <c r="J553" s="0" t="str">
        <f aca="false">IF(AND(G553&gt;=H553,G553&gt;=I553),"Distribution",IF(I553&gt;=H553,"Prof. services","Manufacturing"))</f>
        <v>Prof. services</v>
      </c>
      <c r="L553" s="46" t="n">
        <v>0.246158</v>
      </c>
      <c r="M553" s="46" t="n">
        <v>0.167498</v>
      </c>
      <c r="N553" s="46" t="n">
        <v>0.220632</v>
      </c>
      <c r="O553" s="46" t="n">
        <v>0.16227</v>
      </c>
      <c r="P553" s="46" t="n">
        <v>0.117345</v>
      </c>
      <c r="Q553" s="46" t="n">
        <v>0.086097</v>
      </c>
      <c r="R553" s="47" t="n">
        <f aca="false">L553*Scorecard!$C$12+M553*Scorecard!$C$13+N553*Scorecard!$C$14+O553*Scorecard!$C$15+P553*Scorecard!$C$16+Q553*Scorecard!$C$17</f>
        <v>3.71448608954839</v>
      </c>
      <c r="S553" s="47" t="n">
        <f aca="false">L553*Scorecard!$D$12+M553*Scorecard!$D$13+N553*Scorecard!$D$14+O553*Scorecard!$D$15+P553*Scorecard!$D$16+Q553*Scorecard!$D$17</f>
        <v>3.0090045354006</v>
      </c>
      <c r="T553" s="47" t="n">
        <f aca="false">L553*Scorecard!$E$12+M553*Scorecard!$E$13+N553*Scorecard!$E$14+O553*Scorecard!$E$15+P553*Scorecard!$E$16+Q553*Scorecard!$E$17</f>
        <v>4.02673650962194</v>
      </c>
      <c r="U553" s="0" t="str">
        <f aca="false">IF(AND(R553&gt;=S553,R553&gt;=T553),"Distribution",IF(T553&gt;=S553,"Prof. services","Manufacturing"))</f>
        <v>Prof. services</v>
      </c>
    </row>
    <row r="554" customFormat="false" ht="15" hidden="false" customHeight="false" outlineLevel="0" collapsed="false">
      <c r="A554" s="46" t="n">
        <v>0.117922</v>
      </c>
      <c r="B554" s="46" t="n">
        <v>0.401661</v>
      </c>
      <c r="C554" s="46" t="n">
        <v>0.013851</v>
      </c>
      <c r="D554" s="46" t="n">
        <v>0.054872</v>
      </c>
      <c r="E554" s="46" t="n">
        <v>0.302993</v>
      </c>
      <c r="F554" s="46" t="n">
        <v>0.1087</v>
      </c>
      <c r="G554" s="47" t="n">
        <f aca="false">A554*Scorecard!$C$12+B554*Scorecard!$C$13+C554*Scorecard!$C$14+D554*Scorecard!$C$15+E554*Scorecard!$C$16+F554*Scorecard!$C$17</f>
        <v>4.02686771831801</v>
      </c>
      <c r="H554" s="47" t="n">
        <f aca="false">A554*Scorecard!$D$12+B554*Scorecard!$D$13+C554*Scorecard!$D$14+D554*Scorecard!$D$15+E554*Scorecard!$D$16+F554*Scorecard!$D$17</f>
        <v>2.47646605346594</v>
      </c>
      <c r="I554" s="47" t="n">
        <f aca="false">A554*Scorecard!$E$12+B554*Scorecard!$E$13+C554*Scorecard!$E$14+D554*Scorecard!$E$15+E554*Scorecard!$E$16+F554*Scorecard!$E$17</f>
        <v>2.93678535822639</v>
      </c>
      <c r="J554" s="0" t="str">
        <f aca="false">IF(AND(G554&gt;=H554,G554&gt;=I554),"Distribution",IF(I554&gt;=H554,"Prof. services","Manufacturing"))</f>
        <v>Distribution</v>
      </c>
      <c r="L554" s="46" t="n">
        <v>0.134276</v>
      </c>
      <c r="M554" s="46" t="n">
        <v>0.084536</v>
      </c>
      <c r="N554" s="46" t="n">
        <v>0.197392</v>
      </c>
      <c r="O554" s="46" t="n">
        <v>0.252545</v>
      </c>
      <c r="P554" s="46" t="n">
        <v>0.095519</v>
      </c>
      <c r="Q554" s="46" t="n">
        <v>0.235733</v>
      </c>
      <c r="R554" s="47" t="n">
        <f aca="false">L554*Scorecard!$C$12+M554*Scorecard!$C$13+N554*Scorecard!$C$14+O554*Scorecard!$C$15+P554*Scorecard!$C$16+Q554*Scorecard!$C$17</f>
        <v>3.62392028509413</v>
      </c>
      <c r="S554" s="47" t="n">
        <f aca="false">L554*Scorecard!$D$12+M554*Scorecard!$D$13+N554*Scorecard!$D$14+O554*Scorecard!$D$15+P554*Scorecard!$D$16+Q554*Scorecard!$D$17</f>
        <v>2.93240683828285</v>
      </c>
      <c r="T554" s="47" t="n">
        <f aca="false">L554*Scorecard!$E$12+M554*Scorecard!$E$13+N554*Scorecard!$E$14+O554*Scorecard!$E$15+P554*Scorecard!$E$16+Q554*Scorecard!$E$17</f>
        <v>4.17323072300257</v>
      </c>
      <c r="U554" s="0" t="str">
        <f aca="false">IF(AND(R554&gt;=S554,R554&gt;=T554),"Distribution",IF(T554&gt;=S554,"Prof. services","Manufacturing"))</f>
        <v>Prof. services</v>
      </c>
    </row>
    <row r="555" customFormat="false" ht="15" hidden="false" customHeight="false" outlineLevel="0" collapsed="false">
      <c r="A555" s="46" t="n">
        <v>0.390207</v>
      </c>
      <c r="B555" s="46" t="n">
        <v>0.029877</v>
      </c>
      <c r="C555" s="46" t="n">
        <v>0.005765</v>
      </c>
      <c r="D555" s="46" t="n">
        <v>0.178572</v>
      </c>
      <c r="E555" s="46" t="n">
        <v>0.098846</v>
      </c>
      <c r="F555" s="46" t="n">
        <v>0.296732</v>
      </c>
      <c r="G555" s="47" t="n">
        <f aca="false">A555*Scorecard!$C$12+B555*Scorecard!$C$13+C555*Scorecard!$C$14+D555*Scorecard!$C$15+E555*Scorecard!$C$16+F555*Scorecard!$C$17</f>
        <v>2.91260283527007</v>
      </c>
      <c r="H555" s="47" t="n">
        <f aca="false">A555*Scorecard!$D$12+B555*Scorecard!$D$13+C555*Scorecard!$D$14+D555*Scorecard!$D$15+E555*Scorecard!$D$16+F555*Scorecard!$D$17</f>
        <v>3.00747539648069</v>
      </c>
      <c r="I555" s="47" t="n">
        <f aca="false">A555*Scorecard!$E$12+B555*Scorecard!$E$13+C555*Scorecard!$E$14+D555*Scorecard!$E$15+E555*Scorecard!$E$16+F555*Scorecard!$E$17</f>
        <v>4.35285923434125</v>
      </c>
      <c r="J555" s="0" t="str">
        <f aca="false">IF(AND(G555&gt;=H555,G555&gt;=I555),"Distribution",IF(I555&gt;=H555,"Prof. services","Manufacturing"))</f>
        <v>Prof. services</v>
      </c>
      <c r="L555" s="46" t="n">
        <v>0.40854</v>
      </c>
      <c r="M555" s="46" t="n">
        <v>0.155325</v>
      </c>
      <c r="N555" s="46" t="n">
        <v>0.170369</v>
      </c>
      <c r="O555" s="46" t="n">
        <v>0.111623</v>
      </c>
      <c r="P555" s="46" t="n">
        <v>0.077248</v>
      </c>
      <c r="Q555" s="46" t="n">
        <v>0.076895</v>
      </c>
      <c r="R555" s="47" t="n">
        <f aca="false">L555*Scorecard!$C$12+M555*Scorecard!$C$13+N555*Scorecard!$C$14+O555*Scorecard!$C$15+P555*Scorecard!$C$16+Q555*Scorecard!$C$17</f>
        <v>3.37778017382372</v>
      </c>
      <c r="S555" s="47" t="n">
        <f aca="false">L555*Scorecard!$D$12+M555*Scorecard!$D$13+N555*Scorecard!$D$14+O555*Scorecard!$D$15+P555*Scorecard!$D$16+Q555*Scorecard!$D$17</f>
        <v>3.07634379023398</v>
      </c>
      <c r="T555" s="47" t="n">
        <f aca="false">L555*Scorecard!$E$12+M555*Scorecard!$E$13+N555*Scorecard!$E$14+O555*Scorecard!$E$15+P555*Scorecard!$E$16+Q555*Scorecard!$E$17</f>
        <v>4.21560267794704</v>
      </c>
      <c r="U555" s="0" t="str">
        <f aca="false">IF(AND(R555&gt;=S555,R555&gt;=T555),"Distribution",IF(T555&gt;=S555,"Prof. services","Manufacturing"))</f>
        <v>Prof. services</v>
      </c>
    </row>
    <row r="556" customFormat="false" ht="15" hidden="false" customHeight="false" outlineLevel="0" collapsed="false">
      <c r="A556" s="46" t="n">
        <v>0.194742</v>
      </c>
      <c r="B556" s="46" t="n">
        <v>0.29749</v>
      </c>
      <c r="C556" s="46" t="n">
        <v>0.30713</v>
      </c>
      <c r="D556" s="46" t="n">
        <v>0.144122</v>
      </c>
      <c r="E556" s="46" t="n">
        <v>0.010983</v>
      </c>
      <c r="F556" s="46" t="n">
        <v>0.045533</v>
      </c>
      <c r="G556" s="47" t="n">
        <f aca="false">A556*Scorecard!$C$12+B556*Scorecard!$C$13+C556*Scorecard!$C$14+D556*Scorecard!$C$15+E556*Scorecard!$C$16+F556*Scorecard!$C$17</f>
        <v>4.00000762279037</v>
      </c>
      <c r="H556" s="47" t="n">
        <f aca="false">A556*Scorecard!$D$12+B556*Scorecard!$D$13+C556*Scorecard!$D$14+D556*Scorecard!$D$15+E556*Scorecard!$D$16+F556*Scorecard!$D$17</f>
        <v>2.7843066204464</v>
      </c>
      <c r="I556" s="47" t="n">
        <f aca="false">A556*Scorecard!$E$12+B556*Scorecard!$E$13+C556*Scorecard!$E$14+D556*Scorecard!$E$15+E556*Scorecard!$E$16+F556*Scorecard!$E$17</f>
        <v>3.97201686137024</v>
      </c>
      <c r="J556" s="0" t="str">
        <f aca="false">IF(AND(G556&gt;=H556,G556&gt;=I556),"Distribution",IF(I556&gt;=H556,"Prof. services","Manufacturing"))</f>
        <v>Distribution</v>
      </c>
      <c r="L556" s="46" t="n">
        <v>0.184112</v>
      </c>
      <c r="M556" s="46" t="n">
        <v>0.218334</v>
      </c>
      <c r="N556" s="46" t="n">
        <v>0.223129</v>
      </c>
      <c r="O556" s="46" t="n">
        <v>0.083955</v>
      </c>
      <c r="P556" s="46" t="n">
        <v>0.204205</v>
      </c>
      <c r="Q556" s="46" t="n">
        <v>0.086264</v>
      </c>
      <c r="R556" s="47" t="n">
        <f aca="false">L556*Scorecard!$C$12+M556*Scorecard!$C$13+N556*Scorecard!$C$14+O556*Scorecard!$C$15+P556*Scorecard!$C$16+Q556*Scorecard!$C$17</f>
        <v>3.79835277438447</v>
      </c>
      <c r="S556" s="47" t="n">
        <f aca="false">L556*Scorecard!$D$12+M556*Scorecard!$D$13+N556*Scorecard!$D$14+O556*Scorecard!$D$15+P556*Scorecard!$D$16+Q556*Scorecard!$D$17</f>
        <v>2.82975433504324</v>
      </c>
      <c r="T556" s="47" t="n">
        <f aca="false">L556*Scorecard!$E$12+M556*Scorecard!$E$13+N556*Scorecard!$E$14+O556*Scorecard!$E$15+P556*Scorecard!$E$16+Q556*Scorecard!$E$17</f>
        <v>3.71430068016739</v>
      </c>
      <c r="U556" s="0" t="str">
        <f aca="false">IF(AND(R556&gt;=S556,R556&gt;=T556),"Distribution",IF(T556&gt;=S556,"Prof. services","Manufacturing"))</f>
        <v>Distribution</v>
      </c>
    </row>
    <row r="557" customFormat="false" ht="15" hidden="false" customHeight="false" outlineLevel="0" collapsed="false">
      <c r="A557" s="46" t="n">
        <v>0.139241</v>
      </c>
      <c r="B557" s="46" t="n">
        <v>0.495868</v>
      </c>
      <c r="C557" s="46" t="n">
        <v>0.002765</v>
      </c>
      <c r="D557" s="46" t="n">
        <v>0.279104</v>
      </c>
      <c r="E557" s="46" t="n">
        <v>0.055385</v>
      </c>
      <c r="F557" s="46" t="n">
        <v>0.027635</v>
      </c>
      <c r="G557" s="47" t="n">
        <f aca="false">A557*Scorecard!$C$12+B557*Scorecard!$C$13+C557*Scorecard!$C$14+D557*Scorecard!$C$15+E557*Scorecard!$C$16+F557*Scorecard!$C$17</f>
        <v>4.46905821428842</v>
      </c>
      <c r="H557" s="47" t="n">
        <f aca="false">A557*Scorecard!$D$12+B557*Scorecard!$D$13+C557*Scorecard!$D$14+D557*Scorecard!$D$15+E557*Scorecard!$D$16+F557*Scorecard!$D$17</f>
        <v>2.64778210014347</v>
      </c>
      <c r="I557" s="47" t="n">
        <f aca="false">A557*Scorecard!$E$12+B557*Scorecard!$E$13+C557*Scorecard!$E$14+D557*Scorecard!$E$15+E557*Scorecard!$E$16+F557*Scorecard!$E$17</f>
        <v>3.17926715380768</v>
      </c>
      <c r="J557" s="0" t="str">
        <f aca="false">IF(AND(G557&gt;=H557,G557&gt;=I557),"Distribution",IF(I557&gt;=H557,"Prof. services","Manufacturing"))</f>
        <v>Distribution</v>
      </c>
      <c r="L557" s="46" t="n">
        <v>0.112123</v>
      </c>
      <c r="M557" s="46" t="n">
        <v>0.156795</v>
      </c>
      <c r="N557" s="46" t="n">
        <v>0.18683</v>
      </c>
      <c r="O557" s="46" t="n">
        <v>0.25202</v>
      </c>
      <c r="P557" s="46" t="n">
        <v>0.233206</v>
      </c>
      <c r="Q557" s="46" t="n">
        <v>0.059024</v>
      </c>
      <c r="R557" s="47" t="n">
        <f aca="false">L557*Scorecard!$C$12+M557*Scorecard!$C$13+N557*Scorecard!$C$14+O557*Scorecard!$C$15+P557*Scorecard!$C$16+Q557*Scorecard!$C$17</f>
        <v>4.08893600101737</v>
      </c>
      <c r="S557" s="47" t="n">
        <f aca="false">L557*Scorecard!$D$12+M557*Scorecard!$D$13+N557*Scorecard!$D$14+O557*Scorecard!$D$15+P557*Scorecard!$D$16+Q557*Scorecard!$D$17</f>
        <v>3.11965519626441</v>
      </c>
      <c r="T557" s="47" t="n">
        <f aca="false">L557*Scorecard!$E$12+M557*Scorecard!$E$13+N557*Scorecard!$E$14+O557*Scorecard!$E$15+P557*Scorecard!$E$16+Q557*Scorecard!$E$17</f>
        <v>3.68705665182511</v>
      </c>
      <c r="U557" s="0" t="str">
        <f aca="false">IF(AND(R557&gt;=S557,R557&gt;=T557),"Distribution",IF(T557&gt;=S557,"Prof. services","Manufacturing"))</f>
        <v>Distribution</v>
      </c>
    </row>
    <row r="558" customFormat="false" ht="15" hidden="false" customHeight="false" outlineLevel="0" collapsed="false">
      <c r="A558" s="46" t="n">
        <v>0.017326</v>
      </c>
      <c r="B558" s="46" t="n">
        <v>0.073823</v>
      </c>
      <c r="C558" s="46" t="n">
        <v>0.345746</v>
      </c>
      <c r="D558" s="46" t="n">
        <v>0.17064</v>
      </c>
      <c r="E558" s="46" t="n">
        <v>0.260647</v>
      </c>
      <c r="F558" s="46" t="n">
        <v>0.131817</v>
      </c>
      <c r="G558" s="47" t="n">
        <f aca="false">A558*Scorecard!$C$12+B558*Scorecard!$C$13+C558*Scorecard!$C$14+D558*Scorecard!$C$15+E558*Scorecard!$C$16+F558*Scorecard!$C$17</f>
        <v>3.94963795291445</v>
      </c>
      <c r="H558" s="47" t="n">
        <f aca="false">A558*Scorecard!$D$12+B558*Scorecard!$D$13+C558*Scorecard!$D$14+D558*Scorecard!$D$15+E558*Scorecard!$D$16+F558*Scorecard!$D$17</f>
        <v>2.98732992634556</v>
      </c>
      <c r="I558" s="47" t="n">
        <f aca="false">A558*Scorecard!$E$12+B558*Scorecard!$E$13+C558*Scorecard!$E$14+D558*Scorecard!$E$15+E558*Scorecard!$E$16+F558*Scorecard!$E$17</f>
        <v>3.88410710848393</v>
      </c>
      <c r="J558" s="0" t="str">
        <f aca="false">IF(AND(G558&gt;=H558,G558&gt;=I558),"Distribution",IF(I558&gt;=H558,"Prof. services","Manufacturing"))</f>
        <v>Distribution</v>
      </c>
      <c r="L558" s="46" t="n">
        <v>0.192158</v>
      </c>
      <c r="M558" s="46" t="n">
        <v>0.143876</v>
      </c>
      <c r="N558" s="46" t="n">
        <v>0.235093</v>
      </c>
      <c r="O558" s="46" t="n">
        <v>0.119855</v>
      </c>
      <c r="P558" s="46" t="n">
        <v>0.137363</v>
      </c>
      <c r="Q558" s="46" t="n">
        <v>0.171655</v>
      </c>
      <c r="R558" s="47" t="n">
        <f aca="false">L558*Scorecard!$C$12+M558*Scorecard!$C$13+N558*Scorecard!$C$14+O558*Scorecard!$C$15+P558*Scorecard!$C$16+Q558*Scorecard!$C$17</f>
        <v>3.57453385964072</v>
      </c>
      <c r="S558" s="47" t="n">
        <f aca="false">L558*Scorecard!$D$12+M558*Scorecard!$D$13+N558*Scorecard!$D$14+O558*Scorecard!$D$15+P558*Scorecard!$D$16+Q558*Scorecard!$D$17</f>
        <v>2.83802587167311</v>
      </c>
      <c r="T558" s="47" t="n">
        <f aca="false">L558*Scorecard!$E$12+M558*Scorecard!$E$13+N558*Scorecard!$E$14+O558*Scorecard!$E$15+P558*Scorecard!$E$16+Q558*Scorecard!$E$17</f>
        <v>4.03395756863547</v>
      </c>
      <c r="U558" s="0" t="str">
        <f aca="false">IF(AND(R558&gt;=S558,R558&gt;=T558),"Distribution",IF(T558&gt;=S558,"Prof. services","Manufacturing"))</f>
        <v>Prof. services</v>
      </c>
    </row>
    <row r="559" customFormat="false" ht="15" hidden="false" customHeight="false" outlineLevel="0" collapsed="false">
      <c r="A559" s="46" t="n">
        <v>0.068017</v>
      </c>
      <c r="B559" s="46" t="n">
        <v>0.522515</v>
      </c>
      <c r="C559" s="46" t="n">
        <v>0.179742</v>
      </c>
      <c r="D559" s="46" t="n">
        <v>0.224203</v>
      </c>
      <c r="E559" s="46" t="n">
        <v>6.6E-005</v>
      </c>
      <c r="F559" s="46" t="n">
        <v>0.005457</v>
      </c>
      <c r="G559" s="47" t="n">
        <f aca="false">A559*Scorecard!$C$12+B559*Scorecard!$C$13+C559*Scorecard!$C$14+D559*Scorecard!$C$15+E559*Scorecard!$C$16+F559*Scorecard!$C$17</f>
        <v>4.61337243001167</v>
      </c>
      <c r="H559" s="47" t="n">
        <f aca="false">A559*Scorecard!$D$12+B559*Scorecard!$D$13+C559*Scorecard!$D$14+D559*Scorecard!$D$15+E559*Scorecard!$D$16+F559*Scorecard!$D$17</f>
        <v>2.51201562861052</v>
      </c>
      <c r="I559" s="47" t="n">
        <f aca="false">A559*Scorecard!$E$12+B559*Scorecard!$E$13+C559*Scorecard!$E$14+D559*Scorecard!$E$15+E559*Scorecard!$E$16+F559*Scorecard!$E$17</f>
        <v>3.30714888885245</v>
      </c>
      <c r="J559" s="0" t="str">
        <f aca="false">IF(AND(G559&gt;=H559,G559&gt;=I559),"Distribution",IF(I559&gt;=H559,"Prof. services","Manufacturing"))</f>
        <v>Distribution</v>
      </c>
      <c r="L559" s="46" t="n">
        <v>0.089906</v>
      </c>
      <c r="M559" s="46" t="n">
        <v>0.255123</v>
      </c>
      <c r="N559" s="46" t="n">
        <v>0.179802</v>
      </c>
      <c r="O559" s="46" t="n">
        <v>0.198438</v>
      </c>
      <c r="P559" s="46" t="n">
        <v>0.156794</v>
      </c>
      <c r="Q559" s="46" t="n">
        <v>0.119939</v>
      </c>
      <c r="R559" s="47" t="n">
        <f aca="false">L559*Scorecard!$C$12+M559*Scorecard!$C$13+N559*Scorecard!$C$14+O559*Scorecard!$C$15+P559*Scorecard!$C$16+Q559*Scorecard!$C$17</f>
        <v>4.05185891785332</v>
      </c>
      <c r="S559" s="47" t="n">
        <f aca="false">L559*Scorecard!$D$12+M559*Scorecard!$D$13+N559*Scorecard!$D$14+O559*Scorecard!$D$15+P559*Scorecard!$D$16+Q559*Scorecard!$D$17</f>
        <v>2.77852935643119</v>
      </c>
      <c r="T559" s="47" t="n">
        <f aca="false">L559*Scorecard!$E$12+M559*Scorecard!$E$13+N559*Scorecard!$E$14+O559*Scorecard!$E$15+P559*Scorecard!$E$16+Q559*Scorecard!$E$17</f>
        <v>3.62242235793451</v>
      </c>
      <c r="U559" s="0" t="str">
        <f aca="false">IF(AND(R559&gt;=S559,R559&gt;=T559),"Distribution",IF(T559&gt;=S559,"Prof. services","Manufacturing"))</f>
        <v>Distribution</v>
      </c>
    </row>
    <row r="560" customFormat="false" ht="15" hidden="false" customHeight="false" outlineLevel="0" collapsed="false">
      <c r="A560" s="46" t="n">
        <v>0.127054</v>
      </c>
      <c r="B560" s="46" t="n">
        <v>0.307802</v>
      </c>
      <c r="C560" s="46" t="n">
        <v>0.169084</v>
      </c>
      <c r="D560" s="46" t="n">
        <v>0.000919</v>
      </c>
      <c r="E560" s="46" t="n">
        <v>0.182588</v>
      </c>
      <c r="F560" s="46" t="n">
        <v>0.212553</v>
      </c>
      <c r="G560" s="47" t="n">
        <f aca="false">A560*Scorecard!$C$12+B560*Scorecard!$C$13+C560*Scorecard!$C$14+D560*Scorecard!$C$15+E560*Scorecard!$C$16+F560*Scorecard!$C$17</f>
        <v>3.65491598808684</v>
      </c>
      <c r="H560" s="47" t="n">
        <f aca="false">A560*Scorecard!$D$12+B560*Scorecard!$D$13+C560*Scorecard!$D$14+D560*Scorecard!$D$15+E560*Scorecard!$D$16+F560*Scorecard!$D$17</f>
        <v>2.3650110199511</v>
      </c>
      <c r="I560" s="47" t="n">
        <f aca="false">A560*Scorecard!$E$12+B560*Scorecard!$E$13+C560*Scorecard!$E$14+D560*Scorecard!$E$15+E560*Scorecard!$E$16+F560*Scorecard!$E$17</f>
        <v>3.52094238840041</v>
      </c>
      <c r="J560" s="0" t="str">
        <f aca="false">IF(AND(G560&gt;=H560,G560&gt;=I560),"Distribution",IF(I560&gt;=H560,"Prof. services","Manufacturing"))</f>
        <v>Distribution</v>
      </c>
      <c r="L560" s="46" t="n">
        <v>0.253132</v>
      </c>
      <c r="M560" s="46" t="n">
        <v>0.159163</v>
      </c>
      <c r="N560" s="46" t="n">
        <v>0.194296</v>
      </c>
      <c r="O560" s="46" t="n">
        <v>0.124013</v>
      </c>
      <c r="P560" s="46" t="n">
        <v>0.061063</v>
      </c>
      <c r="Q560" s="46" t="n">
        <v>0.208333</v>
      </c>
      <c r="R560" s="47" t="n">
        <f aca="false">L560*Scorecard!$C$12+M560*Scorecard!$C$13+N560*Scorecard!$C$14+O560*Scorecard!$C$15+P560*Scorecard!$C$16+Q560*Scorecard!$C$17</f>
        <v>3.41086879009239</v>
      </c>
      <c r="S560" s="47" t="n">
        <f aca="false">L560*Scorecard!$D$12+M560*Scorecard!$D$13+N560*Scorecard!$D$14+O560*Scorecard!$D$15+P560*Scorecard!$D$16+Q560*Scorecard!$D$17</f>
        <v>2.77971951092832</v>
      </c>
      <c r="T560" s="47" t="n">
        <f aca="false">L560*Scorecard!$E$12+M560*Scorecard!$E$13+N560*Scorecard!$E$14+O560*Scorecard!$E$15+P560*Scorecard!$E$16+Q560*Scorecard!$E$17</f>
        <v>4.17165049904074</v>
      </c>
      <c r="U560" s="0" t="str">
        <f aca="false">IF(AND(R560&gt;=S560,R560&gt;=T560),"Distribution",IF(T560&gt;=S560,"Prof. services","Manufacturing"))</f>
        <v>Prof. services</v>
      </c>
    </row>
    <row r="561" customFormat="false" ht="15" hidden="false" customHeight="false" outlineLevel="0" collapsed="false">
      <c r="A561" s="46" t="n">
        <v>0.541094</v>
      </c>
      <c r="B561" s="46" t="n">
        <v>0.000615</v>
      </c>
      <c r="C561" s="46" t="n">
        <v>0.012273</v>
      </c>
      <c r="D561" s="46" t="n">
        <v>0.240848</v>
      </c>
      <c r="E561" s="46" t="n">
        <v>0.144123</v>
      </c>
      <c r="F561" s="46" t="n">
        <v>0.061047</v>
      </c>
      <c r="G561" s="47" t="n">
        <f aca="false">A561*Scorecard!$C$12+B561*Scorecard!$C$13+C561*Scorecard!$C$14+D561*Scorecard!$C$15+E561*Scorecard!$C$16+F561*Scorecard!$C$17</f>
        <v>3.14539208347524</v>
      </c>
      <c r="H561" s="47" t="n">
        <f aca="false">A561*Scorecard!$D$12+B561*Scorecard!$D$13+C561*Scorecard!$D$14+D561*Scorecard!$D$15+E561*Scorecard!$D$16+F561*Scorecard!$D$17</f>
        <v>3.5917820781461</v>
      </c>
      <c r="I561" s="47" t="n">
        <f aca="false">A561*Scorecard!$E$12+B561*Scorecard!$E$13+C561*Scorecard!$E$14+D561*Scorecard!$E$15+E561*Scorecard!$E$16+F561*Scorecard!$E$17</f>
        <v>4.38205764051217</v>
      </c>
      <c r="J561" s="0" t="str">
        <f aca="false">IF(AND(G561&gt;=H561,G561&gt;=I561),"Distribution",IF(I561&gt;=H561,"Prof. services","Manufacturing"))</f>
        <v>Prof. services</v>
      </c>
      <c r="L561" s="46" t="n">
        <v>0.143897</v>
      </c>
      <c r="M561" s="46" t="n">
        <v>0.103132</v>
      </c>
      <c r="N561" s="46" t="n">
        <v>0.320122</v>
      </c>
      <c r="O561" s="46" t="n">
        <v>0.316326</v>
      </c>
      <c r="P561" s="46" t="n">
        <v>0.055299</v>
      </c>
      <c r="Q561" s="46" t="n">
        <v>0.061225</v>
      </c>
      <c r="R561" s="47" t="n">
        <f aca="false">L561*Scorecard!$C$12+M561*Scorecard!$C$13+N561*Scorecard!$C$14+O561*Scorecard!$C$15+P561*Scorecard!$C$16+Q561*Scorecard!$C$17</f>
        <v>4.03799534788934</v>
      </c>
      <c r="S561" s="47" t="n">
        <f aca="false">L561*Scorecard!$D$12+M561*Scorecard!$D$13+N561*Scorecard!$D$14+O561*Scorecard!$D$15+P561*Scorecard!$D$16+Q561*Scorecard!$D$17</f>
        <v>3.23304019294232</v>
      </c>
      <c r="T561" s="47" t="n">
        <f aca="false">L561*Scorecard!$E$12+M561*Scorecard!$E$13+N561*Scorecard!$E$14+O561*Scorecard!$E$15+P561*Scorecard!$E$16+Q561*Scorecard!$E$17</f>
        <v>4.26094974668045</v>
      </c>
      <c r="U561" s="0" t="str">
        <f aca="false">IF(AND(R561&gt;=S561,R561&gt;=T561),"Distribution",IF(T561&gt;=S561,"Prof. services","Manufacturing"))</f>
        <v>Prof. services</v>
      </c>
    </row>
    <row r="562" customFormat="false" ht="15" hidden="false" customHeight="false" outlineLevel="0" collapsed="false">
      <c r="A562" s="46" t="n">
        <v>0.094689</v>
      </c>
      <c r="B562" s="46" t="n">
        <v>0.110092</v>
      </c>
      <c r="C562" s="46" t="n">
        <v>0.345613</v>
      </c>
      <c r="D562" s="46" t="n">
        <v>0.272158</v>
      </c>
      <c r="E562" s="46" t="n">
        <v>0.094265</v>
      </c>
      <c r="F562" s="46" t="n">
        <v>0.083183</v>
      </c>
      <c r="G562" s="47" t="n">
        <f aca="false">A562*Scorecard!$C$12+B562*Scorecard!$C$13+C562*Scorecard!$C$14+D562*Scorecard!$C$15+E562*Scorecard!$C$16+F562*Scorecard!$C$17</f>
        <v>4.04544244964311</v>
      </c>
      <c r="H562" s="47" t="n">
        <f aca="false">A562*Scorecard!$D$12+B562*Scorecard!$D$13+C562*Scorecard!$D$14+D562*Scorecard!$D$15+E562*Scorecard!$D$16+F562*Scorecard!$D$17</f>
        <v>3.11900689202006</v>
      </c>
      <c r="I562" s="47" t="n">
        <f aca="false">A562*Scorecard!$E$12+B562*Scorecard!$E$13+C562*Scorecard!$E$14+D562*Scorecard!$E$15+E562*Scorecard!$E$16+F562*Scorecard!$E$17</f>
        <v>4.16296190230691</v>
      </c>
      <c r="J562" s="0" t="str">
        <f aca="false">IF(AND(G562&gt;=H562,G562&gt;=I562),"Distribution",IF(I562&gt;=H562,"Prof. services","Manufacturing"))</f>
        <v>Prof. services</v>
      </c>
      <c r="L562" s="46" t="n">
        <v>0.166763</v>
      </c>
      <c r="M562" s="46" t="n">
        <v>0.125675</v>
      </c>
      <c r="N562" s="46" t="n">
        <v>0.27845</v>
      </c>
      <c r="O562" s="46" t="n">
        <v>0.046172</v>
      </c>
      <c r="P562" s="46" t="n">
        <v>0.290817</v>
      </c>
      <c r="Q562" s="46" t="n">
        <v>0.092123</v>
      </c>
      <c r="R562" s="47" t="n">
        <f aca="false">L562*Scorecard!$C$12+M562*Scorecard!$C$13+N562*Scorecard!$C$14+O562*Scorecard!$C$15+P562*Scorecard!$C$16+Q562*Scorecard!$C$17</f>
        <v>3.68742522179803</v>
      </c>
      <c r="S562" s="47" t="n">
        <f aca="false">L562*Scorecard!$D$12+M562*Scorecard!$D$13+N562*Scorecard!$D$14+O562*Scorecard!$D$15+P562*Scorecard!$D$16+Q562*Scorecard!$D$17</f>
        <v>2.93372182409832</v>
      </c>
      <c r="T562" s="47" t="n">
        <f aca="false">L562*Scorecard!$E$12+M562*Scorecard!$E$13+N562*Scorecard!$E$14+O562*Scorecard!$E$15+P562*Scorecard!$E$16+Q562*Scorecard!$E$17</f>
        <v>3.77844233479519</v>
      </c>
      <c r="U562" s="0" t="str">
        <f aca="false">IF(AND(R562&gt;=S562,R562&gt;=T562),"Distribution",IF(T562&gt;=S562,"Prof. services","Manufacturing"))</f>
        <v>Prof. services</v>
      </c>
    </row>
    <row r="563" customFormat="false" ht="15" hidden="false" customHeight="false" outlineLevel="0" collapsed="false">
      <c r="A563" s="46" t="n">
        <v>0.066761</v>
      </c>
      <c r="B563" s="46" t="n">
        <v>0.117136</v>
      </c>
      <c r="C563" s="46" t="n">
        <v>0.211074</v>
      </c>
      <c r="D563" s="46" t="n">
        <v>0.183367</v>
      </c>
      <c r="E563" s="46" t="n">
        <v>0.297872</v>
      </c>
      <c r="F563" s="46" t="n">
        <v>0.123788</v>
      </c>
      <c r="G563" s="47" t="n">
        <f aca="false">A563*Scorecard!$C$12+B563*Scorecard!$C$13+C563*Scorecard!$C$14+D563*Scorecard!$C$15+E563*Scorecard!$C$16+F563*Scorecard!$C$17</f>
        <v>3.93274824792345</v>
      </c>
      <c r="H563" s="47" t="n">
        <f aca="false">A563*Scorecard!$D$12+B563*Scorecard!$D$13+C563*Scorecard!$D$14+D563*Scorecard!$D$15+E563*Scorecard!$D$16+F563*Scorecard!$D$17</f>
        <v>2.99415340180871</v>
      </c>
      <c r="I563" s="47" t="n">
        <f aca="false">A563*Scorecard!$E$12+B563*Scorecard!$E$13+C563*Scorecard!$E$14+D563*Scorecard!$E$15+E563*Scorecard!$E$16+F563*Scorecard!$E$17</f>
        <v>3.65366124997638</v>
      </c>
      <c r="J563" s="0" t="str">
        <f aca="false">IF(AND(G563&gt;=H563,G563&gt;=I563),"Distribution",IF(I563&gt;=H563,"Prof. services","Manufacturing"))</f>
        <v>Distribution</v>
      </c>
      <c r="L563" s="46" t="n">
        <v>0.258587</v>
      </c>
      <c r="M563" s="46" t="n">
        <v>0.124069</v>
      </c>
      <c r="N563" s="46" t="n">
        <v>0.110633</v>
      </c>
      <c r="O563" s="46" t="n">
        <v>0.149879</v>
      </c>
      <c r="P563" s="46" t="n">
        <v>0.210621</v>
      </c>
      <c r="Q563" s="46" t="n">
        <v>0.146211</v>
      </c>
      <c r="R563" s="47" t="n">
        <f aca="false">L563*Scorecard!$C$12+M563*Scorecard!$C$13+N563*Scorecard!$C$14+O563*Scorecard!$C$15+P563*Scorecard!$C$16+Q563*Scorecard!$C$17</f>
        <v>3.51606571229881</v>
      </c>
      <c r="S563" s="47" t="n">
        <f aca="false">L563*Scorecard!$D$12+M563*Scorecard!$D$13+N563*Scorecard!$D$14+O563*Scorecard!$D$15+P563*Scorecard!$D$16+Q563*Scorecard!$D$17</f>
        <v>3.00897818379688</v>
      </c>
      <c r="T563" s="47" t="n">
        <f aca="false">L563*Scorecard!$E$12+M563*Scorecard!$E$13+N563*Scorecard!$E$14+O563*Scorecard!$E$15+P563*Scorecard!$E$16+Q563*Scorecard!$E$17</f>
        <v>3.8831849106632</v>
      </c>
      <c r="U563" s="0" t="str">
        <f aca="false">IF(AND(R563&gt;=S563,R563&gt;=T563),"Distribution",IF(T563&gt;=S563,"Prof. services","Manufacturing"))</f>
        <v>Prof. services</v>
      </c>
    </row>
    <row r="564" customFormat="false" ht="15" hidden="false" customHeight="false" outlineLevel="0" collapsed="false">
      <c r="A564" s="46" t="n">
        <v>0.104251</v>
      </c>
      <c r="B564" s="46" t="n">
        <v>0.061732</v>
      </c>
      <c r="C564" s="46" t="n">
        <v>0.213752</v>
      </c>
      <c r="D564" s="46" t="n">
        <v>0.448476</v>
      </c>
      <c r="E564" s="46" t="n">
        <v>0.049827</v>
      </c>
      <c r="F564" s="46" t="n">
        <v>0.121961</v>
      </c>
      <c r="G564" s="47" t="n">
        <f aca="false">A564*Scorecard!$C$12+B564*Scorecard!$C$13+C564*Scorecard!$C$14+D564*Scorecard!$C$15+E564*Scorecard!$C$16+F564*Scorecard!$C$17</f>
        <v>4.07862871327972</v>
      </c>
      <c r="H564" s="47" t="n">
        <f aca="false">A564*Scorecard!$D$12+B564*Scorecard!$D$13+C564*Scorecard!$D$14+D564*Scorecard!$D$15+E564*Scorecard!$D$16+F564*Scorecard!$D$17</f>
        <v>3.32904182996476</v>
      </c>
      <c r="I564" s="47" t="n">
        <f aca="false">A564*Scorecard!$E$12+B564*Scorecard!$E$13+C564*Scorecard!$E$14+D564*Scorecard!$E$15+E564*Scorecard!$E$16+F564*Scorecard!$E$17</f>
        <v>4.25375024106498</v>
      </c>
      <c r="J564" s="0" t="str">
        <f aca="false">IF(AND(G564&gt;=H564,G564&gt;=I564),"Distribution",IF(I564&gt;=H564,"Prof. services","Manufacturing"))</f>
        <v>Prof. services</v>
      </c>
      <c r="L564" s="46" t="n">
        <v>0.101544</v>
      </c>
      <c r="M564" s="46" t="n">
        <v>0.365377</v>
      </c>
      <c r="N564" s="46" t="n">
        <v>0.185039</v>
      </c>
      <c r="O564" s="46" t="n">
        <v>0.147837</v>
      </c>
      <c r="P564" s="46" t="n">
        <v>0.131429</v>
      </c>
      <c r="Q564" s="46" t="n">
        <v>0.068774</v>
      </c>
      <c r="R564" s="47" t="n">
        <f aca="false">L564*Scorecard!$C$12+M564*Scorecard!$C$13+N564*Scorecard!$C$14+O564*Scorecard!$C$15+P564*Scorecard!$C$16+Q564*Scorecard!$C$17</f>
        <v>4.19288535188416</v>
      </c>
      <c r="S564" s="47" t="n">
        <f aca="false">L564*Scorecard!$D$12+M564*Scorecard!$D$13+N564*Scorecard!$D$14+O564*Scorecard!$D$15+P564*Scorecard!$D$16+Q564*Scorecard!$D$17</f>
        <v>2.63043405004501</v>
      </c>
      <c r="T564" s="47" t="n">
        <f aca="false">L564*Scorecard!$E$12+M564*Scorecard!$E$13+N564*Scorecard!$E$14+O564*Scorecard!$E$15+P564*Scorecard!$E$16+Q564*Scorecard!$E$17</f>
        <v>3.44088668639592</v>
      </c>
      <c r="U564" s="0" t="str">
        <f aca="false">IF(AND(R564&gt;=S564,R564&gt;=T564),"Distribution",IF(T564&gt;=S564,"Prof. services","Manufacturing"))</f>
        <v>Distribution</v>
      </c>
    </row>
    <row r="565" customFormat="false" ht="15" hidden="false" customHeight="false" outlineLevel="0" collapsed="false">
      <c r="A565" s="46" t="n">
        <v>0.033445</v>
      </c>
      <c r="B565" s="46" t="n">
        <v>0.131359</v>
      </c>
      <c r="C565" s="46" t="n">
        <v>0.207733</v>
      </c>
      <c r="D565" s="46" t="n">
        <v>0.051648</v>
      </c>
      <c r="E565" s="46" t="n">
        <v>0.092766</v>
      </c>
      <c r="F565" s="46" t="n">
        <v>0.483048</v>
      </c>
      <c r="G565" s="47" t="n">
        <f aca="false">A565*Scorecard!$C$12+B565*Scorecard!$C$13+C565*Scorecard!$C$14+D565*Scorecard!$C$15+E565*Scorecard!$C$16+F565*Scorecard!$C$17</f>
        <v>3.15670552304189</v>
      </c>
      <c r="H565" s="47" t="n">
        <f aca="false">A565*Scorecard!$D$12+B565*Scorecard!$D$13+C565*Scorecard!$D$14+D565*Scorecard!$D$15+E565*Scorecard!$D$16+F565*Scorecard!$D$17</f>
        <v>2.19105879264046</v>
      </c>
      <c r="I565" s="47" t="n">
        <f aca="false">A565*Scorecard!$E$12+B565*Scorecard!$E$13+C565*Scorecard!$E$14+D565*Scorecard!$E$15+E565*Scorecard!$E$16+F565*Scorecard!$E$17</f>
        <v>4.09018866298498</v>
      </c>
      <c r="J565" s="0" t="str">
        <f aca="false">IF(AND(G565&gt;=H565,G565&gt;=I565),"Distribution",IF(I565&gt;=H565,"Prof. services","Manufacturing"))</f>
        <v>Prof. services</v>
      </c>
      <c r="L565" s="46" t="n">
        <v>0.165754</v>
      </c>
      <c r="M565" s="46" t="n">
        <v>0.119179</v>
      </c>
      <c r="N565" s="46" t="n">
        <v>0.310989</v>
      </c>
      <c r="O565" s="46" t="n">
        <v>0.186034</v>
      </c>
      <c r="P565" s="46" t="n">
        <v>0.149857</v>
      </c>
      <c r="Q565" s="46" t="n">
        <v>0.068187</v>
      </c>
      <c r="R565" s="47" t="n">
        <f aca="false">L565*Scorecard!$C$12+M565*Scorecard!$C$13+N565*Scorecard!$C$14+O565*Scorecard!$C$15+P565*Scorecard!$C$16+Q565*Scorecard!$C$17</f>
        <v>3.87047943618734</v>
      </c>
      <c r="S565" s="47" t="n">
        <f aca="false">L565*Scorecard!$D$12+M565*Scorecard!$D$13+N565*Scorecard!$D$14+O565*Scorecard!$D$15+P565*Scorecard!$D$16+Q565*Scorecard!$D$17</f>
        <v>3.09363318320019</v>
      </c>
      <c r="T565" s="47" t="n">
        <f aca="false">L565*Scorecard!$E$12+M565*Scorecard!$E$13+N565*Scorecard!$E$14+O565*Scorecard!$E$15+P565*Scorecard!$E$16+Q565*Scorecard!$E$17</f>
        <v>4.06807427335323</v>
      </c>
      <c r="U565" s="0" t="str">
        <f aca="false">IF(AND(R565&gt;=S565,R565&gt;=T565),"Distribution",IF(T565&gt;=S565,"Prof. services","Manufacturing"))</f>
        <v>Prof. services</v>
      </c>
    </row>
    <row r="566" customFormat="false" ht="15" hidden="false" customHeight="false" outlineLevel="0" collapsed="false">
      <c r="A566" s="46" t="n">
        <v>0.000454</v>
      </c>
      <c r="B566" s="46" t="n">
        <v>0.2617</v>
      </c>
      <c r="C566" s="46" t="n">
        <v>0.417827</v>
      </c>
      <c r="D566" s="46" t="n">
        <v>0.130779</v>
      </c>
      <c r="E566" s="46" t="n">
        <v>0.125268</v>
      </c>
      <c r="F566" s="46" t="n">
        <v>0.063972</v>
      </c>
      <c r="G566" s="47" t="n">
        <f aca="false">A566*Scorecard!$C$12+B566*Scorecard!$C$13+C566*Scorecard!$C$14+D566*Scorecard!$C$15+E566*Scorecard!$C$16+F566*Scorecard!$C$17</f>
        <v>4.26371779352552</v>
      </c>
      <c r="H566" s="47" t="n">
        <f aca="false">A566*Scorecard!$D$12+B566*Scorecard!$D$13+C566*Scorecard!$D$14+D566*Scorecard!$D$15+E566*Scorecard!$D$16+F566*Scorecard!$D$17</f>
        <v>2.70468082073188</v>
      </c>
      <c r="I566" s="47" t="n">
        <f aca="false">A566*Scorecard!$E$12+B566*Scorecard!$E$13+C566*Scorecard!$E$14+D566*Scorecard!$E$15+E566*Scorecard!$E$16+F566*Scorecard!$E$17</f>
        <v>3.77210791623991</v>
      </c>
      <c r="J566" s="0" t="str">
        <f aca="false">IF(AND(G566&gt;=H566,G566&gt;=I566),"Distribution",IF(I566&gt;=H566,"Prof. services","Manufacturing"))</f>
        <v>Distribution</v>
      </c>
      <c r="L566" s="46" t="n">
        <v>0.151804</v>
      </c>
      <c r="M566" s="46" t="n">
        <v>0.229512</v>
      </c>
      <c r="N566" s="46" t="n">
        <v>0.21365</v>
      </c>
      <c r="O566" s="46" t="n">
        <v>0.236009</v>
      </c>
      <c r="P566" s="46" t="n">
        <v>0.108188</v>
      </c>
      <c r="Q566" s="46" t="n">
        <v>0.060837</v>
      </c>
      <c r="R566" s="47" t="n">
        <f aca="false">L566*Scorecard!$C$12+M566*Scorecard!$C$13+N566*Scorecard!$C$14+O566*Scorecard!$C$15+P566*Scorecard!$C$16+Q566*Scorecard!$C$17</f>
        <v>4.07059763512786</v>
      </c>
      <c r="S566" s="47" t="n">
        <f aca="false">L566*Scorecard!$D$12+M566*Scorecard!$D$13+N566*Scorecard!$D$14+O566*Scorecard!$D$15+P566*Scorecard!$D$16+Q566*Scorecard!$D$17</f>
        <v>2.97379692106318</v>
      </c>
      <c r="T566" s="47" t="n">
        <f aca="false">L566*Scorecard!$E$12+M566*Scorecard!$E$13+N566*Scorecard!$E$14+O566*Scorecard!$E$15+P566*Scorecard!$E$16+Q566*Scorecard!$E$17</f>
        <v>3.82382081680286</v>
      </c>
      <c r="U566" s="0" t="str">
        <f aca="false">IF(AND(R566&gt;=S566,R566&gt;=T566),"Distribution",IF(T566&gt;=S566,"Prof. services","Manufacturing"))</f>
        <v>Distribution</v>
      </c>
    </row>
    <row r="567" customFormat="false" ht="15" hidden="false" customHeight="false" outlineLevel="0" collapsed="false">
      <c r="A567" s="46" t="n">
        <v>0.359685</v>
      </c>
      <c r="B567" s="46" t="n">
        <v>0.182914</v>
      </c>
      <c r="C567" s="46" t="n">
        <v>0.148565</v>
      </c>
      <c r="D567" s="46" t="n">
        <v>0.11617</v>
      </c>
      <c r="E567" s="46" t="n">
        <v>0.192334</v>
      </c>
      <c r="F567" s="46" t="n">
        <v>0.000332</v>
      </c>
      <c r="G567" s="47" t="n">
        <f aca="false">A567*Scorecard!$C$12+B567*Scorecard!$C$13+C567*Scorecard!$C$14+D567*Scorecard!$C$15+E567*Scorecard!$C$16+F567*Scorecard!$C$17</f>
        <v>3.65098187054336</v>
      </c>
      <c r="H567" s="47" t="n">
        <f aca="false">A567*Scorecard!$D$12+B567*Scorecard!$D$13+C567*Scorecard!$D$14+D567*Scorecard!$D$15+E567*Scorecard!$D$16+F567*Scorecard!$D$17</f>
        <v>3.16113181621623</v>
      </c>
      <c r="I567" s="47" t="n">
        <f aca="false">A567*Scorecard!$E$12+B567*Scorecard!$E$13+C567*Scorecard!$E$14+D567*Scorecard!$E$15+E567*Scorecard!$E$16+F567*Scorecard!$E$17</f>
        <v>3.86385280267382</v>
      </c>
      <c r="J567" s="0" t="str">
        <f aca="false">IF(AND(G567&gt;=H567,G567&gt;=I567),"Distribution",IF(I567&gt;=H567,"Prof. services","Manufacturing"))</f>
        <v>Prof. services</v>
      </c>
      <c r="L567" s="46" t="n">
        <v>0.177204</v>
      </c>
      <c r="M567" s="46" t="n">
        <v>0.192533</v>
      </c>
      <c r="N567" s="46" t="n">
        <v>0.330724</v>
      </c>
      <c r="O567" s="46" t="n">
        <v>0.039853</v>
      </c>
      <c r="P567" s="46" t="n">
        <v>0.189716</v>
      </c>
      <c r="Q567" s="46" t="n">
        <v>0.069969</v>
      </c>
      <c r="R567" s="47" t="n">
        <f aca="false">L567*Scorecard!$C$12+M567*Scorecard!$C$13+N567*Scorecard!$C$14+O567*Scorecard!$C$15+P567*Scorecard!$C$16+Q567*Scorecard!$C$17</f>
        <v>3.77347427289925</v>
      </c>
      <c r="S567" s="47" t="n">
        <f aca="false">L567*Scorecard!$D$12+M567*Scorecard!$D$13+N567*Scorecard!$D$14+O567*Scorecard!$D$15+P567*Scorecard!$D$16+Q567*Scorecard!$D$17</f>
        <v>2.83247715686643</v>
      </c>
      <c r="T567" s="47" t="n">
        <f aca="false">L567*Scorecard!$E$12+M567*Scorecard!$E$13+N567*Scorecard!$E$14+O567*Scorecard!$E$15+P567*Scorecard!$E$16+Q567*Scorecard!$E$17</f>
        <v>3.87214295709319</v>
      </c>
      <c r="U567" s="0" t="str">
        <f aca="false">IF(AND(R567&gt;=S567,R567&gt;=T567),"Distribution",IF(T567&gt;=S567,"Prof. services","Manufacturing"))</f>
        <v>Prof. services</v>
      </c>
    </row>
    <row r="568" customFormat="false" ht="15" hidden="false" customHeight="false" outlineLevel="0" collapsed="false">
      <c r="A568" s="46" t="n">
        <v>0.065472</v>
      </c>
      <c r="B568" s="46" t="n">
        <v>0.129541</v>
      </c>
      <c r="C568" s="46" t="n">
        <v>0.142904</v>
      </c>
      <c r="D568" s="46" t="n">
        <v>0.103725</v>
      </c>
      <c r="E568" s="46" t="n">
        <v>0.36601</v>
      </c>
      <c r="F568" s="46" t="n">
        <v>0.192348</v>
      </c>
      <c r="G568" s="47" t="n">
        <f aca="false">A568*Scorecard!$C$12+B568*Scorecard!$C$13+C568*Scorecard!$C$14+D568*Scorecard!$C$15+E568*Scorecard!$C$16+F568*Scorecard!$C$17</f>
        <v>3.73071946630584</v>
      </c>
      <c r="H568" s="47" t="n">
        <f aca="false">A568*Scorecard!$D$12+B568*Scorecard!$D$13+C568*Scorecard!$D$14+D568*Scorecard!$D$15+E568*Scorecard!$D$16+F568*Scorecard!$D$17</f>
        <v>2.80236383200564</v>
      </c>
      <c r="I568" s="47" t="n">
        <f aca="false">A568*Scorecard!$E$12+B568*Scorecard!$E$13+C568*Scorecard!$E$14+D568*Scorecard!$E$15+E568*Scorecard!$E$16+F568*Scorecard!$E$17</f>
        <v>3.46859018424625</v>
      </c>
      <c r="J568" s="0" t="str">
        <f aca="false">IF(AND(G568&gt;=H568,G568&gt;=I568),"Distribution",IF(I568&gt;=H568,"Prof. services","Manufacturing"))</f>
        <v>Distribution</v>
      </c>
      <c r="L568" s="46" t="n">
        <v>0.159091</v>
      </c>
      <c r="M568" s="46" t="n">
        <v>0.234537</v>
      </c>
      <c r="N568" s="46" t="n">
        <v>0.231212</v>
      </c>
      <c r="O568" s="46" t="n">
        <v>0.114688</v>
      </c>
      <c r="P568" s="46" t="n">
        <v>0.059483</v>
      </c>
      <c r="Q568" s="46" t="n">
        <v>0.20099</v>
      </c>
      <c r="R568" s="47" t="n">
        <f aca="false">L568*Scorecard!$C$12+M568*Scorecard!$C$13+N568*Scorecard!$C$14+O568*Scorecard!$C$15+P568*Scorecard!$C$16+Q568*Scorecard!$C$17</f>
        <v>3.66088293120818</v>
      </c>
      <c r="S568" s="47" t="n">
        <f aca="false">L568*Scorecard!$D$12+M568*Scorecard!$D$13+N568*Scorecard!$D$14+O568*Scorecard!$D$15+P568*Scorecard!$D$16+Q568*Scorecard!$D$17</f>
        <v>2.60416012134445</v>
      </c>
      <c r="T568" s="47" t="n">
        <f aca="false">L568*Scorecard!$E$12+M568*Scorecard!$E$13+N568*Scorecard!$E$14+O568*Scorecard!$E$15+P568*Scorecard!$E$16+Q568*Scorecard!$E$17</f>
        <v>3.97059046909728</v>
      </c>
      <c r="U568" s="0" t="str">
        <f aca="false">IF(AND(R568&gt;=S568,R568&gt;=T568),"Distribution",IF(T568&gt;=S568,"Prof. services","Manufacturing"))</f>
        <v>Prof. services</v>
      </c>
    </row>
    <row r="569" customFormat="false" ht="15" hidden="false" customHeight="false" outlineLevel="0" collapsed="false">
      <c r="A569" s="46" t="n">
        <v>0.079598</v>
      </c>
      <c r="B569" s="46" t="n">
        <v>0.283326</v>
      </c>
      <c r="C569" s="46" t="n">
        <v>0.171382</v>
      </c>
      <c r="D569" s="46" t="n">
        <v>0.202477</v>
      </c>
      <c r="E569" s="46" t="n">
        <v>0.158439</v>
      </c>
      <c r="F569" s="46" t="n">
        <v>0.104779</v>
      </c>
      <c r="G569" s="47" t="n">
        <f aca="false">A569*Scorecard!$C$12+B569*Scorecard!$C$13+C569*Scorecard!$C$14+D569*Scorecard!$C$15+E569*Scorecard!$C$16+F569*Scorecard!$C$17</f>
        <v>4.13297146485539</v>
      </c>
      <c r="H569" s="47" t="n">
        <f aca="false">A569*Scorecard!$D$12+B569*Scorecard!$D$13+C569*Scorecard!$D$14+D569*Scorecard!$D$15+E569*Scorecard!$D$16+F569*Scorecard!$D$17</f>
        <v>2.75734870329373</v>
      </c>
      <c r="I569" s="47" t="n">
        <f aca="false">A569*Scorecard!$E$12+B569*Scorecard!$E$13+C569*Scorecard!$E$14+D569*Scorecard!$E$15+E569*Scorecard!$E$16+F569*Scorecard!$E$17</f>
        <v>3.541134337236</v>
      </c>
      <c r="J569" s="0" t="str">
        <f aca="false">IF(AND(G569&gt;=H569,G569&gt;=I569),"Distribution",IF(I569&gt;=H569,"Prof. services","Manufacturing"))</f>
        <v>Distribution</v>
      </c>
      <c r="L569" s="46" t="n">
        <v>0.174967</v>
      </c>
      <c r="M569" s="46" t="n">
        <v>0.163789</v>
      </c>
      <c r="N569" s="46" t="n">
        <v>0.182027</v>
      </c>
      <c r="O569" s="46" t="n">
        <v>0.254869</v>
      </c>
      <c r="P569" s="46" t="n">
        <v>0.147889</v>
      </c>
      <c r="Q569" s="46" t="n">
        <v>0.076459</v>
      </c>
      <c r="R569" s="47" t="n">
        <f aca="false">L569*Scorecard!$C$12+M569*Scorecard!$C$13+N569*Scorecard!$C$14+O569*Scorecard!$C$15+P569*Scorecard!$C$16+Q569*Scorecard!$C$17</f>
        <v>3.95079690480104</v>
      </c>
      <c r="S569" s="47" t="n">
        <f aca="false">L569*Scorecard!$D$12+M569*Scorecard!$D$13+N569*Scorecard!$D$14+O569*Scorecard!$D$15+P569*Scorecard!$D$16+Q569*Scorecard!$D$17</f>
        <v>3.09938135290371</v>
      </c>
      <c r="T569" s="47" t="n">
        <f aca="false">L569*Scorecard!$E$12+M569*Scorecard!$E$13+N569*Scorecard!$E$14+O569*Scorecard!$E$15+P569*Scorecard!$E$16+Q569*Scorecard!$E$17</f>
        <v>3.88336784269764</v>
      </c>
      <c r="U569" s="0" t="str">
        <f aca="false">IF(AND(R569&gt;=S569,R569&gt;=T569),"Distribution",IF(T569&gt;=S569,"Prof. services","Manufacturing"))</f>
        <v>Distribution</v>
      </c>
    </row>
    <row r="570" customFormat="false" ht="15" hidden="false" customHeight="false" outlineLevel="0" collapsed="false">
      <c r="A570" s="46" t="n">
        <v>0.330249</v>
      </c>
      <c r="B570" s="46" t="n">
        <v>0.09809</v>
      </c>
      <c r="C570" s="46" t="n">
        <v>0.039959</v>
      </c>
      <c r="D570" s="46" t="n">
        <v>0.285812</v>
      </c>
      <c r="E570" s="46" t="n">
        <v>0.022399</v>
      </c>
      <c r="F570" s="46" t="n">
        <v>0.223491</v>
      </c>
      <c r="G570" s="47" t="n">
        <f aca="false">A570*Scorecard!$C$12+B570*Scorecard!$C$13+C570*Scorecard!$C$14+D570*Scorecard!$C$15+E570*Scorecard!$C$16+F570*Scorecard!$C$17</f>
        <v>3.34246709032925</v>
      </c>
      <c r="H570" s="47" t="n">
        <f aca="false">A570*Scorecard!$D$12+B570*Scorecard!$D$13+C570*Scorecard!$D$14+D570*Scorecard!$D$15+E570*Scorecard!$D$16+F570*Scorecard!$D$17</f>
        <v>3.07400995326092</v>
      </c>
      <c r="I570" s="47" t="n">
        <f aca="false">A570*Scorecard!$E$12+B570*Scorecard!$E$13+C570*Scorecard!$E$14+D570*Scorecard!$E$15+E570*Scorecard!$E$16+F570*Scorecard!$E$17</f>
        <v>4.30755013204362</v>
      </c>
      <c r="J570" s="0" t="str">
        <f aca="false">IF(AND(G570&gt;=H570,G570&gt;=I570),"Distribution",IF(I570&gt;=H570,"Prof. services","Manufacturing"))</f>
        <v>Prof. services</v>
      </c>
      <c r="L570" s="46" t="n">
        <v>0.235552</v>
      </c>
      <c r="M570" s="46" t="n">
        <v>0.221984</v>
      </c>
      <c r="N570" s="46" t="n">
        <v>0.157091</v>
      </c>
      <c r="O570" s="46" t="n">
        <v>0.060779</v>
      </c>
      <c r="P570" s="46" t="n">
        <v>0.21392</v>
      </c>
      <c r="Q570" s="46" t="n">
        <v>0.110675</v>
      </c>
      <c r="R570" s="47" t="n">
        <f aca="false">L570*Scorecard!$C$12+M570*Scorecard!$C$13+N570*Scorecard!$C$14+O570*Scorecard!$C$15+P570*Scorecard!$C$16+Q570*Scorecard!$C$17</f>
        <v>3.63742004080023</v>
      </c>
      <c r="S570" s="47" t="n">
        <f aca="false">L570*Scorecard!$D$12+M570*Scorecard!$D$13+N570*Scorecard!$D$14+O570*Scorecard!$D$15+P570*Scorecard!$D$16+Q570*Scorecard!$D$17</f>
        <v>2.79805266255679</v>
      </c>
      <c r="T570" s="47" t="n">
        <f aca="false">L570*Scorecard!$E$12+M570*Scorecard!$E$13+N570*Scorecard!$E$14+O570*Scorecard!$E$15+P570*Scorecard!$E$16+Q570*Scorecard!$E$17</f>
        <v>3.68507519969989</v>
      </c>
      <c r="U570" s="0" t="str">
        <f aca="false">IF(AND(R570&gt;=S570,R570&gt;=T570),"Distribution",IF(T570&gt;=S570,"Prof. services","Manufacturing"))</f>
        <v>Prof. services</v>
      </c>
    </row>
    <row r="571" customFormat="false" ht="15" hidden="false" customHeight="false" outlineLevel="0" collapsed="false">
      <c r="A571" s="46" t="n">
        <v>0.020031</v>
      </c>
      <c r="B571" s="46" t="n">
        <v>0.376508</v>
      </c>
      <c r="C571" s="46" t="n">
        <v>0.057474</v>
      </c>
      <c r="D571" s="46" t="n">
        <v>0.201102</v>
      </c>
      <c r="E571" s="46" t="n">
        <v>0.11196</v>
      </c>
      <c r="F571" s="46" t="n">
        <v>0.232925</v>
      </c>
      <c r="G571" s="47" t="n">
        <f aca="false">A571*Scorecard!$C$12+B571*Scorecard!$C$13+C571*Scorecard!$C$14+D571*Scorecard!$C$15+E571*Scorecard!$C$16+F571*Scorecard!$C$17</f>
        <v>4.07570391433853</v>
      </c>
      <c r="H571" s="47" t="n">
        <f aca="false">A571*Scorecard!$D$12+B571*Scorecard!$D$13+C571*Scorecard!$D$14+D571*Scorecard!$D$15+E571*Scorecard!$D$16+F571*Scorecard!$D$17</f>
        <v>2.3688286522601</v>
      </c>
      <c r="I571" s="47" t="n">
        <f aca="false">A571*Scorecard!$E$12+B571*Scorecard!$E$13+C571*Scorecard!$E$14+D571*Scorecard!$E$15+E571*Scorecard!$E$16+F571*Scorecard!$E$17</f>
        <v>3.33419668760208</v>
      </c>
      <c r="J571" s="0" t="str">
        <f aca="false">IF(AND(G571&gt;=H571,G571&gt;=I571),"Distribution",IF(I571&gt;=H571,"Prof. services","Manufacturing"))</f>
        <v>Distribution</v>
      </c>
      <c r="L571" s="46" t="n">
        <v>0.101994</v>
      </c>
      <c r="M571" s="46" t="n">
        <v>0.463673</v>
      </c>
      <c r="N571" s="46" t="n">
        <v>0.100061</v>
      </c>
      <c r="O571" s="46" t="n">
        <v>0.123805</v>
      </c>
      <c r="P571" s="46" t="n">
        <v>0.127831</v>
      </c>
      <c r="Q571" s="46" t="n">
        <v>0.082635</v>
      </c>
      <c r="R571" s="47" t="n">
        <f aca="false">L571*Scorecard!$C$12+M571*Scorecard!$C$13+N571*Scorecard!$C$14+O571*Scorecard!$C$15+P571*Scorecard!$C$16+Q571*Scorecard!$C$17</f>
        <v>4.23861334546673</v>
      </c>
      <c r="S571" s="47" t="n">
        <f aca="false">L571*Scorecard!$D$12+M571*Scorecard!$D$13+N571*Scorecard!$D$14+O571*Scorecard!$D$15+P571*Scorecard!$D$16+Q571*Scorecard!$D$17</f>
        <v>2.4333745379581</v>
      </c>
      <c r="T571" s="47" t="n">
        <f aca="false">L571*Scorecard!$E$12+M571*Scorecard!$E$13+N571*Scorecard!$E$14+O571*Scorecard!$E$15+P571*Scorecard!$E$16+Q571*Scorecard!$E$17</f>
        <v>3.18097520269383</v>
      </c>
      <c r="U571" s="0" t="str">
        <f aca="false">IF(AND(R571&gt;=S571,R571&gt;=T571),"Distribution",IF(T571&gt;=S571,"Prof. services","Manufacturing"))</f>
        <v>Distribution</v>
      </c>
    </row>
    <row r="572" customFormat="false" ht="15" hidden="false" customHeight="false" outlineLevel="0" collapsed="false">
      <c r="A572" s="46" t="n">
        <v>0.31227</v>
      </c>
      <c r="B572" s="46" t="n">
        <v>0.075444</v>
      </c>
      <c r="C572" s="46" t="n">
        <v>0.069517</v>
      </c>
      <c r="D572" s="46" t="n">
        <v>0.036539</v>
      </c>
      <c r="E572" s="46" t="n">
        <v>0.453554</v>
      </c>
      <c r="F572" s="46" t="n">
        <v>0.052675</v>
      </c>
      <c r="G572" s="47" t="n">
        <f aca="false">A572*Scorecard!$C$12+B572*Scorecard!$C$13+C572*Scorecard!$C$14+D572*Scorecard!$C$15+E572*Scorecard!$C$16+F572*Scorecard!$C$17</f>
        <v>3.44453854672721</v>
      </c>
      <c r="H572" s="47" t="n">
        <f aca="false">A572*Scorecard!$D$12+B572*Scorecard!$D$13+C572*Scorecard!$D$14+D572*Scorecard!$D$15+E572*Scorecard!$D$16+F572*Scorecard!$D$17</f>
        <v>3.20749627656394</v>
      </c>
      <c r="I572" s="47" t="n">
        <f aca="false">A572*Scorecard!$E$12+B572*Scorecard!$E$13+C572*Scorecard!$E$14+D572*Scorecard!$E$15+E572*Scorecard!$E$16+F572*Scorecard!$E$17</f>
        <v>3.51669176502649</v>
      </c>
      <c r="J572" s="0" t="str">
        <f aca="false">IF(AND(G572&gt;=H572,G572&gt;=I572),"Distribution",IF(I572&gt;=H572,"Prof. services","Manufacturing"))</f>
        <v>Prof. services</v>
      </c>
      <c r="L572" s="46" t="n">
        <v>0.157301</v>
      </c>
      <c r="M572" s="46" t="n">
        <v>0.11755</v>
      </c>
      <c r="N572" s="46" t="n">
        <v>0.216851</v>
      </c>
      <c r="O572" s="46" t="n">
        <v>0.232706</v>
      </c>
      <c r="P572" s="46" t="n">
        <v>0.160324</v>
      </c>
      <c r="Q572" s="46" t="n">
        <v>0.115267</v>
      </c>
      <c r="R572" s="47" t="n">
        <f aca="false">L572*Scorecard!$C$12+M572*Scorecard!$C$13+N572*Scorecard!$C$14+O572*Scorecard!$C$15+P572*Scorecard!$C$16+Q572*Scorecard!$C$17</f>
        <v>3.83657395673531</v>
      </c>
      <c r="S572" s="47" t="n">
        <f aca="false">L572*Scorecard!$D$12+M572*Scorecard!$D$13+N572*Scorecard!$D$14+O572*Scorecard!$D$15+P572*Scorecard!$D$16+Q572*Scorecard!$D$17</f>
        <v>3.07739012345017</v>
      </c>
      <c r="T572" s="47" t="n">
        <f aca="false">L572*Scorecard!$E$12+M572*Scorecard!$E$13+N572*Scorecard!$E$14+O572*Scorecard!$E$15+P572*Scorecard!$E$16+Q572*Scorecard!$E$17</f>
        <v>3.98228895930465</v>
      </c>
      <c r="U572" s="0" t="str">
        <f aca="false">IF(AND(R572&gt;=S572,R572&gt;=T572),"Distribution",IF(T572&gt;=S572,"Prof. services","Manufacturing"))</f>
        <v>Prof. services</v>
      </c>
    </row>
    <row r="573" customFormat="false" ht="15" hidden="false" customHeight="false" outlineLevel="0" collapsed="false">
      <c r="A573" s="46" t="n">
        <v>0.146258</v>
      </c>
      <c r="B573" s="46" t="n">
        <v>0.136707</v>
      </c>
      <c r="C573" s="46" t="n">
        <v>0.157102</v>
      </c>
      <c r="D573" s="46" t="n">
        <v>0.29169</v>
      </c>
      <c r="E573" s="46" t="n">
        <v>0.095922</v>
      </c>
      <c r="F573" s="46" t="n">
        <v>0.172321</v>
      </c>
      <c r="G573" s="47" t="n">
        <f aca="false">A573*Scorecard!$C$12+B573*Scorecard!$C$13+C573*Scorecard!$C$14+D573*Scorecard!$C$15+E573*Scorecard!$C$16+F573*Scorecard!$C$17</f>
        <v>3.8204885142192</v>
      </c>
      <c r="H573" s="47" t="n">
        <f aca="false">A573*Scorecard!$D$12+B573*Scorecard!$D$13+C573*Scorecard!$D$14+D573*Scorecard!$D$15+E573*Scorecard!$D$16+F573*Scorecard!$D$17</f>
        <v>3.00257795886505</v>
      </c>
      <c r="I573" s="47" t="n">
        <f aca="false">A573*Scorecard!$E$12+B573*Scorecard!$E$13+C573*Scorecard!$E$14+D573*Scorecard!$E$15+E573*Scorecard!$E$16+F573*Scorecard!$E$17</f>
        <v>4.02111387481038</v>
      </c>
      <c r="J573" s="0" t="str">
        <f aca="false">IF(AND(G573&gt;=H573,G573&gt;=I573),"Distribution",IF(I573&gt;=H573,"Prof. services","Manufacturing"))</f>
        <v>Prof. services</v>
      </c>
      <c r="L573" s="46" t="n">
        <v>0.178065</v>
      </c>
      <c r="M573" s="46" t="n">
        <v>0.212546</v>
      </c>
      <c r="N573" s="46" t="n">
        <v>0.238149</v>
      </c>
      <c r="O573" s="46" t="n">
        <v>0.207385</v>
      </c>
      <c r="P573" s="46" t="n">
        <v>0.106551</v>
      </c>
      <c r="Q573" s="46" t="n">
        <v>0.057305</v>
      </c>
      <c r="R573" s="47" t="n">
        <f aca="false">L573*Scorecard!$C$12+M573*Scorecard!$C$13+N573*Scorecard!$C$14+O573*Scorecard!$C$15+P573*Scorecard!$C$16+Q573*Scorecard!$C$17</f>
        <v>3.98480546062055</v>
      </c>
      <c r="S573" s="47" t="n">
        <f aca="false">L573*Scorecard!$D$12+M573*Scorecard!$D$13+N573*Scorecard!$D$14+O573*Scorecard!$D$15+P573*Scorecard!$D$16+Q573*Scorecard!$D$17</f>
        <v>2.98822861203738</v>
      </c>
      <c r="T573" s="47" t="n">
        <f aca="false">L573*Scorecard!$E$12+M573*Scorecard!$E$13+N573*Scorecard!$E$14+O573*Scorecard!$E$15+P573*Scorecard!$E$16+Q573*Scorecard!$E$17</f>
        <v>3.9026708763608</v>
      </c>
      <c r="U573" s="0" t="str">
        <f aca="false">IF(AND(R573&gt;=S573,R573&gt;=T573),"Distribution",IF(T573&gt;=S573,"Prof. services","Manufacturing"))</f>
        <v>Distribution</v>
      </c>
    </row>
    <row r="574" customFormat="false" ht="15" hidden="false" customHeight="false" outlineLevel="0" collapsed="false">
      <c r="A574" s="46" t="n">
        <v>0.442431</v>
      </c>
      <c r="B574" s="46" t="n">
        <v>0.172285</v>
      </c>
      <c r="C574" s="46" t="n">
        <v>0.239894</v>
      </c>
      <c r="D574" s="46" t="n">
        <v>0.05159</v>
      </c>
      <c r="E574" s="46" t="n">
        <v>0.026668</v>
      </c>
      <c r="F574" s="46" t="n">
        <v>0.067132</v>
      </c>
      <c r="G574" s="47" t="n">
        <f aca="false">A574*Scorecard!$C$12+B574*Scorecard!$C$13+C574*Scorecard!$C$14+D574*Scorecard!$C$15+E574*Scorecard!$C$16+F574*Scorecard!$C$17</f>
        <v>3.29322889050522</v>
      </c>
      <c r="H574" s="47" t="n">
        <f aca="false">A574*Scorecard!$D$12+B574*Scorecard!$D$13+C574*Scorecard!$D$14+D574*Scorecard!$D$15+E574*Scorecard!$D$16+F574*Scorecard!$D$17</f>
        <v>3.00156129136138</v>
      </c>
      <c r="I574" s="47" t="n">
        <f aca="false">A574*Scorecard!$E$12+B574*Scorecard!$E$13+C574*Scorecard!$E$14+D574*Scorecard!$E$15+E574*Scorecard!$E$16+F574*Scorecard!$E$17</f>
        <v>4.35677518231409</v>
      </c>
      <c r="J574" s="0" t="str">
        <f aca="false">IF(AND(G574&gt;=H574,G574&gt;=I574),"Distribution",IF(I574&gt;=H574,"Prof. services","Manufacturing"))</f>
        <v>Prof. services</v>
      </c>
      <c r="L574" s="46" t="n">
        <v>0.049446</v>
      </c>
      <c r="M574" s="46" t="n">
        <v>0.298334</v>
      </c>
      <c r="N574" s="46" t="n">
        <v>0.29037</v>
      </c>
      <c r="O574" s="46" t="n">
        <v>0.102549</v>
      </c>
      <c r="P574" s="46" t="n">
        <v>0.10533</v>
      </c>
      <c r="Q574" s="46" t="n">
        <v>0.15397</v>
      </c>
      <c r="R574" s="47" t="n">
        <f aca="false">L574*Scorecard!$C$12+M574*Scorecard!$C$13+N574*Scorecard!$C$14+O574*Scorecard!$C$15+P574*Scorecard!$C$16+Q574*Scorecard!$C$17</f>
        <v>4.00393549485213</v>
      </c>
      <c r="S574" s="47" t="n">
        <f aca="false">L574*Scorecard!$D$12+M574*Scorecard!$D$13+N574*Scorecard!$D$14+O574*Scorecard!$D$15+P574*Scorecard!$D$16+Q574*Scorecard!$D$17</f>
        <v>2.50772852219569</v>
      </c>
      <c r="T574" s="47" t="n">
        <f aca="false">L574*Scorecard!$E$12+M574*Scorecard!$E$13+N574*Scorecard!$E$14+O574*Scorecard!$E$15+P574*Scorecard!$E$16+Q574*Scorecard!$E$17</f>
        <v>3.69852480983018</v>
      </c>
      <c r="U574" s="0" t="str">
        <f aca="false">IF(AND(R574&gt;=S574,R574&gt;=T574),"Distribution",IF(T574&gt;=S574,"Prof. services","Manufacturing"))</f>
        <v>Distribution</v>
      </c>
    </row>
    <row r="575" customFormat="false" ht="15" hidden="false" customHeight="false" outlineLevel="0" collapsed="false">
      <c r="A575" s="46" t="n">
        <v>0.067276</v>
      </c>
      <c r="B575" s="46" t="n">
        <v>0.29209</v>
      </c>
      <c r="C575" s="46" t="n">
        <v>0.321253</v>
      </c>
      <c r="D575" s="46" t="n">
        <v>0.141256</v>
      </c>
      <c r="E575" s="46" t="n">
        <v>0.099223</v>
      </c>
      <c r="F575" s="46" t="n">
        <v>0.078903</v>
      </c>
      <c r="G575" s="47" t="n">
        <f aca="false">A575*Scorecard!$C$12+B575*Scorecard!$C$13+C575*Scorecard!$C$14+D575*Scorecard!$C$15+E575*Scorecard!$C$16+F575*Scorecard!$C$17</f>
        <v>4.15444624057905</v>
      </c>
      <c r="H575" s="47" t="n">
        <f aca="false">A575*Scorecard!$D$12+B575*Scorecard!$D$13+C575*Scorecard!$D$14+D575*Scorecard!$D$15+E575*Scorecard!$D$16+F575*Scorecard!$D$17</f>
        <v>2.68425801888992</v>
      </c>
      <c r="I575" s="47" t="n">
        <f aca="false">A575*Scorecard!$E$12+B575*Scorecard!$E$13+C575*Scorecard!$E$14+D575*Scorecard!$E$15+E575*Scorecard!$E$16+F575*Scorecard!$E$17</f>
        <v>3.73795402741999</v>
      </c>
      <c r="J575" s="0" t="str">
        <f aca="false">IF(AND(G575&gt;=H575,G575&gt;=I575),"Distribution",IF(I575&gt;=H575,"Prof. services","Manufacturing"))</f>
        <v>Distribution</v>
      </c>
      <c r="L575" s="46" t="n">
        <v>0.122791</v>
      </c>
      <c r="M575" s="46" t="n">
        <v>0.141904</v>
      </c>
      <c r="N575" s="46" t="n">
        <v>0.385257</v>
      </c>
      <c r="O575" s="46" t="n">
        <v>0.13121</v>
      </c>
      <c r="P575" s="46" t="n">
        <v>0.090625</v>
      </c>
      <c r="Q575" s="46" t="n">
        <v>0.128213</v>
      </c>
      <c r="R575" s="47" t="n">
        <f aca="false">L575*Scorecard!$C$12+M575*Scorecard!$C$13+N575*Scorecard!$C$14+O575*Scorecard!$C$15+P575*Scorecard!$C$16+Q575*Scorecard!$C$17</f>
        <v>3.79566244888135</v>
      </c>
      <c r="S575" s="47" t="n">
        <f aca="false">L575*Scorecard!$D$12+M575*Scorecard!$D$13+N575*Scorecard!$D$14+O575*Scorecard!$D$15+P575*Scorecard!$D$16+Q575*Scorecard!$D$17</f>
        <v>2.85789422346203</v>
      </c>
      <c r="T575" s="47" t="n">
        <f aca="false">L575*Scorecard!$E$12+M575*Scorecard!$E$13+N575*Scorecard!$E$14+O575*Scorecard!$E$15+P575*Scorecard!$E$16+Q575*Scorecard!$E$17</f>
        <v>4.17649236588118</v>
      </c>
      <c r="U575" s="0" t="str">
        <f aca="false">IF(AND(R575&gt;=S575,R575&gt;=T575),"Distribution",IF(T575&gt;=S575,"Prof. services","Manufacturing"))</f>
        <v>Prof. services</v>
      </c>
    </row>
    <row r="576" customFormat="false" ht="15" hidden="false" customHeight="false" outlineLevel="0" collapsed="false">
      <c r="A576" s="46" t="n">
        <v>0.108014</v>
      </c>
      <c r="B576" s="46" t="n">
        <v>0.022749</v>
      </c>
      <c r="C576" s="46" t="n">
        <v>0.319391</v>
      </c>
      <c r="D576" s="46" t="n">
        <v>0.0487</v>
      </c>
      <c r="E576" s="46" t="n">
        <v>0.045888</v>
      </c>
      <c r="F576" s="46" t="n">
        <v>0.455258</v>
      </c>
      <c r="G576" s="47" t="n">
        <f aca="false">A576*Scorecard!$C$12+B576*Scorecard!$C$13+C576*Scorecard!$C$14+D576*Scorecard!$C$15+E576*Scorecard!$C$16+F576*Scorecard!$C$17</f>
        <v>2.96650625961569</v>
      </c>
      <c r="H576" s="47" t="n">
        <f aca="false">A576*Scorecard!$D$12+B576*Scorecard!$D$13+C576*Scorecard!$D$14+D576*Scorecard!$D$15+E576*Scorecard!$D$16+F576*Scorecard!$D$17</f>
        <v>2.42598837672167</v>
      </c>
      <c r="I576" s="47" t="n">
        <f aca="false">A576*Scorecard!$E$12+B576*Scorecard!$E$13+C576*Scorecard!$E$14+D576*Scorecard!$E$15+E576*Scorecard!$E$16+F576*Scorecard!$E$17</f>
        <v>4.54387842853108</v>
      </c>
      <c r="J576" s="0" t="str">
        <f aca="false">IF(AND(G576&gt;=H576,G576&gt;=I576),"Distribution",IF(I576&gt;=H576,"Prof. services","Manufacturing"))</f>
        <v>Prof. services</v>
      </c>
      <c r="L576" s="46" t="n">
        <v>0.144816</v>
      </c>
      <c r="M576" s="46" t="n">
        <v>0.329695</v>
      </c>
      <c r="N576" s="46" t="n">
        <v>0.200957</v>
      </c>
      <c r="O576" s="46" t="n">
        <v>0.103389</v>
      </c>
      <c r="P576" s="46" t="n">
        <v>0.1062</v>
      </c>
      <c r="Q576" s="46" t="n">
        <v>0.114942</v>
      </c>
      <c r="R576" s="47" t="n">
        <f aca="false">L576*Scorecard!$C$12+M576*Scorecard!$C$13+N576*Scorecard!$C$14+O576*Scorecard!$C$15+P576*Scorecard!$C$16+Q576*Scorecard!$C$17</f>
        <v>3.94252513478351</v>
      </c>
      <c r="S576" s="47" t="n">
        <f aca="false">L576*Scorecard!$D$12+M576*Scorecard!$D$13+N576*Scorecard!$D$14+O576*Scorecard!$D$15+P576*Scorecard!$D$16+Q576*Scorecard!$D$17</f>
        <v>2.58345658049751</v>
      </c>
      <c r="T576" s="47" t="n">
        <f aca="false">L576*Scorecard!$E$12+M576*Scorecard!$E$13+N576*Scorecard!$E$14+O576*Scorecard!$E$15+P576*Scorecard!$E$16+Q576*Scorecard!$E$17</f>
        <v>3.6248353616433</v>
      </c>
      <c r="U576" s="0" t="str">
        <f aca="false">IF(AND(R576&gt;=S576,R576&gt;=T576),"Distribution",IF(T576&gt;=S576,"Prof. services","Manufacturing"))</f>
        <v>Distribution</v>
      </c>
    </row>
    <row r="577" customFormat="false" ht="15" hidden="false" customHeight="false" outlineLevel="0" collapsed="false">
      <c r="A577" s="46" t="n">
        <v>0.405576</v>
      </c>
      <c r="B577" s="46" t="n">
        <v>0.211598</v>
      </c>
      <c r="C577" s="46" t="n">
        <v>0.033816</v>
      </c>
      <c r="D577" s="46" t="n">
        <v>0.160481</v>
      </c>
      <c r="E577" s="46" t="n">
        <v>0.15997</v>
      </c>
      <c r="F577" s="46" t="n">
        <v>0.02856</v>
      </c>
      <c r="G577" s="47" t="n">
        <f aca="false">A577*Scorecard!$C$12+B577*Scorecard!$C$13+C577*Scorecard!$C$14+D577*Scorecard!$C$15+E577*Scorecard!$C$16+F577*Scorecard!$C$17</f>
        <v>3.58492041609323</v>
      </c>
      <c r="H577" s="47" t="n">
        <f aca="false">A577*Scorecard!$D$12+B577*Scorecard!$D$13+C577*Scorecard!$D$14+D577*Scorecard!$D$15+E577*Scorecard!$D$16+F577*Scorecard!$D$17</f>
        <v>3.14655956984127</v>
      </c>
      <c r="I577" s="47" t="n">
        <f aca="false">A577*Scorecard!$E$12+B577*Scorecard!$E$13+C577*Scorecard!$E$14+D577*Scorecard!$E$15+E577*Scorecard!$E$16+F577*Scorecard!$E$17</f>
        <v>3.81652533925067</v>
      </c>
      <c r="J577" s="0" t="str">
        <f aca="false">IF(AND(G577&gt;=H577,G577&gt;=I577),"Distribution",IF(I577&gt;=H577,"Prof. services","Manufacturing"))</f>
        <v>Prof. services</v>
      </c>
      <c r="L577" s="46" t="n">
        <v>0.156789</v>
      </c>
      <c r="M577" s="46" t="n">
        <v>0.148289</v>
      </c>
      <c r="N577" s="46" t="n">
        <v>0.230407</v>
      </c>
      <c r="O577" s="46" t="n">
        <v>0.248268</v>
      </c>
      <c r="P577" s="46" t="n">
        <v>0.166171</v>
      </c>
      <c r="Q577" s="46" t="n">
        <v>0.050075</v>
      </c>
      <c r="R577" s="47" t="n">
        <f aca="false">L577*Scorecard!$C$12+M577*Scorecard!$C$13+N577*Scorecard!$C$14+O577*Scorecard!$C$15+P577*Scorecard!$C$16+Q577*Scorecard!$C$17</f>
        <v>4.01418056403693</v>
      </c>
      <c r="S577" s="47" t="n">
        <f aca="false">L577*Scorecard!$D$12+M577*Scorecard!$D$13+N577*Scorecard!$D$14+O577*Scorecard!$D$15+P577*Scorecard!$D$16+Q577*Scorecard!$D$17</f>
        <v>3.14866483377852</v>
      </c>
      <c r="T577" s="47" t="n">
        <f aca="false">L577*Scorecard!$E$12+M577*Scorecard!$E$13+N577*Scorecard!$E$14+O577*Scorecard!$E$15+P577*Scorecard!$E$16+Q577*Scorecard!$E$17</f>
        <v>3.89789215775028</v>
      </c>
      <c r="U577" s="0" t="str">
        <f aca="false">IF(AND(R577&gt;=S577,R577&gt;=T577),"Distribution",IF(T577&gt;=S577,"Prof. services","Manufacturing"))</f>
        <v>Distribution</v>
      </c>
    </row>
    <row r="578" customFormat="false" ht="15" hidden="false" customHeight="false" outlineLevel="0" collapsed="false">
      <c r="A578" s="46" t="n">
        <v>0.069072</v>
      </c>
      <c r="B578" s="46" t="n">
        <v>0.096362</v>
      </c>
      <c r="C578" s="46" t="n">
        <v>0.409392</v>
      </c>
      <c r="D578" s="46" t="n">
        <v>0.071258</v>
      </c>
      <c r="E578" s="46" t="n">
        <v>0.107046</v>
      </c>
      <c r="F578" s="46" t="n">
        <v>0.246869</v>
      </c>
      <c r="G578" s="47" t="n">
        <f aca="false">A578*Scorecard!$C$12+B578*Scorecard!$C$13+C578*Scorecard!$C$14+D578*Scorecard!$C$15+E578*Scorecard!$C$16+F578*Scorecard!$C$17</f>
        <v>3.54954741496635</v>
      </c>
      <c r="H578" s="47" t="n">
        <f aca="false">A578*Scorecard!$D$12+B578*Scorecard!$D$13+C578*Scorecard!$D$14+D578*Scorecard!$D$15+E578*Scorecard!$D$16+F578*Scorecard!$D$17</f>
        <v>2.64885258456975</v>
      </c>
      <c r="I578" s="47" t="n">
        <f aca="false">A578*Scorecard!$E$12+B578*Scorecard!$E$13+C578*Scorecard!$E$14+D578*Scorecard!$E$15+E578*Scorecard!$E$16+F578*Scorecard!$E$17</f>
        <v>4.25444330219029</v>
      </c>
      <c r="J578" s="0" t="str">
        <f aca="false">IF(AND(G578&gt;=H578,G578&gt;=I578),"Distribution",IF(I578&gt;=H578,"Prof. services","Manufacturing"))</f>
        <v>Prof. services</v>
      </c>
      <c r="L578" s="46" t="n">
        <v>0.130066</v>
      </c>
      <c r="M578" s="46" t="n">
        <v>0.274962</v>
      </c>
      <c r="N578" s="46" t="n">
        <v>0.265471</v>
      </c>
      <c r="O578" s="46" t="n">
        <v>0.125692</v>
      </c>
      <c r="P578" s="46" t="n">
        <v>0.140327</v>
      </c>
      <c r="Q578" s="46" t="n">
        <v>0.063482</v>
      </c>
      <c r="R578" s="47" t="n">
        <f aca="false">L578*Scorecard!$C$12+M578*Scorecard!$C$13+N578*Scorecard!$C$14+O578*Scorecard!$C$15+P578*Scorecard!$C$16+Q578*Scorecard!$C$17</f>
        <v>4.03956934513281</v>
      </c>
      <c r="S578" s="47" t="n">
        <f aca="false">L578*Scorecard!$D$12+M578*Scorecard!$D$13+N578*Scorecard!$D$14+O578*Scorecard!$D$15+P578*Scorecard!$D$16+Q578*Scorecard!$D$17</f>
        <v>2.77025536250264</v>
      </c>
      <c r="T578" s="47" t="n">
        <f aca="false">L578*Scorecard!$E$12+M578*Scorecard!$E$13+N578*Scorecard!$E$14+O578*Scorecard!$E$15+P578*Scorecard!$E$16+Q578*Scorecard!$E$17</f>
        <v>3.69831171209776</v>
      </c>
      <c r="U578" s="0" t="str">
        <f aca="false">IF(AND(R578&gt;=S578,R578&gt;=T578),"Distribution",IF(T578&gt;=S578,"Prof. services","Manufacturing"))</f>
        <v>Distribution</v>
      </c>
    </row>
    <row r="579" customFormat="false" ht="15" hidden="false" customHeight="false" outlineLevel="0" collapsed="false">
      <c r="A579" s="46" t="n">
        <v>0.101754</v>
      </c>
      <c r="B579" s="46" t="n">
        <v>0.178925</v>
      </c>
      <c r="C579" s="46" t="n">
        <v>0.032193</v>
      </c>
      <c r="D579" s="46" t="n">
        <v>0.435747</v>
      </c>
      <c r="E579" s="46" t="n">
        <v>0.05189</v>
      </c>
      <c r="F579" s="46" t="n">
        <v>0.19949</v>
      </c>
      <c r="G579" s="47" t="n">
        <f aca="false">A579*Scorecard!$C$12+B579*Scorecard!$C$13+C579*Scorecard!$C$14+D579*Scorecard!$C$15+E579*Scorecard!$C$16+F579*Scorecard!$C$17</f>
        <v>4.03252934888936</v>
      </c>
      <c r="H579" s="47" t="n">
        <f aca="false">A579*Scorecard!$D$12+B579*Scorecard!$D$13+C579*Scorecard!$D$14+D579*Scorecard!$D$15+E579*Scorecard!$D$16+F579*Scorecard!$D$17</f>
        <v>3.02114406319748</v>
      </c>
      <c r="I579" s="47" t="n">
        <f aca="false">A579*Scorecard!$E$12+B579*Scorecard!$E$13+C579*Scorecard!$E$14+D579*Scorecard!$E$15+E579*Scorecard!$E$16+F579*Scorecard!$E$17</f>
        <v>3.88312571786322</v>
      </c>
      <c r="J579" s="0" t="str">
        <f aca="false">IF(AND(G579&gt;=H579,G579&gt;=I579),"Distribution",IF(I579&gt;=H579,"Prof. services","Manufacturing"))</f>
        <v>Distribution</v>
      </c>
      <c r="L579" s="46" t="n">
        <v>0.166959</v>
      </c>
      <c r="M579" s="46" t="n">
        <v>0.204544</v>
      </c>
      <c r="N579" s="46" t="n">
        <v>0.080657</v>
      </c>
      <c r="O579" s="46" t="n">
        <v>0.330752</v>
      </c>
      <c r="P579" s="46" t="n">
        <v>0.095042</v>
      </c>
      <c r="Q579" s="46" t="n">
        <v>0.122046</v>
      </c>
      <c r="R579" s="47" t="n">
        <f aca="false">L579*Scorecard!$C$12+M579*Scorecard!$C$13+N579*Scorecard!$C$14+O579*Scorecard!$C$15+P579*Scorecard!$C$16+Q579*Scorecard!$C$17</f>
        <v>3.99067541900288</v>
      </c>
      <c r="S579" s="47" t="n">
        <f aca="false">L579*Scorecard!$D$12+M579*Scorecard!$D$13+N579*Scorecard!$D$14+O579*Scorecard!$D$15+P579*Scorecard!$D$16+Q579*Scorecard!$D$17</f>
        <v>3.03476745839509</v>
      </c>
      <c r="T579" s="47" t="n">
        <f aca="false">L579*Scorecard!$E$12+M579*Scorecard!$E$13+N579*Scorecard!$E$14+O579*Scorecard!$E$15+P579*Scorecard!$E$16+Q579*Scorecard!$E$17</f>
        <v>3.82087528441882</v>
      </c>
      <c r="U579" s="0" t="str">
        <f aca="false">IF(AND(R579&gt;=S579,R579&gt;=T579),"Distribution",IF(T579&gt;=S579,"Prof. services","Manufacturing"))</f>
        <v>Distribution</v>
      </c>
    </row>
    <row r="580" customFormat="false" ht="15" hidden="false" customHeight="false" outlineLevel="0" collapsed="false">
      <c r="A580" s="46" t="n">
        <v>0.005633</v>
      </c>
      <c r="B580" s="46" t="n">
        <v>0.106525</v>
      </c>
      <c r="C580" s="46" t="n">
        <v>0.058732</v>
      </c>
      <c r="D580" s="46" t="n">
        <v>0.26706</v>
      </c>
      <c r="E580" s="46" t="n">
        <v>0.378851</v>
      </c>
      <c r="F580" s="46" t="n">
        <v>0.183197</v>
      </c>
      <c r="G580" s="47" t="n">
        <f aca="false">A580*Scorecard!$C$12+B580*Scorecard!$C$13+C580*Scorecard!$C$14+D580*Scorecard!$C$15+E580*Scorecard!$C$16+F580*Scorecard!$C$17</f>
        <v>3.99704351966796</v>
      </c>
      <c r="H580" s="47" t="n">
        <f aca="false">A580*Scorecard!$D$12+B580*Scorecard!$D$13+C580*Scorecard!$D$14+D580*Scorecard!$D$15+E580*Scorecard!$D$16+F580*Scorecard!$D$17</f>
        <v>3.0044684546188</v>
      </c>
      <c r="I580" s="47" t="n">
        <f aca="false">A580*Scorecard!$E$12+B580*Scorecard!$E$13+C580*Scorecard!$E$14+D580*Scorecard!$E$15+E580*Scorecard!$E$16+F580*Scorecard!$E$17</f>
        <v>3.36856748897429</v>
      </c>
      <c r="J580" s="0" t="str">
        <f aca="false">IF(AND(G580&gt;=H580,G580&gt;=I580),"Distribution",IF(I580&gt;=H580,"Prof. services","Manufacturing"))</f>
        <v>Distribution</v>
      </c>
      <c r="L580" s="46" t="n">
        <v>0.077351</v>
      </c>
      <c r="M580" s="46" t="n">
        <v>0.261884</v>
      </c>
      <c r="N580" s="46" t="n">
        <v>0.29393</v>
      </c>
      <c r="O580" s="46" t="n">
        <v>0.15716</v>
      </c>
      <c r="P580" s="46" t="n">
        <v>0.146349</v>
      </c>
      <c r="Q580" s="46" t="n">
        <v>0.063327</v>
      </c>
      <c r="R580" s="47" t="n">
        <f aca="false">L580*Scorecard!$C$12+M580*Scorecard!$C$13+N580*Scorecard!$C$14+O580*Scorecard!$C$15+P580*Scorecard!$C$16+Q580*Scorecard!$C$17</f>
        <v>4.15316109689979</v>
      </c>
      <c r="S580" s="47" t="n">
        <f aca="false">L580*Scorecard!$D$12+M580*Scorecard!$D$13+N580*Scorecard!$D$14+O580*Scorecard!$D$15+P580*Scorecard!$D$16+Q580*Scorecard!$D$17</f>
        <v>2.79373610916842</v>
      </c>
      <c r="T580" s="47" t="n">
        <f aca="false">L580*Scorecard!$E$12+M580*Scorecard!$E$13+N580*Scorecard!$E$14+O580*Scorecard!$E$15+P580*Scorecard!$E$16+Q580*Scorecard!$E$17</f>
        <v>3.69363870078662</v>
      </c>
      <c r="U580" s="0" t="str">
        <f aca="false">IF(AND(R580&gt;=S580,R580&gt;=T580),"Distribution",IF(T580&gt;=S580,"Prof. services","Manufacturing"))</f>
        <v>Distribution</v>
      </c>
    </row>
    <row r="581" customFormat="false" ht="15" hidden="false" customHeight="false" outlineLevel="0" collapsed="false">
      <c r="A581" s="46" t="n">
        <v>0.675336</v>
      </c>
      <c r="B581" s="46" t="n">
        <v>0.014605</v>
      </c>
      <c r="C581" s="46" t="n">
        <v>0.115536</v>
      </c>
      <c r="D581" s="46" t="n">
        <v>0.059722</v>
      </c>
      <c r="E581" s="46" t="n">
        <v>0.104731</v>
      </c>
      <c r="F581" s="46" t="n">
        <v>0.03007</v>
      </c>
      <c r="G581" s="47" t="n">
        <f aca="false">A581*Scorecard!$C$12+B581*Scorecard!$C$13+C581*Scorecard!$C$14+D581*Scorecard!$C$15+E581*Scorecard!$C$16+F581*Scorecard!$C$17</f>
        <v>2.79857256905424</v>
      </c>
      <c r="H581" s="47" t="n">
        <f aca="false">A581*Scorecard!$D$12+B581*Scorecard!$D$13+C581*Scorecard!$D$14+D581*Scorecard!$D$15+E581*Scorecard!$D$16+F581*Scorecard!$D$17</f>
        <v>3.48311240353212</v>
      </c>
      <c r="I581" s="47" t="n">
        <f aca="false">A581*Scorecard!$E$12+B581*Scorecard!$E$13+C581*Scorecard!$E$14+D581*Scorecard!$E$15+E581*Scorecard!$E$16+F581*Scorecard!$E$17</f>
        <v>4.61376337001728</v>
      </c>
      <c r="J581" s="0" t="str">
        <f aca="false">IF(AND(G581&gt;=H581,G581&gt;=I581),"Distribution",IF(I581&gt;=H581,"Prof. services","Manufacturing"))</f>
        <v>Prof. services</v>
      </c>
      <c r="L581" s="46" t="n">
        <v>0.331227</v>
      </c>
      <c r="M581" s="46" t="n">
        <v>0.104754</v>
      </c>
      <c r="N581" s="46" t="n">
        <v>0.173565</v>
      </c>
      <c r="O581" s="46" t="n">
        <v>0.103634</v>
      </c>
      <c r="P581" s="46" t="n">
        <v>0.101822</v>
      </c>
      <c r="Q581" s="46" t="n">
        <v>0.184998</v>
      </c>
      <c r="R581" s="47" t="n">
        <f aca="false">L581*Scorecard!$C$12+M581*Scorecard!$C$13+N581*Scorecard!$C$14+O581*Scorecard!$C$15+P581*Scorecard!$C$16+Q581*Scorecard!$C$17</f>
        <v>3.24217867638202</v>
      </c>
      <c r="S581" s="47" t="n">
        <f aca="false">L581*Scorecard!$D$12+M581*Scorecard!$D$13+N581*Scorecard!$D$14+O581*Scorecard!$D$15+P581*Scorecard!$D$16+Q581*Scorecard!$D$17</f>
        <v>2.93797037128577</v>
      </c>
      <c r="T581" s="47" t="n">
        <f aca="false">L581*Scorecard!$E$12+M581*Scorecard!$E$13+N581*Scorecard!$E$14+O581*Scorecard!$E$15+P581*Scorecard!$E$16+Q581*Scorecard!$E$17</f>
        <v>4.24811977186842</v>
      </c>
      <c r="U581" s="0" t="str">
        <f aca="false">IF(AND(R581&gt;=S581,R581&gt;=T581),"Distribution",IF(T581&gt;=S581,"Prof. services","Manufacturing"))</f>
        <v>Prof. services</v>
      </c>
    </row>
    <row r="582" customFormat="false" ht="15" hidden="false" customHeight="false" outlineLevel="0" collapsed="false">
      <c r="A582" s="46" t="n">
        <v>0.287851</v>
      </c>
      <c r="B582" s="46" t="n">
        <v>0.269904</v>
      </c>
      <c r="C582" s="46" t="n">
        <v>0.084965</v>
      </c>
      <c r="D582" s="46" t="n">
        <v>0.040535</v>
      </c>
      <c r="E582" s="46" t="n">
        <v>0.144116</v>
      </c>
      <c r="F582" s="46" t="n">
        <v>0.172629</v>
      </c>
      <c r="G582" s="47" t="n">
        <f aca="false">A582*Scorecard!$C$12+B582*Scorecard!$C$13+C582*Scorecard!$C$14+D582*Scorecard!$C$15+E582*Scorecard!$C$16+F582*Scorecard!$C$17</f>
        <v>3.44704509496581</v>
      </c>
      <c r="H582" s="47" t="n">
        <f aca="false">A582*Scorecard!$D$12+B582*Scorecard!$D$13+C582*Scorecard!$D$14+D582*Scorecard!$D$15+E582*Scorecard!$D$16+F582*Scorecard!$D$17</f>
        <v>2.62103341359988</v>
      </c>
      <c r="I582" s="47" t="n">
        <f aca="false">A582*Scorecard!$E$12+B582*Scorecard!$E$13+C582*Scorecard!$E$14+D582*Scorecard!$E$15+E582*Scorecard!$E$16+F582*Scorecard!$E$17</f>
        <v>3.71936079682971</v>
      </c>
      <c r="J582" s="0" t="str">
        <f aca="false">IF(AND(G582&gt;=H582,G582&gt;=I582),"Distribution",IF(I582&gt;=H582,"Prof. services","Manufacturing"))</f>
        <v>Prof. services</v>
      </c>
      <c r="L582" s="46" t="n">
        <v>0.176395</v>
      </c>
      <c r="M582" s="46" t="n">
        <v>0.139896</v>
      </c>
      <c r="N582" s="46" t="n">
        <v>0.212955</v>
      </c>
      <c r="O582" s="46" t="n">
        <v>0.153584</v>
      </c>
      <c r="P582" s="46" t="n">
        <v>0.204411</v>
      </c>
      <c r="Q582" s="46" t="n">
        <v>0.112758</v>
      </c>
      <c r="R582" s="47" t="n">
        <f aca="false">L582*Scorecard!$C$12+M582*Scorecard!$C$13+N582*Scorecard!$C$14+O582*Scorecard!$C$15+P582*Scorecard!$C$16+Q582*Scorecard!$C$17</f>
        <v>3.75044648443637</v>
      </c>
      <c r="S582" s="47" t="n">
        <f aca="false">L582*Scorecard!$D$12+M582*Scorecard!$D$13+N582*Scorecard!$D$14+O582*Scorecard!$D$15+P582*Scorecard!$D$16+Q582*Scorecard!$D$17</f>
        <v>2.9833255375661</v>
      </c>
      <c r="T582" s="47" t="n">
        <f aca="false">L582*Scorecard!$E$12+M582*Scorecard!$E$13+N582*Scorecard!$E$14+O582*Scorecard!$E$15+P582*Scorecard!$E$16+Q582*Scorecard!$E$17</f>
        <v>3.8678575151851</v>
      </c>
      <c r="U582" s="0" t="str">
        <f aca="false">IF(AND(R582&gt;=S582,R582&gt;=T582),"Distribution",IF(T582&gt;=S582,"Prof. services","Manufacturing"))</f>
        <v>Prof. services</v>
      </c>
    </row>
    <row r="583" customFormat="false" ht="15" hidden="false" customHeight="false" outlineLevel="0" collapsed="false">
      <c r="A583" s="46" t="n">
        <v>0.162892</v>
      </c>
      <c r="B583" s="46" t="n">
        <v>0.152878</v>
      </c>
      <c r="C583" s="46" t="n">
        <v>0.033292</v>
      </c>
      <c r="D583" s="46" t="n">
        <v>0.158674</v>
      </c>
      <c r="E583" s="46" t="n">
        <v>0.106773</v>
      </c>
      <c r="F583" s="46" t="n">
        <v>0.385491</v>
      </c>
      <c r="G583" s="47" t="n">
        <f aca="false">A583*Scorecard!$C$12+B583*Scorecard!$C$13+C583*Scorecard!$C$14+D583*Scorecard!$C$15+E583*Scorecard!$C$16+F583*Scorecard!$C$17</f>
        <v>3.24736207700224</v>
      </c>
      <c r="H583" s="47" t="n">
        <f aca="false">A583*Scorecard!$D$12+B583*Scorecard!$D$13+C583*Scorecard!$D$14+D583*Scorecard!$D$15+E583*Scorecard!$D$16+F583*Scorecard!$D$17</f>
        <v>2.51917002924188</v>
      </c>
      <c r="I583" s="47" t="n">
        <f aca="false">A583*Scorecard!$E$12+B583*Scorecard!$E$13+C583*Scorecard!$E$14+D583*Scorecard!$E$15+E583*Scorecard!$E$16+F583*Scorecard!$E$17</f>
        <v>3.95027845895868</v>
      </c>
      <c r="J583" s="0" t="str">
        <f aca="false">IF(AND(G583&gt;=H583,G583&gt;=I583),"Distribution",IF(I583&gt;=H583,"Prof. services","Manufacturing"))</f>
        <v>Prof. services</v>
      </c>
      <c r="L583" s="46" t="n">
        <v>0.223366</v>
      </c>
      <c r="M583" s="46" t="n">
        <v>0.229761</v>
      </c>
      <c r="N583" s="46" t="n">
        <v>0.112555</v>
      </c>
      <c r="O583" s="46" t="n">
        <v>0.204515</v>
      </c>
      <c r="P583" s="46" t="n">
        <v>0.105972</v>
      </c>
      <c r="Q583" s="46" t="n">
        <v>0.123832</v>
      </c>
      <c r="R583" s="47" t="n">
        <f aca="false">L583*Scorecard!$C$12+M583*Scorecard!$C$13+N583*Scorecard!$C$14+O583*Scorecard!$C$15+P583*Scorecard!$C$16+Q583*Scorecard!$C$17</f>
        <v>3.7845540145844</v>
      </c>
      <c r="S583" s="47" t="n">
        <f aca="false">L583*Scorecard!$D$12+M583*Scorecard!$D$13+N583*Scorecard!$D$14+O583*Scorecard!$D$15+P583*Scorecard!$D$16+Q583*Scorecard!$D$17</f>
        <v>2.8890064651785</v>
      </c>
      <c r="T583" s="47" t="n">
        <f aca="false">L583*Scorecard!$E$12+M583*Scorecard!$E$13+N583*Scorecard!$E$14+O583*Scorecard!$E$15+P583*Scorecard!$E$16+Q583*Scorecard!$E$17</f>
        <v>3.82384714044818</v>
      </c>
      <c r="U583" s="0" t="str">
        <f aca="false">IF(AND(R583&gt;=S583,R583&gt;=T583),"Distribution",IF(T583&gt;=S583,"Prof. services","Manufacturing"))</f>
        <v>Prof. services</v>
      </c>
    </row>
    <row r="584" customFormat="false" ht="15" hidden="false" customHeight="false" outlineLevel="0" collapsed="false">
      <c r="A584" s="46" t="n">
        <v>0.000325</v>
      </c>
      <c r="B584" s="46" t="n">
        <v>0.035033</v>
      </c>
      <c r="C584" s="46" t="n">
        <v>0.165025</v>
      </c>
      <c r="D584" s="46" t="n">
        <v>0.249262</v>
      </c>
      <c r="E584" s="46" t="n">
        <v>0.205513</v>
      </c>
      <c r="F584" s="46" t="n">
        <v>0.344842</v>
      </c>
      <c r="G584" s="47" t="n">
        <f aca="false">A584*Scorecard!$C$12+B584*Scorecard!$C$13+C584*Scorecard!$C$14+D584*Scorecard!$C$15+E584*Scorecard!$C$16+F584*Scorecard!$C$17</f>
        <v>3.59402599536519</v>
      </c>
      <c r="H584" s="47" t="n">
        <f aca="false">A584*Scorecard!$D$12+B584*Scorecard!$D$13+C584*Scorecard!$D$14+D584*Scorecard!$D$15+E584*Scorecard!$D$16+F584*Scorecard!$D$17</f>
        <v>2.78742736443621</v>
      </c>
      <c r="I584" s="47" t="n">
        <f aca="false">A584*Scorecard!$E$12+B584*Scorecard!$E$13+C584*Scorecard!$E$14+D584*Scorecard!$E$15+E584*Scorecard!$E$16+F584*Scorecard!$E$17</f>
        <v>3.97044832562894</v>
      </c>
      <c r="J584" s="0" t="str">
        <f aca="false">IF(AND(G584&gt;=H584,G584&gt;=I584),"Distribution",IF(I584&gt;=H584,"Prof. services","Manufacturing"))</f>
        <v>Prof. services</v>
      </c>
      <c r="L584" s="46" t="n">
        <v>0.317927</v>
      </c>
      <c r="M584" s="46" t="n">
        <v>0.180959</v>
      </c>
      <c r="N584" s="46" t="n">
        <v>0.151142</v>
      </c>
      <c r="O584" s="46" t="n">
        <v>0.107533</v>
      </c>
      <c r="P584" s="46" t="n">
        <v>0.151751</v>
      </c>
      <c r="Q584" s="46" t="n">
        <v>0.090688</v>
      </c>
      <c r="R584" s="47" t="n">
        <f aca="false">L584*Scorecard!$C$12+M584*Scorecard!$C$13+N584*Scorecard!$C$14+O584*Scorecard!$C$15+P584*Scorecard!$C$16+Q584*Scorecard!$C$17</f>
        <v>3.53484286605291</v>
      </c>
      <c r="S584" s="47" t="n">
        <f aca="false">L584*Scorecard!$D$12+M584*Scorecard!$D$13+N584*Scorecard!$D$14+O584*Scorecard!$D$15+P584*Scorecard!$D$16+Q584*Scorecard!$D$17</f>
        <v>2.97742285407506</v>
      </c>
      <c r="T584" s="47" t="n">
        <f aca="false">L584*Scorecard!$E$12+M584*Scorecard!$E$13+N584*Scorecard!$E$14+O584*Scorecard!$E$15+P584*Scorecard!$E$16+Q584*Scorecard!$E$17</f>
        <v>3.93973748936745</v>
      </c>
      <c r="U584" s="0" t="str">
        <f aca="false">IF(AND(R584&gt;=S584,R584&gt;=T584),"Distribution",IF(T584&gt;=S584,"Prof. services","Manufacturing"))</f>
        <v>Prof. services</v>
      </c>
    </row>
    <row r="585" customFormat="false" ht="15" hidden="false" customHeight="false" outlineLevel="0" collapsed="false">
      <c r="A585" s="46" t="n">
        <v>0.046629</v>
      </c>
      <c r="B585" s="46" t="n">
        <v>0.079974</v>
      </c>
      <c r="C585" s="46" t="n">
        <v>0.094721</v>
      </c>
      <c r="D585" s="46" t="n">
        <v>0.192549</v>
      </c>
      <c r="E585" s="46" t="n">
        <v>0.407842</v>
      </c>
      <c r="F585" s="46" t="n">
        <v>0.178285</v>
      </c>
      <c r="G585" s="47" t="n">
        <f aca="false">A585*Scorecard!$C$12+B585*Scorecard!$C$13+C585*Scorecard!$C$14+D585*Scorecard!$C$15+E585*Scorecard!$C$16+F585*Scorecard!$C$17</f>
        <v>3.83202013502528</v>
      </c>
      <c r="H585" s="47" t="n">
        <f aca="false">A585*Scorecard!$D$12+B585*Scorecard!$D$13+C585*Scorecard!$D$14+D585*Scorecard!$D$15+E585*Scorecard!$D$16+F585*Scorecard!$D$17</f>
        <v>3.00218209265133</v>
      </c>
      <c r="I585" s="47" t="n">
        <f aca="false">A585*Scorecard!$E$12+B585*Scorecard!$E$13+C585*Scorecard!$E$14+D585*Scorecard!$E$15+E585*Scorecard!$E$16+F585*Scorecard!$E$17</f>
        <v>3.43235686112394</v>
      </c>
      <c r="J585" s="0" t="str">
        <f aca="false">IF(AND(G585&gt;=H585,G585&gt;=I585),"Distribution",IF(I585&gt;=H585,"Prof. services","Manufacturing"))</f>
        <v>Distribution</v>
      </c>
      <c r="L585" s="46" t="n">
        <v>0.217744</v>
      </c>
      <c r="M585" s="46" t="n">
        <v>0.129698</v>
      </c>
      <c r="N585" s="46" t="n">
        <v>0.155481</v>
      </c>
      <c r="O585" s="46" t="n">
        <v>0.179561</v>
      </c>
      <c r="P585" s="46" t="n">
        <v>0.186207</v>
      </c>
      <c r="Q585" s="46" t="n">
        <v>0.13131</v>
      </c>
      <c r="R585" s="47" t="n">
        <f aca="false">L585*Scorecard!$C$12+M585*Scorecard!$C$13+N585*Scorecard!$C$14+O585*Scorecard!$C$15+P585*Scorecard!$C$16+Q585*Scorecard!$C$17</f>
        <v>3.65470069475957</v>
      </c>
      <c r="S585" s="47" t="n">
        <f aca="false">L585*Scorecard!$D$12+M585*Scorecard!$D$13+N585*Scorecard!$D$14+O585*Scorecard!$D$15+P585*Scorecard!$D$16+Q585*Scorecard!$D$17</f>
        <v>3.02212784389618</v>
      </c>
      <c r="T585" s="47" t="n">
        <f aca="false">L585*Scorecard!$E$12+M585*Scorecard!$E$13+N585*Scorecard!$E$14+O585*Scorecard!$E$15+P585*Scorecard!$E$16+Q585*Scorecard!$E$17</f>
        <v>3.91474684901546</v>
      </c>
      <c r="U585" s="0" t="str">
        <f aca="false">IF(AND(R585&gt;=S585,R585&gt;=T585),"Distribution",IF(T585&gt;=S585,"Prof. services","Manufacturing"))</f>
        <v>Prof. services</v>
      </c>
    </row>
    <row r="586" customFormat="false" ht="15" hidden="false" customHeight="false" outlineLevel="0" collapsed="false">
      <c r="A586" s="46" t="n">
        <v>0.019187</v>
      </c>
      <c r="B586" s="46" t="n">
        <v>0.215275</v>
      </c>
      <c r="C586" s="46" t="n">
        <v>0.31293</v>
      </c>
      <c r="D586" s="46" t="n">
        <v>0.04609</v>
      </c>
      <c r="E586" s="46" t="n">
        <v>0.082964</v>
      </c>
      <c r="F586" s="46" t="n">
        <v>0.323554</v>
      </c>
      <c r="G586" s="47" t="n">
        <f aca="false">A586*Scorecard!$C$12+B586*Scorecard!$C$13+C586*Scorecard!$C$14+D586*Scorecard!$C$15+E586*Scorecard!$C$16+F586*Scorecard!$C$17</f>
        <v>3.57972012637479</v>
      </c>
      <c r="H586" s="47" t="n">
        <f aca="false">A586*Scorecard!$D$12+B586*Scorecard!$D$13+C586*Scorecard!$D$14+D586*Scorecard!$D$15+E586*Scorecard!$D$16+F586*Scorecard!$D$17</f>
        <v>2.28522509700557</v>
      </c>
      <c r="I586" s="47" t="n">
        <f aca="false">A586*Scorecard!$E$12+B586*Scorecard!$E$13+C586*Scorecard!$E$14+D586*Scorecard!$E$15+E586*Scorecard!$E$16+F586*Scorecard!$E$17</f>
        <v>3.95941740095214</v>
      </c>
      <c r="J586" s="0" t="str">
        <f aca="false">IF(AND(G586&gt;=H586,G586&gt;=I586),"Distribution",IF(I586&gt;=H586,"Prof. services","Manufacturing"))</f>
        <v>Prof. services</v>
      </c>
      <c r="L586" s="46" t="n">
        <v>0.265969</v>
      </c>
      <c r="M586" s="46" t="n">
        <v>0.269642</v>
      </c>
      <c r="N586" s="46" t="n">
        <v>0.22001</v>
      </c>
      <c r="O586" s="46" t="n">
        <v>0.071501</v>
      </c>
      <c r="P586" s="46" t="n">
        <v>0.075172</v>
      </c>
      <c r="Q586" s="46" t="n">
        <v>0.097705</v>
      </c>
      <c r="R586" s="47" t="n">
        <f aca="false">L586*Scorecard!$C$12+M586*Scorecard!$C$13+N586*Scorecard!$C$14+O586*Scorecard!$C$15+P586*Scorecard!$C$16+Q586*Scorecard!$C$17</f>
        <v>3.66698100702433</v>
      </c>
      <c r="S586" s="47" t="n">
        <f aca="false">L586*Scorecard!$D$12+M586*Scorecard!$D$13+N586*Scorecard!$D$14+O586*Scorecard!$D$15+P586*Scorecard!$D$16+Q586*Scorecard!$D$17</f>
        <v>2.73222172511507</v>
      </c>
      <c r="T586" s="47" t="n">
        <f aca="false">L586*Scorecard!$E$12+M586*Scorecard!$E$13+N586*Scorecard!$E$14+O586*Scorecard!$E$15+P586*Scorecard!$E$16+Q586*Scorecard!$E$17</f>
        <v>3.91553770560742</v>
      </c>
      <c r="U586" s="0" t="str">
        <f aca="false">IF(AND(R586&gt;=S586,R586&gt;=T586),"Distribution",IF(T586&gt;=S586,"Prof. services","Manufacturing"))</f>
        <v>Prof. services</v>
      </c>
    </row>
    <row r="587" customFormat="false" ht="15" hidden="false" customHeight="false" outlineLevel="0" collapsed="false">
      <c r="A587" s="46" t="n">
        <v>0.07422</v>
      </c>
      <c r="B587" s="46" t="n">
        <v>0.230144</v>
      </c>
      <c r="C587" s="46" t="n">
        <v>0.194597</v>
      </c>
      <c r="D587" s="46" t="n">
        <v>0.279596</v>
      </c>
      <c r="E587" s="46" t="n">
        <v>0.019968</v>
      </c>
      <c r="F587" s="46" t="n">
        <v>0.201475</v>
      </c>
      <c r="G587" s="47" t="n">
        <f aca="false">A587*Scorecard!$C$12+B587*Scorecard!$C$13+C587*Scorecard!$C$14+D587*Scorecard!$C$15+E587*Scorecard!$C$16+F587*Scorecard!$C$17</f>
        <v>3.97319294155088</v>
      </c>
      <c r="H587" s="47" t="n">
        <f aca="false">A587*Scorecard!$D$12+B587*Scorecard!$D$13+C587*Scorecard!$D$14+D587*Scorecard!$D$15+E587*Scorecard!$D$16+F587*Scorecard!$D$17</f>
        <v>2.73169468922073</v>
      </c>
      <c r="I587" s="47" t="n">
        <f aca="false">A587*Scorecard!$E$12+B587*Scorecard!$E$13+C587*Scorecard!$E$14+D587*Scorecard!$E$15+E587*Scorecard!$E$16+F587*Scorecard!$E$17</f>
        <v>3.95050385252397</v>
      </c>
      <c r="J587" s="0" t="str">
        <f aca="false">IF(AND(G587&gt;=H587,G587&gt;=I587),"Distribution",IF(I587&gt;=H587,"Prof. services","Manufacturing"))</f>
        <v>Distribution</v>
      </c>
      <c r="L587" s="46" t="n">
        <v>0.198888</v>
      </c>
      <c r="M587" s="46" t="n">
        <v>0.133256</v>
      </c>
      <c r="N587" s="46" t="n">
        <v>0.136831</v>
      </c>
      <c r="O587" s="46" t="n">
        <v>0.133842</v>
      </c>
      <c r="P587" s="46" t="n">
        <v>0.351049</v>
      </c>
      <c r="Q587" s="46" t="n">
        <v>0.046135</v>
      </c>
      <c r="R587" s="47" t="n">
        <f aca="false">L587*Scorecard!$C$12+M587*Scorecard!$C$13+N587*Scorecard!$C$14+O587*Scorecard!$C$15+P587*Scorecard!$C$16+Q587*Scorecard!$C$17</f>
        <v>3.8168307636644</v>
      </c>
      <c r="S587" s="47" t="n">
        <f aca="false">L587*Scorecard!$D$12+M587*Scorecard!$D$13+N587*Scorecard!$D$14+O587*Scorecard!$D$15+P587*Scorecard!$D$16+Q587*Scorecard!$D$17</f>
        <v>3.13411560196323</v>
      </c>
      <c r="T587" s="47" t="n">
        <f aca="false">L587*Scorecard!$E$12+M587*Scorecard!$E$13+N587*Scorecard!$E$14+O587*Scorecard!$E$15+P587*Scorecard!$E$16+Q587*Scorecard!$E$17</f>
        <v>3.5457403851088</v>
      </c>
      <c r="U587" s="0" t="str">
        <f aca="false">IF(AND(R587&gt;=S587,R587&gt;=T587),"Distribution",IF(T587&gt;=S587,"Prof. services","Manufacturing"))</f>
        <v>Distribution</v>
      </c>
    </row>
    <row r="588" customFormat="false" ht="15" hidden="false" customHeight="false" outlineLevel="0" collapsed="false">
      <c r="A588" s="46" t="n">
        <v>0.061491</v>
      </c>
      <c r="B588" s="46" t="n">
        <v>0.057532</v>
      </c>
      <c r="C588" s="46" t="n">
        <v>0.15685</v>
      </c>
      <c r="D588" s="46" t="n">
        <v>0.081419</v>
      </c>
      <c r="E588" s="46" t="n">
        <v>0.597027</v>
      </c>
      <c r="F588" s="46" t="n">
        <v>0.045682</v>
      </c>
      <c r="G588" s="47" t="n">
        <f aca="false">A588*Scorecard!$C$12+B588*Scorecard!$C$13+C588*Scorecard!$C$14+D588*Scorecard!$C$15+E588*Scorecard!$C$16+F588*Scorecard!$C$17</f>
        <v>3.93690632307876</v>
      </c>
      <c r="H588" s="47" t="n">
        <f aca="false">A588*Scorecard!$D$12+B588*Scorecard!$D$13+C588*Scorecard!$D$14+D588*Scorecard!$D$15+E588*Scorecard!$D$16+F588*Scorecard!$D$17</f>
        <v>3.17900516201718</v>
      </c>
      <c r="I588" s="47" t="n">
        <f aca="false">A588*Scorecard!$E$12+B588*Scorecard!$E$13+C588*Scorecard!$E$14+D588*Scorecard!$E$15+E588*Scorecard!$E$16+F588*Scorecard!$E$17</f>
        <v>3.15159639062603</v>
      </c>
      <c r="J588" s="0" t="str">
        <f aca="false">IF(AND(G588&gt;=H588,G588&gt;=I588),"Distribution",IF(I588&gt;=H588,"Prof. services","Manufacturing"))</f>
        <v>Distribution</v>
      </c>
      <c r="L588" s="46" t="n">
        <v>0.165792</v>
      </c>
      <c r="M588" s="46" t="n">
        <v>0.277687</v>
      </c>
      <c r="N588" s="46" t="n">
        <v>0.257336</v>
      </c>
      <c r="O588" s="46" t="n">
        <v>0.165966</v>
      </c>
      <c r="P588" s="46" t="n">
        <v>0.053939</v>
      </c>
      <c r="Q588" s="46" t="n">
        <v>0.07928</v>
      </c>
      <c r="R588" s="47" t="n">
        <f aca="false">L588*Scorecard!$C$12+M588*Scorecard!$C$13+N588*Scorecard!$C$14+O588*Scorecard!$C$15+P588*Scorecard!$C$16+Q588*Scorecard!$C$17</f>
        <v>3.98666503564543</v>
      </c>
      <c r="S588" s="47" t="n">
        <f aca="false">L588*Scorecard!$D$12+M588*Scorecard!$D$13+N588*Scorecard!$D$14+O588*Scorecard!$D$15+P588*Scorecard!$D$16+Q588*Scorecard!$D$17</f>
        <v>2.78389374854159</v>
      </c>
      <c r="T588" s="47" t="n">
        <f aca="false">L588*Scorecard!$E$12+M588*Scorecard!$E$13+N588*Scorecard!$E$14+O588*Scorecard!$E$15+P588*Scorecard!$E$16+Q588*Scorecard!$E$17</f>
        <v>3.87928011249009</v>
      </c>
      <c r="U588" s="0" t="str">
        <f aca="false">IF(AND(R588&gt;=S588,R588&gt;=T588),"Distribution",IF(T588&gt;=S588,"Prof. services","Manufacturing"))</f>
        <v>Distribution</v>
      </c>
    </row>
    <row r="589" customFormat="false" ht="15" hidden="false" customHeight="false" outlineLevel="0" collapsed="false">
      <c r="A589" s="46" t="n">
        <v>0.294352</v>
      </c>
      <c r="B589" s="46" t="n">
        <v>0.06447</v>
      </c>
      <c r="C589" s="46" t="n">
        <v>0.298724</v>
      </c>
      <c r="D589" s="46" t="n">
        <v>0.133601</v>
      </c>
      <c r="E589" s="46" t="n">
        <v>0.198192</v>
      </c>
      <c r="F589" s="46" t="n">
        <v>0.01066</v>
      </c>
      <c r="G589" s="47" t="n">
        <f aca="false">A589*Scorecard!$C$12+B589*Scorecard!$C$13+C589*Scorecard!$C$14+D589*Scorecard!$C$15+E589*Scorecard!$C$16+F589*Scorecard!$C$17</f>
        <v>3.64690920225525</v>
      </c>
      <c r="H589" s="47" t="n">
        <f aca="false">A589*Scorecard!$D$12+B589*Scorecard!$D$13+C589*Scorecard!$D$14+D589*Scorecard!$D$15+E589*Scorecard!$D$16+F589*Scorecard!$D$17</f>
        <v>3.30239735612264</v>
      </c>
      <c r="I589" s="47" t="n">
        <f aca="false">A589*Scorecard!$E$12+B589*Scorecard!$E$13+C589*Scorecard!$E$14+D589*Scorecard!$E$15+E589*Scorecard!$E$16+F589*Scorecard!$E$17</f>
        <v>4.16908816564183</v>
      </c>
      <c r="J589" s="0" t="str">
        <f aca="false">IF(AND(G589&gt;=H589,G589&gt;=I589),"Distribution",IF(I589&gt;=H589,"Prof. services","Manufacturing"))</f>
        <v>Prof. services</v>
      </c>
      <c r="L589" s="46" t="n">
        <v>0.350229</v>
      </c>
      <c r="M589" s="46" t="n">
        <v>0.125369</v>
      </c>
      <c r="N589" s="46" t="n">
        <v>0.12334</v>
      </c>
      <c r="O589" s="46" t="n">
        <v>0.252607</v>
      </c>
      <c r="P589" s="46" t="n">
        <v>0.12425</v>
      </c>
      <c r="Q589" s="46" t="n">
        <v>0.024205</v>
      </c>
      <c r="R589" s="47" t="n">
        <f aca="false">L589*Scorecard!$C$12+M589*Scorecard!$C$13+N589*Scorecard!$C$14+O589*Scorecard!$C$15+P589*Scorecard!$C$16+Q589*Scorecard!$C$17</f>
        <v>3.69914880539509</v>
      </c>
      <c r="S589" s="47" t="n">
        <f aca="false">L589*Scorecard!$D$12+M589*Scorecard!$D$13+N589*Scorecard!$D$14+O589*Scorecard!$D$15+P589*Scorecard!$D$16+Q589*Scorecard!$D$17</f>
        <v>3.34070174769466</v>
      </c>
      <c r="T589" s="47" t="n">
        <f aca="false">L589*Scorecard!$E$12+M589*Scorecard!$E$13+N589*Scorecard!$E$14+O589*Scorecard!$E$15+P589*Scorecard!$E$16+Q589*Scorecard!$E$17</f>
        <v>4.08490303187012</v>
      </c>
      <c r="U589" s="0" t="str">
        <f aca="false">IF(AND(R589&gt;=S589,R589&gt;=T589),"Distribution",IF(T589&gt;=S589,"Prof. services","Manufacturing"))</f>
        <v>Prof. services</v>
      </c>
    </row>
    <row r="590" customFormat="false" ht="15" hidden="false" customHeight="false" outlineLevel="0" collapsed="false">
      <c r="A590" s="46" t="n">
        <v>0.440769</v>
      </c>
      <c r="B590" s="46" t="n">
        <v>0.134775</v>
      </c>
      <c r="C590" s="46" t="n">
        <v>0.049958</v>
      </c>
      <c r="D590" s="46" t="n">
        <v>0.125976</v>
      </c>
      <c r="E590" s="46" t="n">
        <v>0.157606</v>
      </c>
      <c r="F590" s="46" t="n">
        <v>0.090916</v>
      </c>
      <c r="G590" s="47" t="n">
        <f aca="false">A590*Scorecard!$C$12+B590*Scorecard!$C$13+C590*Scorecard!$C$14+D590*Scorecard!$C$15+E590*Scorecard!$C$16+F590*Scorecard!$C$17</f>
        <v>3.28552851420695</v>
      </c>
      <c r="H590" s="47" t="n">
        <f aca="false">A590*Scorecard!$D$12+B590*Scorecard!$D$13+C590*Scorecard!$D$14+D590*Scorecard!$D$15+E590*Scorecard!$D$16+F590*Scorecard!$D$17</f>
        <v>3.1508483408315</v>
      </c>
      <c r="I590" s="47" t="n">
        <f aca="false">A590*Scorecard!$E$12+B590*Scorecard!$E$13+C590*Scorecard!$E$14+D590*Scorecard!$E$15+E590*Scorecard!$E$16+F590*Scorecard!$E$17</f>
        <v>4.04139997636669</v>
      </c>
      <c r="J590" s="0" t="str">
        <f aca="false">IF(AND(G590&gt;=H590,G590&gt;=I590),"Distribution",IF(I590&gt;=H590,"Prof. services","Manufacturing"))</f>
        <v>Prof. services</v>
      </c>
      <c r="L590" s="46" t="n">
        <v>0.151037</v>
      </c>
      <c r="M590" s="46" t="n">
        <v>0.192623</v>
      </c>
      <c r="N590" s="46" t="n">
        <v>0.27344</v>
      </c>
      <c r="O590" s="46" t="n">
        <v>0.164126</v>
      </c>
      <c r="P590" s="46" t="n">
        <v>0.115745</v>
      </c>
      <c r="Q590" s="46" t="n">
        <v>0.103029</v>
      </c>
      <c r="R590" s="47" t="n">
        <f aca="false">L590*Scorecard!$C$12+M590*Scorecard!$C$13+N590*Scorecard!$C$14+O590*Scorecard!$C$15+P590*Scorecard!$C$16+Q590*Scorecard!$C$17</f>
        <v>3.87882224606602</v>
      </c>
      <c r="S590" s="47" t="n">
        <f aca="false">L590*Scorecard!$D$12+M590*Scorecard!$D$13+N590*Scorecard!$D$14+O590*Scorecard!$D$15+P590*Scorecard!$D$16+Q590*Scorecard!$D$17</f>
        <v>2.8846770219041</v>
      </c>
      <c r="T590" s="47" t="n">
        <f aca="false">L590*Scorecard!$E$12+M590*Scorecard!$E$13+N590*Scorecard!$E$14+O590*Scorecard!$E$15+P590*Scorecard!$E$16+Q590*Scorecard!$E$17</f>
        <v>3.94873662801287</v>
      </c>
      <c r="U590" s="0" t="str">
        <f aca="false">IF(AND(R590&gt;=S590,R590&gt;=T590),"Distribution",IF(T590&gt;=S590,"Prof. services","Manufacturing"))</f>
        <v>Prof. services</v>
      </c>
    </row>
    <row r="591" customFormat="false" ht="15" hidden="false" customHeight="false" outlineLevel="0" collapsed="false">
      <c r="A591" s="46" t="n">
        <v>0.180765</v>
      </c>
      <c r="B591" s="46" t="n">
        <v>0.411816</v>
      </c>
      <c r="C591" s="46" t="n">
        <v>0.142514</v>
      </c>
      <c r="D591" s="46" t="n">
        <v>0.041556</v>
      </c>
      <c r="E591" s="46" t="n">
        <v>0.132825</v>
      </c>
      <c r="F591" s="46" t="n">
        <v>0.090523</v>
      </c>
      <c r="G591" s="47" t="n">
        <f aca="false">A591*Scorecard!$C$12+B591*Scorecard!$C$13+C591*Scorecard!$C$14+D591*Scorecard!$C$15+E591*Scorecard!$C$16+F591*Scorecard!$C$17</f>
        <v>3.94694242211594</v>
      </c>
      <c r="H591" s="47" t="n">
        <f aca="false">A591*Scorecard!$D$12+B591*Scorecard!$D$13+C591*Scorecard!$D$14+D591*Scorecard!$D$15+E591*Scorecard!$D$16+F591*Scorecard!$D$17</f>
        <v>2.45786194587648</v>
      </c>
      <c r="I591" s="47" t="n">
        <f aca="false">A591*Scorecard!$E$12+B591*Scorecard!$E$13+C591*Scorecard!$E$14+D591*Scorecard!$E$15+E591*Scorecard!$E$16+F591*Scorecard!$E$17</f>
        <v>3.38158430794009</v>
      </c>
      <c r="J591" s="0" t="str">
        <f aca="false">IF(AND(G591&gt;=H591,G591&gt;=I591),"Distribution",IF(I591&gt;=H591,"Prof. services","Manufacturing"))</f>
        <v>Distribution</v>
      </c>
      <c r="L591" s="46" t="n">
        <v>0.148088</v>
      </c>
      <c r="M591" s="46" t="n">
        <v>0.42399</v>
      </c>
      <c r="N591" s="46" t="n">
        <v>0.124937</v>
      </c>
      <c r="O591" s="46" t="n">
        <v>0.121958</v>
      </c>
      <c r="P591" s="46" t="n">
        <v>0.113504</v>
      </c>
      <c r="Q591" s="46" t="n">
        <v>0.067524</v>
      </c>
      <c r="R591" s="47" t="n">
        <f aca="false">L591*Scorecard!$C$12+M591*Scorecard!$C$13+N591*Scorecard!$C$14+O591*Scorecard!$C$15+P591*Scorecard!$C$16+Q591*Scorecard!$C$17</f>
        <v>4.14434348812162</v>
      </c>
      <c r="S591" s="47" t="n">
        <f aca="false">L591*Scorecard!$D$12+M591*Scorecard!$D$13+N591*Scorecard!$D$14+O591*Scorecard!$D$15+P591*Scorecard!$D$16+Q591*Scorecard!$D$17</f>
        <v>2.53914481878611</v>
      </c>
      <c r="T591" s="47" t="n">
        <f aca="false">L591*Scorecard!$E$12+M591*Scorecard!$E$13+N591*Scorecard!$E$14+O591*Scorecard!$E$15+P591*Scorecard!$E$16+Q591*Scorecard!$E$17</f>
        <v>3.34240186468379</v>
      </c>
      <c r="U591" s="0" t="str">
        <f aca="false">IF(AND(R591&gt;=S591,R591&gt;=T591),"Distribution",IF(T591&gt;=S591,"Prof. services","Manufacturing"))</f>
        <v>Distribution</v>
      </c>
    </row>
    <row r="592" customFormat="false" ht="15" hidden="false" customHeight="false" outlineLevel="0" collapsed="false">
      <c r="A592" s="46" t="n">
        <v>0.027596</v>
      </c>
      <c r="B592" s="46" t="n">
        <v>0.064289</v>
      </c>
      <c r="C592" s="46" t="n">
        <v>0.126094</v>
      </c>
      <c r="D592" s="46" t="n">
        <v>0.235766</v>
      </c>
      <c r="E592" s="46" t="n">
        <v>0.535015</v>
      </c>
      <c r="F592" s="46" t="n">
        <v>0.011241</v>
      </c>
      <c r="G592" s="47" t="n">
        <f aca="false">A592*Scorecard!$C$12+B592*Scorecard!$C$13+C592*Scorecard!$C$14+D592*Scorecard!$C$15+E592*Scorecard!$C$16+F592*Scorecard!$C$17</f>
        <v>4.2279038064543</v>
      </c>
      <c r="H592" s="47" t="n">
        <f aca="false">A592*Scorecard!$D$12+B592*Scorecard!$D$13+C592*Scorecard!$D$14+D592*Scorecard!$D$15+E592*Scorecard!$D$16+F592*Scorecard!$D$17</f>
        <v>3.35614285776978</v>
      </c>
      <c r="I592" s="47" t="n">
        <f aca="false">A592*Scorecard!$E$12+B592*Scorecard!$E$13+C592*Scorecard!$E$14+D592*Scorecard!$E$15+E592*Scorecard!$E$16+F592*Scorecard!$E$17</f>
        <v>3.18573480458632</v>
      </c>
      <c r="J592" s="0" t="str">
        <f aca="false">IF(AND(G592&gt;=H592,G592&gt;=I592),"Distribution",IF(I592&gt;=H592,"Prof. services","Manufacturing"))</f>
        <v>Distribution</v>
      </c>
      <c r="L592" s="46" t="n">
        <v>0.095862</v>
      </c>
      <c r="M592" s="46" t="n">
        <v>0.264194</v>
      </c>
      <c r="N592" s="46" t="n">
        <v>0.353592</v>
      </c>
      <c r="O592" s="46" t="n">
        <v>0.133933</v>
      </c>
      <c r="P592" s="46" t="n">
        <v>0.128446</v>
      </c>
      <c r="Q592" s="46" t="n">
        <v>0.023972</v>
      </c>
      <c r="R592" s="47" t="n">
        <f aca="false">L592*Scorecard!$C$12+M592*Scorecard!$C$13+N592*Scorecard!$C$14+O592*Scorecard!$C$15+P592*Scorecard!$C$16+Q592*Scorecard!$C$17</f>
        <v>4.17762603291499</v>
      </c>
      <c r="S592" s="47" t="n">
        <f aca="false">L592*Scorecard!$D$12+M592*Scorecard!$D$13+N592*Scorecard!$D$14+O592*Scorecard!$D$15+P592*Scorecard!$D$16+Q592*Scorecard!$D$17</f>
        <v>2.82866651977194</v>
      </c>
      <c r="T592" s="47" t="n">
        <f aca="false">L592*Scorecard!$E$12+M592*Scorecard!$E$13+N592*Scorecard!$E$14+O592*Scorecard!$E$15+P592*Scorecard!$E$16+Q592*Scorecard!$E$17</f>
        <v>3.77382013799796</v>
      </c>
      <c r="U592" s="0" t="str">
        <f aca="false">IF(AND(R592&gt;=S592,R592&gt;=T592),"Distribution",IF(T592&gt;=S592,"Prof. services","Manufacturing"))</f>
        <v>Distribution</v>
      </c>
    </row>
    <row r="593" customFormat="false" ht="15" hidden="false" customHeight="false" outlineLevel="0" collapsed="false">
      <c r="A593" s="46" t="n">
        <v>0.053174</v>
      </c>
      <c r="B593" s="46" t="n">
        <v>0.075293</v>
      </c>
      <c r="C593" s="46" t="n">
        <v>0.450475</v>
      </c>
      <c r="D593" s="46" t="n">
        <v>0.195298</v>
      </c>
      <c r="E593" s="46" t="n">
        <v>0.094151</v>
      </c>
      <c r="F593" s="46" t="n">
        <v>0.13161</v>
      </c>
      <c r="G593" s="47" t="n">
        <f aca="false">A593*Scorecard!$C$12+B593*Scorecard!$C$13+C593*Scorecard!$C$14+D593*Scorecard!$C$15+E593*Scorecard!$C$16+F593*Scorecard!$C$17</f>
        <v>3.91166104168723</v>
      </c>
      <c r="H593" s="47" t="n">
        <f aca="false">A593*Scorecard!$D$12+B593*Scorecard!$D$13+C593*Scorecard!$D$14+D593*Scorecard!$D$15+E593*Scorecard!$D$16+F593*Scorecard!$D$17</f>
        <v>2.98216576554738</v>
      </c>
      <c r="I593" s="47" t="n">
        <f aca="false">A593*Scorecard!$E$12+B593*Scorecard!$E$13+C593*Scorecard!$E$14+D593*Scorecard!$E$15+E593*Scorecard!$E$16+F593*Scorecard!$E$17</f>
        <v>4.30337145881873</v>
      </c>
      <c r="J593" s="0" t="str">
        <f aca="false">IF(AND(G593&gt;=H593,G593&gt;=I593),"Distribution",IF(I593&gt;=H593,"Prof. services","Manufacturing"))</f>
        <v>Prof. services</v>
      </c>
      <c r="L593" s="46" t="n">
        <v>0.28403</v>
      </c>
      <c r="M593" s="46" t="n">
        <v>0.117678</v>
      </c>
      <c r="N593" s="46" t="n">
        <v>0.07794</v>
      </c>
      <c r="O593" s="46" t="n">
        <v>0.157954</v>
      </c>
      <c r="P593" s="46" t="n">
        <v>0.197877</v>
      </c>
      <c r="Q593" s="46" t="n">
        <v>0.164521</v>
      </c>
      <c r="R593" s="47" t="n">
        <f aca="false">L593*Scorecard!$C$12+M593*Scorecard!$C$13+N593*Scorecard!$C$14+O593*Scorecard!$C$15+P593*Scorecard!$C$16+Q593*Scorecard!$C$17</f>
        <v>3.43533194945697</v>
      </c>
      <c r="S593" s="47" t="n">
        <f aca="false">L593*Scorecard!$D$12+M593*Scorecard!$D$13+N593*Scorecard!$D$14+O593*Scorecard!$D$15+P593*Scorecard!$D$16+Q593*Scorecard!$D$17</f>
        <v>3.01301238978996</v>
      </c>
      <c r="T593" s="47" t="n">
        <f aca="false">L593*Scorecard!$E$12+M593*Scorecard!$E$13+N593*Scorecard!$E$14+O593*Scorecard!$E$15+P593*Scorecard!$E$16+Q593*Scorecard!$E$17</f>
        <v>3.91964198093735</v>
      </c>
      <c r="U593" s="0" t="str">
        <f aca="false">IF(AND(R593&gt;=S593,R593&gt;=T593),"Distribution",IF(T593&gt;=S593,"Prof. services","Manufacturing"))</f>
        <v>Prof. services</v>
      </c>
    </row>
    <row r="594" customFormat="false" ht="15" hidden="false" customHeight="false" outlineLevel="0" collapsed="false">
      <c r="A594" s="46" t="n">
        <v>0.100801</v>
      </c>
      <c r="B594" s="46" t="n">
        <v>0.035788</v>
      </c>
      <c r="C594" s="46" t="n">
        <v>0.227657</v>
      </c>
      <c r="D594" s="46" t="n">
        <v>0.208718</v>
      </c>
      <c r="E594" s="46" t="n">
        <v>0.09801</v>
      </c>
      <c r="F594" s="46" t="n">
        <v>0.329026</v>
      </c>
      <c r="G594" s="47" t="n">
        <f aca="false">A594*Scorecard!$C$12+B594*Scorecard!$C$13+C594*Scorecard!$C$14+D594*Scorecard!$C$15+E594*Scorecard!$C$16+F594*Scorecard!$C$17</f>
        <v>3.40501076248006</v>
      </c>
      <c r="H594" s="47" t="n">
        <f aca="false">A594*Scorecard!$D$12+B594*Scorecard!$D$13+C594*Scorecard!$D$14+D594*Scorecard!$D$15+E594*Scorecard!$D$16+F594*Scorecard!$D$17</f>
        <v>2.79361769762147</v>
      </c>
      <c r="I594" s="47" t="n">
        <f aca="false">A594*Scorecard!$E$12+B594*Scorecard!$E$13+C594*Scorecard!$E$14+D594*Scorecard!$E$15+E594*Scorecard!$E$16+F594*Scorecard!$E$17</f>
        <v>4.29675023749953</v>
      </c>
      <c r="J594" s="0" t="str">
        <f aca="false">IF(AND(G594&gt;=H594,G594&gt;=I594),"Distribution",IF(I594&gt;=H594,"Prof. services","Manufacturing"))</f>
        <v>Prof. services</v>
      </c>
      <c r="L594" s="46" t="n">
        <v>0.170271</v>
      </c>
      <c r="M594" s="46" t="n">
        <v>0.162051</v>
      </c>
      <c r="N594" s="46" t="n">
        <v>0.223588</v>
      </c>
      <c r="O594" s="46" t="n">
        <v>0.137023</v>
      </c>
      <c r="P594" s="46" t="n">
        <v>0.19767</v>
      </c>
      <c r="Q594" s="46" t="n">
        <v>0.109397</v>
      </c>
      <c r="R594" s="47" t="n">
        <f aca="false">L594*Scorecard!$C$12+M594*Scorecard!$C$13+N594*Scorecard!$C$14+O594*Scorecard!$C$15+P594*Scorecard!$C$16+Q594*Scorecard!$C$17</f>
        <v>3.77378977177055</v>
      </c>
      <c r="S594" s="47" t="n">
        <f aca="false">L594*Scorecard!$D$12+M594*Scorecard!$D$13+N594*Scorecard!$D$14+O594*Scorecard!$D$15+P594*Scorecard!$D$16+Q594*Scorecard!$D$17</f>
        <v>2.92965144015701</v>
      </c>
      <c r="T594" s="47" t="n">
        <f aca="false">L594*Scorecard!$E$12+M594*Scorecard!$E$13+N594*Scorecard!$E$14+O594*Scorecard!$E$15+P594*Scorecard!$E$16+Q594*Scorecard!$E$17</f>
        <v>3.83765354332137</v>
      </c>
      <c r="U594" s="0" t="str">
        <f aca="false">IF(AND(R594&gt;=S594,R594&gt;=T594),"Distribution",IF(T594&gt;=S594,"Prof. services","Manufacturing"))</f>
        <v>Prof. services</v>
      </c>
    </row>
    <row r="595" customFormat="false" ht="15" hidden="false" customHeight="false" outlineLevel="0" collapsed="false">
      <c r="A595" s="46" t="n">
        <v>0.002082</v>
      </c>
      <c r="B595" s="46" t="n">
        <v>0.404228</v>
      </c>
      <c r="C595" s="46" t="n">
        <v>0.477486</v>
      </c>
      <c r="D595" s="46" t="n">
        <v>0.018944</v>
      </c>
      <c r="E595" s="46" t="n">
        <v>0.036697</v>
      </c>
      <c r="F595" s="46" t="n">
        <v>0.060563</v>
      </c>
      <c r="G595" s="47" t="n">
        <f aca="false">A595*Scorecard!$C$12+B595*Scorecard!$C$13+C595*Scorecard!$C$14+D595*Scorecard!$C$15+E595*Scorecard!$C$16+F595*Scorecard!$C$17</f>
        <v>4.29829837030866</v>
      </c>
      <c r="H595" s="47" t="n">
        <f aca="false">A595*Scorecard!$D$12+B595*Scorecard!$D$13+C595*Scorecard!$D$14+D595*Scorecard!$D$15+E595*Scorecard!$D$16+F595*Scorecard!$D$17</f>
        <v>2.33794641291191</v>
      </c>
      <c r="I595" s="47" t="n">
        <f aca="false">A595*Scorecard!$E$12+B595*Scorecard!$E$13+C595*Scorecard!$E$14+D595*Scorecard!$E$15+E595*Scorecard!$E$16+F595*Scorecard!$E$17</f>
        <v>3.69363173841683</v>
      </c>
      <c r="J595" s="0" t="str">
        <f aca="false">IF(AND(G595&gt;=H595,G595&gt;=I595),"Distribution",IF(I595&gt;=H595,"Prof. services","Manufacturing"))</f>
        <v>Distribution</v>
      </c>
      <c r="L595" s="46" t="n">
        <v>0.079862</v>
      </c>
      <c r="M595" s="46" t="n">
        <v>0.130639</v>
      </c>
      <c r="N595" s="46" t="n">
        <v>0.329596</v>
      </c>
      <c r="O595" s="46" t="n">
        <v>0.183831</v>
      </c>
      <c r="P595" s="46" t="n">
        <v>0.224984</v>
      </c>
      <c r="Q595" s="46" t="n">
        <v>0.051089</v>
      </c>
      <c r="R595" s="47" t="n">
        <f aca="false">L595*Scorecard!$C$12+M595*Scorecard!$C$13+N595*Scorecard!$C$14+O595*Scorecard!$C$15+P595*Scorecard!$C$16+Q595*Scorecard!$C$17</f>
        <v>4.06854326109049</v>
      </c>
      <c r="S595" s="47" t="n">
        <f aca="false">L595*Scorecard!$D$12+M595*Scorecard!$D$13+N595*Scorecard!$D$14+O595*Scorecard!$D$15+P595*Scorecard!$D$16+Q595*Scorecard!$D$17</f>
        <v>3.06783787045088</v>
      </c>
      <c r="T595" s="47" t="n">
        <f aca="false">L595*Scorecard!$E$12+M595*Scorecard!$E$13+N595*Scorecard!$E$14+O595*Scorecard!$E$15+P595*Scorecard!$E$16+Q595*Scorecard!$E$17</f>
        <v>3.84517683859974</v>
      </c>
      <c r="U595" s="0" t="str">
        <f aca="false">IF(AND(R595&gt;=S595,R595&gt;=T595),"Distribution",IF(T595&gt;=S595,"Prof. services","Manufacturing"))</f>
        <v>Distribution</v>
      </c>
    </row>
    <row r="596" customFormat="false" ht="15" hidden="false" customHeight="false" outlineLevel="0" collapsed="false">
      <c r="A596" s="46" t="n">
        <v>0.031389</v>
      </c>
      <c r="B596" s="46" t="n">
        <v>0.254313</v>
      </c>
      <c r="C596" s="46" t="n">
        <v>0.06464</v>
      </c>
      <c r="D596" s="46" t="n">
        <v>0.267741</v>
      </c>
      <c r="E596" s="46" t="n">
        <v>0.205653</v>
      </c>
      <c r="F596" s="46" t="n">
        <v>0.176263</v>
      </c>
      <c r="G596" s="47" t="n">
        <f aca="false">A596*Scorecard!$C$12+B596*Scorecard!$C$13+C596*Scorecard!$C$14+D596*Scorecard!$C$15+E596*Scorecard!$C$16+F596*Scorecard!$C$17</f>
        <v>4.11302335236244</v>
      </c>
      <c r="H596" s="47" t="n">
        <f aca="false">A596*Scorecard!$D$12+B596*Scorecard!$D$13+C596*Scorecard!$D$14+D596*Scorecard!$D$15+E596*Scorecard!$D$16+F596*Scorecard!$D$17</f>
        <v>2.75311115893747</v>
      </c>
      <c r="I596" s="47" t="n">
        <f aca="false">A596*Scorecard!$E$12+B596*Scorecard!$E$13+C596*Scorecard!$E$14+D596*Scorecard!$E$15+E596*Scorecard!$E$16+F596*Scorecard!$E$17</f>
        <v>3.40835425022027</v>
      </c>
      <c r="J596" s="0" t="str">
        <f aca="false">IF(AND(G596&gt;=H596,G596&gt;=I596),"Distribution",IF(I596&gt;=H596,"Prof. services","Manufacturing"))</f>
        <v>Distribution</v>
      </c>
      <c r="L596" s="46" t="n">
        <v>0.272109</v>
      </c>
      <c r="M596" s="46" t="n">
        <v>0.053016</v>
      </c>
      <c r="N596" s="46" t="n">
        <v>0.302717</v>
      </c>
      <c r="O596" s="46" t="n">
        <v>0.173698</v>
      </c>
      <c r="P596" s="46" t="n">
        <v>0.091554</v>
      </c>
      <c r="Q596" s="46" t="n">
        <v>0.106906</v>
      </c>
      <c r="R596" s="47" t="n">
        <f aca="false">L596*Scorecard!$C$12+M596*Scorecard!$C$13+N596*Scorecard!$C$14+O596*Scorecard!$C$15+P596*Scorecard!$C$16+Q596*Scorecard!$C$17</f>
        <v>3.52310191946199</v>
      </c>
      <c r="S596" s="47" t="n">
        <f aca="false">L596*Scorecard!$D$12+M596*Scorecard!$D$13+N596*Scorecard!$D$14+O596*Scorecard!$D$15+P596*Scorecard!$D$16+Q596*Scorecard!$D$17</f>
        <v>3.17140317880712</v>
      </c>
      <c r="T596" s="47" t="n">
        <f aca="false">L596*Scorecard!$E$12+M596*Scorecard!$E$13+N596*Scorecard!$E$14+O596*Scorecard!$E$15+P596*Scorecard!$E$16+Q596*Scorecard!$E$17</f>
        <v>4.40475847423033</v>
      </c>
      <c r="U596" s="0" t="str">
        <f aca="false">IF(AND(R596&gt;=S596,R596&gt;=T596),"Distribution",IF(T596&gt;=S596,"Prof. services","Manufacturing"))</f>
        <v>Prof. services</v>
      </c>
    </row>
    <row r="597" customFormat="false" ht="15" hidden="false" customHeight="false" outlineLevel="0" collapsed="false">
      <c r="A597" s="46" t="n">
        <v>0.040448</v>
      </c>
      <c r="B597" s="46" t="n">
        <v>0.10552</v>
      </c>
      <c r="C597" s="46" t="n">
        <v>0.358839</v>
      </c>
      <c r="D597" s="46" t="n">
        <v>0.446996</v>
      </c>
      <c r="E597" s="46" t="n">
        <v>0.029218</v>
      </c>
      <c r="F597" s="46" t="n">
        <v>0.018978</v>
      </c>
      <c r="G597" s="47" t="n">
        <f aca="false">A597*Scorecard!$C$12+B597*Scorecard!$C$13+C597*Scorecard!$C$14+D597*Scorecard!$C$15+E597*Scorecard!$C$16+F597*Scorecard!$C$17</f>
        <v>4.44174902317233</v>
      </c>
      <c r="H597" s="47" t="n">
        <f aca="false">A597*Scorecard!$D$12+B597*Scorecard!$D$13+C597*Scorecard!$D$14+D597*Scorecard!$D$15+E597*Scorecard!$D$16+F597*Scorecard!$D$17</f>
        <v>3.36706246712141</v>
      </c>
      <c r="I597" s="47" t="n">
        <f aca="false">A597*Scorecard!$E$12+B597*Scorecard!$E$13+C597*Scorecard!$E$14+D597*Scorecard!$E$15+E597*Scorecard!$E$16+F597*Scorecard!$E$17</f>
        <v>4.23551996407478</v>
      </c>
      <c r="J597" s="0" t="str">
        <f aca="false">IF(AND(G597&gt;=H597,G597&gt;=I597),"Distribution",IF(I597&gt;=H597,"Prof. services","Manufacturing"))</f>
        <v>Distribution</v>
      </c>
      <c r="L597" s="46" t="n">
        <v>0.253289</v>
      </c>
      <c r="M597" s="46" t="n">
        <v>0.293911</v>
      </c>
      <c r="N597" s="46" t="n">
        <v>0.097285</v>
      </c>
      <c r="O597" s="46" t="n">
        <v>0.149777</v>
      </c>
      <c r="P597" s="46" t="n">
        <v>0.070388</v>
      </c>
      <c r="Q597" s="46" t="n">
        <v>0.135351</v>
      </c>
      <c r="R597" s="47" t="n">
        <f aca="false">L597*Scorecard!$C$12+M597*Scorecard!$C$13+N597*Scorecard!$C$14+O597*Scorecard!$C$15+P597*Scorecard!$C$16+Q597*Scorecard!$C$17</f>
        <v>3.71706618785342</v>
      </c>
      <c r="S597" s="47" t="n">
        <f aca="false">L597*Scorecard!$D$12+M597*Scorecard!$D$13+N597*Scorecard!$D$14+O597*Scorecard!$D$15+P597*Scorecard!$D$16+Q597*Scorecard!$D$17</f>
        <v>2.71997599979489</v>
      </c>
      <c r="T597" s="47" t="n">
        <f aca="false">L597*Scorecard!$E$12+M597*Scorecard!$E$13+N597*Scorecard!$E$14+O597*Scorecard!$E$15+P597*Scorecard!$E$16+Q597*Scorecard!$E$17</f>
        <v>3.77426429933357</v>
      </c>
      <c r="U597" s="0" t="str">
        <f aca="false">IF(AND(R597&gt;=S597,R597&gt;=T597),"Distribution",IF(T597&gt;=S597,"Prof. services","Manufacturing"))</f>
        <v>Prof. services</v>
      </c>
    </row>
    <row r="598" customFormat="false" ht="15" hidden="false" customHeight="false" outlineLevel="0" collapsed="false">
      <c r="A598" s="46" t="n">
        <v>0.083187</v>
      </c>
      <c r="B598" s="46" t="n">
        <v>0.017708</v>
      </c>
      <c r="C598" s="46" t="n">
        <v>0.297643</v>
      </c>
      <c r="D598" s="46" t="n">
        <v>0.314159</v>
      </c>
      <c r="E598" s="46" t="n">
        <v>0.212966</v>
      </c>
      <c r="F598" s="46" t="n">
        <v>0.074338</v>
      </c>
      <c r="G598" s="47" t="n">
        <f aca="false">A598*Scorecard!$C$12+B598*Scorecard!$C$13+C598*Scorecard!$C$14+D598*Scorecard!$C$15+E598*Scorecard!$C$16+F598*Scorecard!$C$17</f>
        <v>4.03345721367277</v>
      </c>
      <c r="H598" s="47" t="n">
        <f aca="false">A598*Scorecard!$D$12+B598*Scorecard!$D$13+C598*Scorecard!$D$14+D598*Scorecard!$D$15+E598*Scorecard!$D$16+F598*Scorecard!$D$17</f>
        <v>3.35153741311641</v>
      </c>
      <c r="I598" s="47" t="n">
        <f aca="false">A598*Scorecard!$E$12+B598*Scorecard!$E$13+C598*Scorecard!$E$14+D598*Scorecard!$E$15+E598*Scorecard!$E$16+F598*Scorecard!$E$17</f>
        <v>4.08140347633025</v>
      </c>
      <c r="J598" s="0" t="str">
        <f aca="false">IF(AND(G598&gt;=H598,G598&gt;=I598),"Distribution",IF(I598&gt;=H598,"Prof. services","Manufacturing"))</f>
        <v>Prof. services</v>
      </c>
      <c r="L598" s="46" t="n">
        <v>0.347943</v>
      </c>
      <c r="M598" s="46" t="n">
        <v>0.155225</v>
      </c>
      <c r="N598" s="46" t="n">
        <v>0.143076</v>
      </c>
      <c r="O598" s="46" t="n">
        <v>0.12673</v>
      </c>
      <c r="P598" s="46" t="n">
        <v>0.15867</v>
      </c>
      <c r="Q598" s="46" t="n">
        <v>0.068356</v>
      </c>
      <c r="R598" s="47" t="n">
        <f aca="false">L598*Scorecard!$C$12+M598*Scorecard!$C$13+N598*Scorecard!$C$14+O598*Scorecard!$C$15+P598*Scorecard!$C$16+Q598*Scorecard!$C$17</f>
        <v>3.51894063799566</v>
      </c>
      <c r="S598" s="47" t="n">
        <f aca="false">L598*Scorecard!$D$12+M598*Scorecard!$D$13+N598*Scorecard!$D$14+O598*Scorecard!$D$15+P598*Scorecard!$D$16+Q598*Scorecard!$D$17</f>
        <v>3.09390425120876</v>
      </c>
      <c r="T598" s="47" t="n">
        <f aca="false">L598*Scorecard!$E$12+M598*Scorecard!$E$13+N598*Scorecard!$E$14+O598*Scorecard!$E$15+P598*Scorecard!$E$16+Q598*Scorecard!$E$17</f>
        <v>3.99040661699941</v>
      </c>
      <c r="U598" s="0" t="str">
        <f aca="false">IF(AND(R598&gt;=S598,R598&gt;=T598),"Distribution",IF(T598&gt;=S598,"Prof. services","Manufacturing"))</f>
        <v>Prof. services</v>
      </c>
    </row>
    <row r="599" customFormat="false" ht="15" hidden="false" customHeight="false" outlineLevel="0" collapsed="false">
      <c r="A599" s="46" t="n">
        <v>0.029362</v>
      </c>
      <c r="B599" s="46" t="n">
        <v>0.010471</v>
      </c>
      <c r="C599" s="46" t="n">
        <v>0.303788</v>
      </c>
      <c r="D599" s="46" t="n">
        <v>0.27774</v>
      </c>
      <c r="E599" s="46" t="n">
        <v>0.099264</v>
      </c>
      <c r="F599" s="46" t="n">
        <v>0.279375</v>
      </c>
      <c r="G599" s="47" t="n">
        <f aca="false">A599*Scorecard!$C$12+B599*Scorecard!$C$13+C599*Scorecard!$C$14+D599*Scorecard!$C$15+E599*Scorecard!$C$16+F599*Scorecard!$C$17</f>
        <v>3.67660898126943</v>
      </c>
      <c r="H599" s="47" t="n">
        <f aca="false">A599*Scorecard!$D$12+B599*Scorecard!$D$13+C599*Scorecard!$D$14+D599*Scorecard!$D$15+E599*Scorecard!$D$16+F599*Scorecard!$D$17</f>
        <v>2.93922681082152</v>
      </c>
      <c r="I599" s="47" t="n">
        <f aca="false">A599*Scorecard!$E$12+B599*Scorecard!$E$13+C599*Scorecard!$E$14+D599*Scorecard!$E$15+E599*Scorecard!$E$16+F599*Scorecard!$E$17</f>
        <v>4.33333820528139</v>
      </c>
      <c r="J599" s="0" t="str">
        <f aca="false">IF(AND(G599&gt;=H599,G599&gt;=I599),"Distribution",IF(I599&gt;=H599,"Prof. services","Manufacturing"))</f>
        <v>Prof. services</v>
      </c>
      <c r="L599" s="46" t="n">
        <v>0.245346</v>
      </c>
      <c r="M599" s="46" t="n">
        <v>0.273799</v>
      </c>
      <c r="N599" s="46" t="n">
        <v>0.184519</v>
      </c>
      <c r="O599" s="46" t="n">
        <v>0.09072</v>
      </c>
      <c r="P599" s="46" t="n">
        <v>0.117391</v>
      </c>
      <c r="Q599" s="46" t="n">
        <v>0.088226</v>
      </c>
      <c r="R599" s="47" t="n">
        <f aca="false">L599*Scorecard!$C$12+M599*Scorecard!$C$13+N599*Scorecard!$C$14+O599*Scorecard!$C$15+P599*Scorecard!$C$16+Q599*Scorecard!$C$17</f>
        <v>3.7464447011283</v>
      </c>
      <c r="S599" s="47" t="n">
        <f aca="false">L599*Scorecard!$D$12+M599*Scorecard!$D$13+N599*Scorecard!$D$14+O599*Scorecard!$D$15+P599*Scorecard!$D$16+Q599*Scorecard!$D$17</f>
        <v>2.7629057624264</v>
      </c>
      <c r="T599" s="47" t="n">
        <f aca="false">L599*Scorecard!$E$12+M599*Scorecard!$E$13+N599*Scorecard!$E$14+O599*Scorecard!$E$15+P599*Scorecard!$E$16+Q599*Scorecard!$E$17</f>
        <v>3.77968442321198</v>
      </c>
      <c r="U599" s="0" t="str">
        <f aca="false">IF(AND(R599&gt;=S599,R599&gt;=T599),"Distribution",IF(T599&gt;=S599,"Prof. services","Manufacturing"))</f>
        <v>Prof. services</v>
      </c>
    </row>
    <row r="600" customFormat="false" ht="15" hidden="false" customHeight="false" outlineLevel="0" collapsed="false">
      <c r="A600" s="46" t="n">
        <v>0.175004</v>
      </c>
      <c r="B600" s="46" t="n">
        <v>0.018075</v>
      </c>
      <c r="C600" s="46" t="n">
        <v>0.058811</v>
      </c>
      <c r="D600" s="46" t="n">
        <v>0.244289</v>
      </c>
      <c r="E600" s="46" t="n">
        <v>0.137395</v>
      </c>
      <c r="F600" s="46" t="n">
        <v>0.366425</v>
      </c>
      <c r="G600" s="47" t="n">
        <f aca="false">A600*Scorecard!$C$12+B600*Scorecard!$C$13+C600*Scorecard!$C$14+D600*Scorecard!$C$15+E600*Scorecard!$C$16+F600*Scorecard!$C$17</f>
        <v>3.21450030427338</v>
      </c>
      <c r="H600" s="47" t="n">
        <f aca="false">A600*Scorecard!$D$12+B600*Scorecard!$D$13+C600*Scorecard!$D$14+D600*Scorecard!$D$15+E600*Scorecard!$D$16+F600*Scorecard!$D$17</f>
        <v>2.86742495554403</v>
      </c>
      <c r="I600" s="47" t="n">
        <f aca="false">A600*Scorecard!$E$12+B600*Scorecard!$E$13+C600*Scorecard!$E$14+D600*Scorecard!$E$15+E600*Scorecard!$E$16+F600*Scorecard!$E$17</f>
        <v>4.19422091880919</v>
      </c>
      <c r="J600" s="0" t="str">
        <f aca="false">IF(AND(G600&gt;=H600,G600&gt;=I600),"Distribution",IF(I600&gt;=H600,"Prof. services","Manufacturing"))</f>
        <v>Prof. services</v>
      </c>
      <c r="L600" s="46" t="n">
        <v>0.148172</v>
      </c>
      <c r="M600" s="46" t="n">
        <v>0.158613</v>
      </c>
      <c r="N600" s="46" t="n">
        <v>0.246351</v>
      </c>
      <c r="O600" s="46" t="n">
        <v>0.081708</v>
      </c>
      <c r="P600" s="46" t="n">
        <v>0.281636</v>
      </c>
      <c r="Q600" s="46" t="n">
        <v>0.08352</v>
      </c>
      <c r="R600" s="47" t="n">
        <f aca="false">L600*Scorecard!$C$12+M600*Scorecard!$C$13+N600*Scorecard!$C$14+O600*Scorecard!$C$15+P600*Scorecard!$C$16+Q600*Scorecard!$C$17</f>
        <v>3.8065692869237</v>
      </c>
      <c r="S600" s="47" t="n">
        <f aca="false">L600*Scorecard!$D$12+M600*Scorecard!$D$13+N600*Scorecard!$D$14+O600*Scorecard!$D$15+P600*Scorecard!$D$16+Q600*Scorecard!$D$17</f>
        <v>2.92298365622039</v>
      </c>
      <c r="T600" s="47" t="n">
        <f aca="false">L600*Scorecard!$E$12+M600*Scorecard!$E$13+N600*Scorecard!$E$14+O600*Scorecard!$E$15+P600*Scorecard!$E$16+Q600*Scorecard!$E$17</f>
        <v>3.68280622115584</v>
      </c>
      <c r="U600" s="0" t="str">
        <f aca="false">IF(AND(R600&gt;=S600,R600&gt;=T600),"Distribution",IF(T600&gt;=S600,"Prof. services","Manufacturing"))</f>
        <v>Distribution</v>
      </c>
    </row>
    <row r="601" customFormat="false" ht="15" hidden="false" customHeight="false" outlineLevel="0" collapsed="false">
      <c r="A601" s="46" t="n">
        <v>0.064039</v>
      </c>
      <c r="B601" s="46" t="n">
        <v>0.326609</v>
      </c>
      <c r="C601" s="46" t="n">
        <v>0.217789</v>
      </c>
      <c r="D601" s="46" t="n">
        <v>0.250183</v>
      </c>
      <c r="E601" s="46" t="n">
        <v>0.128234</v>
      </c>
      <c r="F601" s="46" t="n">
        <v>0.013146</v>
      </c>
      <c r="G601" s="47" t="n">
        <f aca="false">A601*Scorecard!$C$12+B601*Scorecard!$C$13+C601*Scorecard!$C$14+D601*Scorecard!$C$15+E601*Scorecard!$C$16+F601*Scorecard!$C$17</f>
        <v>4.43522888674181</v>
      </c>
      <c r="H601" s="47" t="n">
        <f aca="false">A601*Scorecard!$D$12+B601*Scorecard!$D$13+C601*Scorecard!$D$14+D601*Scorecard!$D$15+E601*Scorecard!$D$16+F601*Scorecard!$D$17</f>
        <v>2.86470794758827</v>
      </c>
      <c r="I601" s="47" t="n">
        <f aca="false">A601*Scorecard!$E$12+B601*Scorecard!$E$13+C601*Scorecard!$E$14+D601*Scorecard!$E$15+E601*Scorecard!$E$16+F601*Scorecard!$E$17</f>
        <v>3.5031514923197</v>
      </c>
      <c r="J601" s="0" t="str">
        <f aca="false">IF(AND(G601&gt;=H601,G601&gt;=I601),"Distribution",IF(I601&gt;=H601,"Prof. services","Manufacturing"))</f>
        <v>Distribution</v>
      </c>
      <c r="L601" s="46" t="n">
        <v>0.208532</v>
      </c>
      <c r="M601" s="46" t="n">
        <v>0.168093</v>
      </c>
      <c r="N601" s="46" t="n">
        <v>0.174147</v>
      </c>
      <c r="O601" s="46" t="n">
        <v>0.174487</v>
      </c>
      <c r="P601" s="46" t="n">
        <v>0.184615</v>
      </c>
      <c r="Q601" s="46" t="n">
        <v>0.090126</v>
      </c>
      <c r="R601" s="47" t="n">
        <f aca="false">L601*Scorecard!$C$12+M601*Scorecard!$C$13+N601*Scorecard!$C$14+O601*Scorecard!$C$15+P601*Scorecard!$C$16+Q601*Scorecard!$C$17</f>
        <v>3.78696742613161</v>
      </c>
      <c r="S601" s="47" t="n">
        <f aca="false">L601*Scorecard!$D$12+M601*Scorecard!$D$13+N601*Scorecard!$D$14+O601*Scorecard!$D$15+P601*Scorecard!$D$16+Q601*Scorecard!$D$17</f>
        <v>3.01378035602484</v>
      </c>
      <c r="T601" s="47" t="n">
        <f aca="false">L601*Scorecard!$E$12+M601*Scorecard!$E$13+N601*Scorecard!$E$14+O601*Scorecard!$E$15+P601*Scorecard!$E$16+Q601*Scorecard!$E$17</f>
        <v>3.83341230336279</v>
      </c>
      <c r="U601" s="0" t="str">
        <f aca="false">IF(AND(R601&gt;=S601,R601&gt;=T601),"Distribution",IF(T601&gt;=S601,"Prof. services","Manufacturing"))</f>
        <v>Prof. services</v>
      </c>
    </row>
    <row r="602" customFormat="false" ht="15" hidden="false" customHeight="false" outlineLevel="0" collapsed="false">
      <c r="A602" s="46" t="n">
        <v>0.038116</v>
      </c>
      <c r="B602" s="46" t="n">
        <v>0.357534</v>
      </c>
      <c r="C602" s="46" t="n">
        <v>0.033166</v>
      </c>
      <c r="D602" s="46" t="n">
        <v>0.098658</v>
      </c>
      <c r="E602" s="46" t="n">
        <v>0.247017</v>
      </c>
      <c r="F602" s="46" t="n">
        <v>0.225508</v>
      </c>
      <c r="G602" s="47" t="n">
        <f aca="false">A602*Scorecard!$C$12+B602*Scorecard!$C$13+C602*Scorecard!$C$14+D602*Scorecard!$C$15+E602*Scorecard!$C$16+F602*Scorecard!$C$17</f>
        <v>3.93656265642891</v>
      </c>
      <c r="H602" s="47" t="n">
        <f aca="false">A602*Scorecard!$D$12+B602*Scorecard!$D$13+C602*Scorecard!$D$14+D602*Scorecard!$D$15+E602*Scorecard!$D$16+F602*Scorecard!$D$17</f>
        <v>2.34680280091128</v>
      </c>
      <c r="I602" s="47" t="n">
        <f aca="false">A602*Scorecard!$E$12+B602*Scorecard!$E$13+C602*Scorecard!$E$14+D602*Scorecard!$E$15+E602*Scorecard!$E$16+F602*Scorecard!$E$17</f>
        <v>3.11794147453366</v>
      </c>
      <c r="J602" s="0" t="str">
        <f aca="false">IF(AND(G602&gt;=H602,G602&gt;=I602),"Distribution",IF(I602&gt;=H602,"Prof. services","Manufacturing"))</f>
        <v>Distribution</v>
      </c>
      <c r="L602" s="46" t="n">
        <v>0.150525</v>
      </c>
      <c r="M602" s="46" t="n">
        <v>0.269994</v>
      </c>
      <c r="N602" s="46" t="n">
        <v>0.199522</v>
      </c>
      <c r="O602" s="46" t="n">
        <v>0.076833</v>
      </c>
      <c r="P602" s="46" t="n">
        <v>0.262326</v>
      </c>
      <c r="Q602" s="46" t="n">
        <v>0.040799</v>
      </c>
      <c r="R602" s="47" t="n">
        <f aca="false">L602*Scorecard!$C$12+M602*Scorecard!$C$13+N602*Scorecard!$C$14+O602*Scorecard!$C$15+P602*Scorecard!$C$16+Q602*Scorecard!$C$17</f>
        <v>3.99427785336764</v>
      </c>
      <c r="S602" s="47" t="n">
        <f aca="false">L602*Scorecard!$D$12+M602*Scorecard!$D$13+N602*Scorecard!$D$14+O602*Scorecard!$D$15+P602*Scorecard!$D$16+Q602*Scorecard!$D$17</f>
        <v>2.80935315652262</v>
      </c>
      <c r="T602" s="47" t="n">
        <f aca="false">L602*Scorecard!$E$12+M602*Scorecard!$E$13+N602*Scorecard!$E$14+O602*Scorecard!$E$15+P602*Scorecard!$E$16+Q602*Scorecard!$E$17</f>
        <v>3.43944420134349</v>
      </c>
      <c r="U602" s="0" t="str">
        <f aca="false">IF(AND(R602&gt;=S602,R602&gt;=T602),"Distribution",IF(T602&gt;=S602,"Prof. services","Manufacturing"))</f>
        <v>Distribution</v>
      </c>
    </row>
    <row r="603" customFormat="false" ht="15" hidden="false" customHeight="false" outlineLevel="0" collapsed="false">
      <c r="A603" s="46" t="n">
        <v>0.193452</v>
      </c>
      <c r="B603" s="46" t="n">
        <v>0.20664</v>
      </c>
      <c r="C603" s="46" t="n">
        <v>0.165324</v>
      </c>
      <c r="D603" s="46" t="n">
        <v>0.183004</v>
      </c>
      <c r="E603" s="46" t="n">
        <v>0.072696</v>
      </c>
      <c r="F603" s="46" t="n">
        <v>0.178884</v>
      </c>
      <c r="G603" s="47" t="n">
        <f aca="false">A603*Scorecard!$C$12+B603*Scorecard!$C$13+C603*Scorecard!$C$14+D603*Scorecard!$C$15+E603*Scorecard!$C$16+F603*Scorecard!$C$17</f>
        <v>3.68365964118702</v>
      </c>
      <c r="H603" s="47" t="n">
        <f aca="false">A603*Scorecard!$D$12+B603*Scorecard!$D$13+C603*Scorecard!$D$14+D603*Scorecard!$D$15+E603*Scorecard!$D$16+F603*Scorecard!$D$17</f>
        <v>2.7853764485967</v>
      </c>
      <c r="I603" s="47" t="n">
        <f aca="false">A603*Scorecard!$E$12+B603*Scorecard!$E$13+C603*Scorecard!$E$14+D603*Scorecard!$E$15+E603*Scorecard!$E$16+F603*Scorecard!$E$17</f>
        <v>3.96951942422188</v>
      </c>
      <c r="J603" s="0" t="str">
        <f aca="false">IF(AND(G603&gt;=H603,G603&gt;=I603),"Distribution",IF(I603&gt;=H603,"Prof. services","Manufacturing"))</f>
        <v>Prof. services</v>
      </c>
      <c r="L603" s="46" t="n">
        <v>0.154298</v>
      </c>
      <c r="M603" s="46" t="n">
        <v>0.172505</v>
      </c>
      <c r="N603" s="46" t="n">
        <v>0.295507</v>
      </c>
      <c r="O603" s="46" t="n">
        <v>0.053118</v>
      </c>
      <c r="P603" s="46" t="n">
        <v>0.185234</v>
      </c>
      <c r="Q603" s="46" t="n">
        <v>0.139338</v>
      </c>
      <c r="R603" s="47" t="n">
        <f aca="false">L603*Scorecard!$C$12+M603*Scorecard!$C$13+N603*Scorecard!$C$14+O603*Scorecard!$C$15+P603*Scorecard!$C$16+Q603*Scorecard!$C$17</f>
        <v>3.669208399561</v>
      </c>
      <c r="S603" s="47" t="n">
        <f aca="false">L603*Scorecard!$D$12+M603*Scorecard!$D$13+N603*Scorecard!$D$14+O603*Scorecard!$D$15+P603*Scorecard!$D$16+Q603*Scorecard!$D$17</f>
        <v>2.75722029856068</v>
      </c>
      <c r="T603" s="47" t="n">
        <f aca="false">L603*Scorecard!$E$12+M603*Scorecard!$E$13+N603*Scorecard!$E$14+O603*Scorecard!$E$15+P603*Scorecard!$E$16+Q603*Scorecard!$E$17</f>
        <v>3.89591964685951</v>
      </c>
      <c r="U603" s="0" t="str">
        <f aca="false">IF(AND(R603&gt;=S603,R603&gt;=T603),"Distribution",IF(T603&gt;=S603,"Prof. services","Manufacturing"))</f>
        <v>Prof. services</v>
      </c>
    </row>
    <row r="604" customFormat="false" ht="15" hidden="false" customHeight="false" outlineLevel="0" collapsed="false">
      <c r="A604" s="46" t="n">
        <v>0.104788</v>
      </c>
      <c r="B604" s="46" t="n">
        <v>0.379334</v>
      </c>
      <c r="C604" s="46" t="n">
        <v>0.107802</v>
      </c>
      <c r="D604" s="46" t="n">
        <v>0.262445</v>
      </c>
      <c r="E604" s="46" t="n">
        <v>0.12508</v>
      </c>
      <c r="F604" s="46" t="n">
        <v>0.020551</v>
      </c>
      <c r="G604" s="47" t="n">
        <f aca="false">A604*Scorecard!$C$12+B604*Scorecard!$C$13+C604*Scorecard!$C$14+D604*Scorecard!$C$15+E604*Scorecard!$C$16+F604*Scorecard!$C$17</f>
        <v>4.41205710562158</v>
      </c>
      <c r="H604" s="47" t="n">
        <f aca="false">A604*Scorecard!$D$12+B604*Scorecard!$D$13+C604*Scorecard!$D$14+D604*Scorecard!$D$15+E604*Scorecard!$D$16+F604*Scorecard!$D$17</f>
        <v>2.81452049326586</v>
      </c>
      <c r="I604" s="47" t="n">
        <f aca="false">A604*Scorecard!$E$12+B604*Scorecard!$E$13+C604*Scorecard!$E$14+D604*Scorecard!$E$15+E604*Scorecard!$E$16+F604*Scorecard!$E$17</f>
        <v>3.34599462596224</v>
      </c>
      <c r="J604" s="0" t="str">
        <f aca="false">IF(AND(G604&gt;=H604,G604&gt;=I604),"Distribution",IF(I604&gt;=H604,"Prof. services","Manufacturing"))</f>
        <v>Distribution</v>
      </c>
      <c r="L604" s="46" t="n">
        <v>0.275712</v>
      </c>
      <c r="M604" s="46" t="n">
        <v>0.229426</v>
      </c>
      <c r="N604" s="46" t="n">
        <v>0.145299</v>
      </c>
      <c r="O604" s="46" t="n">
        <v>0.047741</v>
      </c>
      <c r="P604" s="46" t="n">
        <v>0.157139</v>
      </c>
      <c r="Q604" s="46" t="n">
        <v>0.144683</v>
      </c>
      <c r="R604" s="47" t="n">
        <f aca="false">L604*Scorecard!$C$12+M604*Scorecard!$C$13+N604*Scorecard!$C$14+O604*Scorecard!$C$15+P604*Scorecard!$C$16+Q604*Scorecard!$C$17</f>
        <v>3.49151546807971</v>
      </c>
      <c r="S604" s="47" t="n">
        <f aca="false">L604*Scorecard!$D$12+M604*Scorecard!$D$13+N604*Scorecard!$D$14+O604*Scorecard!$D$15+P604*Scorecard!$D$16+Q604*Scorecard!$D$17</f>
        <v>2.72837453006093</v>
      </c>
      <c r="T604" s="47" t="n">
        <f aca="false">L604*Scorecard!$E$12+M604*Scorecard!$E$13+N604*Scorecard!$E$14+O604*Scorecard!$E$15+P604*Scorecard!$E$16+Q604*Scorecard!$E$17</f>
        <v>3.80898040772385</v>
      </c>
      <c r="U604" s="0" t="str">
        <f aca="false">IF(AND(R604&gt;=S604,R604&gt;=T604),"Distribution",IF(T604&gt;=S604,"Prof. services","Manufacturing"))</f>
        <v>Prof. services</v>
      </c>
    </row>
    <row r="605" customFormat="false" ht="15" hidden="false" customHeight="false" outlineLevel="0" collapsed="false">
      <c r="A605" s="46" t="n">
        <v>0.604288</v>
      </c>
      <c r="B605" s="46" t="n">
        <v>0.090528</v>
      </c>
      <c r="C605" s="46" t="n">
        <v>0.062939</v>
      </c>
      <c r="D605" s="46" t="n">
        <v>0.016343</v>
      </c>
      <c r="E605" s="46" t="n">
        <v>0.117797</v>
      </c>
      <c r="F605" s="46" t="n">
        <v>0.108105</v>
      </c>
      <c r="G605" s="47" t="n">
        <f aca="false">A605*Scorecard!$C$12+B605*Scorecard!$C$13+C605*Scorecard!$C$14+D605*Scorecard!$C$15+E605*Scorecard!$C$16+F605*Scorecard!$C$17</f>
        <v>2.80293398226756</v>
      </c>
      <c r="H605" s="47" t="n">
        <f aca="false">A605*Scorecard!$D$12+B605*Scorecard!$D$13+C605*Scorecard!$D$14+D605*Scorecard!$D$15+E605*Scorecard!$D$16+F605*Scorecard!$D$17</f>
        <v>3.15930665556227</v>
      </c>
      <c r="I605" s="47" t="n">
        <f aca="false">A605*Scorecard!$E$12+B605*Scorecard!$E$13+C605*Scorecard!$E$14+D605*Scorecard!$E$15+E605*Scorecard!$E$16+F605*Scorecard!$E$17</f>
        <v>4.35784003186978</v>
      </c>
      <c r="J605" s="0" t="str">
        <f aca="false">IF(AND(G605&gt;=H605,G605&gt;=I605),"Distribution",IF(I605&gt;=H605,"Prof. services","Manufacturing"))</f>
        <v>Prof. services</v>
      </c>
      <c r="L605" s="46" t="n">
        <v>0.088081</v>
      </c>
      <c r="M605" s="46" t="n">
        <v>0.119008</v>
      </c>
      <c r="N605" s="46" t="n">
        <v>0.234246</v>
      </c>
      <c r="O605" s="46" t="n">
        <v>0.233405</v>
      </c>
      <c r="P605" s="46" t="n">
        <v>0.204691</v>
      </c>
      <c r="Q605" s="46" t="n">
        <v>0.120569</v>
      </c>
      <c r="R605" s="47" t="n">
        <f aca="false">L605*Scorecard!$C$12+M605*Scorecard!$C$13+N605*Scorecard!$C$14+O605*Scorecard!$C$15+P605*Scorecard!$C$16+Q605*Scorecard!$C$17</f>
        <v>3.95272794387959</v>
      </c>
      <c r="S605" s="47" t="n">
        <f aca="false">L605*Scorecard!$D$12+M605*Scorecard!$D$13+N605*Scorecard!$D$14+O605*Scorecard!$D$15+P605*Scorecard!$D$16+Q605*Scorecard!$D$17</f>
        <v>3.03712664799354</v>
      </c>
      <c r="T605" s="47" t="n">
        <f aca="false">L605*Scorecard!$E$12+M605*Scorecard!$E$13+N605*Scorecard!$E$14+O605*Scorecard!$E$15+P605*Scorecard!$E$16+Q605*Scorecard!$E$17</f>
        <v>3.85655406574189</v>
      </c>
      <c r="U605" s="0" t="str">
        <f aca="false">IF(AND(R605&gt;=S605,R605&gt;=T605),"Distribution",IF(T605&gt;=S605,"Prof. services","Manufacturing"))</f>
        <v>Distribution</v>
      </c>
    </row>
    <row r="606" customFormat="false" ht="15" hidden="false" customHeight="false" outlineLevel="0" collapsed="false">
      <c r="A606" s="46" t="n">
        <v>0.293483</v>
      </c>
      <c r="B606" s="46" t="n">
        <v>0.172248</v>
      </c>
      <c r="C606" s="46" t="n">
        <v>0.023733</v>
      </c>
      <c r="D606" s="46" t="n">
        <v>0.064929</v>
      </c>
      <c r="E606" s="46" t="n">
        <v>0.113772</v>
      </c>
      <c r="F606" s="46" t="n">
        <v>0.331836</v>
      </c>
      <c r="G606" s="47" t="n">
        <f aca="false">A606*Scorecard!$C$12+B606*Scorecard!$C$13+C606*Scorecard!$C$14+D606*Scorecard!$C$15+E606*Scorecard!$C$16+F606*Scorecard!$C$17</f>
        <v>3.04523541464803</v>
      </c>
      <c r="H606" s="47" t="n">
        <f aca="false">A606*Scorecard!$D$12+B606*Scorecard!$D$13+C606*Scorecard!$D$14+D606*Scorecard!$D$15+E606*Scorecard!$D$16+F606*Scorecard!$D$17</f>
        <v>2.55065280987564</v>
      </c>
      <c r="I606" s="47" t="n">
        <f aca="false">A606*Scorecard!$E$12+B606*Scorecard!$E$13+C606*Scorecard!$E$14+D606*Scorecard!$E$15+E606*Scorecard!$E$16+F606*Scorecard!$E$17</f>
        <v>3.98110731241956</v>
      </c>
      <c r="J606" s="0" t="str">
        <f aca="false">IF(AND(G606&gt;=H606,G606&gt;=I606),"Distribution",IF(I606&gt;=H606,"Prof. services","Manufacturing"))</f>
        <v>Prof. services</v>
      </c>
      <c r="L606" s="46" t="n">
        <v>0.347506</v>
      </c>
      <c r="M606" s="46" t="n">
        <v>0.165362</v>
      </c>
      <c r="N606" s="46" t="n">
        <v>0.1389</v>
      </c>
      <c r="O606" s="46" t="n">
        <v>0.107655</v>
      </c>
      <c r="P606" s="46" t="n">
        <v>0.157431</v>
      </c>
      <c r="Q606" s="46" t="n">
        <v>0.083147</v>
      </c>
      <c r="R606" s="47" t="n">
        <f aca="false">L606*Scorecard!$C$12+M606*Scorecard!$C$13+N606*Scorecard!$C$14+O606*Scorecard!$C$15+P606*Scorecard!$C$16+Q606*Scorecard!$C$17</f>
        <v>3.48121124422771</v>
      </c>
      <c r="S606" s="47" t="n">
        <f aca="false">L606*Scorecard!$D$12+M606*Scorecard!$D$13+N606*Scorecard!$D$14+O606*Scorecard!$D$15+P606*Scorecard!$D$16+Q606*Scorecard!$D$17</f>
        <v>3.03372142844343</v>
      </c>
      <c r="T606" s="47" t="n">
        <f aca="false">L606*Scorecard!$E$12+M606*Scorecard!$E$13+N606*Scorecard!$E$14+O606*Scorecard!$E$15+P606*Scorecard!$E$16+Q606*Scorecard!$E$17</f>
        <v>3.97311488299328</v>
      </c>
      <c r="U606" s="0" t="str">
        <f aca="false">IF(AND(R606&gt;=S606,R606&gt;=T606),"Distribution",IF(T606&gt;=S606,"Prof. services","Manufacturing"))</f>
        <v>Prof. services</v>
      </c>
    </row>
    <row r="607" customFormat="false" ht="15" hidden="false" customHeight="false" outlineLevel="0" collapsed="false">
      <c r="A607" s="46" t="n">
        <v>0.014469</v>
      </c>
      <c r="B607" s="46" t="n">
        <v>0.121473</v>
      </c>
      <c r="C607" s="46" t="n">
        <v>0.064587</v>
      </c>
      <c r="D607" s="46" t="n">
        <v>0.222422</v>
      </c>
      <c r="E607" s="46" t="n">
        <v>0.20835</v>
      </c>
      <c r="F607" s="46" t="n">
        <v>0.3687</v>
      </c>
      <c r="G607" s="47" t="n">
        <f aca="false">A607*Scorecard!$C$12+B607*Scorecard!$C$13+C607*Scorecard!$C$14+D607*Scorecard!$C$15+E607*Scorecard!$C$16+F607*Scorecard!$C$17</f>
        <v>3.58045459365804</v>
      </c>
      <c r="H607" s="47" t="n">
        <f aca="false">A607*Scorecard!$D$12+B607*Scorecard!$D$13+C607*Scorecard!$D$14+D607*Scorecard!$D$15+E607*Scorecard!$D$16+F607*Scorecard!$D$17</f>
        <v>2.60111413446016</v>
      </c>
      <c r="I607" s="47" t="n">
        <f aca="false">A607*Scorecard!$E$12+B607*Scorecard!$E$13+C607*Scorecard!$E$14+D607*Scorecard!$E$15+E607*Scorecard!$E$16+F607*Scorecard!$E$17</f>
        <v>3.72482848618802</v>
      </c>
      <c r="J607" s="0" t="str">
        <f aca="false">IF(AND(G607&gt;=H607,G607&gt;=I607),"Distribution",IF(I607&gt;=H607,"Prof. services","Manufacturing"))</f>
        <v>Prof. services</v>
      </c>
      <c r="L607" s="46" t="n">
        <v>0.243022</v>
      </c>
      <c r="M607" s="46" t="n">
        <v>0.125622</v>
      </c>
      <c r="N607" s="46" t="n">
        <v>0.196105</v>
      </c>
      <c r="O607" s="46" t="n">
        <v>0.176356</v>
      </c>
      <c r="P607" s="46" t="n">
        <v>0.222596</v>
      </c>
      <c r="Q607" s="46" t="n">
        <v>0.036299</v>
      </c>
      <c r="R607" s="47" t="n">
        <f aca="false">L607*Scorecard!$C$12+M607*Scorecard!$C$13+N607*Scorecard!$C$14+O607*Scorecard!$C$15+P607*Scorecard!$C$16+Q607*Scorecard!$C$17</f>
        <v>3.79193693427079</v>
      </c>
      <c r="S607" s="47" t="n">
        <f aca="false">L607*Scorecard!$D$12+M607*Scorecard!$D$13+N607*Scorecard!$D$14+O607*Scorecard!$D$15+P607*Scorecard!$D$16+Q607*Scorecard!$D$17</f>
        <v>3.19587621380929</v>
      </c>
      <c r="T607" s="47" t="n">
        <f aca="false">L607*Scorecard!$E$12+M607*Scorecard!$E$13+N607*Scorecard!$E$14+O607*Scorecard!$E$15+P607*Scorecard!$E$16+Q607*Scorecard!$E$17</f>
        <v>3.87960993712062</v>
      </c>
      <c r="U607" s="0" t="str">
        <f aca="false">IF(AND(R607&gt;=S607,R607&gt;=T607),"Distribution",IF(T607&gt;=S607,"Prof. services","Manufacturing"))</f>
        <v>Prof. services</v>
      </c>
    </row>
    <row r="608" customFormat="false" ht="15" hidden="false" customHeight="false" outlineLevel="0" collapsed="false">
      <c r="A608" s="46" t="n">
        <v>0.221621</v>
      </c>
      <c r="B608" s="46" t="n">
        <v>0.286957</v>
      </c>
      <c r="C608" s="46" t="n">
        <v>0.255485</v>
      </c>
      <c r="D608" s="46" t="n">
        <v>0.045734</v>
      </c>
      <c r="E608" s="46" t="n">
        <v>0.087043</v>
      </c>
      <c r="F608" s="46" t="n">
        <v>0.103158</v>
      </c>
      <c r="G608" s="47" t="n">
        <f aca="false">A608*Scorecard!$C$12+B608*Scorecard!$C$13+C608*Scorecard!$C$14+D608*Scorecard!$C$15+E608*Scorecard!$C$16+F608*Scorecard!$C$17</f>
        <v>3.72744603946979</v>
      </c>
      <c r="H608" s="47" t="n">
        <f aca="false">A608*Scorecard!$D$12+B608*Scorecard!$D$13+C608*Scorecard!$D$14+D608*Scorecard!$D$15+E608*Scorecard!$D$16+F608*Scorecard!$D$17</f>
        <v>2.64288340554862</v>
      </c>
      <c r="I608" s="47" t="n">
        <f aca="false">A608*Scorecard!$E$12+B608*Scorecard!$E$13+C608*Scorecard!$E$14+D608*Scorecard!$E$15+E608*Scorecard!$E$16+F608*Scorecard!$E$17</f>
        <v>3.85289777841772</v>
      </c>
      <c r="J608" s="0" t="str">
        <f aca="false">IF(AND(G608&gt;=H608,G608&gt;=I608),"Distribution",IF(I608&gt;=H608,"Prof. services","Manufacturing"))</f>
        <v>Prof. services</v>
      </c>
      <c r="L608" s="46" t="n">
        <v>0.177714</v>
      </c>
      <c r="M608" s="46" t="n">
        <v>0.206863</v>
      </c>
      <c r="N608" s="46" t="n">
        <v>0.11761</v>
      </c>
      <c r="O608" s="46" t="n">
        <v>0.190291</v>
      </c>
      <c r="P608" s="46" t="n">
        <v>0.188914</v>
      </c>
      <c r="Q608" s="46" t="n">
        <v>0.118608</v>
      </c>
      <c r="R608" s="47" t="n">
        <f aca="false">L608*Scorecard!$C$12+M608*Scorecard!$C$13+N608*Scorecard!$C$14+O608*Scorecard!$C$15+P608*Scorecard!$C$16+Q608*Scorecard!$C$17</f>
        <v>3.84005026562615</v>
      </c>
      <c r="S608" s="47" t="n">
        <f aca="false">L608*Scorecard!$D$12+M608*Scorecard!$D$13+N608*Scorecard!$D$14+O608*Scorecard!$D$15+P608*Scorecard!$D$16+Q608*Scorecard!$D$17</f>
        <v>2.91223506870571</v>
      </c>
      <c r="T608" s="47" t="n">
        <f aca="false">L608*Scorecard!$E$12+M608*Scorecard!$E$13+N608*Scorecard!$E$14+O608*Scorecard!$E$15+P608*Scorecard!$E$16+Q608*Scorecard!$E$17</f>
        <v>3.68301037296687</v>
      </c>
      <c r="U608" s="0" t="str">
        <f aca="false">IF(AND(R608&gt;=S608,R608&gt;=T608),"Distribution",IF(T608&gt;=S608,"Prof. services","Manufacturing"))</f>
        <v>Distribution</v>
      </c>
    </row>
    <row r="609" customFormat="false" ht="15" hidden="false" customHeight="false" outlineLevel="0" collapsed="false">
      <c r="A609" s="46" t="n">
        <v>0.692838</v>
      </c>
      <c r="B609" s="46" t="n">
        <v>0.014394</v>
      </c>
      <c r="C609" s="46" t="n">
        <v>0.02152</v>
      </c>
      <c r="D609" s="46" t="n">
        <v>0.002299</v>
      </c>
      <c r="E609" s="46" t="n">
        <v>0.088385</v>
      </c>
      <c r="F609" s="46" t="n">
        <v>0.180564</v>
      </c>
      <c r="G609" s="47" t="n">
        <f aca="false">A609*Scorecard!$C$12+B609*Scorecard!$C$13+C609*Scorecard!$C$14+D609*Scorecard!$C$15+E609*Scorecard!$C$16+F609*Scorecard!$C$17</f>
        <v>2.40844671945876</v>
      </c>
      <c r="H609" s="47" t="n">
        <f aca="false">A609*Scorecard!$D$12+B609*Scorecard!$D$13+C609*Scorecard!$D$14+D609*Scorecard!$D$15+E609*Scorecard!$D$16+F609*Scorecard!$D$17</f>
        <v>3.19732514839026</v>
      </c>
      <c r="I609" s="47" t="n">
        <f aca="false">A609*Scorecard!$E$12+B609*Scorecard!$E$13+C609*Scorecard!$E$14+D609*Scorecard!$E$15+E609*Scorecard!$E$16+F609*Scorecard!$E$17</f>
        <v>4.63071174911212</v>
      </c>
      <c r="J609" s="0" t="str">
        <f aca="false">IF(AND(G609&gt;=H609,G609&gt;=I609),"Distribution",IF(I609&gt;=H609,"Prof. services","Manufacturing"))</f>
        <v>Prof. services</v>
      </c>
      <c r="L609" s="46" t="n">
        <v>0.171041</v>
      </c>
      <c r="M609" s="46" t="n">
        <v>0.302121</v>
      </c>
      <c r="N609" s="46" t="n">
        <v>0.152275</v>
      </c>
      <c r="O609" s="46" t="n">
        <v>0.227946</v>
      </c>
      <c r="P609" s="46" t="n">
        <v>0.106435</v>
      </c>
      <c r="Q609" s="46" t="n">
        <v>0.040181</v>
      </c>
      <c r="R609" s="47" t="n">
        <f aca="false">L609*Scorecard!$C$12+M609*Scorecard!$C$13+N609*Scorecard!$C$14+O609*Scorecard!$C$15+P609*Scorecard!$C$16+Q609*Scorecard!$C$17</f>
        <v>4.1418247607896</v>
      </c>
      <c r="S609" s="47" t="n">
        <f aca="false">L609*Scorecard!$D$12+M609*Scorecard!$D$13+N609*Scorecard!$D$14+O609*Scorecard!$D$15+P609*Scorecard!$D$16+Q609*Scorecard!$D$17</f>
        <v>2.89858025459256</v>
      </c>
      <c r="T609" s="47" t="n">
        <f aca="false">L609*Scorecard!$E$12+M609*Scorecard!$E$13+N609*Scorecard!$E$14+O609*Scorecard!$E$15+P609*Scorecard!$E$16+Q609*Scorecard!$E$17</f>
        <v>3.6367647268799</v>
      </c>
      <c r="U609" s="0" t="str">
        <f aca="false">IF(AND(R609&gt;=S609,R609&gt;=T609),"Distribution",IF(T609&gt;=S609,"Prof. services","Manufacturing"))</f>
        <v>Distribution</v>
      </c>
    </row>
    <row r="610" customFormat="false" ht="15" hidden="false" customHeight="false" outlineLevel="0" collapsed="false">
      <c r="A610" s="46" t="n">
        <v>0.240066</v>
      </c>
      <c r="B610" s="46" t="n">
        <v>0.146209</v>
      </c>
      <c r="C610" s="46" t="n">
        <v>0.150848</v>
      </c>
      <c r="D610" s="46" t="n">
        <v>0.112409</v>
      </c>
      <c r="E610" s="46" t="n">
        <v>0.137149</v>
      </c>
      <c r="F610" s="46" t="n">
        <v>0.213319</v>
      </c>
      <c r="G610" s="47" t="n">
        <f aca="false">A610*Scorecard!$C$12+B610*Scorecard!$C$13+C610*Scorecard!$C$14+D610*Scorecard!$C$15+E610*Scorecard!$C$16+F610*Scorecard!$C$17</f>
        <v>3.39985777642621</v>
      </c>
      <c r="H610" s="47" t="n">
        <f aca="false">A610*Scorecard!$D$12+B610*Scorecard!$D$13+C610*Scorecard!$D$14+D610*Scorecard!$D$15+E610*Scorecard!$D$16+F610*Scorecard!$D$17</f>
        <v>2.79498248865521</v>
      </c>
      <c r="I610" s="47" t="n">
        <f aca="false">A610*Scorecard!$E$12+B610*Scorecard!$E$13+C610*Scorecard!$E$14+D610*Scorecard!$E$15+E610*Scorecard!$E$16+F610*Scorecard!$E$17</f>
        <v>4.01321152461088</v>
      </c>
      <c r="J610" s="0" t="str">
        <f aca="false">IF(AND(G610&gt;=H610,G610&gt;=I610),"Distribution",IF(I610&gt;=H610,"Prof. services","Manufacturing"))</f>
        <v>Prof. services</v>
      </c>
      <c r="L610" s="46" t="n">
        <v>0.184042</v>
      </c>
      <c r="M610" s="46" t="n">
        <v>0.19815</v>
      </c>
      <c r="N610" s="46" t="n">
        <v>0.22236</v>
      </c>
      <c r="O610" s="46" t="n">
        <v>0.040175</v>
      </c>
      <c r="P610" s="46" t="n">
        <v>0.116912</v>
      </c>
      <c r="Q610" s="46" t="n">
        <v>0.238362</v>
      </c>
      <c r="R610" s="47" t="n">
        <f aca="false">L610*Scorecard!$C$12+M610*Scorecard!$C$13+N610*Scorecard!$C$14+O610*Scorecard!$C$15+P610*Scorecard!$C$16+Q610*Scorecard!$C$17</f>
        <v>3.43032677538274</v>
      </c>
      <c r="S610" s="47" t="n">
        <f aca="false">L610*Scorecard!$D$12+M610*Scorecard!$D$13+N610*Scorecard!$D$14+O610*Scorecard!$D$15+P610*Scorecard!$D$16+Q610*Scorecard!$D$17</f>
        <v>2.55208412352114</v>
      </c>
      <c r="T610" s="47" t="n">
        <f aca="false">L610*Scorecard!$E$12+M610*Scorecard!$E$13+N610*Scorecard!$E$14+O610*Scorecard!$E$15+P610*Scorecard!$E$16+Q610*Scorecard!$E$17</f>
        <v>3.96567912539055</v>
      </c>
      <c r="U610" s="0" t="str">
        <f aca="false">IF(AND(R610&gt;=S610,R610&gt;=T610),"Distribution",IF(T610&gt;=S610,"Prof. services","Manufacturing"))</f>
        <v>Prof. services</v>
      </c>
    </row>
    <row r="611" customFormat="false" ht="15" hidden="false" customHeight="false" outlineLevel="0" collapsed="false">
      <c r="A611" s="46" t="n">
        <v>0.358359</v>
      </c>
      <c r="B611" s="46" t="n">
        <v>0.178968</v>
      </c>
      <c r="C611" s="46" t="n">
        <v>0.134128</v>
      </c>
      <c r="D611" s="46" t="n">
        <v>0.182614</v>
      </c>
      <c r="E611" s="46" t="n">
        <v>0.010728</v>
      </c>
      <c r="F611" s="46" t="n">
        <v>0.135203</v>
      </c>
      <c r="G611" s="47" t="n">
        <f aca="false">A611*Scorecard!$C$12+B611*Scorecard!$C$13+C611*Scorecard!$C$14+D611*Scorecard!$C$15+E611*Scorecard!$C$16+F611*Scorecard!$C$17</f>
        <v>3.44612468945341</v>
      </c>
      <c r="H611" s="47" t="n">
        <f aca="false">A611*Scorecard!$D$12+B611*Scorecard!$D$13+C611*Scorecard!$D$14+D611*Scorecard!$D$15+E611*Scorecard!$D$16+F611*Scorecard!$D$17</f>
        <v>2.98025535932026</v>
      </c>
      <c r="I611" s="47" t="n">
        <f aca="false">A611*Scorecard!$E$12+B611*Scorecard!$E$13+C611*Scorecard!$E$14+D611*Scorecard!$E$15+E611*Scorecard!$E$16+F611*Scorecard!$E$17</f>
        <v>4.23650717959347</v>
      </c>
      <c r="J611" s="0" t="str">
        <f aca="false">IF(AND(G611&gt;=H611,G611&gt;=I611),"Distribution",IF(I611&gt;=H611,"Prof. services","Manufacturing"))</f>
        <v>Prof. services</v>
      </c>
      <c r="L611" s="46" t="n">
        <v>0.096291</v>
      </c>
      <c r="M611" s="46" t="n">
        <v>0.177401</v>
      </c>
      <c r="N611" s="46" t="n">
        <v>0.356294</v>
      </c>
      <c r="O611" s="46" t="n">
        <v>0.224742</v>
      </c>
      <c r="P611" s="46" t="n">
        <v>0.053357</v>
      </c>
      <c r="Q611" s="46" t="n">
        <v>0.091915</v>
      </c>
      <c r="R611" s="47" t="n">
        <f aca="false">L611*Scorecard!$C$12+M611*Scorecard!$C$13+N611*Scorecard!$C$14+O611*Scorecard!$C$15+P611*Scorecard!$C$16+Q611*Scorecard!$C$17</f>
        <v>4.04498782679703</v>
      </c>
      <c r="S611" s="47" t="n">
        <f aca="false">L611*Scorecard!$D$12+M611*Scorecard!$D$13+N611*Scorecard!$D$14+O611*Scorecard!$D$15+P611*Scorecard!$D$16+Q611*Scorecard!$D$17</f>
        <v>2.93740943351981</v>
      </c>
      <c r="T611" s="47" t="n">
        <f aca="false">L611*Scorecard!$E$12+M611*Scorecard!$E$13+N611*Scorecard!$E$14+O611*Scorecard!$E$15+P611*Scorecard!$E$16+Q611*Scorecard!$E$17</f>
        <v>4.11376552878257</v>
      </c>
      <c r="U611" s="0" t="str">
        <f aca="false">IF(AND(R611&gt;=S611,R611&gt;=T611),"Distribution",IF(T611&gt;=S611,"Prof. services","Manufacturing"))</f>
        <v>Prof. services</v>
      </c>
    </row>
    <row r="612" customFormat="false" ht="15" hidden="false" customHeight="false" outlineLevel="0" collapsed="false">
      <c r="A612" s="46" t="n">
        <v>0.504016</v>
      </c>
      <c r="B612" s="46" t="n">
        <v>0.014176</v>
      </c>
      <c r="C612" s="46" t="n">
        <v>0.07564</v>
      </c>
      <c r="D612" s="46" t="n">
        <v>0.279407</v>
      </c>
      <c r="E612" s="46" t="n">
        <v>0.060021</v>
      </c>
      <c r="F612" s="46" t="n">
        <v>0.06674</v>
      </c>
      <c r="G612" s="47" t="n">
        <f aca="false">A612*Scorecard!$C$12+B612*Scorecard!$C$13+C612*Scorecard!$C$14+D612*Scorecard!$C$15+E612*Scorecard!$C$16+F612*Scorecard!$C$17</f>
        <v>3.25286701224345</v>
      </c>
      <c r="H612" s="47" t="n">
        <f aca="false">A612*Scorecard!$D$12+B612*Scorecard!$D$13+C612*Scorecard!$D$14+D612*Scorecard!$D$15+E612*Scorecard!$D$16+F612*Scorecard!$D$17</f>
        <v>3.55499913830577</v>
      </c>
      <c r="I612" s="47" t="n">
        <f aca="false">A612*Scorecard!$E$12+B612*Scorecard!$E$13+C612*Scorecard!$E$14+D612*Scorecard!$E$15+E612*Scorecard!$E$16+F612*Scorecard!$E$17</f>
        <v>4.53225622524659</v>
      </c>
      <c r="J612" s="0" t="str">
        <f aca="false">IF(AND(G612&gt;=H612,G612&gt;=I612),"Distribution",IF(I612&gt;=H612,"Prof. services","Manufacturing"))</f>
        <v>Prof. services</v>
      </c>
      <c r="L612" s="46" t="n">
        <v>0.277008</v>
      </c>
      <c r="M612" s="46" t="n">
        <v>0.252596</v>
      </c>
      <c r="N612" s="46" t="n">
        <v>0.115807</v>
      </c>
      <c r="O612" s="46" t="n">
        <v>0.158975</v>
      </c>
      <c r="P612" s="46" t="n">
        <v>0.158458</v>
      </c>
      <c r="Q612" s="46" t="n">
        <v>0.037155</v>
      </c>
      <c r="R612" s="47" t="n">
        <f aca="false">L612*Scorecard!$C$12+M612*Scorecard!$C$13+N612*Scorecard!$C$14+O612*Scorecard!$C$15+P612*Scorecard!$C$16+Q612*Scorecard!$C$17</f>
        <v>3.8386386495975</v>
      </c>
      <c r="S612" s="47" t="n">
        <f aca="false">L612*Scorecard!$D$12+M612*Scorecard!$D$13+N612*Scorecard!$D$14+O612*Scorecard!$D$15+P612*Scorecard!$D$16+Q612*Scorecard!$D$17</f>
        <v>2.98495011091388</v>
      </c>
      <c r="T612" s="47" t="n">
        <f aca="false">L612*Scorecard!$E$12+M612*Scorecard!$E$13+N612*Scorecard!$E$14+O612*Scorecard!$E$15+P612*Scorecard!$E$16+Q612*Scorecard!$E$17</f>
        <v>3.6996153512935</v>
      </c>
      <c r="U612" s="0" t="str">
        <f aca="false">IF(AND(R612&gt;=S612,R612&gt;=T612),"Distribution",IF(T612&gt;=S612,"Prof. services","Manufacturing"))</f>
        <v>Distribution</v>
      </c>
    </row>
    <row r="613" customFormat="false" ht="15" hidden="false" customHeight="false" outlineLevel="0" collapsed="false">
      <c r="A613" s="46" t="n">
        <v>0.356736</v>
      </c>
      <c r="B613" s="46" t="n">
        <v>0.347207</v>
      </c>
      <c r="C613" s="46" t="n">
        <v>0.026866</v>
      </c>
      <c r="D613" s="46" t="n">
        <v>0.114685</v>
      </c>
      <c r="E613" s="46" t="n">
        <v>0.11954</v>
      </c>
      <c r="F613" s="46" t="n">
        <v>0.034966</v>
      </c>
      <c r="G613" s="47" t="n">
        <f aca="false">A613*Scorecard!$C$12+B613*Scorecard!$C$13+C613*Scorecard!$C$14+D613*Scorecard!$C$15+E613*Scorecard!$C$16+F613*Scorecard!$C$17</f>
        <v>3.74983011259896</v>
      </c>
      <c r="H613" s="47" t="n">
        <f aca="false">A613*Scorecard!$D$12+B613*Scorecard!$D$13+C613*Scorecard!$D$14+D613*Scorecard!$D$15+E613*Scorecard!$D$16+F613*Scorecard!$D$17</f>
        <v>2.83464497098359</v>
      </c>
      <c r="I613" s="47" t="n">
        <f aca="false">A613*Scorecard!$E$12+B613*Scorecard!$E$13+C613*Scorecard!$E$14+D613*Scorecard!$E$15+E613*Scorecard!$E$16+F613*Scorecard!$E$17</f>
        <v>3.56945552877964</v>
      </c>
      <c r="J613" s="0" t="str">
        <f aca="false">IF(AND(G613&gt;=H613,G613&gt;=I613),"Distribution",IF(I613&gt;=H613,"Prof. services","Manufacturing"))</f>
        <v>Distribution</v>
      </c>
      <c r="L613" s="46" t="n">
        <v>0.173569</v>
      </c>
      <c r="M613" s="46" t="n">
        <v>0.217368</v>
      </c>
      <c r="N613" s="46" t="n">
        <v>0.188786</v>
      </c>
      <c r="O613" s="46" t="n">
        <v>0.199449</v>
      </c>
      <c r="P613" s="46" t="n">
        <v>0.123217</v>
      </c>
      <c r="Q613" s="46" t="n">
        <v>0.09761</v>
      </c>
      <c r="R613" s="47" t="n">
        <f aca="false">L613*Scorecard!$C$12+M613*Scorecard!$C$13+N613*Scorecard!$C$14+O613*Scorecard!$C$15+P613*Scorecard!$C$16+Q613*Scorecard!$C$17</f>
        <v>3.90916632473787</v>
      </c>
      <c r="S613" s="47" t="n">
        <f aca="false">L613*Scorecard!$D$12+M613*Scorecard!$D$13+N613*Scorecard!$D$14+O613*Scorecard!$D$15+P613*Scorecard!$D$16+Q613*Scorecard!$D$17</f>
        <v>2.9139257447412</v>
      </c>
      <c r="T613" s="47" t="n">
        <f aca="false">L613*Scorecard!$E$12+M613*Scorecard!$E$13+N613*Scorecard!$E$14+O613*Scorecard!$E$15+P613*Scorecard!$E$16+Q613*Scorecard!$E$17</f>
        <v>3.83083324759376</v>
      </c>
      <c r="U613" s="0" t="str">
        <f aca="false">IF(AND(R613&gt;=S613,R613&gt;=T613),"Distribution",IF(T613&gt;=S613,"Prof. services","Manufacturing"))</f>
        <v>Distribution</v>
      </c>
    </row>
    <row r="614" customFormat="false" ht="15" hidden="false" customHeight="false" outlineLevel="0" collapsed="false">
      <c r="A614" s="46" t="n">
        <v>0.100802</v>
      </c>
      <c r="B614" s="46" t="n">
        <v>0.010254</v>
      </c>
      <c r="C614" s="46" t="n">
        <v>0.103619</v>
      </c>
      <c r="D614" s="46" t="n">
        <v>0.183927</v>
      </c>
      <c r="E614" s="46" t="n">
        <v>0.126391</v>
      </c>
      <c r="F614" s="46" t="n">
        <v>0.475006</v>
      </c>
      <c r="G614" s="47" t="n">
        <f aca="false">A614*Scorecard!$C$12+B614*Scorecard!$C$13+C614*Scorecard!$C$14+D614*Scorecard!$C$15+E614*Scorecard!$C$16+F614*Scorecard!$C$17</f>
        <v>3.0627199624658</v>
      </c>
      <c r="H614" s="47" t="n">
        <f aca="false">A614*Scorecard!$D$12+B614*Scorecard!$D$13+C614*Scorecard!$D$14+D614*Scorecard!$D$15+E614*Scorecard!$D$16+F614*Scorecard!$D$17</f>
        <v>2.59373319417519</v>
      </c>
      <c r="I614" s="47" t="n">
        <f aca="false">A614*Scorecard!$E$12+B614*Scorecard!$E$13+C614*Scorecard!$E$14+D614*Scorecard!$E$15+E614*Scorecard!$E$16+F614*Scorecard!$E$17</f>
        <v>4.24222036569901</v>
      </c>
      <c r="J614" s="0" t="str">
        <f aca="false">IF(AND(G614&gt;=H614,G614&gt;=I614),"Distribution",IF(I614&gt;=H614,"Prof. services","Manufacturing"))</f>
        <v>Prof. services</v>
      </c>
      <c r="L614" s="46" t="n">
        <v>0.237378</v>
      </c>
      <c r="M614" s="46" t="n">
        <v>0.31465</v>
      </c>
      <c r="N614" s="46" t="n">
        <v>0.094889</v>
      </c>
      <c r="O614" s="46" t="n">
        <v>0.162151</v>
      </c>
      <c r="P614" s="46" t="n">
        <v>0.094079</v>
      </c>
      <c r="Q614" s="46" t="n">
        <v>0.096853</v>
      </c>
      <c r="R614" s="47" t="n">
        <f aca="false">L614*Scorecard!$C$12+M614*Scorecard!$C$13+N614*Scorecard!$C$14+O614*Scorecard!$C$15+P614*Scorecard!$C$16+Q614*Scorecard!$C$17</f>
        <v>3.8558112147597</v>
      </c>
      <c r="S614" s="47" t="n">
        <f aca="false">L614*Scorecard!$D$12+M614*Scorecard!$D$13+N614*Scorecard!$D$14+O614*Scorecard!$D$15+P614*Scorecard!$D$16+Q614*Scorecard!$D$17</f>
        <v>2.7583023751533</v>
      </c>
      <c r="T614" s="47" t="n">
        <f aca="false">L614*Scorecard!$E$12+M614*Scorecard!$E$13+N614*Scorecard!$E$14+O614*Scorecard!$E$15+P614*Scorecard!$E$16+Q614*Scorecard!$E$17</f>
        <v>3.66035218967137</v>
      </c>
      <c r="U614" s="0" t="str">
        <f aca="false">IF(AND(R614&gt;=S614,R614&gt;=T614),"Distribution",IF(T614&gt;=S614,"Prof. services","Manufacturing"))</f>
        <v>Distribution</v>
      </c>
    </row>
    <row r="615" customFormat="false" ht="15" hidden="false" customHeight="false" outlineLevel="0" collapsed="false">
      <c r="A615" s="46" t="n">
        <v>0.351818</v>
      </c>
      <c r="B615" s="46" t="n">
        <v>0.187706</v>
      </c>
      <c r="C615" s="46" t="n">
        <v>0.082454</v>
      </c>
      <c r="D615" s="46" t="n">
        <v>0.009659</v>
      </c>
      <c r="E615" s="46" t="n">
        <v>0.032783</v>
      </c>
      <c r="F615" s="46" t="n">
        <v>0.33558</v>
      </c>
      <c r="G615" s="47" t="n">
        <f aca="false">A615*Scorecard!$C$12+B615*Scorecard!$C$13+C615*Scorecard!$C$14+D615*Scorecard!$C$15+E615*Scorecard!$C$16+F615*Scorecard!$C$17</f>
        <v>2.89292758273441</v>
      </c>
      <c r="H615" s="47" t="n">
        <f aca="false">A615*Scorecard!$D$12+B615*Scorecard!$D$13+C615*Scorecard!$D$14+D615*Scorecard!$D$15+E615*Scorecard!$D$16+F615*Scorecard!$D$17</f>
        <v>2.46938528876842</v>
      </c>
      <c r="I615" s="47" t="n">
        <f aca="false">A615*Scorecard!$E$12+B615*Scorecard!$E$13+C615*Scorecard!$E$14+D615*Scorecard!$E$15+E615*Scorecard!$E$16+F615*Scorecard!$E$17</f>
        <v>4.19694977308401</v>
      </c>
      <c r="J615" s="0" t="str">
        <f aca="false">IF(AND(G615&gt;=H615,G615&gt;=I615),"Distribution",IF(I615&gt;=H615,"Prof. services","Manufacturing"))</f>
        <v>Prof. services</v>
      </c>
      <c r="L615" s="46" t="n">
        <v>0.122848</v>
      </c>
      <c r="M615" s="46" t="n">
        <v>0.3501</v>
      </c>
      <c r="N615" s="46" t="n">
        <v>0.154504</v>
      </c>
      <c r="O615" s="46" t="n">
        <v>0.249386</v>
      </c>
      <c r="P615" s="46" t="n">
        <v>0.086727</v>
      </c>
      <c r="Q615" s="46" t="n">
        <v>0.036436</v>
      </c>
      <c r="R615" s="47" t="n">
        <f aca="false">L615*Scorecard!$C$12+M615*Scorecard!$C$13+N615*Scorecard!$C$14+O615*Scorecard!$C$15+P615*Scorecard!$C$16+Q615*Scorecard!$C$17</f>
        <v>4.30548984806848</v>
      </c>
      <c r="S615" s="47" t="n">
        <f aca="false">L615*Scorecard!$D$12+M615*Scorecard!$D$13+N615*Scorecard!$D$14+O615*Scorecard!$D$15+P615*Scorecard!$D$16+Q615*Scorecard!$D$17</f>
        <v>2.81860383231302</v>
      </c>
      <c r="T615" s="47" t="n">
        <f aca="false">L615*Scorecard!$E$12+M615*Scorecard!$E$13+N615*Scorecard!$E$14+O615*Scorecard!$E$15+P615*Scorecard!$E$16+Q615*Scorecard!$E$17</f>
        <v>3.53531260290737</v>
      </c>
      <c r="U615" s="0" t="str">
        <f aca="false">IF(AND(R615&gt;=S615,R615&gt;=T615),"Distribution",IF(T615&gt;=S615,"Prof. services","Manufacturing"))</f>
        <v>Distribution</v>
      </c>
    </row>
    <row r="616" customFormat="false" ht="15" hidden="false" customHeight="false" outlineLevel="0" collapsed="false">
      <c r="A616" s="46" t="n">
        <v>0.014808</v>
      </c>
      <c r="B616" s="46" t="n">
        <v>0.007859</v>
      </c>
      <c r="C616" s="46" t="n">
        <v>0.093377</v>
      </c>
      <c r="D616" s="46" t="n">
        <v>0.346781</v>
      </c>
      <c r="E616" s="46" t="n">
        <v>0.212288</v>
      </c>
      <c r="F616" s="46" t="n">
        <v>0.324887</v>
      </c>
      <c r="G616" s="47" t="n">
        <f aca="false">A616*Scorecard!$C$12+B616*Scorecard!$C$13+C616*Scorecard!$C$14+D616*Scorecard!$C$15+E616*Scorecard!$C$16+F616*Scorecard!$C$17</f>
        <v>3.67821138882357</v>
      </c>
      <c r="H616" s="47" t="n">
        <f aca="false">A616*Scorecard!$D$12+B616*Scorecard!$D$13+C616*Scorecard!$D$14+D616*Scorecard!$D$15+E616*Scorecard!$D$16+F616*Scorecard!$D$17</f>
        <v>2.98286516847236</v>
      </c>
      <c r="I616" s="47" t="n">
        <f aca="false">A616*Scorecard!$E$12+B616*Scorecard!$E$13+C616*Scorecard!$E$14+D616*Scorecard!$E$15+E616*Scorecard!$E$16+F616*Scorecard!$E$17</f>
        <v>3.95898524275827</v>
      </c>
      <c r="J616" s="0" t="str">
        <f aca="false">IF(AND(G616&gt;=H616,G616&gt;=I616),"Distribution",IF(I616&gt;=H616,"Prof. services","Manufacturing"))</f>
        <v>Prof. services</v>
      </c>
      <c r="L616" s="46" t="n">
        <v>0.146017</v>
      </c>
      <c r="M616" s="46" t="n">
        <v>0.174651</v>
      </c>
      <c r="N616" s="46" t="n">
        <v>0.364479</v>
      </c>
      <c r="O616" s="46" t="n">
        <v>0.128557</v>
      </c>
      <c r="P616" s="46" t="n">
        <v>0.068407</v>
      </c>
      <c r="Q616" s="46" t="n">
        <v>0.117888</v>
      </c>
      <c r="R616" s="47" t="n">
        <f aca="false">L616*Scorecard!$C$12+M616*Scorecard!$C$13+N616*Scorecard!$C$14+O616*Scorecard!$C$15+P616*Scorecard!$C$16+Q616*Scorecard!$C$17</f>
        <v>3.80459531765609</v>
      </c>
      <c r="S616" s="47" t="n">
        <f aca="false">L616*Scorecard!$D$12+M616*Scorecard!$D$13+N616*Scorecard!$D$14+O616*Scorecard!$D$15+P616*Scorecard!$D$16+Q616*Scorecard!$D$17</f>
        <v>2.82909010118158</v>
      </c>
      <c r="T616" s="47" t="n">
        <f aca="false">L616*Scorecard!$E$12+M616*Scorecard!$E$13+N616*Scorecard!$E$14+O616*Scorecard!$E$15+P616*Scorecard!$E$16+Q616*Scorecard!$E$17</f>
        <v>4.14894861624273</v>
      </c>
      <c r="U616" s="0" t="str">
        <f aca="false">IF(AND(R616&gt;=S616,R616&gt;=T616),"Distribution",IF(T616&gt;=S616,"Prof. services","Manufacturing"))</f>
        <v>Prof. services</v>
      </c>
    </row>
    <row r="617" customFormat="false" ht="15" hidden="false" customHeight="false" outlineLevel="0" collapsed="false">
      <c r="A617" s="46" t="n">
        <v>0.094486</v>
      </c>
      <c r="B617" s="46" t="n">
        <v>0.140445</v>
      </c>
      <c r="C617" s="46" t="n">
        <v>0.115347</v>
      </c>
      <c r="D617" s="46" t="n">
        <v>0.254152</v>
      </c>
      <c r="E617" s="46" t="n">
        <v>0.115972</v>
      </c>
      <c r="F617" s="46" t="n">
        <v>0.279598</v>
      </c>
      <c r="G617" s="47" t="n">
        <f aca="false">A617*Scorecard!$C$12+B617*Scorecard!$C$13+C617*Scorecard!$C$14+D617*Scorecard!$C$15+E617*Scorecard!$C$16+F617*Scorecard!$C$17</f>
        <v>3.66532485253808</v>
      </c>
      <c r="H617" s="47" t="n">
        <f aca="false">A617*Scorecard!$D$12+B617*Scorecard!$D$13+C617*Scorecard!$D$14+D617*Scorecard!$D$15+E617*Scorecard!$D$16+F617*Scorecard!$D$17</f>
        <v>2.76508156630935</v>
      </c>
      <c r="I617" s="47" t="n">
        <f aca="false">A617*Scorecard!$E$12+B617*Scorecard!$E$13+C617*Scorecard!$E$14+D617*Scorecard!$E$15+E617*Scorecard!$E$16+F617*Scorecard!$E$17</f>
        <v>3.93463739114809</v>
      </c>
      <c r="J617" s="0" t="str">
        <f aca="false">IF(AND(G617&gt;=H617,G617&gt;=I617),"Distribution",IF(I617&gt;=H617,"Prof. services","Manufacturing"))</f>
        <v>Prof. services</v>
      </c>
      <c r="L617" s="46" t="n">
        <v>0.263291</v>
      </c>
      <c r="M617" s="46" t="n">
        <v>0.106187</v>
      </c>
      <c r="N617" s="46" t="n">
        <v>0.221903</v>
      </c>
      <c r="O617" s="46" t="n">
        <v>0.197277</v>
      </c>
      <c r="P617" s="46" t="n">
        <v>0.164127</v>
      </c>
      <c r="Q617" s="46" t="n">
        <v>0.047215</v>
      </c>
      <c r="R617" s="47" t="n">
        <f aca="false">L617*Scorecard!$C$12+M617*Scorecard!$C$13+N617*Scorecard!$C$14+O617*Scorecard!$C$15+P617*Scorecard!$C$16+Q617*Scorecard!$C$17</f>
        <v>3.73510644521521</v>
      </c>
      <c r="S617" s="47" t="n">
        <f aca="false">L617*Scorecard!$D$12+M617*Scorecard!$D$13+N617*Scorecard!$D$14+O617*Scorecard!$D$15+P617*Scorecard!$D$16+Q617*Scorecard!$D$17</f>
        <v>3.2267922010567</v>
      </c>
      <c r="T617" s="47" t="n">
        <f aca="false">L617*Scorecard!$E$12+M617*Scorecard!$E$13+N617*Scorecard!$E$14+O617*Scorecard!$E$15+P617*Scorecard!$E$16+Q617*Scorecard!$E$17</f>
        <v>4.06846866492693</v>
      </c>
      <c r="U617" s="0" t="str">
        <f aca="false">IF(AND(R617&gt;=S617,R617&gt;=T617),"Distribution",IF(T617&gt;=S617,"Prof. services","Manufacturing"))</f>
        <v>Prof. services</v>
      </c>
    </row>
    <row r="618" customFormat="false" ht="15" hidden="false" customHeight="false" outlineLevel="0" collapsed="false">
      <c r="A618" s="46" t="n">
        <v>0.048873</v>
      </c>
      <c r="B618" s="46" t="n">
        <v>0.04149</v>
      </c>
      <c r="C618" s="46" t="n">
        <v>0.075361</v>
      </c>
      <c r="D618" s="46" t="n">
        <v>0.024677</v>
      </c>
      <c r="E618" s="46" t="n">
        <v>0.738387</v>
      </c>
      <c r="F618" s="46" t="n">
        <v>0.071212</v>
      </c>
      <c r="G618" s="47" t="n">
        <f aca="false">A618*Scorecard!$C$12+B618*Scorecard!$C$13+C618*Scorecard!$C$14+D618*Scorecard!$C$15+E618*Scorecard!$C$16+F618*Scorecard!$C$17</f>
        <v>3.83577090302366</v>
      </c>
      <c r="H618" s="47" t="n">
        <f aca="false">A618*Scorecard!$D$12+B618*Scorecard!$D$13+C618*Scorecard!$D$14+D618*Scorecard!$D$15+E618*Scorecard!$D$16+F618*Scorecard!$D$17</f>
        <v>3.13788455231686</v>
      </c>
      <c r="I618" s="47" t="n">
        <f aca="false">A618*Scorecard!$E$12+B618*Scorecard!$E$13+C618*Scorecard!$E$14+D618*Scorecard!$E$15+E618*Scorecard!$E$16+F618*Scorecard!$E$17</f>
        <v>2.855426621797</v>
      </c>
      <c r="J618" s="0" t="str">
        <f aca="false">IF(AND(G618&gt;=H618,G618&gt;=I618),"Distribution",IF(I618&gt;=H618,"Prof. services","Manufacturing"))</f>
        <v>Distribution</v>
      </c>
      <c r="L618" s="46" t="n">
        <v>0.183119</v>
      </c>
      <c r="M618" s="46" t="n">
        <v>0.197315</v>
      </c>
      <c r="N618" s="46" t="n">
        <v>0.265633</v>
      </c>
      <c r="O618" s="46" t="n">
        <v>0.0912</v>
      </c>
      <c r="P618" s="46" t="n">
        <v>0.190462</v>
      </c>
      <c r="Q618" s="46" t="n">
        <v>0.07227</v>
      </c>
      <c r="R618" s="47" t="n">
        <f aca="false">L618*Scorecard!$C$12+M618*Scorecard!$C$13+N618*Scorecard!$C$14+O618*Scorecard!$C$15+P618*Scorecard!$C$16+Q618*Scorecard!$C$17</f>
        <v>3.81435418854562</v>
      </c>
      <c r="S618" s="47" t="n">
        <f aca="false">L618*Scorecard!$D$12+M618*Scorecard!$D$13+N618*Scorecard!$D$14+O618*Scorecard!$D$15+P618*Scorecard!$D$16+Q618*Scorecard!$D$17</f>
        <v>2.88544508130271</v>
      </c>
      <c r="T618" s="47" t="n">
        <f aca="false">L618*Scorecard!$E$12+M618*Scorecard!$E$13+N618*Scorecard!$E$14+O618*Scorecard!$E$15+P618*Scorecard!$E$16+Q618*Scorecard!$E$17</f>
        <v>3.81233163344567</v>
      </c>
      <c r="U618" s="0" t="str">
        <f aca="false">IF(AND(R618&gt;=S618,R618&gt;=T618),"Distribution",IF(T618&gt;=S618,"Prof. services","Manufacturing"))</f>
        <v>Distribution</v>
      </c>
    </row>
    <row r="619" customFormat="false" ht="15" hidden="false" customHeight="false" outlineLevel="0" collapsed="false">
      <c r="A619" s="46" t="n">
        <v>0.177517</v>
      </c>
      <c r="B619" s="46" t="n">
        <v>0.172328</v>
      </c>
      <c r="C619" s="46" t="n">
        <v>0.005839</v>
      </c>
      <c r="D619" s="46" t="n">
        <v>0.190476</v>
      </c>
      <c r="E619" s="46" t="n">
        <v>0.296098</v>
      </c>
      <c r="F619" s="46" t="n">
        <v>0.157741</v>
      </c>
      <c r="G619" s="47" t="n">
        <f aca="false">A619*Scorecard!$C$12+B619*Scorecard!$C$13+C619*Scorecard!$C$14+D619*Scorecard!$C$15+E619*Scorecard!$C$16+F619*Scorecard!$C$17</f>
        <v>3.72778486843556</v>
      </c>
      <c r="H619" s="47" t="n">
        <f aca="false">A619*Scorecard!$D$12+B619*Scorecard!$D$13+C619*Scorecard!$D$14+D619*Scorecard!$D$15+E619*Scorecard!$D$16+F619*Scorecard!$D$17</f>
        <v>2.94118170836825</v>
      </c>
      <c r="I619" s="47" t="n">
        <f aca="false">A619*Scorecard!$E$12+B619*Scorecard!$E$13+C619*Scorecard!$E$14+D619*Scorecard!$E$15+E619*Scorecard!$E$16+F619*Scorecard!$E$17</f>
        <v>3.47676864901364</v>
      </c>
      <c r="J619" s="0" t="str">
        <f aca="false">IF(AND(G619&gt;=H619,G619&gt;=I619),"Distribution",IF(I619&gt;=H619,"Prof. services","Manufacturing"))</f>
        <v>Distribution</v>
      </c>
      <c r="L619" s="46" t="n">
        <v>0.259799</v>
      </c>
      <c r="M619" s="46" t="n">
        <v>0.308697</v>
      </c>
      <c r="N619" s="46" t="n">
        <v>0.098715</v>
      </c>
      <c r="O619" s="46" t="n">
        <v>0.068807</v>
      </c>
      <c r="P619" s="46" t="n">
        <v>0.080237</v>
      </c>
      <c r="Q619" s="46" t="n">
        <v>0.183744</v>
      </c>
      <c r="R619" s="47" t="n">
        <f aca="false">L619*Scorecard!$C$12+M619*Scorecard!$C$13+N619*Scorecard!$C$14+O619*Scorecard!$C$15+P619*Scorecard!$C$16+Q619*Scorecard!$C$17</f>
        <v>3.54237009501451</v>
      </c>
      <c r="S619" s="47" t="n">
        <f aca="false">L619*Scorecard!$D$12+M619*Scorecard!$D$13+N619*Scorecard!$D$14+O619*Scorecard!$D$15+P619*Scorecard!$D$16+Q619*Scorecard!$D$17</f>
        <v>2.53903565216116</v>
      </c>
      <c r="T619" s="47" t="n">
        <f aca="false">L619*Scorecard!$E$12+M619*Scorecard!$E$13+N619*Scorecard!$E$14+O619*Scorecard!$E$15+P619*Scorecard!$E$16+Q619*Scorecard!$E$17</f>
        <v>3.74895735458761</v>
      </c>
      <c r="U619" s="0" t="str">
        <f aca="false">IF(AND(R619&gt;=S619,R619&gt;=T619),"Distribution",IF(T619&gt;=S619,"Prof. services","Manufacturing"))</f>
        <v>Prof. services</v>
      </c>
    </row>
    <row r="620" customFormat="false" ht="15" hidden="false" customHeight="false" outlineLevel="0" collapsed="false">
      <c r="A620" s="46" t="n">
        <v>0.191057</v>
      </c>
      <c r="B620" s="46" t="n">
        <v>0.161387</v>
      </c>
      <c r="C620" s="46" t="n">
        <v>0.336846</v>
      </c>
      <c r="D620" s="46" t="n">
        <v>0.103726</v>
      </c>
      <c r="E620" s="46" t="n">
        <v>0.07873</v>
      </c>
      <c r="F620" s="46" t="n">
        <v>0.128254</v>
      </c>
      <c r="G620" s="47" t="n">
        <f aca="false">A620*Scorecard!$C$12+B620*Scorecard!$C$13+C620*Scorecard!$C$14+D620*Scorecard!$C$15+E620*Scorecard!$C$16+F620*Scorecard!$C$17</f>
        <v>3.66469967534204</v>
      </c>
      <c r="H620" s="47" t="n">
        <f aca="false">A620*Scorecard!$D$12+B620*Scorecard!$D$13+C620*Scorecard!$D$14+D620*Scorecard!$D$15+E620*Scorecard!$D$16+F620*Scorecard!$D$17</f>
        <v>2.83790013314004</v>
      </c>
      <c r="I620" s="47" t="n">
        <f aca="false">A620*Scorecard!$E$12+B620*Scorecard!$E$13+C620*Scorecard!$E$14+D620*Scorecard!$E$15+E620*Scorecard!$E$16+F620*Scorecard!$E$17</f>
        <v>4.17514038759863</v>
      </c>
      <c r="J620" s="0" t="str">
        <f aca="false">IF(AND(G620&gt;=H620,G620&gt;=I620),"Distribution",IF(I620&gt;=H620,"Prof. services","Manufacturing"))</f>
        <v>Prof. services</v>
      </c>
      <c r="L620" s="46" t="n">
        <v>0.200937</v>
      </c>
      <c r="M620" s="46" t="n">
        <v>0.1681</v>
      </c>
      <c r="N620" s="46" t="n">
        <v>0.219553</v>
      </c>
      <c r="O620" s="46" t="n">
        <v>0.255984</v>
      </c>
      <c r="P620" s="46" t="n">
        <v>0.056005</v>
      </c>
      <c r="Q620" s="46" t="n">
        <v>0.09942</v>
      </c>
      <c r="R620" s="47" t="n">
        <f aca="false">L620*Scorecard!$C$12+M620*Scorecard!$C$13+N620*Scorecard!$C$14+O620*Scorecard!$C$15+P620*Scorecard!$C$16+Q620*Scorecard!$C$17</f>
        <v>3.86355053444367</v>
      </c>
      <c r="S620" s="47" t="n">
        <f aca="false">L620*Scorecard!$D$12+M620*Scorecard!$D$13+N620*Scorecard!$D$14+O620*Scorecard!$D$15+P620*Scorecard!$D$16+Q620*Scorecard!$D$17</f>
        <v>3.04628326218851</v>
      </c>
      <c r="T620" s="47" t="n">
        <f aca="false">L620*Scorecard!$E$12+M620*Scorecard!$E$13+N620*Scorecard!$E$14+O620*Scorecard!$E$15+P620*Scorecard!$E$16+Q620*Scorecard!$E$17</f>
        <v>4.10357766775327</v>
      </c>
      <c r="U620" s="0" t="str">
        <f aca="false">IF(AND(R620&gt;=S620,R620&gt;=T620),"Distribution",IF(T620&gt;=S620,"Prof. services","Manufacturing"))</f>
        <v>Prof. services</v>
      </c>
    </row>
    <row r="621" customFormat="false" ht="15" hidden="false" customHeight="false" outlineLevel="0" collapsed="false">
      <c r="A621" s="46" t="n">
        <v>0.112951</v>
      </c>
      <c r="B621" s="46" t="n">
        <v>0.090927</v>
      </c>
      <c r="C621" s="46" t="n">
        <v>0.09548</v>
      </c>
      <c r="D621" s="46" t="n">
        <v>0.130247</v>
      </c>
      <c r="E621" s="46" t="n">
        <v>0.00386</v>
      </c>
      <c r="F621" s="46" t="n">
        <v>0.566534</v>
      </c>
      <c r="G621" s="47" t="n">
        <f aca="false">A621*Scorecard!$C$12+B621*Scorecard!$C$13+C621*Scorecard!$C$14+D621*Scorecard!$C$15+E621*Scorecard!$C$16+F621*Scorecard!$C$17</f>
        <v>2.88478858920929</v>
      </c>
      <c r="H621" s="47" t="n">
        <f aca="false">A621*Scorecard!$D$12+B621*Scorecard!$D$13+C621*Scorecard!$D$14+D621*Scorecard!$D$15+E621*Scorecard!$D$16+F621*Scorecard!$D$17</f>
        <v>2.24039002477706</v>
      </c>
      <c r="I621" s="47" t="n">
        <f aca="false">A621*Scorecard!$E$12+B621*Scorecard!$E$13+C621*Scorecard!$E$14+D621*Scorecard!$E$15+E621*Scorecard!$E$16+F621*Scorecard!$E$17</f>
        <v>4.33609398699935</v>
      </c>
      <c r="J621" s="0" t="str">
        <f aca="false">IF(AND(G621&gt;=H621,G621&gt;=I621),"Distribution",IF(I621&gt;=H621,"Prof. services","Manufacturing"))</f>
        <v>Prof. services</v>
      </c>
      <c r="L621" s="46" t="n">
        <v>0.092011</v>
      </c>
      <c r="M621" s="46" t="n">
        <v>0.357803</v>
      </c>
      <c r="N621" s="46" t="n">
        <v>0.148428</v>
      </c>
      <c r="O621" s="46" t="n">
        <v>0.190255</v>
      </c>
      <c r="P621" s="46" t="n">
        <v>0.158322</v>
      </c>
      <c r="Q621" s="46" t="n">
        <v>0.05318</v>
      </c>
      <c r="R621" s="47" t="n">
        <f aca="false">L621*Scorecard!$C$12+M621*Scorecard!$C$13+N621*Scorecard!$C$14+O621*Scorecard!$C$15+P621*Scorecard!$C$16+Q621*Scorecard!$C$17</f>
        <v>4.27607288783398</v>
      </c>
      <c r="S621" s="47" t="n">
        <f aca="false">L621*Scorecard!$D$12+M621*Scorecard!$D$13+N621*Scorecard!$D$14+O621*Scorecard!$D$15+P621*Scorecard!$D$16+Q621*Scorecard!$D$17</f>
        <v>2.71696278197999</v>
      </c>
      <c r="T621" s="47" t="n">
        <f aca="false">L621*Scorecard!$E$12+M621*Scorecard!$E$13+N621*Scorecard!$E$14+O621*Scorecard!$E$15+P621*Scorecard!$E$16+Q621*Scorecard!$E$17</f>
        <v>3.36328694857088</v>
      </c>
      <c r="U621" s="0" t="str">
        <f aca="false">IF(AND(R621&gt;=S621,R621&gt;=T621),"Distribution",IF(T621&gt;=S621,"Prof. services","Manufacturing"))</f>
        <v>Distribution</v>
      </c>
    </row>
    <row r="622" customFormat="false" ht="15" hidden="false" customHeight="false" outlineLevel="0" collapsed="false">
      <c r="A622" s="46" t="n">
        <v>0.075991</v>
      </c>
      <c r="B622" s="46" t="n">
        <v>0.097738</v>
      </c>
      <c r="C622" s="46" t="n">
        <v>0.192845</v>
      </c>
      <c r="D622" s="46" t="n">
        <v>0.072431</v>
      </c>
      <c r="E622" s="46" t="n">
        <v>0.127295</v>
      </c>
      <c r="F622" s="46" t="n">
        <v>0.433701</v>
      </c>
      <c r="G622" s="47" t="n">
        <f aca="false">A622*Scorecard!$C$12+B622*Scorecard!$C$13+C622*Scorecard!$C$14+D622*Scorecard!$C$15+E622*Scorecard!$C$16+F622*Scorecard!$C$17</f>
        <v>3.1659861162947</v>
      </c>
      <c r="H622" s="47" t="n">
        <f aca="false">A622*Scorecard!$D$12+B622*Scorecard!$D$13+C622*Scorecard!$D$14+D622*Scorecard!$D$15+E622*Scorecard!$D$16+F622*Scorecard!$D$17</f>
        <v>2.37922312450811</v>
      </c>
      <c r="I622" s="47" t="n">
        <f aca="false">A622*Scorecard!$E$12+B622*Scorecard!$E$13+C622*Scorecard!$E$14+D622*Scorecard!$E$15+E622*Scorecard!$E$16+F622*Scorecard!$E$17</f>
        <v>4.10210266173355</v>
      </c>
      <c r="J622" s="0" t="str">
        <f aca="false">IF(AND(G622&gt;=H622,G622&gt;=I622),"Distribution",IF(I622&gt;=H622,"Prof. services","Manufacturing"))</f>
        <v>Prof. services</v>
      </c>
      <c r="L622" s="46" t="n">
        <v>0.357994</v>
      </c>
      <c r="M622" s="46" t="n">
        <v>0.061565</v>
      </c>
      <c r="N622" s="46" t="n">
        <v>0.145717</v>
      </c>
      <c r="O622" s="46" t="n">
        <v>0.167782</v>
      </c>
      <c r="P622" s="46" t="n">
        <v>0.15727</v>
      </c>
      <c r="Q622" s="46" t="n">
        <v>0.109672</v>
      </c>
      <c r="R622" s="47" t="n">
        <f aca="false">L622*Scorecard!$C$12+M622*Scorecard!$C$13+N622*Scorecard!$C$14+O622*Scorecard!$C$15+P622*Scorecard!$C$16+Q622*Scorecard!$C$17</f>
        <v>3.36560869465866</v>
      </c>
      <c r="S622" s="47" t="n">
        <f aca="false">L622*Scorecard!$D$12+M622*Scorecard!$D$13+N622*Scorecard!$D$14+O622*Scorecard!$D$15+P622*Scorecard!$D$16+Q622*Scorecard!$D$17</f>
        <v>3.22621009653924</v>
      </c>
      <c r="T622" s="47" t="n">
        <f aca="false">L622*Scorecard!$E$12+M622*Scorecard!$E$13+N622*Scorecard!$E$14+O622*Scorecard!$E$15+P622*Scorecard!$E$16+Q622*Scorecard!$E$17</f>
        <v>4.20849453342288</v>
      </c>
      <c r="U622" s="0" t="str">
        <f aca="false">IF(AND(R622&gt;=S622,R622&gt;=T622),"Distribution",IF(T622&gt;=S622,"Prof. services","Manufacturing"))</f>
        <v>Prof. services</v>
      </c>
    </row>
    <row r="623" customFormat="false" ht="15" hidden="false" customHeight="false" outlineLevel="0" collapsed="false">
      <c r="A623" s="46" t="n">
        <v>0.161074</v>
      </c>
      <c r="B623" s="46" t="n">
        <v>0.330127</v>
      </c>
      <c r="C623" s="46" t="n">
        <v>0.226905</v>
      </c>
      <c r="D623" s="46" t="n">
        <v>0.113161</v>
      </c>
      <c r="E623" s="46" t="n">
        <v>0.130624</v>
      </c>
      <c r="F623" s="46" t="n">
        <v>0.038109</v>
      </c>
      <c r="G623" s="47" t="n">
        <f aca="false">A623*Scorecard!$C$12+B623*Scorecard!$C$13+C623*Scorecard!$C$14+D623*Scorecard!$C$15+E623*Scorecard!$C$16+F623*Scorecard!$C$17</f>
        <v>4.07713450292868</v>
      </c>
      <c r="H623" s="47" t="n">
        <f aca="false">A623*Scorecard!$D$12+B623*Scorecard!$D$13+C623*Scorecard!$D$14+D623*Scorecard!$D$15+E623*Scorecard!$D$16+F623*Scorecard!$D$17</f>
        <v>2.72825365714565</v>
      </c>
      <c r="I623" s="47" t="n">
        <f aca="false">A623*Scorecard!$E$12+B623*Scorecard!$E$13+C623*Scorecard!$E$14+D623*Scorecard!$E$15+E623*Scorecard!$E$16+F623*Scorecard!$E$17</f>
        <v>3.58871562657795</v>
      </c>
      <c r="J623" s="0" t="str">
        <f aca="false">IF(AND(G623&gt;=H623,G623&gt;=I623),"Distribution",IF(I623&gt;=H623,"Prof. services","Manufacturing"))</f>
        <v>Distribution</v>
      </c>
      <c r="L623" s="46" t="n">
        <v>0.218364</v>
      </c>
      <c r="M623" s="46" t="n">
        <v>0.124612</v>
      </c>
      <c r="N623" s="46" t="n">
        <v>0.28004</v>
      </c>
      <c r="O623" s="46" t="n">
        <v>0.10023</v>
      </c>
      <c r="P623" s="46" t="n">
        <v>0.102616</v>
      </c>
      <c r="Q623" s="46" t="n">
        <v>0.174137</v>
      </c>
      <c r="R623" s="47" t="n">
        <f aca="false">L623*Scorecard!$C$12+M623*Scorecard!$C$13+N623*Scorecard!$C$14+O623*Scorecard!$C$15+P623*Scorecard!$C$16+Q623*Scorecard!$C$17</f>
        <v>3.48350568591776</v>
      </c>
      <c r="S623" s="47" t="n">
        <f aca="false">L623*Scorecard!$D$12+M623*Scorecard!$D$13+N623*Scorecard!$D$14+O623*Scorecard!$D$15+P623*Scorecard!$D$16+Q623*Scorecard!$D$17</f>
        <v>2.84622448136858</v>
      </c>
      <c r="T623" s="47" t="n">
        <f aca="false">L623*Scorecard!$E$12+M623*Scorecard!$E$13+N623*Scorecard!$E$14+O623*Scorecard!$E$15+P623*Scorecard!$E$16+Q623*Scorecard!$E$17</f>
        <v>4.19716988988114</v>
      </c>
      <c r="U623" s="0" t="str">
        <f aca="false">IF(AND(R623&gt;=S623,R623&gt;=T623),"Distribution",IF(T623&gt;=S623,"Prof. services","Manufacturing"))</f>
        <v>Prof. services</v>
      </c>
    </row>
    <row r="624" customFormat="false" ht="15" hidden="false" customHeight="false" outlineLevel="0" collapsed="false">
      <c r="A624" s="46" t="n">
        <v>0.162529</v>
      </c>
      <c r="B624" s="46" t="n">
        <v>0.122482</v>
      </c>
      <c r="C624" s="46" t="n">
        <v>0.100624</v>
      </c>
      <c r="D624" s="46" t="n">
        <v>0.040524</v>
      </c>
      <c r="E624" s="46" t="n">
        <v>0.126495</v>
      </c>
      <c r="F624" s="46" t="n">
        <v>0.447346</v>
      </c>
      <c r="G624" s="47" t="n">
        <f aca="false">A624*Scorecard!$C$12+B624*Scorecard!$C$13+C624*Scorecard!$C$14+D624*Scorecard!$C$15+E624*Scorecard!$C$16+F624*Scorecard!$C$17</f>
        <v>2.97575948217897</v>
      </c>
      <c r="H624" s="47" t="n">
        <f aca="false">A624*Scorecard!$D$12+B624*Scorecard!$D$13+C624*Scorecard!$D$14+D624*Scorecard!$D$15+E624*Scorecard!$D$16+F624*Scorecard!$D$17</f>
        <v>2.34157090140421</v>
      </c>
      <c r="I624" s="47" t="n">
        <f aca="false">A624*Scorecard!$E$12+B624*Scorecard!$E$13+C624*Scorecard!$E$14+D624*Scorecard!$E$15+E624*Scorecard!$E$16+F624*Scorecard!$E$17</f>
        <v>4.05292569108249</v>
      </c>
      <c r="J624" s="0" t="str">
        <f aca="false">IF(AND(G624&gt;=H624,G624&gt;=I624),"Distribution",IF(I624&gt;=H624,"Prof. services","Manufacturing"))</f>
        <v>Prof. services</v>
      </c>
      <c r="L624" s="46" t="n">
        <v>0.256338</v>
      </c>
      <c r="M624" s="46" t="n">
        <v>0.08144</v>
      </c>
      <c r="N624" s="46" t="n">
        <v>0.128745</v>
      </c>
      <c r="O624" s="46" t="n">
        <v>0.125676</v>
      </c>
      <c r="P624" s="46" t="n">
        <v>0.22933</v>
      </c>
      <c r="Q624" s="46" t="n">
        <v>0.178472</v>
      </c>
      <c r="R624" s="47" t="n">
        <f aca="false">L624*Scorecard!$C$12+M624*Scorecard!$C$13+N624*Scorecard!$C$14+O624*Scorecard!$C$15+P624*Scorecard!$C$16+Q624*Scorecard!$C$17</f>
        <v>3.38876394437173</v>
      </c>
      <c r="S624" s="47" t="n">
        <f aca="false">L624*Scorecard!$D$12+M624*Scorecard!$D$13+N624*Scorecard!$D$14+O624*Scorecard!$D$15+P624*Scorecard!$D$16+Q624*Scorecard!$D$17</f>
        <v>3.00130826724503</v>
      </c>
      <c r="T624" s="47" t="n">
        <f aca="false">L624*Scorecard!$E$12+M624*Scorecard!$E$13+N624*Scorecard!$E$14+O624*Scorecard!$E$15+P624*Scorecard!$E$16+Q624*Scorecard!$E$17</f>
        <v>3.9599832046673</v>
      </c>
      <c r="U624" s="0" t="str">
        <f aca="false">IF(AND(R624&gt;=S624,R624&gt;=T624),"Distribution",IF(T624&gt;=S624,"Prof. services","Manufacturing"))</f>
        <v>Prof. services</v>
      </c>
    </row>
    <row r="625" customFormat="false" ht="15" hidden="false" customHeight="false" outlineLevel="0" collapsed="false">
      <c r="A625" s="46" t="n">
        <v>0.054521</v>
      </c>
      <c r="B625" s="46" t="n">
        <v>0.201489</v>
      </c>
      <c r="C625" s="46" t="n">
        <v>0.081989</v>
      </c>
      <c r="D625" s="46" t="n">
        <v>0.105211</v>
      </c>
      <c r="E625" s="46" t="n">
        <v>0.009044</v>
      </c>
      <c r="F625" s="46" t="n">
        <v>0.547746</v>
      </c>
      <c r="G625" s="47" t="n">
        <f aca="false">A625*Scorecard!$C$12+B625*Scorecard!$C$13+C625*Scorecard!$C$14+D625*Scorecard!$C$15+E625*Scorecard!$C$16+F625*Scorecard!$C$17</f>
        <v>3.11306942247771</v>
      </c>
      <c r="H625" s="47" t="n">
        <f aca="false">A625*Scorecard!$D$12+B625*Scorecard!$D$13+C625*Scorecard!$D$14+D625*Scorecard!$D$15+E625*Scorecard!$D$16+F625*Scorecard!$D$17</f>
        <v>2.03677065522613</v>
      </c>
      <c r="I625" s="47" t="n">
        <f aca="false">A625*Scorecard!$E$12+B625*Scorecard!$E$13+C625*Scorecard!$E$14+D625*Scorecard!$E$15+E625*Scorecard!$E$16+F625*Scorecard!$E$17</f>
        <v>4.03466561318407</v>
      </c>
      <c r="J625" s="0" t="str">
        <f aca="false">IF(AND(G625&gt;=H625,G625&gt;=I625),"Distribution",IF(I625&gt;=H625,"Prof. services","Manufacturing"))</f>
        <v>Prof. services</v>
      </c>
      <c r="L625" s="46" t="n">
        <v>0.194528</v>
      </c>
      <c r="M625" s="46" t="n">
        <v>0.153341</v>
      </c>
      <c r="N625" s="46" t="n">
        <v>0.183259</v>
      </c>
      <c r="O625" s="46" t="n">
        <v>0.15446</v>
      </c>
      <c r="P625" s="46" t="n">
        <v>0.128624</v>
      </c>
      <c r="Q625" s="46" t="n">
        <v>0.185787</v>
      </c>
      <c r="R625" s="47" t="n">
        <f aca="false">L625*Scorecard!$C$12+M625*Scorecard!$C$13+N625*Scorecard!$C$14+O625*Scorecard!$C$15+P625*Scorecard!$C$16+Q625*Scorecard!$C$17</f>
        <v>3.58606982584222</v>
      </c>
      <c r="S625" s="47" t="n">
        <f aca="false">L625*Scorecard!$D$12+M625*Scorecard!$D$13+N625*Scorecard!$D$14+O625*Scorecard!$D$15+P625*Scorecard!$D$16+Q625*Scorecard!$D$17</f>
        <v>2.84133056201183</v>
      </c>
      <c r="T625" s="47" t="n">
        <f aca="false">L625*Scorecard!$E$12+M625*Scorecard!$E$13+N625*Scorecard!$E$14+O625*Scorecard!$E$15+P625*Scorecard!$E$16+Q625*Scorecard!$E$17</f>
        <v>3.99404716797769</v>
      </c>
      <c r="U625" s="0" t="str">
        <f aca="false">IF(AND(R625&gt;=S625,R625&gt;=T625),"Distribution",IF(T625&gt;=S625,"Prof. services","Manufacturing"))</f>
        <v>Prof. services</v>
      </c>
    </row>
    <row r="626" customFormat="false" ht="15" hidden="false" customHeight="false" outlineLevel="0" collapsed="false">
      <c r="A626" s="46" t="n">
        <v>0.02825</v>
      </c>
      <c r="B626" s="46" t="n">
        <v>0.170132</v>
      </c>
      <c r="C626" s="46" t="n">
        <v>0.176304</v>
      </c>
      <c r="D626" s="46" t="n">
        <v>0.225429</v>
      </c>
      <c r="E626" s="46" t="n">
        <v>0.041513</v>
      </c>
      <c r="F626" s="46" t="n">
        <v>0.358372</v>
      </c>
      <c r="G626" s="47" t="n">
        <f aca="false">A626*Scorecard!$C$12+B626*Scorecard!$C$13+C626*Scorecard!$C$14+D626*Scorecard!$C$15+E626*Scorecard!$C$16+F626*Scorecard!$C$17</f>
        <v>3.62796659712763</v>
      </c>
      <c r="H626" s="47" t="n">
        <f aca="false">A626*Scorecard!$D$12+B626*Scorecard!$D$13+C626*Scorecard!$D$14+D626*Scorecard!$D$15+E626*Scorecard!$D$16+F626*Scorecard!$D$17</f>
        <v>2.50053759819611</v>
      </c>
      <c r="I626" s="47" t="n">
        <f aca="false">A626*Scorecard!$E$12+B626*Scorecard!$E$13+C626*Scorecard!$E$14+D626*Scorecard!$E$15+E626*Scorecard!$E$16+F626*Scorecard!$E$17</f>
        <v>4.0324494183471</v>
      </c>
      <c r="J626" s="0" t="str">
        <f aca="false">IF(AND(G626&gt;=H626,G626&gt;=I626),"Distribution",IF(I626&gt;=H626,"Prof. services","Manufacturing"))</f>
        <v>Prof. services</v>
      </c>
      <c r="L626" s="46" t="n">
        <v>0.176759</v>
      </c>
      <c r="M626" s="46" t="n">
        <v>0.141016</v>
      </c>
      <c r="N626" s="46" t="n">
        <v>0.187903</v>
      </c>
      <c r="O626" s="46" t="n">
        <v>0.175062</v>
      </c>
      <c r="P626" s="46" t="n">
        <v>0.267013</v>
      </c>
      <c r="Q626" s="46" t="n">
        <v>0.052247</v>
      </c>
      <c r="R626" s="47" t="n">
        <f aca="false">L626*Scorecard!$C$12+M626*Scorecard!$C$13+N626*Scorecard!$C$14+O626*Scorecard!$C$15+P626*Scorecard!$C$16+Q626*Scorecard!$C$17</f>
        <v>3.89341527924538</v>
      </c>
      <c r="S626" s="47" t="n">
        <f aca="false">L626*Scorecard!$D$12+M626*Scorecard!$D$13+N626*Scorecard!$D$14+O626*Scorecard!$D$15+P626*Scorecard!$D$16+Q626*Scorecard!$D$17</f>
        <v>3.11838550578059</v>
      </c>
      <c r="T626" s="47" t="n">
        <f aca="false">L626*Scorecard!$E$12+M626*Scorecard!$E$13+N626*Scorecard!$E$14+O626*Scorecard!$E$15+P626*Scorecard!$E$16+Q626*Scorecard!$E$17</f>
        <v>3.71000545054554</v>
      </c>
      <c r="U626" s="0" t="str">
        <f aca="false">IF(AND(R626&gt;=S626,R626&gt;=T626),"Distribution",IF(T626&gt;=S626,"Prof. services","Manufacturing"))</f>
        <v>Distribution</v>
      </c>
    </row>
    <row r="627" customFormat="false" ht="15" hidden="false" customHeight="false" outlineLevel="0" collapsed="false">
      <c r="A627" s="46" t="n">
        <v>0.310392</v>
      </c>
      <c r="B627" s="46" t="n">
        <v>0.396962</v>
      </c>
      <c r="C627" s="46" t="n">
        <v>0.10797</v>
      </c>
      <c r="D627" s="46" t="n">
        <v>0.143974</v>
      </c>
      <c r="E627" s="46" t="n">
        <v>0.039001</v>
      </c>
      <c r="F627" s="46" t="n">
        <v>0.0017</v>
      </c>
      <c r="G627" s="47" t="n">
        <f aca="false">A627*Scorecard!$C$12+B627*Scorecard!$C$13+C627*Scorecard!$C$14+D627*Scorecard!$C$15+E627*Scorecard!$C$16+F627*Scorecard!$C$17</f>
        <v>3.97882197350931</v>
      </c>
      <c r="H627" s="47" t="n">
        <f aca="false">A627*Scorecard!$D$12+B627*Scorecard!$D$13+C627*Scorecard!$D$14+D627*Scorecard!$D$15+E627*Scorecard!$D$16+F627*Scorecard!$D$17</f>
        <v>2.78630594997478</v>
      </c>
      <c r="I627" s="47" t="n">
        <f aca="false">A627*Scorecard!$E$12+B627*Scorecard!$E$13+C627*Scorecard!$E$14+D627*Scorecard!$E$15+E627*Scorecard!$E$16+F627*Scorecard!$E$17</f>
        <v>3.63329696273481</v>
      </c>
      <c r="J627" s="0" t="str">
        <f aca="false">IF(AND(G627&gt;=H627,G627&gt;=I627),"Distribution",IF(I627&gt;=H627,"Prof. services","Manufacturing"))</f>
        <v>Distribution</v>
      </c>
      <c r="L627" s="46" t="n">
        <v>0.195732</v>
      </c>
      <c r="M627" s="46" t="n">
        <v>0.198191</v>
      </c>
      <c r="N627" s="46" t="n">
        <v>0.213389</v>
      </c>
      <c r="O627" s="46" t="n">
        <v>0.106159</v>
      </c>
      <c r="P627" s="46" t="n">
        <v>0.161212</v>
      </c>
      <c r="Q627" s="46" t="n">
        <v>0.125316</v>
      </c>
      <c r="R627" s="47" t="n">
        <f aca="false">L627*Scorecard!$C$12+M627*Scorecard!$C$13+N627*Scorecard!$C$14+O627*Scorecard!$C$15+P627*Scorecard!$C$16+Q627*Scorecard!$C$17</f>
        <v>3.70139360867201</v>
      </c>
      <c r="S627" s="47" t="n">
        <f aca="false">L627*Scorecard!$D$12+M627*Scorecard!$D$13+N627*Scorecard!$D$14+O627*Scorecard!$D$15+P627*Scorecard!$D$16+Q627*Scorecard!$D$17</f>
        <v>2.82045986321711</v>
      </c>
      <c r="T627" s="47" t="n">
        <f aca="false">L627*Scorecard!$E$12+M627*Scorecard!$E$13+N627*Scorecard!$E$14+O627*Scorecard!$E$15+P627*Scorecard!$E$16+Q627*Scorecard!$E$17</f>
        <v>3.84878554407576</v>
      </c>
      <c r="U627" s="0" t="str">
        <f aca="false">IF(AND(R627&gt;=S627,R627&gt;=T627),"Distribution",IF(T627&gt;=S627,"Prof. services","Manufacturing"))</f>
        <v>Prof. services</v>
      </c>
    </row>
    <row r="628" customFormat="false" ht="15" hidden="false" customHeight="false" outlineLevel="0" collapsed="false">
      <c r="A628" s="46" t="n">
        <v>0.342659</v>
      </c>
      <c r="B628" s="46" t="n">
        <v>0.005723</v>
      </c>
      <c r="C628" s="46" t="n">
        <v>0.103485</v>
      </c>
      <c r="D628" s="46" t="n">
        <v>0.411428</v>
      </c>
      <c r="E628" s="46" t="n">
        <v>0.110511</v>
      </c>
      <c r="F628" s="46" t="n">
        <v>0.026194</v>
      </c>
      <c r="G628" s="47" t="n">
        <f aca="false">A628*Scorecard!$C$12+B628*Scorecard!$C$13+C628*Scorecard!$C$14+D628*Scorecard!$C$15+E628*Scorecard!$C$16+F628*Scorecard!$C$17</f>
        <v>3.74797191335062</v>
      </c>
      <c r="H628" s="47" t="n">
        <f aca="false">A628*Scorecard!$D$12+B628*Scorecard!$D$13+C628*Scorecard!$D$14+D628*Scorecard!$D$15+E628*Scorecard!$D$16+F628*Scorecard!$D$17</f>
        <v>3.69158484032355</v>
      </c>
      <c r="I628" s="47" t="n">
        <f aca="false">A628*Scorecard!$E$12+B628*Scorecard!$E$13+C628*Scorecard!$E$14+D628*Scorecard!$E$15+E628*Scorecard!$E$16+F628*Scorecard!$E$17</f>
        <v>4.33184156677015</v>
      </c>
      <c r="J628" s="0" t="str">
        <f aca="false">IF(AND(G628&gt;=H628,G628&gt;=I628),"Distribution",IF(I628&gt;=H628,"Prof. services","Manufacturing"))</f>
        <v>Prof. services</v>
      </c>
      <c r="L628" s="46" t="n">
        <v>0.21023</v>
      </c>
      <c r="M628" s="46" t="n">
        <v>0.265805</v>
      </c>
      <c r="N628" s="46" t="n">
        <v>0.23029</v>
      </c>
      <c r="O628" s="46" t="n">
        <v>0.123833</v>
      </c>
      <c r="P628" s="46" t="n">
        <v>0.091221</v>
      </c>
      <c r="Q628" s="46" t="n">
        <v>0.078621</v>
      </c>
      <c r="R628" s="47" t="n">
        <f aca="false">L628*Scorecard!$C$12+M628*Scorecard!$C$13+N628*Scorecard!$C$14+O628*Scorecard!$C$15+P628*Scorecard!$C$16+Q628*Scorecard!$C$17</f>
        <v>3.85397900191649</v>
      </c>
      <c r="S628" s="47" t="n">
        <f aca="false">L628*Scorecard!$D$12+M628*Scorecard!$D$13+N628*Scorecard!$D$14+O628*Scorecard!$D$15+P628*Scorecard!$D$16+Q628*Scorecard!$D$17</f>
        <v>2.79572307083129</v>
      </c>
      <c r="T628" s="47" t="n">
        <f aca="false">L628*Scorecard!$E$12+M628*Scorecard!$E$13+N628*Scorecard!$E$14+O628*Scorecard!$E$15+P628*Scorecard!$E$16+Q628*Scorecard!$E$17</f>
        <v>3.84957721955787</v>
      </c>
      <c r="U628" s="0" t="str">
        <f aca="false">IF(AND(R628&gt;=S628,R628&gt;=T628),"Distribution",IF(T628&gt;=S628,"Prof. services","Manufacturing"))</f>
        <v>Distribution</v>
      </c>
    </row>
    <row r="629" customFormat="false" ht="15" hidden="false" customHeight="false" outlineLevel="0" collapsed="false">
      <c r="A629" s="46" t="n">
        <v>0.297163</v>
      </c>
      <c r="B629" s="46" t="n">
        <v>0.152011</v>
      </c>
      <c r="C629" s="46" t="n">
        <v>0.002289</v>
      </c>
      <c r="D629" s="46" t="n">
        <v>0.182547</v>
      </c>
      <c r="E629" s="46" t="n">
        <v>0.14635</v>
      </c>
      <c r="F629" s="46" t="n">
        <v>0.219639</v>
      </c>
      <c r="G629" s="47" t="n">
        <f aca="false">A629*Scorecard!$C$12+B629*Scorecard!$C$13+C629*Scorecard!$C$14+D629*Scorecard!$C$15+E629*Scorecard!$C$16+F629*Scorecard!$C$17</f>
        <v>3.36037836216767</v>
      </c>
      <c r="H629" s="47" t="n">
        <f aca="false">A629*Scorecard!$D$12+B629*Scorecard!$D$13+C629*Scorecard!$D$14+D629*Scorecard!$D$15+E629*Scorecard!$D$16+F629*Scorecard!$D$17</f>
        <v>2.8987676816295</v>
      </c>
      <c r="I629" s="47" t="n">
        <f aca="false">A629*Scorecard!$E$12+B629*Scorecard!$E$13+C629*Scorecard!$E$14+D629*Scorecard!$E$15+E629*Scorecard!$E$16+F629*Scorecard!$E$17</f>
        <v>3.91019873082078</v>
      </c>
      <c r="J629" s="0" t="str">
        <f aca="false">IF(AND(G629&gt;=H629,G629&gt;=I629),"Distribution",IF(I629&gt;=H629,"Prof. services","Manufacturing"))</f>
        <v>Prof. services</v>
      </c>
      <c r="L629" s="46" t="n">
        <v>0.166514</v>
      </c>
      <c r="M629" s="46" t="n">
        <v>0.117081</v>
      </c>
      <c r="N629" s="46" t="n">
        <v>0.251353</v>
      </c>
      <c r="O629" s="46" t="n">
        <v>0.226949</v>
      </c>
      <c r="P629" s="46" t="n">
        <v>0.141381</v>
      </c>
      <c r="Q629" s="46" t="n">
        <v>0.096721</v>
      </c>
      <c r="R629" s="47" t="n">
        <f aca="false">L629*Scorecard!$C$12+M629*Scorecard!$C$13+N629*Scorecard!$C$14+O629*Scorecard!$C$15+P629*Scorecard!$C$16+Q629*Scorecard!$C$17</f>
        <v>3.85085642534901</v>
      </c>
      <c r="S629" s="47" t="n">
        <f aca="false">L629*Scorecard!$D$12+M629*Scorecard!$D$13+N629*Scorecard!$D$14+O629*Scorecard!$D$15+P629*Scorecard!$D$16+Q629*Scorecard!$D$17</f>
        <v>3.09901985824352</v>
      </c>
      <c r="T629" s="47" t="n">
        <f aca="false">L629*Scorecard!$E$12+M629*Scorecard!$E$13+N629*Scorecard!$E$14+O629*Scorecard!$E$15+P629*Scorecard!$E$16+Q629*Scorecard!$E$17</f>
        <v>4.0482374937853</v>
      </c>
      <c r="U629" s="0" t="str">
        <f aca="false">IF(AND(R629&gt;=S629,R629&gt;=T629),"Distribution",IF(T629&gt;=S629,"Prof. services","Manufacturing"))</f>
        <v>Prof. services</v>
      </c>
    </row>
    <row r="630" customFormat="false" ht="15" hidden="false" customHeight="false" outlineLevel="0" collapsed="false">
      <c r="A630" s="46" t="n">
        <v>0.183724</v>
      </c>
      <c r="B630" s="46" t="n">
        <v>0.039892</v>
      </c>
      <c r="C630" s="46" t="n">
        <v>0.187158</v>
      </c>
      <c r="D630" s="46" t="n">
        <v>0.218288</v>
      </c>
      <c r="E630" s="46" t="n">
        <v>0.28292</v>
      </c>
      <c r="F630" s="46" t="n">
        <v>0.088019</v>
      </c>
      <c r="G630" s="47" t="n">
        <f aca="false">A630*Scorecard!$C$12+B630*Scorecard!$C$13+C630*Scorecard!$C$14+D630*Scorecard!$C$15+E630*Scorecard!$C$16+F630*Scorecard!$C$17</f>
        <v>3.75144017991773</v>
      </c>
      <c r="H630" s="47" t="n">
        <f aca="false">A630*Scorecard!$D$12+B630*Scorecard!$D$13+C630*Scorecard!$D$14+D630*Scorecard!$D$15+E630*Scorecard!$D$16+F630*Scorecard!$D$17</f>
        <v>3.27646108760515</v>
      </c>
      <c r="I630" s="47" t="n">
        <f aca="false">A630*Scorecard!$E$12+B630*Scorecard!$E$13+C630*Scorecard!$E$14+D630*Scorecard!$E$15+E630*Scorecard!$E$16+F630*Scorecard!$E$17</f>
        <v>3.90436452805372</v>
      </c>
      <c r="J630" s="0" t="str">
        <f aca="false">IF(AND(G630&gt;=H630,G630&gt;=I630),"Distribution",IF(I630&gt;=H630,"Prof. services","Manufacturing"))</f>
        <v>Prof. services</v>
      </c>
      <c r="L630" s="46" t="n">
        <v>0.166365</v>
      </c>
      <c r="M630" s="46" t="n">
        <v>0.196069</v>
      </c>
      <c r="N630" s="46" t="n">
        <v>0.251877</v>
      </c>
      <c r="O630" s="46" t="n">
        <v>0.17446</v>
      </c>
      <c r="P630" s="46" t="n">
        <v>0.142951</v>
      </c>
      <c r="Q630" s="46" t="n">
        <v>0.068278</v>
      </c>
      <c r="R630" s="47" t="n">
        <f aca="false">L630*Scorecard!$C$12+M630*Scorecard!$C$13+N630*Scorecard!$C$14+O630*Scorecard!$C$15+P630*Scorecard!$C$16+Q630*Scorecard!$C$17</f>
        <v>3.93451362747389</v>
      </c>
      <c r="S630" s="47" t="n">
        <f aca="false">L630*Scorecard!$D$12+M630*Scorecard!$D$13+N630*Scorecard!$D$14+O630*Scorecard!$D$15+P630*Scorecard!$D$16+Q630*Scorecard!$D$17</f>
        <v>2.96278769556584</v>
      </c>
      <c r="T630" s="47" t="n">
        <f aca="false">L630*Scorecard!$E$12+M630*Scorecard!$E$13+N630*Scorecard!$E$14+O630*Scorecard!$E$15+P630*Scorecard!$E$16+Q630*Scorecard!$E$17</f>
        <v>3.87501543540284</v>
      </c>
      <c r="U630" s="0" t="str">
        <f aca="false">IF(AND(R630&gt;=S630,R630&gt;=T630),"Distribution",IF(T630&gt;=S630,"Prof. services","Manufacturing"))</f>
        <v>Distribution</v>
      </c>
    </row>
    <row r="631" customFormat="false" ht="15" hidden="false" customHeight="false" outlineLevel="0" collapsed="false">
      <c r="A631" s="46" t="n">
        <v>0.186279</v>
      </c>
      <c r="B631" s="46" t="n">
        <v>0.244627</v>
      </c>
      <c r="C631" s="46" t="n">
        <v>0.221102</v>
      </c>
      <c r="D631" s="46" t="n">
        <v>0.187208</v>
      </c>
      <c r="E631" s="46" t="n">
        <v>0.106285</v>
      </c>
      <c r="F631" s="46" t="n">
        <v>0.054499</v>
      </c>
      <c r="G631" s="47" t="n">
        <f aca="false">A631*Scorecard!$C$12+B631*Scorecard!$C$13+C631*Scorecard!$C$14+D631*Scorecard!$C$15+E631*Scorecard!$C$16+F631*Scorecard!$C$17</f>
        <v>3.98753214348096</v>
      </c>
      <c r="H631" s="47" t="n">
        <f aca="false">A631*Scorecard!$D$12+B631*Scorecard!$D$13+C631*Scorecard!$D$14+D631*Scorecard!$D$15+E631*Scorecard!$D$16+F631*Scorecard!$D$17</f>
        <v>2.9262603239402</v>
      </c>
      <c r="I631" s="47" t="n">
        <f aca="false">A631*Scorecard!$E$12+B631*Scorecard!$E$13+C631*Scorecard!$E$14+D631*Scorecard!$E$15+E631*Scorecard!$E$16+F631*Scorecard!$E$17</f>
        <v>3.82939223323677</v>
      </c>
      <c r="J631" s="0" t="str">
        <f aca="false">IF(AND(G631&gt;=H631,G631&gt;=I631),"Distribution",IF(I631&gt;=H631,"Prof. services","Manufacturing"))</f>
        <v>Distribution</v>
      </c>
      <c r="L631" s="46" t="n">
        <v>0.307741</v>
      </c>
      <c r="M631" s="46" t="n">
        <v>0.188918</v>
      </c>
      <c r="N631" s="46" t="n">
        <v>0.131805</v>
      </c>
      <c r="O631" s="46" t="n">
        <v>0.179066</v>
      </c>
      <c r="P631" s="46" t="n">
        <v>0.065706</v>
      </c>
      <c r="Q631" s="46" t="n">
        <v>0.126764</v>
      </c>
      <c r="R631" s="47" t="n">
        <f aca="false">L631*Scorecard!$C$12+M631*Scorecard!$C$13+N631*Scorecard!$C$14+O631*Scorecard!$C$15+P631*Scorecard!$C$16+Q631*Scorecard!$C$17</f>
        <v>3.56051781131514</v>
      </c>
      <c r="S631" s="47" t="n">
        <f aca="false">L631*Scorecard!$D$12+M631*Scorecard!$D$13+N631*Scorecard!$D$14+O631*Scorecard!$D$15+P631*Scorecard!$D$16+Q631*Scorecard!$D$17</f>
        <v>2.95876190630993</v>
      </c>
      <c r="T631" s="47" t="n">
        <f aca="false">L631*Scorecard!$E$12+M631*Scorecard!$E$13+N631*Scorecard!$E$14+O631*Scorecard!$E$15+P631*Scorecard!$E$16+Q631*Scorecard!$E$17</f>
        <v>4.06847232039629</v>
      </c>
      <c r="U631" s="0" t="str">
        <f aca="false">IF(AND(R631&gt;=S631,R631&gt;=T631),"Distribution",IF(T631&gt;=S631,"Prof. services","Manufacturing"))</f>
        <v>Prof. services</v>
      </c>
    </row>
    <row r="632" customFormat="false" ht="15" hidden="false" customHeight="false" outlineLevel="0" collapsed="false">
      <c r="A632" s="46" t="n">
        <v>0.135098</v>
      </c>
      <c r="B632" s="46" t="n">
        <v>0.19392</v>
      </c>
      <c r="C632" s="46" t="n">
        <v>0.091432</v>
      </c>
      <c r="D632" s="46" t="n">
        <v>0.084582</v>
      </c>
      <c r="E632" s="46" t="n">
        <v>0.345422</v>
      </c>
      <c r="F632" s="46" t="n">
        <v>0.149545</v>
      </c>
      <c r="G632" s="47" t="n">
        <f aca="false">A632*Scorecard!$C$12+B632*Scorecard!$C$13+C632*Scorecard!$C$14+D632*Scorecard!$C$15+E632*Scorecard!$C$16+F632*Scorecard!$C$17</f>
        <v>3.73622967337161</v>
      </c>
      <c r="H632" s="47" t="n">
        <f aca="false">A632*Scorecard!$D$12+B632*Scorecard!$D$13+C632*Scorecard!$D$14+D632*Scorecard!$D$15+E632*Scorecard!$D$16+F632*Scorecard!$D$17</f>
        <v>2.78690032084672</v>
      </c>
      <c r="I632" s="47" t="n">
        <f aca="false">A632*Scorecard!$E$12+B632*Scorecard!$E$13+C632*Scorecard!$E$14+D632*Scorecard!$E$15+E632*Scorecard!$E$16+F632*Scorecard!$E$17</f>
        <v>3.37576200480116</v>
      </c>
      <c r="J632" s="0" t="str">
        <f aca="false">IF(AND(G632&gt;=H632,G632&gt;=I632),"Distribution",IF(I632&gt;=H632,"Prof. services","Manufacturing"))</f>
        <v>Distribution</v>
      </c>
      <c r="L632" s="46" t="n">
        <v>0.190622</v>
      </c>
      <c r="M632" s="46" t="n">
        <v>0.126828</v>
      </c>
      <c r="N632" s="46" t="n">
        <v>0.134392</v>
      </c>
      <c r="O632" s="46" t="n">
        <v>0.18334</v>
      </c>
      <c r="P632" s="46" t="n">
        <v>0.286042</v>
      </c>
      <c r="Q632" s="46" t="n">
        <v>0.078776</v>
      </c>
      <c r="R632" s="47" t="n">
        <f aca="false">L632*Scorecard!$C$12+M632*Scorecard!$C$13+N632*Scorecard!$C$14+O632*Scorecard!$C$15+P632*Scorecard!$C$16+Q632*Scorecard!$C$17</f>
        <v>3.80949368154557</v>
      </c>
      <c r="S632" s="47" t="n">
        <f aca="false">L632*Scorecard!$D$12+M632*Scorecard!$D$13+N632*Scorecard!$D$14+O632*Scorecard!$D$15+P632*Scorecard!$D$16+Q632*Scorecard!$D$17</f>
        <v>3.12497136747941</v>
      </c>
      <c r="T632" s="47" t="n">
        <f aca="false">L632*Scorecard!$E$12+M632*Scorecard!$E$13+N632*Scorecard!$E$14+O632*Scorecard!$E$15+P632*Scorecard!$E$16+Q632*Scorecard!$E$17</f>
        <v>3.67987629124093</v>
      </c>
      <c r="U632" s="0" t="str">
        <f aca="false">IF(AND(R632&gt;=S632,R632&gt;=T632),"Distribution",IF(T632&gt;=S632,"Prof. services","Manufacturing"))</f>
        <v>Distribution</v>
      </c>
    </row>
    <row r="633" customFormat="false" ht="15" hidden="false" customHeight="false" outlineLevel="0" collapsed="false">
      <c r="A633" s="46" t="n">
        <v>0.12793</v>
      </c>
      <c r="B633" s="46" t="n">
        <v>0.107348</v>
      </c>
      <c r="C633" s="46" t="n">
        <v>0.095685</v>
      </c>
      <c r="D633" s="46" t="n">
        <v>0.173173</v>
      </c>
      <c r="E633" s="46" t="n">
        <v>0.173113</v>
      </c>
      <c r="F633" s="46" t="n">
        <v>0.322751</v>
      </c>
      <c r="G633" s="47" t="n">
        <f aca="false">A633*Scorecard!$C$12+B633*Scorecard!$C$13+C633*Scorecard!$C$14+D633*Scorecard!$C$15+E633*Scorecard!$C$16+F633*Scorecard!$C$17</f>
        <v>3.40474317559424</v>
      </c>
      <c r="H633" s="47" t="n">
        <f aca="false">A633*Scorecard!$D$12+B633*Scorecard!$D$13+C633*Scorecard!$D$14+D633*Scorecard!$D$15+E633*Scorecard!$D$16+F633*Scorecard!$D$17</f>
        <v>2.6974245071619</v>
      </c>
      <c r="I633" s="47" t="n">
        <f aca="false">A633*Scorecard!$E$12+B633*Scorecard!$E$13+C633*Scorecard!$E$14+D633*Scorecard!$E$15+E633*Scorecard!$E$16+F633*Scorecard!$E$17</f>
        <v>3.92354772752606</v>
      </c>
      <c r="J633" s="0" t="str">
        <f aca="false">IF(AND(G633&gt;=H633,G633&gt;=I633),"Distribution",IF(I633&gt;=H633,"Prof. services","Manufacturing"))</f>
        <v>Prof. services</v>
      </c>
      <c r="L633" s="46" t="n">
        <v>0.08676</v>
      </c>
      <c r="M633" s="46" t="n">
        <v>0.177748</v>
      </c>
      <c r="N633" s="46" t="n">
        <v>0.265865</v>
      </c>
      <c r="O633" s="46" t="n">
        <v>0.158025</v>
      </c>
      <c r="P633" s="46" t="n">
        <v>0.194051</v>
      </c>
      <c r="Q633" s="46" t="n">
        <v>0.117551</v>
      </c>
      <c r="R633" s="47" t="n">
        <f aca="false">L633*Scorecard!$C$12+M633*Scorecard!$C$13+N633*Scorecard!$C$14+O633*Scorecard!$C$15+P633*Scorecard!$C$16+Q633*Scorecard!$C$17</f>
        <v>3.94450176271833</v>
      </c>
      <c r="S633" s="47" t="n">
        <f aca="false">L633*Scorecard!$D$12+M633*Scorecard!$D$13+N633*Scorecard!$D$14+O633*Scorecard!$D$15+P633*Scorecard!$D$16+Q633*Scorecard!$D$17</f>
        <v>2.86180254614173</v>
      </c>
      <c r="T633" s="47" t="n">
        <f aca="false">L633*Scorecard!$E$12+M633*Scorecard!$E$13+N633*Scorecard!$E$14+O633*Scorecard!$E$15+P633*Scorecard!$E$16+Q633*Scorecard!$E$17</f>
        <v>3.78053375598163</v>
      </c>
      <c r="U633" s="0" t="str">
        <f aca="false">IF(AND(R633&gt;=S633,R633&gt;=T633),"Distribution",IF(T633&gt;=S633,"Prof. services","Manufacturing"))</f>
        <v>Distribution</v>
      </c>
    </row>
    <row r="634" customFormat="false" ht="15" hidden="false" customHeight="false" outlineLevel="0" collapsed="false">
      <c r="A634" s="46" t="n">
        <v>0.049468</v>
      </c>
      <c r="B634" s="46" t="n">
        <v>0.334472</v>
      </c>
      <c r="C634" s="46" t="n">
        <v>0.235548</v>
      </c>
      <c r="D634" s="46" t="n">
        <v>0.086906</v>
      </c>
      <c r="E634" s="46" t="n">
        <v>0.060232</v>
      </c>
      <c r="F634" s="46" t="n">
        <v>0.233375</v>
      </c>
      <c r="G634" s="47" t="n">
        <f aca="false">A634*Scorecard!$C$12+B634*Scorecard!$C$13+C634*Scorecard!$C$14+D634*Scorecard!$C$15+E634*Scorecard!$C$16+F634*Scorecard!$C$17</f>
        <v>3.86558889453839</v>
      </c>
      <c r="H634" s="47" t="n">
        <f aca="false">A634*Scorecard!$D$12+B634*Scorecard!$D$13+C634*Scorecard!$D$14+D634*Scorecard!$D$15+E634*Scorecard!$D$16+F634*Scorecard!$D$17</f>
        <v>2.30125669620514</v>
      </c>
      <c r="I634" s="47" t="n">
        <f aca="false">A634*Scorecard!$E$12+B634*Scorecard!$E$13+C634*Scorecard!$E$14+D634*Scorecard!$E$15+E634*Scorecard!$E$16+F634*Scorecard!$E$17</f>
        <v>3.68825148396062</v>
      </c>
      <c r="J634" s="0" t="str">
        <f aca="false">IF(AND(G634&gt;=H634,G634&gt;=I634),"Distribution",IF(I634&gt;=H634,"Prof. services","Manufacturing"))</f>
        <v>Distribution</v>
      </c>
      <c r="L634" s="46" t="n">
        <v>0.26488</v>
      </c>
      <c r="M634" s="46" t="n">
        <v>0.096979</v>
      </c>
      <c r="N634" s="46" t="n">
        <v>0.201281</v>
      </c>
      <c r="O634" s="46" t="n">
        <v>0.136288</v>
      </c>
      <c r="P634" s="46" t="n">
        <v>0.135344</v>
      </c>
      <c r="Q634" s="46" t="n">
        <v>0.165228</v>
      </c>
      <c r="R634" s="47" t="n">
        <f aca="false">L634*Scorecard!$C$12+M634*Scorecard!$C$13+N634*Scorecard!$C$14+O634*Scorecard!$C$15+P634*Scorecard!$C$16+Q634*Scorecard!$C$17</f>
        <v>3.42602322255453</v>
      </c>
      <c r="S634" s="47" t="n">
        <f aca="false">L634*Scorecard!$D$12+M634*Scorecard!$D$13+N634*Scorecard!$D$14+O634*Scorecard!$D$15+P634*Scorecard!$D$16+Q634*Scorecard!$D$17</f>
        <v>2.98444582868683</v>
      </c>
      <c r="T634" s="47" t="n">
        <f aca="false">L634*Scorecard!$E$12+M634*Scorecard!$E$13+N634*Scorecard!$E$14+O634*Scorecard!$E$15+P634*Scorecard!$E$16+Q634*Scorecard!$E$17</f>
        <v>4.16367532126933</v>
      </c>
      <c r="U634" s="0" t="str">
        <f aca="false">IF(AND(R634&gt;=S634,R634&gt;=T634),"Distribution",IF(T634&gt;=S634,"Prof. services","Manufacturing"))</f>
        <v>Prof. services</v>
      </c>
    </row>
    <row r="635" customFormat="false" ht="15" hidden="false" customHeight="false" outlineLevel="0" collapsed="false">
      <c r="A635" s="46" t="n">
        <v>0.153154</v>
      </c>
      <c r="B635" s="46" t="n">
        <v>0.035282</v>
      </c>
      <c r="C635" s="46" t="n">
        <v>0.124004</v>
      </c>
      <c r="D635" s="46" t="n">
        <v>0.258218</v>
      </c>
      <c r="E635" s="46" t="n">
        <v>0.252771</v>
      </c>
      <c r="F635" s="46" t="n">
        <v>0.176571</v>
      </c>
      <c r="G635" s="47" t="n">
        <f aca="false">A635*Scorecard!$C$12+B635*Scorecard!$C$13+C635*Scorecard!$C$14+D635*Scorecard!$C$15+E635*Scorecard!$C$16+F635*Scorecard!$C$17</f>
        <v>3.66467861587555</v>
      </c>
      <c r="H635" s="47" t="n">
        <f aca="false">A635*Scorecard!$D$12+B635*Scorecard!$D$13+C635*Scorecard!$D$14+D635*Scorecard!$D$15+E635*Scorecard!$D$16+F635*Scorecard!$D$17</f>
        <v>3.16653166783349</v>
      </c>
      <c r="I635" s="47" t="n">
        <f aca="false">A635*Scorecard!$E$12+B635*Scorecard!$E$13+C635*Scorecard!$E$14+D635*Scorecard!$E$15+E635*Scorecard!$E$16+F635*Scorecard!$E$17</f>
        <v>3.92036024244791</v>
      </c>
      <c r="J635" s="0" t="str">
        <f aca="false">IF(AND(G635&gt;=H635,G635&gt;=I635),"Distribution",IF(I635&gt;=H635,"Prof. services","Manufacturing"))</f>
        <v>Prof. services</v>
      </c>
      <c r="L635" s="46" t="n">
        <v>0.183591</v>
      </c>
      <c r="M635" s="46" t="n">
        <v>0.119973</v>
      </c>
      <c r="N635" s="46" t="n">
        <v>0.23509</v>
      </c>
      <c r="O635" s="46" t="n">
        <v>0.148798</v>
      </c>
      <c r="P635" s="46" t="n">
        <v>0.227746</v>
      </c>
      <c r="Q635" s="46" t="n">
        <v>0.084802</v>
      </c>
      <c r="R635" s="47" t="n">
        <f aca="false">L635*Scorecard!$C$12+M635*Scorecard!$C$13+N635*Scorecard!$C$14+O635*Scorecard!$C$15+P635*Scorecard!$C$16+Q635*Scorecard!$C$17</f>
        <v>3.76870058181444</v>
      </c>
      <c r="S635" s="47" t="n">
        <f aca="false">L635*Scorecard!$D$12+M635*Scorecard!$D$13+N635*Scorecard!$D$14+O635*Scorecard!$D$15+P635*Scorecard!$D$16+Q635*Scorecard!$D$17</f>
        <v>3.06215817415029</v>
      </c>
      <c r="T635" s="47" t="n">
        <f aca="false">L635*Scorecard!$E$12+M635*Scorecard!$E$13+N635*Scorecard!$E$14+O635*Scorecard!$E$15+P635*Scorecard!$E$16+Q635*Scorecard!$E$17</f>
        <v>3.88090474736877</v>
      </c>
      <c r="U635" s="0" t="str">
        <f aca="false">IF(AND(R635&gt;=S635,R635&gt;=T635),"Distribution",IF(T635&gt;=S635,"Prof. services","Manufacturing"))</f>
        <v>Prof. services</v>
      </c>
    </row>
    <row r="636" customFormat="false" ht="15" hidden="false" customHeight="false" outlineLevel="0" collapsed="false">
      <c r="A636" s="46" t="n">
        <v>0.225267</v>
      </c>
      <c r="B636" s="46" t="n">
        <v>0.178494</v>
      </c>
      <c r="C636" s="46" t="n">
        <v>0.159509</v>
      </c>
      <c r="D636" s="46" t="n">
        <v>0.060539</v>
      </c>
      <c r="E636" s="46" t="n">
        <v>0.241833</v>
      </c>
      <c r="F636" s="46" t="n">
        <v>0.134358</v>
      </c>
      <c r="G636" s="47" t="n">
        <f aca="false">A636*Scorecard!$C$12+B636*Scorecard!$C$13+C636*Scorecard!$C$14+D636*Scorecard!$C$15+E636*Scorecard!$C$16+F636*Scorecard!$C$17</f>
        <v>3.5648331874743</v>
      </c>
      <c r="H636" s="47" t="n">
        <f aca="false">A636*Scorecard!$D$12+B636*Scorecard!$D$13+C636*Scorecard!$D$14+D636*Scorecard!$D$15+E636*Scorecard!$D$16+F636*Scorecard!$D$17</f>
        <v>2.83003649211079</v>
      </c>
      <c r="I636" s="47" t="n">
        <f aca="false">A636*Scorecard!$E$12+B636*Scorecard!$E$13+C636*Scorecard!$E$14+D636*Scorecard!$E$15+E636*Scorecard!$E$16+F636*Scorecard!$E$17</f>
        <v>3.72405394863053</v>
      </c>
      <c r="J636" s="0" t="str">
        <f aca="false">IF(AND(G636&gt;=H636,G636&gt;=I636),"Distribution",IF(I636&gt;=H636,"Prof. services","Manufacturing"))</f>
        <v>Prof. services</v>
      </c>
      <c r="L636" s="46" t="n">
        <v>0.17046</v>
      </c>
      <c r="M636" s="46" t="n">
        <v>0.160515</v>
      </c>
      <c r="N636" s="46" t="n">
        <v>0.308158</v>
      </c>
      <c r="O636" s="46" t="n">
        <v>0.094237</v>
      </c>
      <c r="P636" s="46" t="n">
        <v>0.181725</v>
      </c>
      <c r="Q636" s="46" t="n">
        <v>0.084905</v>
      </c>
      <c r="R636" s="47" t="n">
        <f aca="false">L636*Scorecard!$C$12+M636*Scorecard!$C$13+N636*Scorecard!$C$14+O636*Scorecard!$C$15+P636*Scorecard!$C$16+Q636*Scorecard!$C$17</f>
        <v>3.77811156907522</v>
      </c>
      <c r="S636" s="47" t="n">
        <f aca="false">L636*Scorecard!$D$12+M636*Scorecard!$D$13+N636*Scorecard!$D$14+O636*Scorecard!$D$15+P636*Scorecard!$D$16+Q636*Scorecard!$D$17</f>
        <v>2.91397398746972</v>
      </c>
      <c r="T636" s="47" t="n">
        <f aca="false">L636*Scorecard!$E$12+M636*Scorecard!$E$13+N636*Scorecard!$E$14+O636*Scorecard!$E$15+P636*Scorecard!$E$16+Q636*Scorecard!$E$17</f>
        <v>3.93260082438336</v>
      </c>
      <c r="U636" s="0" t="str">
        <f aca="false">IF(AND(R636&gt;=S636,R636&gt;=T636),"Distribution",IF(T636&gt;=S636,"Prof. services","Manufacturing"))</f>
        <v>Prof. services</v>
      </c>
    </row>
    <row r="637" customFormat="false" ht="15" hidden="false" customHeight="false" outlineLevel="0" collapsed="false">
      <c r="A637" s="46" t="n">
        <v>0.36711</v>
      </c>
      <c r="B637" s="46" t="n">
        <v>0.283443</v>
      </c>
      <c r="C637" s="46" t="n">
        <v>0.00913</v>
      </c>
      <c r="D637" s="46" t="n">
        <v>0.147346</v>
      </c>
      <c r="E637" s="46" t="n">
        <v>0.112524</v>
      </c>
      <c r="F637" s="46" t="n">
        <v>0.080447</v>
      </c>
      <c r="G637" s="47" t="n">
        <f aca="false">A637*Scorecard!$C$12+B637*Scorecard!$C$13+C637*Scorecard!$C$14+D637*Scorecard!$C$15+E637*Scorecard!$C$16+F637*Scorecard!$C$17</f>
        <v>3.60909176465567</v>
      </c>
      <c r="H637" s="47" t="n">
        <f aca="false">A637*Scorecard!$D$12+B637*Scorecard!$D$13+C637*Scorecard!$D$14+D637*Scorecard!$D$15+E637*Scorecard!$D$16+F637*Scorecard!$D$17</f>
        <v>2.90445695060435</v>
      </c>
      <c r="I637" s="47" t="n">
        <f aca="false">A637*Scorecard!$E$12+B637*Scorecard!$E$13+C637*Scorecard!$E$14+D637*Scorecard!$E$15+E637*Scorecard!$E$16+F637*Scorecard!$E$17</f>
        <v>3.72148233099072</v>
      </c>
      <c r="J637" s="0" t="str">
        <f aca="false">IF(AND(G637&gt;=H637,G637&gt;=I637),"Distribution",IF(I637&gt;=H637,"Prof. services","Manufacturing"))</f>
        <v>Prof. services</v>
      </c>
      <c r="L637" s="46" t="n">
        <v>0.283692</v>
      </c>
      <c r="M637" s="46" t="n">
        <v>0.355387</v>
      </c>
      <c r="N637" s="46" t="n">
        <v>0.187403</v>
      </c>
      <c r="O637" s="46" t="n">
        <v>0.057688</v>
      </c>
      <c r="P637" s="46" t="n">
        <v>0.079551</v>
      </c>
      <c r="Q637" s="46" t="n">
        <v>0.036279</v>
      </c>
      <c r="R637" s="47" t="n">
        <f aca="false">L637*Scorecard!$C$12+M637*Scorecard!$C$13+N637*Scorecard!$C$14+O637*Scorecard!$C$15+P637*Scorecard!$C$16+Q637*Scorecard!$C$17</f>
        <v>3.82986735427718</v>
      </c>
      <c r="S637" s="47" t="n">
        <f aca="false">L637*Scorecard!$D$12+M637*Scorecard!$D$13+N637*Scorecard!$D$14+O637*Scorecard!$D$15+P637*Scorecard!$D$16+Q637*Scorecard!$D$17</f>
        <v>2.69283638826132</v>
      </c>
      <c r="T637" s="47" t="n">
        <f aca="false">L637*Scorecard!$E$12+M637*Scorecard!$E$13+N637*Scorecard!$E$14+O637*Scorecard!$E$15+P637*Scorecard!$E$16+Q637*Scorecard!$E$17</f>
        <v>3.69955726380603</v>
      </c>
      <c r="U637" s="0" t="str">
        <f aca="false">IF(AND(R637&gt;=S637,R637&gt;=T637),"Distribution",IF(T637&gt;=S637,"Prof. services","Manufacturing"))</f>
        <v>Distribution</v>
      </c>
    </row>
    <row r="638" customFormat="false" ht="15" hidden="false" customHeight="false" outlineLevel="0" collapsed="false">
      <c r="A638" s="46" t="n">
        <v>0.342079</v>
      </c>
      <c r="B638" s="46" t="n">
        <v>0.114672</v>
      </c>
      <c r="C638" s="46" t="n">
        <v>0.067138</v>
      </c>
      <c r="D638" s="46" t="n">
        <v>0.068454</v>
      </c>
      <c r="E638" s="46" t="n">
        <v>0.07913</v>
      </c>
      <c r="F638" s="46" t="n">
        <v>0.328527</v>
      </c>
      <c r="G638" s="47" t="n">
        <f aca="false">A638*Scorecard!$C$12+B638*Scorecard!$C$13+C638*Scorecard!$C$14+D638*Scorecard!$C$15+E638*Scorecard!$C$16+F638*Scorecard!$C$17</f>
        <v>2.91032492162198</v>
      </c>
      <c r="H638" s="47" t="n">
        <f aca="false">A638*Scorecard!$D$12+B638*Scorecard!$D$13+C638*Scorecard!$D$14+D638*Scorecard!$D$15+E638*Scorecard!$D$16+F638*Scorecard!$D$17</f>
        <v>2.66666839505529</v>
      </c>
      <c r="I638" s="47" t="n">
        <f aca="false">A638*Scorecard!$E$12+B638*Scorecard!$E$13+C638*Scorecard!$E$14+D638*Scorecard!$E$15+E638*Scorecard!$E$16+F638*Scorecard!$E$17</f>
        <v>4.23775379586632</v>
      </c>
      <c r="J638" s="0" t="str">
        <f aca="false">IF(AND(G638&gt;=H638,G638&gt;=I638),"Distribution",IF(I638&gt;=H638,"Prof. services","Manufacturing"))</f>
        <v>Prof. services</v>
      </c>
      <c r="L638" s="46" t="n">
        <v>0.181938</v>
      </c>
      <c r="M638" s="46" t="n">
        <v>0.17025</v>
      </c>
      <c r="N638" s="46" t="n">
        <v>0.241152</v>
      </c>
      <c r="O638" s="46" t="n">
        <v>0.241499</v>
      </c>
      <c r="P638" s="46" t="n">
        <v>0.061792</v>
      </c>
      <c r="Q638" s="46" t="n">
        <v>0.103369</v>
      </c>
      <c r="R638" s="47" t="n">
        <f aca="false">L638*Scorecard!$C$12+M638*Scorecard!$C$13+N638*Scorecard!$C$14+O638*Scorecard!$C$15+P638*Scorecard!$C$16+Q638*Scorecard!$C$17</f>
        <v>3.87752000538782</v>
      </c>
      <c r="S638" s="47" t="n">
        <f aca="false">L638*Scorecard!$D$12+M638*Scorecard!$D$13+N638*Scorecard!$D$14+O638*Scorecard!$D$15+P638*Scorecard!$D$16+Q638*Scorecard!$D$17</f>
        <v>3.00974640385194</v>
      </c>
      <c r="T638" s="47" t="n">
        <f aca="false">L638*Scorecard!$E$12+M638*Scorecard!$E$13+N638*Scorecard!$E$14+O638*Scorecard!$E$15+P638*Scorecard!$E$16+Q638*Scorecard!$E$17</f>
        <v>4.09210151749221</v>
      </c>
      <c r="U638" s="0" t="str">
        <f aca="false">IF(AND(R638&gt;=S638,R638&gt;=T638),"Distribution",IF(T638&gt;=S638,"Prof. services","Manufacturing"))</f>
        <v>Prof. services</v>
      </c>
    </row>
    <row r="639" customFormat="false" ht="15" hidden="false" customHeight="false" outlineLevel="0" collapsed="false">
      <c r="A639" s="46" t="n">
        <v>0.384305</v>
      </c>
      <c r="B639" s="46" t="n">
        <v>0.054522</v>
      </c>
      <c r="C639" s="46" t="n">
        <v>0.238876</v>
      </c>
      <c r="D639" s="46" t="n">
        <v>0.027465</v>
      </c>
      <c r="E639" s="46" t="n">
        <v>0.057574</v>
      </c>
      <c r="F639" s="46" t="n">
        <v>0.237258</v>
      </c>
      <c r="G639" s="47" t="n">
        <f aca="false">A639*Scorecard!$C$12+B639*Scorecard!$C$13+C639*Scorecard!$C$14+D639*Scorecard!$C$15+E639*Scorecard!$C$16+F639*Scorecard!$C$17</f>
        <v>2.91571651943831</v>
      </c>
      <c r="H639" s="47" t="n">
        <f aca="false">A639*Scorecard!$D$12+B639*Scorecard!$D$13+C639*Scorecard!$D$14+D639*Scorecard!$D$15+E639*Scorecard!$D$16+F639*Scorecard!$D$17</f>
        <v>2.86711362240406</v>
      </c>
      <c r="I639" s="47" t="n">
        <f aca="false">A639*Scorecard!$E$12+B639*Scorecard!$E$13+C639*Scorecard!$E$14+D639*Scorecard!$E$15+E639*Scorecard!$E$16+F639*Scorecard!$E$17</f>
        <v>4.54809983771852</v>
      </c>
      <c r="J639" s="0" t="str">
        <f aca="false">IF(AND(G639&gt;=H639,G639&gt;=I639),"Distribution",IF(I639&gt;=H639,"Prof. services","Manufacturing"))</f>
        <v>Prof. services</v>
      </c>
      <c r="L639" s="46" t="n">
        <v>0.168928</v>
      </c>
      <c r="M639" s="46" t="n">
        <v>0.235619</v>
      </c>
      <c r="N639" s="46" t="n">
        <v>0.192011</v>
      </c>
      <c r="O639" s="46" t="n">
        <v>0.234632</v>
      </c>
      <c r="P639" s="46" t="n">
        <v>0.098465</v>
      </c>
      <c r="Q639" s="46" t="n">
        <v>0.070345</v>
      </c>
      <c r="R639" s="47" t="n">
        <f aca="false">L639*Scorecard!$C$12+M639*Scorecard!$C$13+N639*Scorecard!$C$14+O639*Scorecard!$C$15+P639*Scorecard!$C$16+Q639*Scorecard!$C$17</f>
        <v>4.02548819092303</v>
      </c>
      <c r="S639" s="47" t="n">
        <f aca="false">L639*Scorecard!$D$12+M639*Scorecard!$D$13+N639*Scorecard!$D$14+O639*Scorecard!$D$15+P639*Scorecard!$D$16+Q639*Scorecard!$D$17</f>
        <v>2.95684447197017</v>
      </c>
      <c r="T639" s="47" t="n">
        <f aca="false">L639*Scorecard!$E$12+M639*Scorecard!$E$13+N639*Scorecard!$E$14+O639*Scorecard!$E$15+P639*Scorecard!$E$16+Q639*Scorecard!$E$17</f>
        <v>3.82858462388193</v>
      </c>
      <c r="U639" s="0" t="str">
        <f aca="false">IF(AND(R639&gt;=S639,R639&gt;=T639),"Distribution",IF(T639&gt;=S639,"Prof. services","Manufacturing"))</f>
        <v>Distribution</v>
      </c>
    </row>
    <row r="640" customFormat="false" ht="15" hidden="false" customHeight="false" outlineLevel="0" collapsed="false">
      <c r="A640" s="46" t="n">
        <v>0.149794</v>
      </c>
      <c r="B640" s="46" t="n">
        <v>0.153299</v>
      </c>
      <c r="C640" s="46" t="n">
        <v>0.186551</v>
      </c>
      <c r="D640" s="46" t="n">
        <v>0.355</v>
      </c>
      <c r="E640" s="46" t="n">
        <v>0.136912</v>
      </c>
      <c r="F640" s="46" t="n">
        <v>0.018444</v>
      </c>
      <c r="G640" s="47" t="n">
        <f aca="false">A640*Scorecard!$C$12+B640*Scorecard!$C$13+C640*Scorecard!$C$14+D640*Scorecard!$C$15+E640*Scorecard!$C$16+F640*Scorecard!$C$17</f>
        <v>4.20177966379241</v>
      </c>
      <c r="H640" s="47" t="n">
        <f aca="false">A640*Scorecard!$D$12+B640*Scorecard!$D$13+C640*Scorecard!$D$14+D640*Scorecard!$D$15+E640*Scorecard!$D$16+F640*Scorecard!$D$17</f>
        <v>3.29777813153332</v>
      </c>
      <c r="I640" s="47" t="n">
        <f aca="false">A640*Scorecard!$E$12+B640*Scorecard!$E$13+C640*Scorecard!$E$14+D640*Scorecard!$E$15+E640*Scorecard!$E$16+F640*Scorecard!$E$17</f>
        <v>3.88811377998544</v>
      </c>
      <c r="J640" s="0" t="str">
        <f aca="false">IF(AND(G640&gt;=H640,G640&gt;=I640),"Distribution",IF(I640&gt;=H640,"Prof. services","Manufacturing"))</f>
        <v>Distribution</v>
      </c>
      <c r="L640" s="46" t="n">
        <v>0.19715</v>
      </c>
      <c r="M640" s="46" t="n">
        <v>0.181452</v>
      </c>
      <c r="N640" s="46" t="n">
        <v>0.196655</v>
      </c>
      <c r="O640" s="46" t="n">
        <v>0.066622</v>
      </c>
      <c r="P640" s="46" t="n">
        <v>0.287207</v>
      </c>
      <c r="Q640" s="46" t="n">
        <v>0.070914</v>
      </c>
      <c r="R640" s="47" t="n">
        <f aca="false">L640*Scorecard!$C$12+M640*Scorecard!$C$13+N640*Scorecard!$C$14+O640*Scorecard!$C$15+P640*Scorecard!$C$16+Q640*Scorecard!$C$17</f>
        <v>3.75137318844996</v>
      </c>
      <c r="S640" s="47" t="n">
        <f aca="false">L640*Scorecard!$D$12+M640*Scorecard!$D$13+N640*Scorecard!$D$14+O640*Scorecard!$D$15+P640*Scorecard!$D$16+Q640*Scorecard!$D$17</f>
        <v>2.9243564683156</v>
      </c>
      <c r="T640" s="47" t="n">
        <f aca="false">L640*Scorecard!$E$12+M640*Scorecard!$E$13+N640*Scorecard!$E$14+O640*Scorecard!$E$15+P640*Scorecard!$E$16+Q640*Scorecard!$E$17</f>
        <v>3.62118791004269</v>
      </c>
      <c r="U640" s="0" t="str">
        <f aca="false">IF(AND(R640&gt;=S640,R640&gt;=T640),"Distribution",IF(T640&gt;=S640,"Prof. services","Manufacturing"))</f>
        <v>Distribution</v>
      </c>
    </row>
    <row r="641" customFormat="false" ht="15" hidden="false" customHeight="false" outlineLevel="0" collapsed="false">
      <c r="A641" s="46" t="n">
        <v>0.268373</v>
      </c>
      <c r="B641" s="46" t="n">
        <v>0.241727</v>
      </c>
      <c r="C641" s="46" t="n">
        <v>0.280949</v>
      </c>
      <c r="D641" s="46" t="n">
        <v>0.060966</v>
      </c>
      <c r="E641" s="46" t="n">
        <v>0.135076</v>
      </c>
      <c r="F641" s="46" t="n">
        <v>0.012909</v>
      </c>
      <c r="G641" s="47" t="n">
        <f aca="false">A641*Scorecard!$C$12+B641*Scorecard!$C$13+C641*Scorecard!$C$14+D641*Scorecard!$C$15+E641*Scorecard!$C$16+F641*Scorecard!$C$17</f>
        <v>3.79379977274097</v>
      </c>
      <c r="H641" s="47" t="n">
        <f aca="false">A641*Scorecard!$D$12+B641*Scorecard!$D$13+C641*Scorecard!$D$14+D641*Scorecard!$D$15+E641*Scorecard!$D$16+F641*Scorecard!$D$17</f>
        <v>2.91067940615608</v>
      </c>
      <c r="I641" s="47" t="n">
        <f aca="false">A641*Scorecard!$E$12+B641*Scorecard!$E$13+C641*Scorecard!$E$14+D641*Scorecard!$E$15+E641*Scorecard!$E$16+F641*Scorecard!$E$17</f>
        <v>3.88727483020753</v>
      </c>
      <c r="J641" s="0" t="str">
        <f aca="false">IF(AND(G641&gt;=H641,G641&gt;=I641),"Distribution",IF(I641&gt;=H641,"Prof. services","Manufacturing"))</f>
        <v>Prof. services</v>
      </c>
      <c r="L641" s="46" t="n">
        <v>0.111755</v>
      </c>
      <c r="M641" s="46" t="n">
        <v>0.163472</v>
      </c>
      <c r="N641" s="46" t="n">
        <v>0.173516</v>
      </c>
      <c r="O641" s="46" t="n">
        <v>0.283507</v>
      </c>
      <c r="P641" s="46" t="n">
        <v>0.203478</v>
      </c>
      <c r="Q641" s="46" t="n">
        <v>0.064272</v>
      </c>
      <c r="R641" s="47" t="n">
        <f aca="false">L641*Scorecard!$C$12+M641*Scorecard!$C$13+N641*Scorecard!$C$14+O641*Scorecard!$C$15+P641*Scorecard!$C$16+Q641*Scorecard!$C$17</f>
        <v>4.11727440626541</v>
      </c>
      <c r="S641" s="47" t="n">
        <f aca="false">L641*Scorecard!$D$12+M641*Scorecard!$D$13+N641*Scorecard!$D$14+O641*Scorecard!$D$15+P641*Scorecard!$D$16+Q641*Scorecard!$D$17</f>
        <v>3.12806523833918</v>
      </c>
      <c r="T641" s="47" t="n">
        <f aca="false">L641*Scorecard!$E$12+M641*Scorecard!$E$13+N641*Scorecard!$E$14+O641*Scorecard!$E$15+P641*Scorecard!$E$16+Q641*Scorecard!$E$17</f>
        <v>3.71819736011487</v>
      </c>
      <c r="U641" s="0" t="str">
        <f aca="false">IF(AND(R641&gt;=S641,R641&gt;=T641),"Distribution",IF(T641&gt;=S641,"Prof. services","Manufacturing"))</f>
        <v>Distribution</v>
      </c>
    </row>
    <row r="642" customFormat="false" ht="15" hidden="false" customHeight="false" outlineLevel="0" collapsed="false">
      <c r="A642" s="46" t="n">
        <v>0.045221</v>
      </c>
      <c r="B642" s="46" t="n">
        <v>0.07491</v>
      </c>
      <c r="C642" s="46" t="n">
        <v>0.057975</v>
      </c>
      <c r="D642" s="46" t="n">
        <v>0.20385</v>
      </c>
      <c r="E642" s="46" t="n">
        <v>0.056611</v>
      </c>
      <c r="F642" s="46" t="n">
        <v>0.561433</v>
      </c>
      <c r="G642" s="47" t="n">
        <f aca="false">A642*Scorecard!$C$12+B642*Scorecard!$C$13+C642*Scorecard!$C$14+D642*Scorecard!$C$15+E642*Scorecard!$C$16+F642*Scorecard!$C$17</f>
        <v>3.07449555510472</v>
      </c>
      <c r="H642" s="47" t="n">
        <f aca="false">A642*Scorecard!$D$12+B642*Scorecard!$D$13+C642*Scorecard!$D$14+D642*Scorecard!$D$15+E642*Scorecard!$D$16+F642*Scorecard!$D$17</f>
        <v>2.33013661670523</v>
      </c>
      <c r="I642" s="47" t="n">
        <f aca="false">A642*Scorecard!$E$12+B642*Scorecard!$E$13+C642*Scorecard!$E$14+D642*Scorecard!$E$15+E642*Scorecard!$E$16+F642*Scorecard!$E$17</f>
        <v>4.18251444641889</v>
      </c>
      <c r="J642" s="0" t="str">
        <f aca="false">IF(AND(G642&gt;=H642,G642&gt;=I642),"Distribution",IF(I642&gt;=H642,"Prof. services","Manufacturing"))</f>
        <v>Prof. services</v>
      </c>
      <c r="L642" s="46" t="n">
        <v>0.262035</v>
      </c>
      <c r="M642" s="46" t="n">
        <v>0.240786</v>
      </c>
      <c r="N642" s="46" t="n">
        <v>0.091108</v>
      </c>
      <c r="O642" s="46" t="n">
        <v>0.255181</v>
      </c>
      <c r="P642" s="46" t="n">
        <v>0.080087</v>
      </c>
      <c r="Q642" s="46" t="n">
        <v>0.070802</v>
      </c>
      <c r="R642" s="47" t="n">
        <f aca="false">L642*Scorecard!$C$12+M642*Scorecard!$C$13+N642*Scorecard!$C$14+O642*Scorecard!$C$15+P642*Scorecard!$C$16+Q642*Scorecard!$C$17</f>
        <v>3.88269226312699</v>
      </c>
      <c r="S642" s="47" t="n">
        <f aca="false">L642*Scorecard!$D$12+M642*Scorecard!$D$13+N642*Scorecard!$D$14+O642*Scorecard!$D$15+P642*Scorecard!$D$16+Q642*Scorecard!$D$17</f>
        <v>3.02756440427028</v>
      </c>
      <c r="T642" s="47" t="n">
        <f aca="false">L642*Scorecard!$E$12+M642*Scorecard!$E$13+N642*Scorecard!$E$14+O642*Scorecard!$E$15+P642*Scorecard!$E$16+Q642*Scorecard!$E$17</f>
        <v>3.84532426471238</v>
      </c>
      <c r="U642" s="0" t="str">
        <f aca="false">IF(AND(R642&gt;=S642,R642&gt;=T642),"Distribution",IF(T642&gt;=S642,"Prof. services","Manufacturing"))</f>
        <v>Distribution</v>
      </c>
    </row>
    <row r="643" customFormat="false" ht="15" hidden="false" customHeight="false" outlineLevel="0" collapsed="false">
      <c r="A643" s="46" t="n">
        <v>0.061556</v>
      </c>
      <c r="B643" s="46" t="n">
        <v>0.115555</v>
      </c>
      <c r="C643" s="46" t="n">
        <v>0.012044</v>
      </c>
      <c r="D643" s="46" t="n">
        <v>0.136</v>
      </c>
      <c r="E643" s="46" t="n">
        <v>0.077129</v>
      </c>
      <c r="F643" s="46" t="n">
        <v>0.597716</v>
      </c>
      <c r="G643" s="47" t="n">
        <f aca="false">A643*Scorecard!$C$12+B643*Scorecard!$C$13+C643*Scorecard!$C$14+D643*Scorecard!$C$15+E643*Scorecard!$C$16+F643*Scorecard!$C$17</f>
        <v>2.94532132215179</v>
      </c>
      <c r="H643" s="47" t="n">
        <f aca="false">A643*Scorecard!$D$12+B643*Scorecard!$D$13+C643*Scorecard!$D$14+D643*Scorecard!$D$15+E643*Scorecard!$D$16+F643*Scorecard!$D$17</f>
        <v>2.15378733835198</v>
      </c>
      <c r="I643" s="47" t="n">
        <f aca="false">A643*Scorecard!$E$12+B643*Scorecard!$E$13+C643*Scorecard!$E$14+D643*Scorecard!$E$15+E643*Scorecard!$E$16+F643*Scorecard!$E$17</f>
        <v>4.04949514339656</v>
      </c>
      <c r="J643" s="0" t="str">
        <f aca="false">IF(AND(G643&gt;=H643,G643&gt;=I643),"Distribution",IF(I643&gt;=H643,"Prof. services","Manufacturing"))</f>
        <v>Prof. services</v>
      </c>
      <c r="L643" s="46" t="n">
        <v>0.295424</v>
      </c>
      <c r="M643" s="46" t="n">
        <v>0.082368</v>
      </c>
      <c r="N643" s="46" t="n">
        <v>0.171803</v>
      </c>
      <c r="O643" s="46" t="n">
        <v>0.153638</v>
      </c>
      <c r="P643" s="46" t="n">
        <v>0.212612</v>
      </c>
      <c r="Q643" s="46" t="n">
        <v>0.084155</v>
      </c>
      <c r="R643" s="47" t="n">
        <f aca="false">L643*Scorecard!$C$12+M643*Scorecard!$C$13+N643*Scorecard!$C$14+O643*Scorecard!$C$15+P643*Scorecard!$C$16+Q643*Scorecard!$C$17</f>
        <v>3.53592858696749</v>
      </c>
      <c r="S643" s="47" t="n">
        <f aca="false">L643*Scorecard!$D$12+M643*Scorecard!$D$13+N643*Scorecard!$D$14+O643*Scorecard!$D$15+P643*Scorecard!$D$16+Q643*Scorecard!$D$17</f>
        <v>3.1940033538388</v>
      </c>
      <c r="T643" s="47" t="n">
        <f aca="false">L643*Scorecard!$E$12+M643*Scorecard!$E$13+N643*Scorecard!$E$14+O643*Scorecard!$E$15+P643*Scorecard!$E$16+Q643*Scorecard!$E$17</f>
        <v>4.0256763437327</v>
      </c>
      <c r="U643" s="0" t="str">
        <f aca="false">IF(AND(R643&gt;=S643,R643&gt;=T643),"Distribution",IF(T643&gt;=S643,"Prof. services","Manufacturing"))</f>
        <v>Prof. services</v>
      </c>
    </row>
    <row r="644" customFormat="false" ht="15" hidden="false" customHeight="false" outlineLevel="0" collapsed="false">
      <c r="A644" s="46" t="n">
        <v>0.41347</v>
      </c>
      <c r="B644" s="46" t="n">
        <v>0.044548</v>
      </c>
      <c r="C644" s="46" t="n">
        <v>0.059392</v>
      </c>
      <c r="D644" s="46" t="n">
        <v>0.050312</v>
      </c>
      <c r="E644" s="46" t="n">
        <v>0.229473</v>
      </c>
      <c r="F644" s="46" t="n">
        <v>0.202805</v>
      </c>
      <c r="G644" s="47" t="n">
        <f aca="false">A644*Scorecard!$C$12+B644*Scorecard!$C$13+C644*Scorecard!$C$14+D644*Scorecard!$C$15+E644*Scorecard!$C$16+F644*Scorecard!$C$17</f>
        <v>2.94499810351715</v>
      </c>
      <c r="H644" s="47" t="n">
        <f aca="false">A644*Scorecard!$D$12+B644*Scorecard!$D$13+C644*Scorecard!$D$14+D644*Scorecard!$D$15+E644*Scorecard!$D$16+F644*Scorecard!$D$17</f>
        <v>3.03677732434833</v>
      </c>
      <c r="I644" s="47" t="n">
        <f aca="false">A644*Scorecard!$E$12+B644*Scorecard!$E$13+C644*Scorecard!$E$14+D644*Scorecard!$E$15+E644*Scorecard!$E$16+F644*Scorecard!$E$17</f>
        <v>4.11651254150674</v>
      </c>
      <c r="J644" s="0" t="str">
        <f aca="false">IF(AND(G644&gt;=H644,G644&gt;=I644),"Distribution",IF(I644&gt;=H644,"Prof. services","Manufacturing"))</f>
        <v>Prof. services</v>
      </c>
      <c r="L644" s="46" t="n">
        <v>0.080175</v>
      </c>
      <c r="M644" s="46" t="n">
        <v>0.357511</v>
      </c>
      <c r="N644" s="46" t="n">
        <v>0.177632</v>
      </c>
      <c r="O644" s="46" t="n">
        <v>0.151427</v>
      </c>
      <c r="P644" s="46" t="n">
        <v>0.059599</v>
      </c>
      <c r="Q644" s="46" t="n">
        <v>0.173656</v>
      </c>
      <c r="R644" s="47" t="n">
        <f aca="false">L644*Scorecard!$C$12+M644*Scorecard!$C$13+N644*Scorecard!$C$14+O644*Scorecard!$C$15+P644*Scorecard!$C$16+Q644*Scorecard!$C$17</f>
        <v>4.01730985662681</v>
      </c>
      <c r="S644" s="47" t="n">
        <f aca="false">L644*Scorecard!$D$12+M644*Scorecard!$D$13+N644*Scorecard!$D$14+O644*Scorecard!$D$15+P644*Scorecard!$D$16+Q644*Scorecard!$D$17</f>
        <v>2.45101525751497</v>
      </c>
      <c r="T644" s="47" t="n">
        <f aca="false">L644*Scorecard!$E$12+M644*Scorecard!$E$13+N644*Scorecard!$E$14+O644*Scorecard!$E$15+P644*Scorecard!$E$16+Q644*Scorecard!$E$17</f>
        <v>3.59961088045983</v>
      </c>
      <c r="U644" s="0" t="str">
        <f aca="false">IF(AND(R644&gt;=S644,R644&gt;=T644),"Distribution",IF(T644&gt;=S644,"Prof. services","Manufacturing"))</f>
        <v>Distribution</v>
      </c>
    </row>
    <row r="645" customFormat="false" ht="15" hidden="false" customHeight="false" outlineLevel="0" collapsed="false">
      <c r="A645" s="46" t="n">
        <v>0.515353</v>
      </c>
      <c r="B645" s="46" t="n">
        <v>0.028853</v>
      </c>
      <c r="C645" s="46" t="n">
        <v>0.160309</v>
      </c>
      <c r="D645" s="46" t="n">
        <v>0.07562</v>
      </c>
      <c r="E645" s="46" t="n">
        <v>0.167068</v>
      </c>
      <c r="F645" s="46" t="n">
        <v>0.052797</v>
      </c>
      <c r="G645" s="47" t="n">
        <f aca="false">A645*Scorecard!$C$12+B645*Scorecard!$C$13+C645*Scorecard!$C$14+D645*Scorecard!$C$15+E645*Scorecard!$C$16+F645*Scorecard!$C$17</f>
        <v>3.07123625056684</v>
      </c>
      <c r="H645" s="47" t="n">
        <f aca="false">A645*Scorecard!$D$12+B645*Scorecard!$D$13+C645*Scorecard!$D$14+D645*Scorecard!$D$15+E645*Scorecard!$D$16+F645*Scorecard!$D$17</f>
        <v>3.36114218668958</v>
      </c>
      <c r="I645" s="47" t="n">
        <f aca="false">A645*Scorecard!$E$12+B645*Scorecard!$E$13+C645*Scorecard!$E$14+D645*Scorecard!$E$15+E645*Scorecard!$E$16+F645*Scorecard!$E$17</f>
        <v>4.38190752360972</v>
      </c>
      <c r="J645" s="0" t="str">
        <f aca="false">IF(AND(G645&gt;=H645,G645&gt;=I645),"Distribution",IF(I645&gt;=H645,"Prof. services","Manufacturing"))</f>
        <v>Prof. services</v>
      </c>
      <c r="L645" s="46" t="n">
        <v>0.17763</v>
      </c>
      <c r="M645" s="46" t="n">
        <v>0.159458</v>
      </c>
      <c r="N645" s="46" t="n">
        <v>0.334904</v>
      </c>
      <c r="O645" s="46" t="n">
        <v>0.077805</v>
      </c>
      <c r="P645" s="46" t="n">
        <v>0.18761</v>
      </c>
      <c r="Q645" s="46" t="n">
        <v>0.062594</v>
      </c>
      <c r="R645" s="47" t="n">
        <f aca="false">L645*Scorecard!$C$12+M645*Scorecard!$C$13+N645*Scorecard!$C$14+O645*Scorecard!$C$15+P645*Scorecard!$C$16+Q645*Scorecard!$C$17</f>
        <v>3.79234246682408</v>
      </c>
      <c r="S645" s="47" t="n">
        <f aca="false">L645*Scorecard!$D$12+M645*Scorecard!$D$13+N645*Scorecard!$D$14+O645*Scorecard!$D$15+P645*Scorecard!$D$16+Q645*Scorecard!$D$17</f>
        <v>2.93670549011922</v>
      </c>
      <c r="T645" s="47" t="n">
        <f aca="false">L645*Scorecard!$E$12+M645*Scorecard!$E$13+N645*Scorecard!$E$14+O645*Scorecard!$E$15+P645*Scorecard!$E$16+Q645*Scorecard!$E$17</f>
        <v>3.9448428273579</v>
      </c>
      <c r="U645" s="0" t="str">
        <f aca="false">IF(AND(R645&gt;=S645,R645&gt;=T645),"Distribution",IF(T645&gt;=S645,"Prof. services","Manufacturing"))</f>
        <v>Prof. services</v>
      </c>
    </row>
    <row r="646" customFormat="false" ht="15" hidden="false" customHeight="false" outlineLevel="0" collapsed="false">
      <c r="A646" s="46" t="n">
        <v>0.014211</v>
      </c>
      <c r="B646" s="46" t="n">
        <v>0.051975</v>
      </c>
      <c r="C646" s="46" t="n">
        <v>0.09713</v>
      </c>
      <c r="D646" s="46" t="n">
        <v>0.50298</v>
      </c>
      <c r="E646" s="46" t="n">
        <v>0.279515</v>
      </c>
      <c r="F646" s="46" t="n">
        <v>0.054189</v>
      </c>
      <c r="G646" s="47" t="n">
        <f aca="false">A646*Scorecard!$C$12+B646*Scorecard!$C$13+C646*Scorecard!$C$14+D646*Scorecard!$C$15+E646*Scorecard!$C$16+F646*Scorecard!$C$17</f>
        <v>4.42099699733737</v>
      </c>
      <c r="H646" s="47" t="n">
        <f aca="false">A646*Scorecard!$D$12+B646*Scorecard!$D$13+C646*Scorecard!$D$14+D646*Scorecard!$D$15+E646*Scorecard!$D$16+F646*Scorecard!$D$17</f>
        <v>3.52553101098687</v>
      </c>
      <c r="I646" s="47" t="n">
        <f aca="false">A646*Scorecard!$E$12+B646*Scorecard!$E$13+C646*Scorecard!$E$14+D646*Scorecard!$E$15+E646*Scorecard!$E$16+F646*Scorecard!$E$17</f>
        <v>3.65763768071985</v>
      </c>
      <c r="J646" s="0" t="str">
        <f aca="false">IF(AND(G646&gt;=H646,G646&gt;=I646),"Distribution",IF(I646&gt;=H646,"Prof. services","Manufacturing"))</f>
        <v>Distribution</v>
      </c>
      <c r="L646" s="46" t="n">
        <v>0.181235</v>
      </c>
      <c r="M646" s="46" t="n">
        <v>0.200634</v>
      </c>
      <c r="N646" s="46" t="n">
        <v>0.121056</v>
      </c>
      <c r="O646" s="46" t="n">
        <v>0.197019</v>
      </c>
      <c r="P646" s="46" t="n">
        <v>0.111062</v>
      </c>
      <c r="Q646" s="46" t="n">
        <v>0.188994</v>
      </c>
      <c r="R646" s="47" t="n">
        <f aca="false">L646*Scorecard!$C$12+M646*Scorecard!$C$13+N646*Scorecard!$C$14+O646*Scorecard!$C$15+P646*Scorecard!$C$16+Q646*Scorecard!$C$17</f>
        <v>3.69343941541328</v>
      </c>
      <c r="S646" s="47" t="n">
        <f aca="false">L646*Scorecard!$D$12+M646*Scorecard!$D$13+N646*Scorecard!$D$14+O646*Scorecard!$D$15+P646*Scorecard!$D$16+Q646*Scorecard!$D$17</f>
        <v>2.80016954661198</v>
      </c>
      <c r="T646" s="47" t="n">
        <f aca="false">L646*Scorecard!$E$12+M646*Scorecard!$E$13+N646*Scorecard!$E$14+O646*Scorecard!$E$15+P646*Scorecard!$E$16+Q646*Scorecard!$E$17</f>
        <v>3.86771087487875</v>
      </c>
      <c r="U646" s="0" t="str">
        <f aca="false">IF(AND(R646&gt;=S646,R646&gt;=T646),"Distribution",IF(T646&gt;=S646,"Prof. services","Manufacturing"))</f>
        <v>Prof. services</v>
      </c>
    </row>
    <row r="647" customFormat="false" ht="15" hidden="false" customHeight="false" outlineLevel="0" collapsed="false">
      <c r="A647" s="46" t="n">
        <v>0.179628</v>
      </c>
      <c r="B647" s="46" t="n">
        <v>0.11172</v>
      </c>
      <c r="C647" s="46" t="n">
        <v>0.006955</v>
      </c>
      <c r="D647" s="46" t="n">
        <v>0.047248</v>
      </c>
      <c r="E647" s="46" t="n">
        <v>0.381636</v>
      </c>
      <c r="F647" s="46" t="n">
        <v>0.272814</v>
      </c>
      <c r="G647" s="47" t="n">
        <f aca="false">A647*Scorecard!$C$12+B647*Scorecard!$C$13+C647*Scorecard!$C$14+D647*Scorecard!$C$15+E647*Scorecard!$C$16+F647*Scorecard!$C$17</f>
        <v>3.29001103833066</v>
      </c>
      <c r="H647" s="47" t="n">
        <f aca="false">A647*Scorecard!$D$12+B647*Scorecard!$D$13+C647*Scorecard!$D$14+D647*Scorecard!$D$15+E647*Scorecard!$D$16+F647*Scorecard!$D$17</f>
        <v>2.7236513925914</v>
      </c>
      <c r="I647" s="47" t="n">
        <f aca="false">A647*Scorecard!$E$12+B647*Scorecard!$E$13+C647*Scorecard!$E$14+D647*Scorecard!$E$15+E647*Scorecard!$E$16+F647*Scorecard!$E$17</f>
        <v>3.485147241533</v>
      </c>
      <c r="J647" s="0" t="str">
        <f aca="false">IF(AND(G647&gt;=H647,G647&gt;=I647),"Distribution",IF(I647&gt;=H647,"Prof. services","Manufacturing"))</f>
        <v>Prof. services</v>
      </c>
      <c r="L647" s="46" t="n">
        <v>0.278894</v>
      </c>
      <c r="M647" s="46" t="n">
        <v>0.189571</v>
      </c>
      <c r="N647" s="46" t="n">
        <v>0.189004</v>
      </c>
      <c r="O647" s="46" t="n">
        <v>0.067851</v>
      </c>
      <c r="P647" s="46" t="n">
        <v>0.217365</v>
      </c>
      <c r="Q647" s="46" t="n">
        <v>0.057315</v>
      </c>
      <c r="R647" s="47" t="n">
        <f aca="false">L647*Scorecard!$C$12+M647*Scorecard!$C$13+N647*Scorecard!$C$14+O647*Scorecard!$C$15+P647*Scorecard!$C$16+Q647*Scorecard!$C$17</f>
        <v>3.64077882270131</v>
      </c>
      <c r="S647" s="47" t="n">
        <f aca="false">L647*Scorecard!$D$12+M647*Scorecard!$D$13+N647*Scorecard!$D$14+O647*Scorecard!$D$15+P647*Scorecard!$D$16+Q647*Scorecard!$D$17</f>
        <v>2.96470632949748</v>
      </c>
      <c r="T647" s="47" t="n">
        <f aca="false">L647*Scorecard!$E$12+M647*Scorecard!$E$13+N647*Scorecard!$E$14+O647*Scorecard!$E$15+P647*Scorecard!$E$16+Q647*Scorecard!$E$17</f>
        <v>3.78985853965338</v>
      </c>
      <c r="U647" s="0" t="str">
        <f aca="false">IF(AND(R647&gt;=S647,R647&gt;=T647),"Distribution",IF(T647&gt;=S647,"Prof. services","Manufacturing"))</f>
        <v>Prof. services</v>
      </c>
    </row>
    <row r="648" customFormat="false" ht="15" hidden="false" customHeight="false" outlineLevel="0" collapsed="false">
      <c r="A648" s="46" t="n">
        <v>0.063252</v>
      </c>
      <c r="B648" s="46" t="n">
        <v>0.141278</v>
      </c>
      <c r="C648" s="46" t="n">
        <v>0.229446</v>
      </c>
      <c r="D648" s="46" t="n">
        <v>0.220456</v>
      </c>
      <c r="E648" s="46" t="n">
        <v>0.018281</v>
      </c>
      <c r="F648" s="46" t="n">
        <v>0.327287</v>
      </c>
      <c r="G648" s="47" t="n">
        <f aca="false">A648*Scorecard!$C$12+B648*Scorecard!$C$13+C648*Scorecard!$C$14+D648*Scorecard!$C$15+E648*Scorecard!$C$16+F648*Scorecard!$C$17</f>
        <v>3.59330549796519</v>
      </c>
      <c r="H648" s="47" t="n">
        <f aca="false">A648*Scorecard!$D$12+B648*Scorecard!$D$13+C648*Scorecard!$D$14+D648*Scorecard!$D$15+E648*Scorecard!$D$16+F648*Scorecard!$D$17</f>
        <v>2.60009459852068</v>
      </c>
      <c r="I648" s="47" t="n">
        <f aca="false">A648*Scorecard!$E$12+B648*Scorecard!$E$13+C648*Scorecard!$E$14+D648*Scorecard!$E$15+E648*Scorecard!$E$16+F648*Scorecard!$E$17</f>
        <v>4.19707300088789</v>
      </c>
      <c r="J648" s="0" t="str">
        <f aca="false">IF(AND(G648&gt;=H648,G648&gt;=I648),"Distribution",IF(I648&gt;=H648,"Prof. services","Manufacturing"))</f>
        <v>Prof. services</v>
      </c>
      <c r="L648" s="46" t="n">
        <v>0.168121</v>
      </c>
      <c r="M648" s="46" t="n">
        <v>0.310329</v>
      </c>
      <c r="N648" s="46" t="n">
        <v>0.251256</v>
      </c>
      <c r="O648" s="46" t="n">
        <v>0.070085</v>
      </c>
      <c r="P648" s="46" t="n">
        <v>0.11331</v>
      </c>
      <c r="Q648" s="46" t="n">
        <v>0.086898</v>
      </c>
      <c r="R648" s="47" t="n">
        <f aca="false">L648*Scorecard!$C$12+M648*Scorecard!$C$13+N648*Scorecard!$C$14+O648*Scorecard!$C$15+P648*Scorecard!$C$16+Q648*Scorecard!$C$17</f>
        <v>3.90399380243163</v>
      </c>
      <c r="S648" s="47" t="n">
        <f aca="false">L648*Scorecard!$D$12+M648*Scorecard!$D$13+N648*Scorecard!$D$14+O648*Scorecard!$D$15+P648*Scorecard!$D$16+Q648*Scorecard!$D$17</f>
        <v>2.63380099921229</v>
      </c>
      <c r="T648" s="47" t="n">
        <f aca="false">L648*Scorecard!$E$12+M648*Scorecard!$E$13+N648*Scorecard!$E$14+O648*Scorecard!$E$15+P648*Scorecard!$E$16+Q648*Scorecard!$E$17</f>
        <v>3.70342446196446</v>
      </c>
      <c r="U648" s="0" t="str">
        <f aca="false">IF(AND(R648&gt;=S648,R648&gt;=T648),"Distribution",IF(T648&gt;=S648,"Prof. services","Manufacturing"))</f>
        <v>Distribution</v>
      </c>
    </row>
    <row r="649" customFormat="false" ht="15" hidden="false" customHeight="false" outlineLevel="0" collapsed="false">
      <c r="A649" s="46" t="n">
        <v>0.050203</v>
      </c>
      <c r="B649" s="46" t="n">
        <v>0.375906</v>
      </c>
      <c r="C649" s="46" t="n">
        <v>0.030803</v>
      </c>
      <c r="D649" s="46" t="n">
        <v>0.065184</v>
      </c>
      <c r="E649" s="46" t="n">
        <v>0.385209</v>
      </c>
      <c r="F649" s="46" t="n">
        <v>0.092695</v>
      </c>
      <c r="G649" s="47" t="n">
        <f aca="false">A649*Scorecard!$C$12+B649*Scorecard!$C$13+C649*Scorecard!$C$14+D649*Scorecard!$C$15+E649*Scorecard!$C$16+F649*Scorecard!$C$17</f>
        <v>4.16533388405657</v>
      </c>
      <c r="H649" s="47" t="n">
        <f aca="false">A649*Scorecard!$D$12+B649*Scorecard!$D$13+C649*Scorecard!$D$14+D649*Scorecard!$D$15+E649*Scorecard!$D$16+F649*Scorecard!$D$17</f>
        <v>2.53374606767767</v>
      </c>
      <c r="I649" s="47" t="n">
        <f aca="false">A649*Scorecard!$E$12+B649*Scorecard!$E$13+C649*Scorecard!$E$14+D649*Scorecard!$E$15+E649*Scorecard!$E$16+F649*Scorecard!$E$17</f>
        <v>2.79099125357538</v>
      </c>
      <c r="J649" s="0" t="str">
        <f aca="false">IF(AND(G649&gt;=H649,G649&gt;=I649),"Distribution",IF(I649&gt;=H649,"Prof. services","Manufacturing"))</f>
        <v>Distribution</v>
      </c>
      <c r="L649" s="46" t="n">
        <v>0.252925</v>
      </c>
      <c r="M649" s="46" t="n">
        <v>0.237448</v>
      </c>
      <c r="N649" s="46" t="n">
        <v>0.185311</v>
      </c>
      <c r="O649" s="46" t="n">
        <v>0.134833</v>
      </c>
      <c r="P649" s="46" t="n">
        <v>0.107626</v>
      </c>
      <c r="Q649" s="46" t="n">
        <v>0.081856</v>
      </c>
      <c r="R649" s="47" t="n">
        <f aca="false">L649*Scorecard!$C$12+M649*Scorecard!$C$13+N649*Scorecard!$C$14+O649*Scorecard!$C$15+P649*Scorecard!$C$16+Q649*Scorecard!$C$17</f>
        <v>3.75329639304441</v>
      </c>
      <c r="S649" s="47" t="n">
        <f aca="false">L649*Scorecard!$D$12+M649*Scorecard!$D$13+N649*Scorecard!$D$14+O649*Scorecard!$D$15+P649*Scorecard!$D$16+Q649*Scorecard!$D$17</f>
        <v>2.87983601295983</v>
      </c>
      <c r="T649" s="47" t="n">
        <f aca="false">L649*Scorecard!$E$12+M649*Scorecard!$E$13+N649*Scorecard!$E$14+O649*Scorecard!$E$15+P649*Scorecard!$E$16+Q649*Scorecard!$E$17</f>
        <v>3.87655630153846</v>
      </c>
      <c r="U649" s="0" t="str">
        <f aca="false">IF(AND(R649&gt;=S649,R649&gt;=T649),"Distribution",IF(T649&gt;=S649,"Prof. services","Manufacturing"))</f>
        <v>Prof. services</v>
      </c>
    </row>
    <row r="650" customFormat="false" ht="15" hidden="false" customHeight="false" outlineLevel="0" collapsed="false">
      <c r="A650" s="46" t="n">
        <v>0.046414</v>
      </c>
      <c r="B650" s="46" t="n">
        <v>0.391978</v>
      </c>
      <c r="C650" s="46" t="n">
        <v>0.025175</v>
      </c>
      <c r="D650" s="46" t="n">
        <v>0.13701</v>
      </c>
      <c r="E650" s="46" t="n">
        <v>0.265469</v>
      </c>
      <c r="F650" s="46" t="n">
        <v>0.133954</v>
      </c>
      <c r="G650" s="47" t="n">
        <f aca="false">A650*Scorecard!$C$12+B650*Scorecard!$C$13+C650*Scorecard!$C$14+D650*Scorecard!$C$15+E650*Scorecard!$C$16+F650*Scorecard!$C$17</f>
        <v>4.17753413809138</v>
      </c>
      <c r="H650" s="47" t="n">
        <f aca="false">A650*Scorecard!$D$12+B650*Scorecard!$D$13+C650*Scorecard!$D$14+D650*Scorecard!$D$15+E650*Scorecard!$D$16+F650*Scorecard!$D$17</f>
        <v>2.48846604517027</v>
      </c>
      <c r="I650" s="47" t="n">
        <f aca="false">A650*Scorecard!$E$12+B650*Scorecard!$E$13+C650*Scorecard!$E$14+D650*Scorecard!$E$15+E650*Scorecard!$E$16+F650*Scorecard!$E$17</f>
        <v>2.98341336054087</v>
      </c>
      <c r="J650" s="0" t="str">
        <f aca="false">IF(AND(G650&gt;=H650,G650&gt;=I650),"Distribution",IF(I650&gt;=H650,"Prof. services","Manufacturing"))</f>
        <v>Distribution</v>
      </c>
      <c r="L650" s="46" t="n">
        <v>0.145897</v>
      </c>
      <c r="M650" s="46" t="n">
        <v>0.223232</v>
      </c>
      <c r="N650" s="46" t="n">
        <v>0.199972</v>
      </c>
      <c r="O650" s="46" t="n">
        <v>0.191148</v>
      </c>
      <c r="P650" s="46" t="n">
        <v>0.188641</v>
      </c>
      <c r="Q650" s="46" t="n">
        <v>0.05111</v>
      </c>
      <c r="R650" s="47" t="n">
        <f aca="false">L650*Scorecard!$C$12+M650*Scorecard!$C$13+N650*Scorecard!$C$14+O650*Scorecard!$C$15+P650*Scorecard!$C$16+Q650*Scorecard!$C$17</f>
        <v>4.04954331936741</v>
      </c>
      <c r="S650" s="47" t="n">
        <f aca="false">L650*Scorecard!$D$12+M650*Scorecard!$D$13+N650*Scorecard!$D$14+O650*Scorecard!$D$15+P650*Scorecard!$D$16+Q650*Scorecard!$D$17</f>
        <v>2.96879657604964</v>
      </c>
      <c r="T650" s="47" t="n">
        <f aca="false">L650*Scorecard!$E$12+M650*Scorecard!$E$13+N650*Scorecard!$E$14+O650*Scorecard!$E$15+P650*Scorecard!$E$16+Q650*Scorecard!$E$17</f>
        <v>3.66970052303474</v>
      </c>
      <c r="U650" s="0" t="str">
        <f aca="false">IF(AND(R650&gt;=S650,R650&gt;=T650),"Distribution",IF(T650&gt;=S650,"Prof. services","Manufacturing"))</f>
        <v>Distribution</v>
      </c>
    </row>
    <row r="651" customFormat="false" ht="15" hidden="false" customHeight="false" outlineLevel="0" collapsed="false">
      <c r="A651" s="46" t="n">
        <v>0.114627</v>
      </c>
      <c r="B651" s="46" t="n">
        <v>0.005124</v>
      </c>
      <c r="C651" s="46" t="n">
        <v>0.255098</v>
      </c>
      <c r="D651" s="46" t="n">
        <v>0.252085</v>
      </c>
      <c r="E651" s="46" t="n">
        <v>0.189993</v>
      </c>
      <c r="F651" s="46" t="n">
        <v>0.183073</v>
      </c>
      <c r="G651" s="47" t="n">
        <f aca="false">A651*Scorecard!$C$12+B651*Scorecard!$C$13+C651*Scorecard!$C$14+D651*Scorecard!$C$15+E651*Scorecard!$C$16+F651*Scorecard!$C$17</f>
        <v>3.68473276530791</v>
      </c>
      <c r="H651" s="47" t="n">
        <f aca="false">A651*Scorecard!$D$12+B651*Scorecard!$D$13+C651*Scorecard!$D$14+D651*Scorecard!$D$15+E651*Scorecard!$D$16+F651*Scorecard!$D$17</f>
        <v>3.14857109939621</v>
      </c>
      <c r="I651" s="47" t="n">
        <f aca="false">A651*Scorecard!$E$12+B651*Scorecard!$E$13+C651*Scorecard!$E$14+D651*Scorecard!$E$15+E651*Scorecard!$E$16+F651*Scorecard!$E$17</f>
        <v>4.17636572324265</v>
      </c>
      <c r="J651" s="0" t="str">
        <f aca="false">IF(AND(G651&gt;=H651,G651&gt;=I651),"Distribution",IF(I651&gt;=H651,"Prof. services","Manufacturing"))</f>
        <v>Prof. services</v>
      </c>
      <c r="L651" s="46" t="n">
        <v>0.09355</v>
      </c>
      <c r="M651" s="46" t="n">
        <v>0.195711</v>
      </c>
      <c r="N651" s="46" t="n">
        <v>0.295522</v>
      </c>
      <c r="O651" s="46" t="n">
        <v>0.1713</v>
      </c>
      <c r="P651" s="46" t="n">
        <v>0.167876</v>
      </c>
      <c r="Q651" s="46" t="n">
        <v>0.076041</v>
      </c>
      <c r="R651" s="47" t="n">
        <f aca="false">L651*Scorecard!$C$12+M651*Scorecard!$C$13+N651*Scorecard!$C$14+O651*Scorecard!$C$15+P651*Scorecard!$C$16+Q651*Scorecard!$C$17</f>
        <v>4.04653766588635</v>
      </c>
      <c r="S651" s="47" t="n">
        <f aca="false">L651*Scorecard!$D$12+M651*Scorecard!$D$13+N651*Scorecard!$D$14+O651*Scorecard!$D$15+P651*Scorecard!$D$16+Q651*Scorecard!$D$17</f>
        <v>2.90823286190772</v>
      </c>
      <c r="T651" s="47" t="n">
        <f aca="false">L651*Scorecard!$E$12+M651*Scorecard!$E$13+N651*Scorecard!$E$14+O651*Scorecard!$E$15+P651*Scorecard!$E$16+Q651*Scorecard!$E$17</f>
        <v>3.80833814066723</v>
      </c>
      <c r="U651" s="0" t="str">
        <f aca="false">IF(AND(R651&gt;=S651,R651&gt;=T651),"Distribution",IF(T651&gt;=S651,"Prof. services","Manufacturing"))</f>
        <v>Distribution</v>
      </c>
    </row>
    <row r="652" customFormat="false" ht="15" hidden="false" customHeight="false" outlineLevel="0" collapsed="false">
      <c r="A652" s="46" t="n">
        <v>0.168629</v>
      </c>
      <c r="B652" s="46" t="n">
        <v>0.022011</v>
      </c>
      <c r="C652" s="46" t="n">
        <v>0.06478</v>
      </c>
      <c r="D652" s="46" t="n">
        <v>0.305807</v>
      </c>
      <c r="E652" s="46" t="n">
        <v>0.010111</v>
      </c>
      <c r="F652" s="46" t="n">
        <v>0.428662</v>
      </c>
      <c r="G652" s="47" t="n">
        <f aca="false">A652*Scorecard!$C$12+B652*Scorecard!$C$13+C652*Scorecard!$C$14+D652*Scorecard!$C$15+E652*Scorecard!$C$16+F652*Scorecard!$C$17</f>
        <v>3.16695939518706</v>
      </c>
      <c r="H652" s="47" t="n">
        <f aca="false">A652*Scorecard!$D$12+B652*Scorecard!$D$13+C652*Scorecard!$D$14+D652*Scorecard!$D$15+E652*Scorecard!$D$16+F652*Scorecard!$D$17</f>
        <v>2.79274128154363</v>
      </c>
      <c r="I652" s="47" t="n">
        <f aca="false">A652*Scorecard!$E$12+B652*Scorecard!$E$13+C652*Scorecard!$E$14+D652*Scorecard!$E$15+E652*Scorecard!$E$16+F652*Scorecard!$E$17</f>
        <v>4.43979084096279</v>
      </c>
      <c r="J652" s="0" t="str">
        <f aca="false">IF(AND(G652&gt;=H652,G652&gt;=I652),"Distribution",IF(I652&gt;=H652,"Prof. services","Manufacturing"))</f>
        <v>Prof. services</v>
      </c>
      <c r="L652" s="46" t="n">
        <v>0.167073</v>
      </c>
      <c r="M652" s="46" t="n">
        <v>0.06444</v>
      </c>
      <c r="N652" s="46" t="n">
        <v>0.176611</v>
      </c>
      <c r="O652" s="46" t="n">
        <v>0.135571</v>
      </c>
      <c r="P652" s="46" t="n">
        <v>0.164595</v>
      </c>
      <c r="Q652" s="46" t="n">
        <v>0.29171</v>
      </c>
      <c r="R652" s="47" t="n">
        <f aca="false">L652*Scorecard!$C$12+M652*Scorecard!$C$13+N652*Scorecard!$C$14+O652*Scorecard!$C$15+P652*Scorecard!$C$16+Q652*Scorecard!$C$17</f>
        <v>3.31585721737713</v>
      </c>
      <c r="S652" s="47" t="n">
        <f aca="false">L652*Scorecard!$D$12+M652*Scorecard!$D$13+N652*Scorecard!$D$14+O652*Scorecard!$D$15+P652*Scorecard!$D$16+Q652*Scorecard!$D$17</f>
        <v>2.78787791589252</v>
      </c>
      <c r="T652" s="47" t="n">
        <f aca="false">L652*Scorecard!$E$12+M652*Scorecard!$E$13+N652*Scorecard!$E$14+O652*Scorecard!$E$15+P652*Scorecard!$E$16+Q652*Scorecard!$E$17</f>
        <v>4.11659973047158</v>
      </c>
      <c r="U652" s="0" t="str">
        <f aca="false">IF(AND(R652&gt;=S652,R652&gt;=T652),"Distribution",IF(T652&gt;=S652,"Prof. services","Manufacturing"))</f>
        <v>Prof. services</v>
      </c>
    </row>
    <row r="653" customFormat="false" ht="15" hidden="false" customHeight="false" outlineLevel="0" collapsed="false">
      <c r="A653" s="46" t="n">
        <v>0.316081</v>
      </c>
      <c r="B653" s="46" t="n">
        <v>0.092838</v>
      </c>
      <c r="C653" s="46" t="n">
        <v>0.144295</v>
      </c>
      <c r="D653" s="46" t="n">
        <v>0.266704</v>
      </c>
      <c r="E653" s="46" t="n">
        <v>0.017889</v>
      </c>
      <c r="F653" s="46" t="n">
        <v>0.162193</v>
      </c>
      <c r="G653" s="47" t="n">
        <f aca="false">A653*Scorecard!$C$12+B653*Scorecard!$C$13+C653*Scorecard!$C$14+D653*Scorecard!$C$15+E653*Scorecard!$C$16+F653*Scorecard!$C$17</f>
        <v>3.46620569237866</v>
      </c>
      <c r="H653" s="47" t="n">
        <f aca="false">A653*Scorecard!$D$12+B653*Scorecard!$D$13+C653*Scorecard!$D$14+D653*Scorecard!$D$15+E653*Scorecard!$D$16+F653*Scorecard!$D$17</f>
        <v>3.14085801574246</v>
      </c>
      <c r="I653" s="47" t="n">
        <f aca="false">A653*Scorecard!$E$12+B653*Scorecard!$E$13+C653*Scorecard!$E$14+D653*Scorecard!$E$15+E653*Scorecard!$E$16+F653*Scorecard!$E$17</f>
        <v>4.38130056569899</v>
      </c>
      <c r="J653" s="0" t="str">
        <f aca="false">IF(AND(G653&gt;=H653,G653&gt;=I653),"Distribution",IF(I653&gt;=H653,"Prof. services","Manufacturing"))</f>
        <v>Prof. services</v>
      </c>
      <c r="L653" s="46" t="n">
        <v>0.075311</v>
      </c>
      <c r="M653" s="46" t="n">
        <v>0.27848</v>
      </c>
      <c r="N653" s="46" t="n">
        <v>0.300836</v>
      </c>
      <c r="O653" s="46" t="n">
        <v>0.116322</v>
      </c>
      <c r="P653" s="46" t="n">
        <v>0.151031</v>
      </c>
      <c r="Q653" s="46" t="n">
        <v>0.07802</v>
      </c>
      <c r="R653" s="47" t="n">
        <f aca="false">L653*Scorecard!$C$12+M653*Scorecard!$C$13+N653*Scorecard!$C$14+O653*Scorecard!$C$15+P653*Scorecard!$C$16+Q653*Scorecard!$C$17</f>
        <v>4.10320112599216</v>
      </c>
      <c r="S653" s="47" t="n">
        <f aca="false">L653*Scorecard!$D$12+M653*Scorecard!$D$13+N653*Scorecard!$D$14+O653*Scorecard!$D$15+P653*Scorecard!$D$16+Q653*Scorecard!$D$17</f>
        <v>2.69972037598235</v>
      </c>
      <c r="T653" s="47" t="n">
        <f aca="false">L653*Scorecard!$E$12+M653*Scorecard!$E$13+N653*Scorecard!$E$14+O653*Scorecard!$E$15+P653*Scorecard!$E$16+Q653*Scorecard!$E$17</f>
        <v>3.66021468204129</v>
      </c>
      <c r="U653" s="0" t="str">
        <f aca="false">IF(AND(R653&gt;=S653,R653&gt;=T653),"Distribution",IF(T653&gt;=S653,"Prof. services","Manufacturing"))</f>
        <v>Distribution</v>
      </c>
    </row>
    <row r="654" customFormat="false" ht="15" hidden="false" customHeight="false" outlineLevel="0" collapsed="false">
      <c r="A654" s="46" t="n">
        <v>0.096481</v>
      </c>
      <c r="B654" s="46" t="n">
        <v>0.164724</v>
      </c>
      <c r="C654" s="46" t="n">
        <v>0.180759</v>
      </c>
      <c r="D654" s="46" t="n">
        <v>0.28871</v>
      </c>
      <c r="E654" s="46" t="n">
        <v>0.075345</v>
      </c>
      <c r="F654" s="46" t="n">
        <v>0.193981</v>
      </c>
      <c r="G654" s="47" t="n">
        <f aca="false">A654*Scorecard!$C$12+B654*Scorecard!$C$13+C654*Scorecard!$C$14+D654*Scorecard!$C$15+E654*Scorecard!$C$16+F654*Scorecard!$C$17</f>
        <v>3.89180482408745</v>
      </c>
      <c r="H654" s="47" t="n">
        <f aca="false">A654*Scorecard!$D$12+B654*Scorecard!$D$13+C654*Scorecard!$D$14+D654*Scorecard!$D$15+E654*Scorecard!$D$16+F654*Scorecard!$D$17</f>
        <v>2.88484546459554</v>
      </c>
      <c r="I654" s="47" t="n">
        <f aca="false">A654*Scorecard!$E$12+B654*Scorecard!$E$13+C654*Scorecard!$E$14+D654*Scorecard!$E$15+E654*Scorecard!$E$16+F654*Scorecard!$E$17</f>
        <v>3.98708149017645</v>
      </c>
      <c r="J654" s="0" t="str">
        <f aca="false">IF(AND(G654&gt;=H654,G654&gt;=I654),"Distribution",IF(I654&gt;=H654,"Prof. services","Manufacturing"))</f>
        <v>Prof. services</v>
      </c>
      <c r="L654" s="46" t="n">
        <v>0.21213</v>
      </c>
      <c r="M654" s="46" t="n">
        <v>0.260499</v>
      </c>
      <c r="N654" s="46" t="n">
        <v>0.100164</v>
      </c>
      <c r="O654" s="46" t="n">
        <v>0.150063</v>
      </c>
      <c r="P654" s="46" t="n">
        <v>0.224607</v>
      </c>
      <c r="Q654" s="46" t="n">
        <v>0.052537</v>
      </c>
      <c r="R654" s="47" t="n">
        <f aca="false">L654*Scorecard!$C$12+M654*Scorecard!$C$13+N654*Scorecard!$C$14+O654*Scorecard!$C$15+P654*Scorecard!$C$16+Q654*Scorecard!$C$17</f>
        <v>3.92365097482065</v>
      </c>
      <c r="S654" s="47" t="n">
        <f aca="false">L654*Scorecard!$D$12+M654*Scorecard!$D$13+N654*Scorecard!$D$14+O654*Scorecard!$D$15+P654*Scorecard!$D$16+Q654*Scorecard!$D$17</f>
        <v>2.91889535883006</v>
      </c>
      <c r="T654" s="47" t="n">
        <f aca="false">L654*Scorecard!$E$12+M654*Scorecard!$E$13+N654*Scorecard!$E$14+O654*Scorecard!$E$15+P654*Scorecard!$E$16+Q654*Scorecard!$E$17</f>
        <v>3.50025569904352</v>
      </c>
      <c r="U654" s="0" t="str">
        <f aca="false">IF(AND(R654&gt;=S654,R654&gt;=T654),"Distribution",IF(T654&gt;=S654,"Prof. services","Manufacturing"))</f>
        <v>Distribution</v>
      </c>
    </row>
    <row r="655" customFormat="false" ht="15" hidden="false" customHeight="false" outlineLevel="0" collapsed="false">
      <c r="A655" s="46" t="n">
        <v>0.049629</v>
      </c>
      <c r="B655" s="46" t="n">
        <v>0.132619</v>
      </c>
      <c r="C655" s="46" t="n">
        <v>0.172483</v>
      </c>
      <c r="D655" s="46" t="n">
        <v>0.097421</v>
      </c>
      <c r="E655" s="46" t="n">
        <v>0.150275</v>
      </c>
      <c r="F655" s="46" t="n">
        <v>0.397573</v>
      </c>
      <c r="G655" s="47" t="n">
        <f aca="false">A655*Scorecard!$C$12+B655*Scorecard!$C$13+C655*Scorecard!$C$14+D655*Scorecard!$C$15+E655*Scorecard!$C$16+F655*Scorecard!$C$17</f>
        <v>3.34556109224237</v>
      </c>
      <c r="H655" s="47" t="n">
        <f aca="false">A655*Scorecard!$D$12+B655*Scorecard!$D$13+C655*Scorecard!$D$14+D655*Scorecard!$D$15+E655*Scorecard!$D$16+F655*Scorecard!$D$17</f>
        <v>2.40023173246175</v>
      </c>
      <c r="I655" s="47" t="n">
        <f aca="false">A655*Scorecard!$E$12+B655*Scorecard!$E$13+C655*Scorecard!$E$14+D655*Scorecard!$E$15+E655*Scorecard!$E$16+F655*Scorecard!$E$17</f>
        <v>3.93768940808392</v>
      </c>
      <c r="J655" s="0" t="str">
        <f aca="false">IF(AND(G655&gt;=H655,G655&gt;=I655),"Distribution",IF(I655&gt;=H655,"Prof. services","Manufacturing"))</f>
        <v>Prof. services</v>
      </c>
      <c r="L655" s="46" t="n">
        <v>0.058093</v>
      </c>
      <c r="M655" s="46" t="n">
        <v>0.133701</v>
      </c>
      <c r="N655" s="46" t="n">
        <v>0.127202</v>
      </c>
      <c r="O655" s="46" t="n">
        <v>0.094283</v>
      </c>
      <c r="P655" s="46" t="n">
        <v>0.316202</v>
      </c>
      <c r="Q655" s="46" t="n">
        <v>0.270518</v>
      </c>
      <c r="R655" s="47" t="n">
        <f aca="false">L655*Scorecard!$C$12+M655*Scorecard!$C$13+N655*Scorecard!$C$14+O655*Scorecard!$C$15+P655*Scorecard!$C$16+Q655*Scorecard!$C$17</f>
        <v>3.58237577153753</v>
      </c>
      <c r="S655" s="47" t="n">
        <f aca="false">L655*Scorecard!$D$12+M655*Scorecard!$D$13+N655*Scorecard!$D$14+O655*Scorecard!$D$15+P655*Scorecard!$D$16+Q655*Scorecard!$D$17</f>
        <v>2.64645435748761</v>
      </c>
      <c r="T655" s="47" t="n">
        <f aca="false">L655*Scorecard!$E$12+M655*Scorecard!$E$13+N655*Scorecard!$E$14+O655*Scorecard!$E$15+P655*Scorecard!$E$16+Q655*Scorecard!$E$17</f>
        <v>3.55825154438486</v>
      </c>
      <c r="U655" s="0" t="str">
        <f aca="false">IF(AND(R655&gt;=S655,R655&gt;=T655),"Distribution",IF(T655&gt;=S655,"Prof. services","Manufacturing"))</f>
        <v>Distribution</v>
      </c>
    </row>
    <row r="656" customFormat="false" ht="15" hidden="false" customHeight="false" outlineLevel="0" collapsed="false">
      <c r="A656" s="46" t="n">
        <v>0.135353</v>
      </c>
      <c r="B656" s="46" t="n">
        <v>0.08636</v>
      </c>
      <c r="C656" s="46" t="n">
        <v>0.281811</v>
      </c>
      <c r="D656" s="46" t="n">
        <v>0.306161</v>
      </c>
      <c r="E656" s="46" t="n">
        <v>0.106438</v>
      </c>
      <c r="F656" s="46" t="n">
        <v>0.083878</v>
      </c>
      <c r="G656" s="47" t="n">
        <f aca="false">A656*Scorecard!$C$12+B656*Scorecard!$C$13+C656*Scorecard!$C$14+D656*Scorecard!$C$15+E656*Scorecard!$C$16+F656*Scorecard!$C$17</f>
        <v>3.98113166973506</v>
      </c>
      <c r="H656" s="47" t="n">
        <f aca="false">A656*Scorecard!$D$12+B656*Scorecard!$D$13+C656*Scorecard!$D$14+D656*Scorecard!$D$15+E656*Scorecard!$D$16+F656*Scorecard!$D$17</f>
        <v>3.22387067814757</v>
      </c>
      <c r="I656" s="47" t="n">
        <f aca="false">A656*Scorecard!$E$12+B656*Scorecard!$E$13+C656*Scorecard!$E$14+D656*Scorecard!$E$15+E656*Scorecard!$E$16+F656*Scorecard!$E$17</f>
        <v>4.16997875346459</v>
      </c>
      <c r="J656" s="0" t="str">
        <f aca="false">IF(AND(G656&gt;=H656,G656&gt;=I656),"Distribution",IF(I656&gt;=H656,"Prof. services","Manufacturing"))</f>
        <v>Prof. services</v>
      </c>
      <c r="L656" s="46" t="n">
        <v>0.303196</v>
      </c>
      <c r="M656" s="46" t="n">
        <v>0.151781</v>
      </c>
      <c r="N656" s="46" t="n">
        <v>0.308062</v>
      </c>
      <c r="O656" s="46" t="n">
        <v>0.036117</v>
      </c>
      <c r="P656" s="46" t="n">
        <v>0.073369</v>
      </c>
      <c r="Q656" s="46" t="n">
        <v>0.127475</v>
      </c>
      <c r="R656" s="47" t="n">
        <f aca="false">L656*Scorecard!$C$12+M656*Scorecard!$C$13+N656*Scorecard!$C$14+O656*Scorecard!$C$15+P656*Scorecard!$C$16+Q656*Scorecard!$C$17</f>
        <v>3.38719087613124</v>
      </c>
      <c r="S656" s="47" t="n">
        <f aca="false">L656*Scorecard!$D$12+M656*Scorecard!$D$13+N656*Scorecard!$D$14+O656*Scorecard!$D$15+P656*Scorecard!$D$16+Q656*Scorecard!$D$17</f>
        <v>2.84750660653013</v>
      </c>
      <c r="T656" s="47" t="n">
        <f aca="false">L656*Scorecard!$E$12+M656*Scorecard!$E$13+N656*Scorecard!$E$14+O656*Scorecard!$E$15+P656*Scorecard!$E$16+Q656*Scorecard!$E$17</f>
        <v>4.27396245122248</v>
      </c>
      <c r="U656" s="0" t="str">
        <f aca="false">IF(AND(R656&gt;=S656,R656&gt;=T656),"Distribution",IF(T656&gt;=S656,"Prof. services","Manufacturing"))</f>
        <v>Prof. services</v>
      </c>
    </row>
    <row r="657" customFormat="false" ht="15" hidden="false" customHeight="false" outlineLevel="0" collapsed="false">
      <c r="A657" s="46" t="n">
        <v>0.209564</v>
      </c>
      <c r="B657" s="46" t="n">
        <v>0.338283</v>
      </c>
      <c r="C657" s="46" t="n">
        <v>0.069446</v>
      </c>
      <c r="D657" s="46" t="n">
        <v>0.074944</v>
      </c>
      <c r="E657" s="46" t="n">
        <v>0.221057</v>
      </c>
      <c r="F657" s="46" t="n">
        <v>0.086706</v>
      </c>
      <c r="G657" s="47" t="n">
        <f aca="false">A657*Scorecard!$C$12+B657*Scorecard!$C$13+C657*Scorecard!$C$14+D657*Scorecard!$C$15+E657*Scorecard!$C$16+F657*Scorecard!$C$17</f>
        <v>3.86259681141429</v>
      </c>
      <c r="H657" s="47" t="n">
        <f aca="false">A657*Scorecard!$D$12+B657*Scorecard!$D$13+C657*Scorecard!$D$14+D657*Scorecard!$D$15+E657*Scorecard!$D$16+F657*Scorecard!$D$17</f>
        <v>2.66104876891943</v>
      </c>
      <c r="I657" s="47" t="n">
        <f aca="false">A657*Scorecard!$E$12+B657*Scorecard!$E$13+C657*Scorecard!$E$14+D657*Scorecard!$E$15+E657*Scorecard!$E$16+F657*Scorecard!$E$17</f>
        <v>3.33175436630604</v>
      </c>
      <c r="J657" s="0" t="str">
        <f aca="false">IF(AND(G657&gt;=H657,G657&gt;=I657),"Distribution",IF(I657&gt;=H657,"Prof. services","Manufacturing"))</f>
        <v>Distribution</v>
      </c>
      <c r="L657" s="46" t="n">
        <v>0.156224</v>
      </c>
      <c r="M657" s="46" t="n">
        <v>0.118455</v>
      </c>
      <c r="N657" s="46" t="n">
        <v>0.23127</v>
      </c>
      <c r="O657" s="46" t="n">
        <v>0.176323</v>
      </c>
      <c r="P657" s="46" t="n">
        <v>0.184537</v>
      </c>
      <c r="Q657" s="46" t="n">
        <v>0.13319</v>
      </c>
      <c r="R657" s="47" t="n">
        <f aca="false">L657*Scorecard!$C$12+M657*Scorecard!$C$13+N657*Scorecard!$C$14+O657*Scorecard!$C$15+P657*Scorecard!$C$16+Q657*Scorecard!$C$17</f>
        <v>3.74718857209438</v>
      </c>
      <c r="S657" s="47" t="n">
        <f aca="false">L657*Scorecard!$D$12+M657*Scorecard!$D$13+N657*Scorecard!$D$14+O657*Scorecard!$D$15+P657*Scorecard!$D$16+Q657*Scorecard!$D$17</f>
        <v>2.9912355226375</v>
      </c>
      <c r="T657" s="47" t="n">
        <f aca="false">L657*Scorecard!$E$12+M657*Scorecard!$E$13+N657*Scorecard!$E$14+O657*Scorecard!$E$15+P657*Scorecard!$E$16+Q657*Scorecard!$E$17</f>
        <v>3.95328702403881</v>
      </c>
      <c r="U657" s="0" t="str">
        <f aca="false">IF(AND(R657&gt;=S657,R657&gt;=T657),"Distribution",IF(T657&gt;=S657,"Prof. services","Manufacturing"))</f>
        <v>Prof. services</v>
      </c>
    </row>
    <row r="658" customFormat="false" ht="15" hidden="false" customHeight="false" outlineLevel="0" collapsed="false">
      <c r="A658" s="46" t="n">
        <v>0.240818</v>
      </c>
      <c r="B658" s="46" t="n">
        <v>0.358851</v>
      </c>
      <c r="C658" s="46" t="n">
        <v>0.04803</v>
      </c>
      <c r="D658" s="46" t="n">
        <v>0.291933</v>
      </c>
      <c r="E658" s="46" t="n">
        <v>0.032253</v>
      </c>
      <c r="F658" s="46" t="n">
        <v>0.028115</v>
      </c>
      <c r="G658" s="47" t="n">
        <f aca="false">A658*Scorecard!$C$12+B658*Scorecard!$C$13+C658*Scorecard!$C$14+D658*Scorecard!$C$15+E658*Scorecard!$C$16+F658*Scorecard!$C$17</f>
        <v>4.16107816570197</v>
      </c>
      <c r="H658" s="47" t="n">
        <f aca="false">A658*Scorecard!$D$12+B658*Scorecard!$D$13+C658*Scorecard!$D$14+D658*Scorecard!$D$15+E658*Scorecard!$D$16+F658*Scorecard!$D$17</f>
        <v>2.92696819531552</v>
      </c>
      <c r="I658" s="47" t="n">
        <f aca="false">A658*Scorecard!$E$12+B658*Scorecard!$E$13+C658*Scorecard!$E$14+D658*Scorecard!$E$15+E658*Scorecard!$E$16+F658*Scorecard!$E$17</f>
        <v>3.62400323540246</v>
      </c>
      <c r="J658" s="0" t="str">
        <f aca="false">IF(AND(G658&gt;=H658,G658&gt;=I658),"Distribution",IF(I658&gt;=H658,"Prof. services","Manufacturing"))</f>
        <v>Distribution</v>
      </c>
      <c r="L658" s="46" t="n">
        <v>0.21168</v>
      </c>
      <c r="M658" s="46" t="n">
        <v>0.17709</v>
      </c>
      <c r="N658" s="46" t="n">
        <v>0.190657</v>
      </c>
      <c r="O658" s="46" t="n">
        <v>0.1989</v>
      </c>
      <c r="P658" s="46" t="n">
        <v>0.1562</v>
      </c>
      <c r="Q658" s="46" t="n">
        <v>0.065472</v>
      </c>
      <c r="R658" s="47" t="n">
        <f aca="false">L658*Scorecard!$C$12+M658*Scorecard!$C$13+N658*Scorecard!$C$14+O658*Scorecard!$C$15+P658*Scorecard!$C$16+Q658*Scorecard!$C$17</f>
        <v>3.86401498123808</v>
      </c>
      <c r="S658" s="47" t="n">
        <f aca="false">L658*Scorecard!$D$12+M658*Scorecard!$D$13+N658*Scorecard!$D$14+O658*Scorecard!$D$15+P658*Scorecard!$D$16+Q658*Scorecard!$D$17</f>
        <v>3.05812307689217</v>
      </c>
      <c r="T658" s="47" t="n">
        <f aca="false">L658*Scorecard!$E$12+M658*Scorecard!$E$13+N658*Scorecard!$E$14+O658*Scorecard!$E$15+P658*Scorecard!$E$16+Q658*Scorecard!$E$17</f>
        <v>3.87522939928107</v>
      </c>
      <c r="U658" s="0" t="str">
        <f aca="false">IF(AND(R658&gt;=S658,R658&gt;=T658),"Distribution",IF(T658&gt;=S658,"Prof. services","Manufacturing"))</f>
        <v>Prof. services</v>
      </c>
    </row>
    <row r="659" customFormat="false" ht="15" hidden="false" customHeight="false" outlineLevel="0" collapsed="false">
      <c r="A659" s="46" t="n">
        <v>0.344102</v>
      </c>
      <c r="B659" s="46" t="n">
        <v>0.192596</v>
      </c>
      <c r="C659" s="46" t="n">
        <v>0.00448</v>
      </c>
      <c r="D659" s="46" t="n">
        <v>0.1875</v>
      </c>
      <c r="E659" s="46" t="n">
        <v>0.222142</v>
      </c>
      <c r="F659" s="46" t="n">
        <v>0.04918</v>
      </c>
      <c r="G659" s="47" t="n">
        <f aca="false">A659*Scorecard!$C$12+B659*Scorecard!$C$13+C659*Scorecard!$C$14+D659*Scorecard!$C$15+E659*Scorecard!$C$16+F659*Scorecard!$C$17</f>
        <v>3.66234749277204</v>
      </c>
      <c r="H659" s="47" t="n">
        <f aca="false">A659*Scorecard!$D$12+B659*Scorecard!$D$13+C659*Scorecard!$D$14+D659*Scorecard!$D$15+E659*Scorecard!$D$16+F659*Scorecard!$D$17</f>
        <v>3.1555443242451</v>
      </c>
      <c r="I659" s="47" t="n">
        <f aca="false">A659*Scorecard!$E$12+B659*Scorecard!$E$13+C659*Scorecard!$E$14+D659*Scorecard!$E$15+E659*Scorecard!$E$16+F659*Scorecard!$E$17</f>
        <v>3.67247534865823</v>
      </c>
      <c r="J659" s="0" t="str">
        <f aca="false">IF(AND(G659&gt;=H659,G659&gt;=I659),"Distribution",IF(I659&gt;=H659,"Prof. services","Manufacturing"))</f>
        <v>Prof. services</v>
      </c>
      <c r="L659" s="46" t="n">
        <v>0.11846</v>
      </c>
      <c r="M659" s="46" t="n">
        <v>0.166028</v>
      </c>
      <c r="N659" s="46" t="n">
        <v>0.271415</v>
      </c>
      <c r="O659" s="46" t="n">
        <v>0.159978</v>
      </c>
      <c r="P659" s="46" t="n">
        <v>0.221108</v>
      </c>
      <c r="Q659" s="46" t="n">
        <v>0.063011</v>
      </c>
      <c r="R659" s="47" t="n">
        <f aca="false">L659*Scorecard!$C$12+M659*Scorecard!$C$13+N659*Scorecard!$C$14+O659*Scorecard!$C$15+P659*Scorecard!$C$16+Q659*Scorecard!$C$17</f>
        <v>3.98675431064561</v>
      </c>
      <c r="S659" s="47" t="n">
        <f aca="false">L659*Scorecard!$D$12+M659*Scorecard!$D$13+N659*Scorecard!$D$14+O659*Scorecard!$D$15+P659*Scorecard!$D$16+Q659*Scorecard!$D$17</f>
        <v>2.99342356795795</v>
      </c>
      <c r="T659" s="47" t="n">
        <f aca="false">L659*Scorecard!$E$12+M659*Scorecard!$E$13+N659*Scorecard!$E$14+O659*Scorecard!$E$15+P659*Scorecard!$E$16+Q659*Scorecard!$E$17</f>
        <v>3.76772114926461</v>
      </c>
      <c r="U659" s="0" t="str">
        <f aca="false">IF(AND(R659&gt;=S659,R659&gt;=T659),"Distribution",IF(T659&gt;=S659,"Prof. services","Manufacturing"))</f>
        <v>Distribution</v>
      </c>
    </row>
    <row r="660" customFormat="false" ht="15" hidden="false" customHeight="false" outlineLevel="0" collapsed="false">
      <c r="A660" s="46" t="n">
        <v>0.037825</v>
      </c>
      <c r="B660" s="46" t="n">
        <v>0.015898</v>
      </c>
      <c r="C660" s="46" t="n">
        <v>0.101083</v>
      </c>
      <c r="D660" s="46" t="n">
        <v>0.181953</v>
      </c>
      <c r="E660" s="46" t="n">
        <v>0.615983</v>
      </c>
      <c r="F660" s="46" t="n">
        <v>0.047258</v>
      </c>
      <c r="G660" s="47" t="n">
        <f aca="false">A660*Scorecard!$C$12+B660*Scorecard!$C$13+C660*Scorecard!$C$14+D660*Scorecard!$C$15+E660*Scorecard!$C$16+F660*Scorecard!$C$17</f>
        <v>4.03524946057885</v>
      </c>
      <c r="H660" s="47" t="n">
        <f aca="false">A660*Scorecard!$D$12+B660*Scorecard!$D$13+C660*Scorecard!$D$14+D660*Scorecard!$D$15+E660*Scorecard!$D$16+F660*Scorecard!$D$17</f>
        <v>3.3461992905507</v>
      </c>
      <c r="I660" s="47" t="n">
        <f aca="false">A660*Scorecard!$E$12+B660*Scorecard!$E$13+C660*Scorecard!$E$14+D660*Scorecard!$E$15+E660*Scorecard!$E$16+F660*Scorecard!$E$17</f>
        <v>3.13594092931922</v>
      </c>
      <c r="J660" s="0" t="str">
        <f aca="false">IF(AND(G660&gt;=H660,G660&gt;=I660),"Distribution",IF(I660&gt;=H660,"Prof. services","Manufacturing"))</f>
        <v>Distribution</v>
      </c>
      <c r="L660" s="46" t="n">
        <v>0.175271</v>
      </c>
      <c r="M660" s="46" t="n">
        <v>0.186048</v>
      </c>
      <c r="N660" s="46" t="n">
        <v>0.227155</v>
      </c>
      <c r="O660" s="46" t="n">
        <v>0.10169</v>
      </c>
      <c r="P660" s="46" t="n">
        <v>0.158558</v>
      </c>
      <c r="Q660" s="46" t="n">
        <v>0.151278</v>
      </c>
      <c r="R660" s="47" t="n">
        <f aca="false">L660*Scorecard!$C$12+M660*Scorecard!$C$13+N660*Scorecard!$C$14+O660*Scorecard!$C$15+P660*Scorecard!$C$16+Q660*Scorecard!$C$17</f>
        <v>3.6696917004657</v>
      </c>
      <c r="S660" s="47" t="n">
        <f aca="false">L660*Scorecard!$D$12+M660*Scorecard!$D$13+N660*Scorecard!$D$14+O660*Scorecard!$D$15+P660*Scorecard!$D$16+Q660*Scorecard!$D$17</f>
        <v>2.78017287119711</v>
      </c>
      <c r="T660" s="47" t="n">
        <f aca="false">L660*Scorecard!$E$12+M660*Scorecard!$E$13+N660*Scorecard!$E$14+O660*Scorecard!$E$15+P660*Scorecard!$E$16+Q660*Scorecard!$E$17</f>
        <v>3.88154072815927</v>
      </c>
      <c r="U660" s="0" t="str">
        <f aca="false">IF(AND(R660&gt;=S660,R660&gt;=T660),"Distribution",IF(T660&gt;=S660,"Prof. services","Manufacturing"))</f>
        <v>Prof. services</v>
      </c>
    </row>
    <row r="661" customFormat="false" ht="15" hidden="false" customHeight="false" outlineLevel="0" collapsed="false">
      <c r="A661" s="46" t="n">
        <v>0.228174</v>
      </c>
      <c r="B661" s="46" t="n">
        <v>0.118393</v>
      </c>
      <c r="C661" s="46" t="n">
        <v>0.213025</v>
      </c>
      <c r="D661" s="46" t="n">
        <v>0.309956</v>
      </c>
      <c r="E661" s="46" t="n">
        <v>0.109987</v>
      </c>
      <c r="F661" s="46" t="n">
        <v>0.020464</v>
      </c>
      <c r="G661" s="47" t="n">
        <f aca="false">A661*Scorecard!$C$12+B661*Scorecard!$C$13+C661*Scorecard!$C$14+D661*Scorecard!$C$15+E661*Scorecard!$C$16+F661*Scorecard!$C$17</f>
        <v>3.97670054601766</v>
      </c>
      <c r="H661" s="47" t="n">
        <f aca="false">A661*Scorecard!$D$12+B661*Scorecard!$D$13+C661*Scorecard!$D$14+D661*Scorecard!$D$15+E661*Scorecard!$D$16+F661*Scorecard!$D$17</f>
        <v>3.33779315324419</v>
      </c>
      <c r="I661" s="47" t="n">
        <f aca="false">A661*Scorecard!$E$12+B661*Scorecard!$E$13+C661*Scorecard!$E$14+D661*Scorecard!$E$15+E661*Scorecard!$E$16+F661*Scorecard!$E$17</f>
        <v>4.0969258562571</v>
      </c>
      <c r="J661" s="0" t="str">
        <f aca="false">IF(AND(G661&gt;=H661,G661&gt;=I661),"Distribution",IF(I661&gt;=H661,"Prof. services","Manufacturing"))</f>
        <v>Prof. services</v>
      </c>
      <c r="L661" s="46" t="n">
        <v>0.188964</v>
      </c>
      <c r="M661" s="46" t="n">
        <v>0.133917</v>
      </c>
      <c r="N661" s="46" t="n">
        <v>0.320891</v>
      </c>
      <c r="O661" s="46" t="n">
        <v>0.199001</v>
      </c>
      <c r="P661" s="46" t="n">
        <v>0.068027</v>
      </c>
      <c r="Q661" s="46" t="n">
        <v>0.089201</v>
      </c>
      <c r="R661" s="47" t="n">
        <f aca="false">L661*Scorecard!$C$12+M661*Scorecard!$C$13+N661*Scorecard!$C$14+O661*Scorecard!$C$15+P661*Scorecard!$C$16+Q661*Scorecard!$C$17</f>
        <v>3.81438210519025</v>
      </c>
      <c r="S661" s="47" t="n">
        <f aca="false">L661*Scorecard!$D$12+M661*Scorecard!$D$13+N661*Scorecard!$D$14+O661*Scorecard!$D$15+P661*Scorecard!$D$16+Q661*Scorecard!$D$17</f>
        <v>3.0430592257935</v>
      </c>
      <c r="T661" s="47" t="n">
        <f aca="false">L661*Scorecard!$E$12+M661*Scorecard!$E$13+N661*Scorecard!$E$14+O661*Scorecard!$E$15+P661*Scorecard!$E$16+Q661*Scorecard!$E$17</f>
        <v>4.22256621522578</v>
      </c>
      <c r="U661" s="0" t="str">
        <f aca="false">IF(AND(R661&gt;=S661,R661&gt;=T661),"Distribution",IF(T661&gt;=S661,"Prof. services","Manufacturing"))</f>
        <v>Prof. services</v>
      </c>
    </row>
    <row r="662" customFormat="false" ht="15" hidden="false" customHeight="false" outlineLevel="0" collapsed="false">
      <c r="A662" s="46" t="n">
        <v>0.297045</v>
      </c>
      <c r="B662" s="46" t="n">
        <v>0.144777</v>
      </c>
      <c r="C662" s="46" t="n">
        <v>0.45399</v>
      </c>
      <c r="D662" s="46" t="n">
        <v>0.040749</v>
      </c>
      <c r="E662" s="46" t="n">
        <v>0.02766</v>
      </c>
      <c r="F662" s="46" t="n">
        <v>0.035779</v>
      </c>
      <c r="G662" s="47" t="n">
        <f aca="false">A662*Scorecard!$C$12+B662*Scorecard!$C$13+C662*Scorecard!$C$14+D662*Scorecard!$C$15+E662*Scorecard!$C$16+F662*Scorecard!$C$17</f>
        <v>3.57928276385046</v>
      </c>
      <c r="H662" s="47" t="n">
        <f aca="false">A662*Scorecard!$D$12+B662*Scorecard!$D$13+C662*Scorecard!$D$14+D662*Scorecard!$D$15+E662*Scorecard!$D$16+F662*Scorecard!$D$17</f>
        <v>2.98162644793059</v>
      </c>
      <c r="I662" s="47" t="n">
        <f aca="false">A662*Scorecard!$E$12+B662*Scorecard!$E$13+C662*Scorecard!$E$14+D662*Scorecard!$E$15+E662*Scorecard!$E$16+F662*Scorecard!$E$17</f>
        <v>4.45796989171439</v>
      </c>
      <c r="J662" s="0" t="str">
        <f aca="false">IF(AND(G662&gt;=H662,G662&gt;=I662),"Distribution",IF(I662&gt;=H662,"Prof. services","Manufacturing"))</f>
        <v>Prof. services</v>
      </c>
      <c r="L662" s="46" t="n">
        <v>0.342554</v>
      </c>
      <c r="M662" s="46" t="n">
        <v>0.209888</v>
      </c>
      <c r="N662" s="46" t="n">
        <v>0.172423</v>
      </c>
      <c r="O662" s="46" t="n">
        <v>0.075137</v>
      </c>
      <c r="P662" s="46" t="n">
        <v>0.07503</v>
      </c>
      <c r="Q662" s="46" t="n">
        <v>0.124968</v>
      </c>
      <c r="R662" s="47" t="n">
        <f aca="false">L662*Scorecard!$C$12+M662*Scorecard!$C$13+N662*Scorecard!$C$14+O662*Scorecard!$C$15+P662*Scorecard!$C$16+Q662*Scorecard!$C$17</f>
        <v>3.41848691484802</v>
      </c>
      <c r="S662" s="47" t="n">
        <f aca="false">L662*Scorecard!$D$12+M662*Scorecard!$D$13+N662*Scorecard!$D$14+O662*Scorecard!$D$15+P662*Scorecard!$D$16+Q662*Scorecard!$D$17</f>
        <v>2.83577109838449</v>
      </c>
      <c r="T662" s="47" t="n">
        <f aca="false">L662*Scorecard!$E$12+M662*Scorecard!$E$13+N662*Scorecard!$E$14+O662*Scorecard!$E$15+P662*Scorecard!$E$16+Q662*Scorecard!$E$17</f>
        <v>4.07107843495187</v>
      </c>
      <c r="U662" s="0" t="str">
        <f aca="false">IF(AND(R662&gt;=S662,R662&gt;=T662),"Distribution",IF(T662&gt;=S662,"Prof. services","Manufacturing"))</f>
        <v>Prof. services</v>
      </c>
    </row>
    <row r="663" customFormat="false" ht="15" hidden="false" customHeight="false" outlineLevel="0" collapsed="false">
      <c r="A663" s="46" t="n">
        <v>0.501344</v>
      </c>
      <c r="B663" s="46" t="n">
        <v>0.225483</v>
      </c>
      <c r="C663" s="46" t="n">
        <v>0.037497</v>
      </c>
      <c r="D663" s="46" t="n">
        <v>0.045103</v>
      </c>
      <c r="E663" s="46" t="n">
        <v>0.12143</v>
      </c>
      <c r="F663" s="46" t="n">
        <v>0.069143</v>
      </c>
      <c r="G663" s="47" t="n">
        <f aca="false">A663*Scorecard!$C$12+B663*Scorecard!$C$13+C663*Scorecard!$C$14+D663*Scorecard!$C$15+E663*Scorecard!$C$16+F663*Scorecard!$C$17</f>
        <v>3.22987365034876</v>
      </c>
      <c r="H663" s="47" t="n">
        <f aca="false">A663*Scorecard!$D$12+B663*Scorecard!$D$13+C663*Scorecard!$D$14+D663*Scorecard!$D$15+E663*Scorecard!$D$16+F663*Scorecard!$D$17</f>
        <v>2.98168712833948</v>
      </c>
      <c r="I663" s="47" t="n">
        <f aca="false">A663*Scorecard!$E$12+B663*Scorecard!$E$13+C663*Scorecard!$E$14+D663*Scorecard!$E$15+E663*Scorecard!$E$16+F663*Scorecard!$E$17</f>
        <v>3.95551792653464</v>
      </c>
      <c r="J663" s="0" t="str">
        <f aca="false">IF(AND(G663&gt;=H663,G663&gt;=I663),"Distribution",IF(I663&gt;=H663,"Prof. services","Manufacturing"))</f>
        <v>Prof. services</v>
      </c>
      <c r="L663" s="46" t="n">
        <v>0.136524</v>
      </c>
      <c r="M663" s="46" t="n">
        <v>0.23311</v>
      </c>
      <c r="N663" s="46" t="n">
        <v>0.195962</v>
      </c>
      <c r="O663" s="46" t="n">
        <v>0.170613</v>
      </c>
      <c r="P663" s="46" t="n">
        <v>0.1376</v>
      </c>
      <c r="Q663" s="46" t="n">
        <v>0.126191</v>
      </c>
      <c r="R663" s="47" t="n">
        <f aca="false">L663*Scorecard!$C$12+M663*Scorecard!$C$13+N663*Scorecard!$C$14+O663*Scorecard!$C$15+P663*Scorecard!$C$16+Q663*Scorecard!$C$17</f>
        <v>3.90559585303547</v>
      </c>
      <c r="S663" s="47" t="n">
        <f aca="false">L663*Scorecard!$D$12+M663*Scorecard!$D$13+N663*Scorecard!$D$14+O663*Scorecard!$D$15+P663*Scorecard!$D$16+Q663*Scorecard!$D$17</f>
        <v>2.79437102364094</v>
      </c>
      <c r="T663" s="47" t="n">
        <f aca="false">L663*Scorecard!$E$12+M663*Scorecard!$E$13+N663*Scorecard!$E$14+O663*Scorecard!$E$15+P663*Scorecard!$E$16+Q663*Scorecard!$E$17</f>
        <v>3.75702929856126</v>
      </c>
      <c r="U663" s="0" t="str">
        <f aca="false">IF(AND(R663&gt;=S663,R663&gt;=T663),"Distribution",IF(T663&gt;=S663,"Prof. services","Manufacturing"))</f>
        <v>Distribution</v>
      </c>
    </row>
    <row r="664" customFormat="false" ht="15" hidden="false" customHeight="false" outlineLevel="0" collapsed="false">
      <c r="A664" s="46" t="n">
        <v>0.03843</v>
      </c>
      <c r="B664" s="46" t="n">
        <v>0.045372</v>
      </c>
      <c r="C664" s="46" t="n">
        <v>0.23967</v>
      </c>
      <c r="D664" s="46" t="n">
        <v>0.128953</v>
      </c>
      <c r="E664" s="46" t="n">
        <v>0.241054</v>
      </c>
      <c r="F664" s="46" t="n">
        <v>0.30652</v>
      </c>
      <c r="G664" s="47" t="n">
        <f aca="false">A664*Scorecard!$C$12+B664*Scorecard!$C$13+C664*Scorecard!$C$14+D664*Scorecard!$C$15+E664*Scorecard!$C$16+F664*Scorecard!$C$17</f>
        <v>3.49210645195096</v>
      </c>
      <c r="H664" s="47" t="n">
        <f aca="false">A664*Scorecard!$D$12+B664*Scorecard!$D$13+C664*Scorecard!$D$14+D664*Scorecard!$D$15+E664*Scorecard!$D$16+F664*Scorecard!$D$17</f>
        <v>2.72713107377862</v>
      </c>
      <c r="I664" s="47" t="n">
        <f aca="false">A664*Scorecard!$E$12+B664*Scorecard!$E$13+C664*Scorecard!$E$14+D664*Scorecard!$E$15+E664*Scorecard!$E$16+F664*Scorecard!$E$17</f>
        <v>3.96566268532134</v>
      </c>
      <c r="J664" s="0" t="str">
        <f aca="false">IF(AND(G664&gt;=H664,G664&gt;=I664),"Distribution",IF(I664&gt;=H664,"Prof. services","Manufacturing"))</f>
        <v>Prof. services</v>
      </c>
      <c r="L664" s="46" t="n">
        <v>0.215839</v>
      </c>
      <c r="M664" s="46" t="n">
        <v>0.13847</v>
      </c>
      <c r="N664" s="46" t="n">
        <v>0.20814</v>
      </c>
      <c r="O664" s="46" t="n">
        <v>0.20348</v>
      </c>
      <c r="P664" s="46" t="n">
        <v>0.127203</v>
      </c>
      <c r="Q664" s="46" t="n">
        <v>0.106868</v>
      </c>
      <c r="R664" s="47" t="n">
        <f aca="false">L664*Scorecard!$C$12+M664*Scorecard!$C$13+N664*Scorecard!$C$14+O664*Scorecard!$C$15+P664*Scorecard!$C$16+Q664*Scorecard!$C$17</f>
        <v>3.73970072192671</v>
      </c>
      <c r="S664" s="47" t="n">
        <f aca="false">L664*Scorecard!$D$12+M664*Scorecard!$D$13+N664*Scorecard!$D$14+O664*Scorecard!$D$15+P664*Scorecard!$D$16+Q664*Scorecard!$D$17</f>
        <v>3.05238432775345</v>
      </c>
      <c r="T664" s="47" t="n">
        <f aca="false">L664*Scorecard!$E$12+M664*Scorecard!$E$13+N664*Scorecard!$E$14+O664*Scorecard!$E$15+P664*Scorecard!$E$16+Q664*Scorecard!$E$17</f>
        <v>4.03908854833032</v>
      </c>
      <c r="U664" s="0" t="str">
        <f aca="false">IF(AND(R664&gt;=S664,R664&gt;=T664),"Distribution",IF(T664&gt;=S664,"Prof. services","Manufacturing"))</f>
        <v>Prof. services</v>
      </c>
    </row>
    <row r="665" customFormat="false" ht="15" hidden="false" customHeight="false" outlineLevel="0" collapsed="false">
      <c r="A665" s="46" t="n">
        <v>0.18481</v>
      </c>
      <c r="B665" s="46" t="n">
        <v>0.170941</v>
      </c>
      <c r="C665" s="46" t="n">
        <v>0.027593</v>
      </c>
      <c r="D665" s="46" t="n">
        <v>0.124904</v>
      </c>
      <c r="E665" s="46" t="n">
        <v>0.062508</v>
      </c>
      <c r="F665" s="46" t="n">
        <v>0.429244</v>
      </c>
      <c r="G665" s="47" t="n">
        <f aca="false">A665*Scorecard!$C$12+B665*Scorecard!$C$13+C665*Scorecard!$C$14+D665*Scorecard!$C$15+E665*Scorecard!$C$16+F665*Scorecard!$C$17</f>
        <v>3.10469636443032</v>
      </c>
      <c r="H665" s="47" t="n">
        <f aca="false">A665*Scorecard!$D$12+B665*Scorecard!$D$13+C665*Scorecard!$D$14+D665*Scorecard!$D$15+E665*Scorecard!$D$16+F665*Scorecard!$D$17</f>
        <v>2.38705730161671</v>
      </c>
      <c r="I665" s="47" t="n">
        <f aca="false">A665*Scorecard!$E$12+B665*Scorecard!$E$13+C665*Scorecard!$E$14+D665*Scorecard!$E$15+E665*Scorecard!$E$16+F665*Scorecard!$E$17</f>
        <v>4.0227282179142</v>
      </c>
      <c r="J665" s="0" t="str">
        <f aca="false">IF(AND(G665&gt;=H665,G665&gt;=I665),"Distribution",IF(I665&gt;=H665,"Prof. services","Manufacturing"))</f>
        <v>Prof. services</v>
      </c>
      <c r="L665" s="46" t="n">
        <v>0.128058</v>
      </c>
      <c r="M665" s="46" t="n">
        <v>0.204787</v>
      </c>
      <c r="N665" s="46" t="n">
        <v>0.109335</v>
      </c>
      <c r="O665" s="46" t="n">
        <v>0.124125</v>
      </c>
      <c r="P665" s="46" t="n">
        <v>0.15036</v>
      </c>
      <c r="Q665" s="46" t="n">
        <v>0.283336</v>
      </c>
      <c r="R665" s="47" t="n">
        <f aca="false">L665*Scorecard!$C$12+M665*Scorecard!$C$13+N665*Scorecard!$C$14+O665*Scorecard!$C$15+P665*Scorecard!$C$16+Q665*Scorecard!$C$17</f>
        <v>3.53173777376883</v>
      </c>
      <c r="S665" s="47" t="n">
        <f aca="false">L665*Scorecard!$D$12+M665*Scorecard!$D$13+N665*Scorecard!$D$14+O665*Scorecard!$D$15+P665*Scorecard!$D$16+Q665*Scorecard!$D$17</f>
        <v>2.54601410523153</v>
      </c>
      <c r="T665" s="47" t="n">
        <f aca="false">L665*Scorecard!$E$12+M665*Scorecard!$E$13+N665*Scorecard!$E$14+O665*Scorecard!$E$15+P665*Scorecard!$E$16+Q665*Scorecard!$E$17</f>
        <v>3.76473924018975</v>
      </c>
      <c r="U665" s="0" t="str">
        <f aca="false">IF(AND(R665&gt;=S665,R665&gt;=T665),"Distribution",IF(T665&gt;=S665,"Prof. services","Manufacturing"))</f>
        <v>Prof. services</v>
      </c>
    </row>
    <row r="666" customFormat="false" ht="15" hidden="false" customHeight="false" outlineLevel="0" collapsed="false">
      <c r="A666" s="46" t="n">
        <v>0.03633</v>
      </c>
      <c r="B666" s="46" t="n">
        <v>0.045105</v>
      </c>
      <c r="C666" s="46" t="n">
        <v>0.283067</v>
      </c>
      <c r="D666" s="46" t="n">
        <v>0.432793</v>
      </c>
      <c r="E666" s="46" t="n">
        <v>0.110737</v>
      </c>
      <c r="F666" s="46" t="n">
        <v>0.091969</v>
      </c>
      <c r="G666" s="47" t="n">
        <f aca="false">A666*Scorecard!$C$12+B666*Scorecard!$C$13+C666*Scorecard!$C$14+D666*Scorecard!$C$15+E666*Scorecard!$C$16+F666*Scorecard!$C$17</f>
        <v>4.228569481899</v>
      </c>
      <c r="H666" s="47" t="n">
        <f aca="false">A666*Scorecard!$D$12+B666*Scorecard!$D$13+C666*Scorecard!$D$14+D666*Scorecard!$D$15+E666*Scorecard!$D$16+F666*Scorecard!$D$17</f>
        <v>3.3562758844944</v>
      </c>
      <c r="I666" s="47" t="n">
        <f aca="false">A666*Scorecard!$E$12+B666*Scorecard!$E$13+C666*Scorecard!$E$14+D666*Scorecard!$E$15+E666*Scorecard!$E$16+F666*Scorecard!$E$17</f>
        <v>4.16725122726543</v>
      </c>
      <c r="J666" s="0" t="str">
        <f aca="false">IF(AND(G666&gt;=H666,G666&gt;=I666),"Distribution",IF(I666&gt;=H666,"Prof. services","Manufacturing"))</f>
        <v>Distribution</v>
      </c>
      <c r="L666" s="46" t="n">
        <v>0.155715</v>
      </c>
      <c r="M666" s="46" t="n">
        <v>0.212693</v>
      </c>
      <c r="N666" s="46" t="n">
        <v>0.144061</v>
      </c>
      <c r="O666" s="46" t="n">
        <v>0.142604</v>
      </c>
      <c r="P666" s="46" t="n">
        <v>0.198128</v>
      </c>
      <c r="Q666" s="46" t="n">
        <v>0.146799</v>
      </c>
      <c r="R666" s="47" t="n">
        <f aca="false">L666*Scorecard!$C$12+M666*Scorecard!$C$13+N666*Scorecard!$C$14+O666*Scorecard!$C$15+P666*Scorecard!$C$16+Q666*Scorecard!$C$17</f>
        <v>3.78140977935321</v>
      </c>
      <c r="S666" s="47" t="n">
        <f aca="false">L666*Scorecard!$D$12+M666*Scorecard!$D$13+N666*Scorecard!$D$14+O666*Scorecard!$D$15+P666*Scorecard!$D$16+Q666*Scorecard!$D$17</f>
        <v>2.79453320669107</v>
      </c>
      <c r="T666" s="47" t="n">
        <f aca="false">L666*Scorecard!$E$12+M666*Scorecard!$E$13+N666*Scorecard!$E$14+O666*Scorecard!$E$15+P666*Scorecard!$E$16+Q666*Scorecard!$E$17</f>
        <v>3.66744060518918</v>
      </c>
      <c r="U666" s="0" t="str">
        <f aca="false">IF(AND(R666&gt;=S666,R666&gt;=T666),"Distribution",IF(T666&gt;=S666,"Prof. services","Manufacturing"))</f>
        <v>Distribution</v>
      </c>
    </row>
    <row r="667" customFormat="false" ht="15" hidden="false" customHeight="false" outlineLevel="0" collapsed="false">
      <c r="A667" s="46" t="n">
        <v>0.073994</v>
      </c>
      <c r="B667" s="46" t="n">
        <v>0.320769</v>
      </c>
      <c r="C667" s="46" t="n">
        <v>0.151267</v>
      </c>
      <c r="D667" s="46" t="n">
        <v>0.166587</v>
      </c>
      <c r="E667" s="46" t="n">
        <v>0.146565</v>
      </c>
      <c r="F667" s="46" t="n">
        <v>0.140818</v>
      </c>
      <c r="G667" s="47" t="n">
        <f aca="false">A667*Scorecard!$C$12+B667*Scorecard!$C$13+C667*Scorecard!$C$14+D667*Scorecard!$C$15+E667*Scorecard!$C$16+F667*Scorecard!$C$17</f>
        <v>4.07252974477386</v>
      </c>
      <c r="H667" s="47" t="n">
        <f aca="false">A667*Scorecard!$D$12+B667*Scorecard!$D$13+C667*Scorecard!$D$14+D667*Scorecard!$D$15+E667*Scorecard!$D$16+F667*Scorecard!$D$17</f>
        <v>2.59787772638434</v>
      </c>
      <c r="I667" s="47" t="n">
        <f aca="false">A667*Scorecard!$E$12+B667*Scorecard!$E$13+C667*Scorecard!$E$14+D667*Scorecard!$E$15+E667*Scorecard!$E$16+F667*Scorecard!$E$17</f>
        <v>3.4771032959493</v>
      </c>
      <c r="J667" s="0" t="str">
        <f aca="false">IF(AND(G667&gt;=H667,G667&gt;=I667),"Distribution",IF(I667&gt;=H667,"Prof. services","Manufacturing"))</f>
        <v>Distribution</v>
      </c>
      <c r="L667" s="46" t="n">
        <v>0.213509</v>
      </c>
      <c r="M667" s="46" t="n">
        <v>0.189742</v>
      </c>
      <c r="N667" s="46" t="n">
        <v>0.064255</v>
      </c>
      <c r="O667" s="46" t="n">
        <v>0.359572</v>
      </c>
      <c r="P667" s="46" t="n">
        <v>0.148014</v>
      </c>
      <c r="Q667" s="46" t="n">
        <v>0.024909</v>
      </c>
      <c r="R667" s="47" t="n">
        <f aca="false">L667*Scorecard!$C$12+M667*Scorecard!$C$13+N667*Scorecard!$C$14+O667*Scorecard!$C$15+P667*Scorecard!$C$16+Q667*Scorecard!$C$17</f>
        <v>4.11518075515477</v>
      </c>
      <c r="S667" s="47" t="n">
        <f aca="false">L667*Scorecard!$D$12+M667*Scorecard!$D$13+N667*Scorecard!$D$14+O667*Scorecard!$D$15+P667*Scorecard!$D$16+Q667*Scorecard!$D$17</f>
        <v>3.28446290080536</v>
      </c>
      <c r="T667" s="47" t="n">
        <f aca="false">L667*Scorecard!$E$12+M667*Scorecard!$E$13+N667*Scorecard!$E$14+O667*Scorecard!$E$15+P667*Scorecard!$E$16+Q667*Scorecard!$E$17</f>
        <v>3.74666422206751</v>
      </c>
      <c r="U667" s="0" t="str">
        <f aca="false">IF(AND(R667&gt;=S667,R667&gt;=T667),"Distribution",IF(T667&gt;=S667,"Prof. services","Manufacturing"))</f>
        <v>Distribution</v>
      </c>
    </row>
    <row r="668" customFormat="false" ht="15" hidden="false" customHeight="false" outlineLevel="0" collapsed="false">
      <c r="A668" s="46" t="n">
        <v>0.022244</v>
      </c>
      <c r="B668" s="46" t="n">
        <v>0.281701</v>
      </c>
      <c r="C668" s="46" t="n">
        <v>0.089301</v>
      </c>
      <c r="D668" s="46" t="n">
        <v>0.272944</v>
      </c>
      <c r="E668" s="46" t="n">
        <v>0.30259</v>
      </c>
      <c r="F668" s="46" t="n">
        <v>0.03122</v>
      </c>
      <c r="G668" s="47" t="n">
        <f aca="false">A668*Scorecard!$C$12+B668*Scorecard!$C$13+C668*Scorecard!$C$14+D668*Scorecard!$C$15+E668*Scorecard!$C$16+F668*Scorecard!$C$17</f>
        <v>4.45216548277901</v>
      </c>
      <c r="H668" s="47" t="n">
        <f aca="false">A668*Scorecard!$D$12+B668*Scorecard!$D$13+C668*Scorecard!$D$14+D668*Scorecard!$D$15+E668*Scorecard!$D$16+F668*Scorecard!$D$17</f>
        <v>2.96186403532026</v>
      </c>
      <c r="I668" s="47" t="n">
        <f aca="false">A668*Scorecard!$E$12+B668*Scorecard!$E$13+C668*Scorecard!$E$14+D668*Scorecard!$E$15+E668*Scorecard!$E$16+F668*Scorecard!$E$17</f>
        <v>3.13927635770337</v>
      </c>
      <c r="J668" s="0" t="str">
        <f aca="false">IF(AND(G668&gt;=H668,G668&gt;=I668),"Distribution",IF(I668&gt;=H668,"Prof. services","Manufacturing"))</f>
        <v>Distribution</v>
      </c>
      <c r="L668" s="46" t="n">
        <v>0.35335</v>
      </c>
      <c r="M668" s="46" t="n">
        <v>0.091669</v>
      </c>
      <c r="N668" s="46" t="n">
        <v>0.353573</v>
      </c>
      <c r="O668" s="46" t="n">
        <v>0.071945</v>
      </c>
      <c r="P668" s="46" t="n">
        <v>0.079757</v>
      </c>
      <c r="Q668" s="46" t="n">
        <v>0.049707</v>
      </c>
      <c r="R668" s="47" t="n">
        <f aca="false">L668*Scorecard!$C$12+M668*Scorecard!$C$13+N668*Scorecard!$C$14+O668*Scorecard!$C$15+P668*Scorecard!$C$16+Q668*Scorecard!$C$17</f>
        <v>3.4281689608866</v>
      </c>
      <c r="S668" s="47" t="n">
        <f aca="false">L668*Scorecard!$D$12+M668*Scorecard!$D$13+N668*Scorecard!$D$14+O668*Scorecard!$D$15+P668*Scorecard!$D$16+Q668*Scorecard!$D$17</f>
        <v>3.13112431793416</v>
      </c>
      <c r="T668" s="47" t="n">
        <f aca="false">L668*Scorecard!$E$12+M668*Scorecard!$E$13+N668*Scorecard!$E$14+O668*Scorecard!$E$15+P668*Scorecard!$E$16+Q668*Scorecard!$E$17</f>
        <v>4.43872584492176</v>
      </c>
      <c r="U668" s="0" t="str">
        <f aca="false">IF(AND(R668&gt;=S668,R668&gt;=T668),"Distribution",IF(T668&gt;=S668,"Prof. services","Manufacturing"))</f>
        <v>Prof. services</v>
      </c>
    </row>
    <row r="669" customFormat="false" ht="15" hidden="false" customHeight="false" outlineLevel="0" collapsed="false">
      <c r="A669" s="46" t="n">
        <v>0.10625</v>
      </c>
      <c r="B669" s="46" t="n">
        <v>0.244666</v>
      </c>
      <c r="C669" s="46" t="n">
        <v>0.065407</v>
      </c>
      <c r="D669" s="46" t="n">
        <v>0.409605</v>
      </c>
      <c r="E669" s="46" t="n">
        <v>0.102634</v>
      </c>
      <c r="F669" s="46" t="n">
        <v>0.071438</v>
      </c>
      <c r="G669" s="47" t="n">
        <f aca="false">A669*Scorecard!$C$12+B669*Scorecard!$C$13+C669*Scorecard!$C$14+D669*Scorecard!$C$15+E669*Scorecard!$C$16+F669*Scorecard!$C$17</f>
        <v>4.32014348477204</v>
      </c>
      <c r="H669" s="47" t="n">
        <f aca="false">A669*Scorecard!$D$12+B669*Scorecard!$D$13+C669*Scorecard!$D$14+D669*Scorecard!$D$15+E669*Scorecard!$D$16+F669*Scorecard!$D$17</f>
        <v>3.10416912994505</v>
      </c>
      <c r="I669" s="47" t="n">
        <f aca="false">A669*Scorecard!$E$12+B669*Scorecard!$E$13+C669*Scorecard!$E$14+D669*Scorecard!$E$15+E669*Scorecard!$E$16+F669*Scorecard!$E$17</f>
        <v>3.64464721384457</v>
      </c>
      <c r="J669" s="0" t="str">
        <f aca="false">IF(AND(G669&gt;=H669,G669&gt;=I669),"Distribution",IF(I669&gt;=H669,"Prof. services","Manufacturing"))</f>
        <v>Distribution</v>
      </c>
      <c r="L669" s="46" t="n">
        <v>0.152951</v>
      </c>
      <c r="M669" s="46" t="n">
        <v>0.306338</v>
      </c>
      <c r="N669" s="46" t="n">
        <v>0.11778</v>
      </c>
      <c r="O669" s="46" t="n">
        <v>0.173803</v>
      </c>
      <c r="P669" s="46" t="n">
        <v>0.156177</v>
      </c>
      <c r="Q669" s="46" t="n">
        <v>0.092952</v>
      </c>
      <c r="R669" s="47" t="n">
        <f aca="false">L669*Scorecard!$C$12+M669*Scorecard!$C$13+N669*Scorecard!$C$14+O669*Scorecard!$C$15+P669*Scorecard!$C$16+Q669*Scorecard!$C$17</f>
        <v>4.01892701877053</v>
      </c>
      <c r="S669" s="47" t="n">
        <f aca="false">L669*Scorecard!$D$12+M669*Scorecard!$D$13+N669*Scorecard!$D$14+O669*Scorecard!$D$15+P669*Scorecard!$D$16+Q669*Scorecard!$D$17</f>
        <v>2.75505319694766</v>
      </c>
      <c r="T669" s="47" t="n">
        <f aca="false">L669*Scorecard!$E$12+M669*Scorecard!$E$13+N669*Scorecard!$E$14+O669*Scorecard!$E$15+P669*Scorecard!$E$16+Q669*Scorecard!$E$17</f>
        <v>3.51087511932512</v>
      </c>
      <c r="U669" s="0" t="str">
        <f aca="false">IF(AND(R669&gt;=S669,R669&gt;=T669),"Distribution",IF(T669&gt;=S669,"Prof. services","Manufacturing"))</f>
        <v>Distribution</v>
      </c>
    </row>
    <row r="670" customFormat="false" ht="15" hidden="false" customHeight="false" outlineLevel="0" collapsed="false">
      <c r="A670" s="46" t="n">
        <v>0.089082</v>
      </c>
      <c r="B670" s="46" t="n">
        <v>0.012897</v>
      </c>
      <c r="C670" s="46" t="n">
        <v>0.060099</v>
      </c>
      <c r="D670" s="46" t="n">
        <v>0.670871</v>
      </c>
      <c r="E670" s="46" t="n">
        <v>0.08865</v>
      </c>
      <c r="F670" s="46" t="n">
        <v>0.078401</v>
      </c>
      <c r="G670" s="47" t="n">
        <f aca="false">A670*Scorecard!$C$12+B670*Scorecard!$C$13+C670*Scorecard!$C$14+D670*Scorecard!$C$15+E670*Scorecard!$C$16+F670*Scorecard!$C$17</f>
        <v>4.36661712960436</v>
      </c>
      <c r="H670" s="47" t="n">
        <f aca="false">A670*Scorecard!$D$12+B670*Scorecard!$D$13+C670*Scorecard!$D$14+D670*Scorecard!$D$15+E670*Scorecard!$D$16+F670*Scorecard!$D$17</f>
        <v>3.72806100446275</v>
      </c>
      <c r="I670" s="47" t="n">
        <f aca="false">A670*Scorecard!$E$12+B670*Scorecard!$E$13+C670*Scorecard!$E$14+D670*Scorecard!$E$15+E670*Scorecard!$E$16+F670*Scorecard!$E$17</f>
        <v>4.12653885881937</v>
      </c>
      <c r="J670" s="0" t="str">
        <f aca="false">IF(AND(G670&gt;=H670,G670&gt;=I670),"Distribution",IF(I670&gt;=H670,"Prof. services","Manufacturing"))</f>
        <v>Distribution</v>
      </c>
      <c r="L670" s="46" t="n">
        <v>0.260962</v>
      </c>
      <c r="M670" s="46" t="n">
        <v>0.18493</v>
      </c>
      <c r="N670" s="46" t="n">
        <v>0.190766</v>
      </c>
      <c r="O670" s="46" t="n">
        <v>0.179665</v>
      </c>
      <c r="P670" s="46" t="n">
        <v>0.101958</v>
      </c>
      <c r="Q670" s="46" t="n">
        <v>0.081718</v>
      </c>
      <c r="R670" s="47" t="n">
        <f aca="false">L670*Scorecard!$C$12+M670*Scorecard!$C$13+N670*Scorecard!$C$14+O670*Scorecard!$C$15+P670*Scorecard!$C$16+Q670*Scorecard!$C$17</f>
        <v>3.73141967842901</v>
      </c>
      <c r="S670" s="47" t="n">
        <f aca="false">L670*Scorecard!$D$12+M670*Scorecard!$D$13+N670*Scorecard!$D$14+O670*Scorecard!$D$15+P670*Scorecard!$D$16+Q670*Scorecard!$D$17</f>
        <v>3.01419150503537</v>
      </c>
      <c r="T670" s="47" t="n">
        <f aca="false">L670*Scorecard!$E$12+M670*Scorecard!$E$13+N670*Scorecard!$E$14+O670*Scorecard!$E$15+P670*Scorecard!$E$16+Q670*Scorecard!$E$17</f>
        <v>4.0052854655438</v>
      </c>
      <c r="U670" s="0" t="str">
        <f aca="false">IF(AND(R670&gt;=S670,R670&gt;=T670),"Distribution",IF(T670&gt;=S670,"Prof. services","Manufacturing"))</f>
        <v>Prof. services</v>
      </c>
    </row>
    <row r="671" customFormat="false" ht="15" hidden="false" customHeight="false" outlineLevel="0" collapsed="false">
      <c r="A671" s="46" t="n">
        <v>0.272655</v>
      </c>
      <c r="B671" s="46" t="n">
        <v>0.259545</v>
      </c>
      <c r="C671" s="46" t="n">
        <v>0.037416</v>
      </c>
      <c r="D671" s="46" t="n">
        <v>0.3247</v>
      </c>
      <c r="E671" s="46" t="n">
        <v>0.036431</v>
      </c>
      <c r="F671" s="46" t="n">
        <v>0.069253</v>
      </c>
      <c r="G671" s="47" t="n">
        <f aca="false">A671*Scorecard!$C$12+B671*Scorecard!$C$13+C671*Scorecard!$C$14+D671*Scorecard!$C$15+E671*Scorecard!$C$16+F671*Scorecard!$C$17</f>
        <v>3.9549561116755</v>
      </c>
      <c r="H671" s="47" t="n">
        <f aca="false">A671*Scorecard!$D$12+B671*Scorecard!$D$13+C671*Scorecard!$D$14+D671*Scorecard!$D$15+E671*Scorecard!$D$16+F671*Scorecard!$D$17</f>
        <v>3.07467469586976</v>
      </c>
      <c r="I671" s="47" t="n">
        <f aca="false">A671*Scorecard!$E$12+B671*Scorecard!$E$13+C671*Scorecard!$E$14+D671*Scorecard!$E$15+E671*Scorecard!$E$16+F671*Scorecard!$E$17</f>
        <v>3.85046639893494</v>
      </c>
      <c r="J671" s="0" t="str">
        <f aca="false">IF(AND(G671&gt;=H671,G671&gt;=I671),"Distribution",IF(I671&gt;=H671,"Prof. services","Manufacturing"))</f>
        <v>Distribution</v>
      </c>
      <c r="L671" s="46" t="n">
        <v>0.203556</v>
      </c>
      <c r="M671" s="46" t="n">
        <v>0.257314</v>
      </c>
      <c r="N671" s="46" t="n">
        <v>0.168262</v>
      </c>
      <c r="O671" s="46" t="n">
        <v>0.129688</v>
      </c>
      <c r="P671" s="46" t="n">
        <v>0.162775</v>
      </c>
      <c r="Q671" s="46" t="n">
        <v>0.078405</v>
      </c>
      <c r="R671" s="47" t="n">
        <f aca="false">L671*Scorecard!$C$12+M671*Scorecard!$C$13+N671*Scorecard!$C$14+O671*Scorecard!$C$15+P671*Scorecard!$C$16+Q671*Scorecard!$C$17</f>
        <v>3.86378829709419</v>
      </c>
      <c r="S671" s="47" t="n">
        <f aca="false">L671*Scorecard!$D$12+M671*Scorecard!$D$13+N671*Scorecard!$D$14+O671*Scorecard!$D$15+P671*Scorecard!$D$16+Q671*Scorecard!$D$17</f>
        <v>2.83501289688502</v>
      </c>
      <c r="T671" s="47" t="n">
        <f aca="false">L671*Scorecard!$E$12+M671*Scorecard!$E$13+N671*Scorecard!$E$14+O671*Scorecard!$E$15+P671*Scorecard!$E$16+Q671*Scorecard!$E$17</f>
        <v>3.67839703222915</v>
      </c>
      <c r="U671" s="0" t="str">
        <f aca="false">IF(AND(R671&gt;=S671,R671&gt;=T671),"Distribution",IF(T671&gt;=S671,"Prof. services","Manufacturing"))</f>
        <v>Distribution</v>
      </c>
    </row>
    <row r="672" customFormat="false" ht="15" hidden="false" customHeight="false" outlineLevel="0" collapsed="false">
      <c r="A672" s="46" t="n">
        <v>0.008963</v>
      </c>
      <c r="B672" s="46" t="n">
        <v>0.232526</v>
      </c>
      <c r="C672" s="46" t="n">
        <v>0.190895</v>
      </c>
      <c r="D672" s="46" t="n">
        <v>0.065883</v>
      </c>
      <c r="E672" s="46" t="n">
        <v>0.164175</v>
      </c>
      <c r="F672" s="46" t="n">
        <v>0.337558</v>
      </c>
      <c r="G672" s="47" t="n">
        <f aca="false">A672*Scorecard!$C$12+B672*Scorecard!$C$13+C672*Scorecard!$C$14+D672*Scorecard!$C$15+E672*Scorecard!$C$16+F672*Scorecard!$C$17</f>
        <v>3.60715947217894</v>
      </c>
      <c r="H672" s="47" t="n">
        <f aca="false">A672*Scorecard!$D$12+B672*Scorecard!$D$13+C672*Scorecard!$D$14+D672*Scorecard!$D$15+E672*Scorecard!$D$16+F672*Scorecard!$D$17</f>
        <v>2.28155538309008</v>
      </c>
      <c r="I672" s="47" t="n">
        <f aca="false">A672*Scorecard!$E$12+B672*Scorecard!$E$13+C672*Scorecard!$E$14+D672*Scorecard!$E$15+E672*Scorecard!$E$16+F672*Scorecard!$E$17</f>
        <v>3.66970120794485</v>
      </c>
      <c r="J672" s="0" t="str">
        <f aca="false">IF(AND(G672&gt;=H672,G672&gt;=I672),"Distribution",IF(I672&gt;=H672,"Prof. services","Manufacturing"))</f>
        <v>Prof. services</v>
      </c>
      <c r="L672" s="46" t="n">
        <v>0.171102</v>
      </c>
      <c r="M672" s="46" t="n">
        <v>0.312423</v>
      </c>
      <c r="N672" s="46" t="n">
        <v>0.248793</v>
      </c>
      <c r="O672" s="46" t="n">
        <v>0.142036</v>
      </c>
      <c r="P672" s="46" t="n">
        <v>0.096978</v>
      </c>
      <c r="Q672" s="46" t="n">
        <v>0.028668</v>
      </c>
      <c r="R672" s="47" t="n">
        <f aca="false">L672*Scorecard!$C$12+M672*Scorecard!$C$13+N672*Scorecard!$C$14+O672*Scorecard!$C$15+P672*Scorecard!$C$16+Q672*Scorecard!$C$17</f>
        <v>4.08913695991968</v>
      </c>
      <c r="S672" s="47" t="n">
        <f aca="false">L672*Scorecard!$D$12+M672*Scorecard!$D$13+N672*Scorecard!$D$14+O672*Scorecard!$D$15+P672*Scorecard!$D$16+Q672*Scorecard!$D$17</f>
        <v>2.79782443831309</v>
      </c>
      <c r="T672" s="47" t="n">
        <f aca="false">L672*Scorecard!$E$12+M672*Scorecard!$E$13+N672*Scorecard!$E$14+O672*Scorecard!$E$15+P672*Scorecard!$E$16+Q672*Scorecard!$E$17</f>
        <v>3.70993187866138</v>
      </c>
      <c r="U672" s="0" t="str">
        <f aca="false">IF(AND(R672&gt;=S672,R672&gt;=T672),"Distribution",IF(T672&gt;=S672,"Prof. services","Manufacturing"))</f>
        <v>Distribution</v>
      </c>
    </row>
    <row r="673" customFormat="false" ht="15" hidden="false" customHeight="false" outlineLevel="0" collapsed="false">
      <c r="A673" s="46" t="n">
        <v>0.095774</v>
      </c>
      <c r="B673" s="46" t="n">
        <v>0.242072</v>
      </c>
      <c r="C673" s="46" t="n">
        <v>0.056167</v>
      </c>
      <c r="D673" s="46" t="n">
        <v>0.008006</v>
      </c>
      <c r="E673" s="46" t="n">
        <v>0.087768</v>
      </c>
      <c r="F673" s="46" t="n">
        <v>0.510213</v>
      </c>
      <c r="G673" s="47" t="n">
        <f aca="false">A673*Scorecard!$C$12+B673*Scorecard!$C$13+C673*Scorecard!$C$14+D673*Scorecard!$C$15+E673*Scorecard!$C$16+F673*Scorecard!$C$17</f>
        <v>3.05725743416995</v>
      </c>
      <c r="H673" s="47" t="n">
        <f aca="false">A673*Scorecard!$D$12+B673*Scorecard!$D$13+C673*Scorecard!$D$14+D673*Scorecard!$D$15+E673*Scorecard!$D$16+F673*Scorecard!$D$17</f>
        <v>1.9731174435518</v>
      </c>
      <c r="I673" s="47" t="n">
        <f aca="false">A673*Scorecard!$E$12+B673*Scorecard!$E$13+C673*Scorecard!$E$14+D673*Scorecard!$E$15+E673*Scorecard!$E$16+F673*Scorecard!$E$17</f>
        <v>3.80805414003507</v>
      </c>
      <c r="J673" s="0" t="str">
        <f aca="false">IF(AND(G673&gt;=H673,G673&gt;=I673),"Distribution",IF(I673&gt;=H673,"Prof. services","Manufacturing"))</f>
        <v>Prof. services</v>
      </c>
      <c r="L673" s="46" t="n">
        <v>0.30146</v>
      </c>
      <c r="M673" s="46" t="n">
        <v>0.178337</v>
      </c>
      <c r="N673" s="46" t="n">
        <v>0.121431</v>
      </c>
      <c r="O673" s="46" t="n">
        <v>0.116749</v>
      </c>
      <c r="P673" s="46" t="n">
        <v>0.21039</v>
      </c>
      <c r="Q673" s="46" t="n">
        <v>0.071632</v>
      </c>
      <c r="R673" s="47" t="n">
        <f aca="false">L673*Scorecard!$C$12+M673*Scorecard!$C$13+N673*Scorecard!$C$14+O673*Scorecard!$C$15+P673*Scorecard!$C$16+Q673*Scorecard!$C$17</f>
        <v>3.60918570088828</v>
      </c>
      <c r="S673" s="47" t="n">
        <f aca="false">L673*Scorecard!$D$12+M673*Scorecard!$D$13+N673*Scorecard!$D$14+O673*Scorecard!$D$15+P673*Scorecard!$D$16+Q673*Scorecard!$D$17</f>
        <v>3.02927737445963</v>
      </c>
      <c r="T673" s="47" t="n">
        <f aca="false">L673*Scorecard!$E$12+M673*Scorecard!$E$13+N673*Scorecard!$E$14+O673*Scorecard!$E$15+P673*Scorecard!$E$16+Q673*Scorecard!$E$17</f>
        <v>3.79272605334319</v>
      </c>
      <c r="U673" s="0" t="str">
        <f aca="false">IF(AND(R673&gt;=S673,R673&gt;=T673),"Distribution",IF(T673&gt;=S673,"Prof. services","Manufacturing"))</f>
        <v>Prof. services</v>
      </c>
    </row>
    <row r="674" customFormat="false" ht="15" hidden="false" customHeight="false" outlineLevel="0" collapsed="false">
      <c r="A674" s="46" t="n">
        <v>0.125618</v>
      </c>
      <c r="B674" s="46" t="n">
        <v>0.083215</v>
      </c>
      <c r="C674" s="46" t="n">
        <v>0.1404</v>
      </c>
      <c r="D674" s="46" t="n">
        <v>0.298291</v>
      </c>
      <c r="E674" s="46" t="n">
        <v>0.132543</v>
      </c>
      <c r="F674" s="46" t="n">
        <v>0.219934</v>
      </c>
      <c r="G674" s="47" t="n">
        <f aca="false">A674*Scorecard!$C$12+B674*Scorecard!$C$13+C674*Scorecard!$C$14+D674*Scorecard!$C$15+E674*Scorecard!$C$16+F674*Scorecard!$C$17</f>
        <v>3.7155278085656</v>
      </c>
      <c r="H674" s="47" t="n">
        <f aca="false">A674*Scorecard!$D$12+B674*Scorecard!$D$13+C674*Scorecard!$D$14+D674*Scorecard!$D$15+E674*Scorecard!$D$16+F674*Scorecard!$D$17</f>
        <v>3.01766791495937</v>
      </c>
      <c r="I674" s="47" t="n">
        <f aca="false">A674*Scorecard!$E$12+B674*Scorecard!$E$13+C674*Scorecard!$E$14+D674*Scorecard!$E$15+E674*Scorecard!$E$16+F674*Scorecard!$E$17</f>
        <v>4.04795959522869</v>
      </c>
      <c r="J674" s="0" t="str">
        <f aca="false">IF(AND(G674&gt;=H674,G674&gt;=I674),"Distribution",IF(I674&gt;=H674,"Prof. services","Manufacturing"))</f>
        <v>Prof. services</v>
      </c>
      <c r="L674" s="46" t="n">
        <v>0.212377</v>
      </c>
      <c r="M674" s="46" t="n">
        <v>0.145799</v>
      </c>
      <c r="N674" s="46" t="n">
        <v>0.183683</v>
      </c>
      <c r="O674" s="46" t="n">
        <v>0.140876</v>
      </c>
      <c r="P674" s="46" t="n">
        <v>0.186265</v>
      </c>
      <c r="Q674" s="46" t="n">
        <v>0.131</v>
      </c>
      <c r="R674" s="47" t="n">
        <f aca="false">L674*Scorecard!$C$12+M674*Scorecard!$C$13+N674*Scorecard!$C$14+O674*Scorecard!$C$15+P674*Scorecard!$C$16+Q674*Scorecard!$C$17</f>
        <v>3.64239337129819</v>
      </c>
      <c r="S674" s="47" t="n">
        <f aca="false">L674*Scorecard!$D$12+M674*Scorecard!$D$13+N674*Scorecard!$D$14+O674*Scorecard!$D$15+P674*Scorecard!$D$16+Q674*Scorecard!$D$17</f>
        <v>2.95011302811742</v>
      </c>
      <c r="T674" s="47" t="n">
        <f aca="false">L674*Scorecard!$E$12+M674*Scorecard!$E$13+N674*Scorecard!$E$14+O674*Scorecard!$E$15+P674*Scorecard!$E$16+Q674*Scorecard!$E$17</f>
        <v>3.90077874214883</v>
      </c>
      <c r="U674" s="0" t="str">
        <f aca="false">IF(AND(R674&gt;=S674,R674&gt;=T674),"Distribution",IF(T674&gt;=S674,"Prof. services","Manufacturing"))</f>
        <v>Prof. services</v>
      </c>
    </row>
    <row r="675" customFormat="false" ht="15" hidden="false" customHeight="false" outlineLevel="0" collapsed="false">
      <c r="A675" s="46" t="n">
        <v>0.073837</v>
      </c>
      <c r="B675" s="46" t="n">
        <v>0.005216</v>
      </c>
      <c r="C675" s="46" t="n">
        <v>0.061609</v>
      </c>
      <c r="D675" s="46" t="n">
        <v>0.226467</v>
      </c>
      <c r="E675" s="46" t="n">
        <v>0.105915</v>
      </c>
      <c r="F675" s="46" t="n">
        <v>0.526955</v>
      </c>
      <c r="G675" s="47" t="n">
        <f aca="false">A675*Scorecard!$C$12+B675*Scorecard!$C$13+C675*Scorecard!$C$14+D675*Scorecard!$C$15+E675*Scorecard!$C$16+F675*Scorecard!$C$17</f>
        <v>3.04486134701283</v>
      </c>
      <c r="H675" s="47" t="n">
        <f aca="false">A675*Scorecard!$D$12+B675*Scorecard!$D$13+C675*Scorecard!$D$14+D675*Scorecard!$D$15+E675*Scorecard!$D$16+F675*Scorecard!$D$17</f>
        <v>2.54798075942515</v>
      </c>
      <c r="I675" s="47" t="n">
        <f aca="false">A675*Scorecard!$E$12+B675*Scorecard!$E$13+C675*Scorecard!$E$14+D675*Scorecard!$E$15+E675*Scorecard!$E$16+F675*Scorecard!$E$17</f>
        <v>4.24977699266031</v>
      </c>
      <c r="J675" s="0" t="str">
        <f aca="false">IF(AND(G675&gt;=H675,G675&gt;=I675),"Distribution",IF(I675&gt;=H675,"Prof. services","Manufacturing"))</f>
        <v>Prof. services</v>
      </c>
      <c r="L675" s="46" t="n">
        <v>0.219939</v>
      </c>
      <c r="M675" s="46" t="n">
        <v>0.144207</v>
      </c>
      <c r="N675" s="46" t="n">
        <v>0.342642</v>
      </c>
      <c r="O675" s="46" t="n">
        <v>0.131692</v>
      </c>
      <c r="P675" s="46" t="n">
        <v>0.039539</v>
      </c>
      <c r="Q675" s="46" t="n">
        <v>0.121981</v>
      </c>
      <c r="R675" s="47" t="n">
        <f aca="false">L675*Scorecard!$C$12+M675*Scorecard!$C$13+N675*Scorecard!$C$14+O675*Scorecard!$C$15+P675*Scorecard!$C$16+Q675*Scorecard!$C$17</f>
        <v>3.63604366345674</v>
      </c>
      <c r="S675" s="47" t="n">
        <f aca="false">L675*Scorecard!$D$12+M675*Scorecard!$D$13+N675*Scorecard!$D$14+O675*Scorecard!$D$15+P675*Scorecard!$D$16+Q675*Scorecard!$D$17</f>
        <v>2.91148575201033</v>
      </c>
      <c r="T675" s="47" t="n">
        <f aca="false">L675*Scorecard!$E$12+M675*Scorecard!$E$13+N675*Scorecard!$E$14+O675*Scorecard!$E$15+P675*Scorecard!$E$16+Q675*Scorecard!$E$17</f>
        <v>4.30881232225607</v>
      </c>
      <c r="U675" s="0" t="str">
        <f aca="false">IF(AND(R675&gt;=S675,R675&gt;=T675),"Distribution",IF(T675&gt;=S675,"Prof. services","Manufacturing"))</f>
        <v>Prof. services</v>
      </c>
    </row>
    <row r="676" customFormat="false" ht="15" hidden="false" customHeight="false" outlineLevel="0" collapsed="false">
      <c r="A676" s="46" t="n">
        <v>0.145169</v>
      </c>
      <c r="B676" s="46" t="n">
        <v>0.238968</v>
      </c>
      <c r="C676" s="46" t="n">
        <v>0.263499</v>
      </c>
      <c r="D676" s="46" t="n">
        <v>0.112254</v>
      </c>
      <c r="E676" s="46" t="n">
        <v>0.094297</v>
      </c>
      <c r="F676" s="46" t="n">
        <v>0.145813</v>
      </c>
      <c r="G676" s="47" t="n">
        <f aca="false">A676*Scorecard!$C$12+B676*Scorecard!$C$13+C676*Scorecard!$C$14+D676*Scorecard!$C$15+E676*Scorecard!$C$16+F676*Scorecard!$C$17</f>
        <v>3.79828972974939</v>
      </c>
      <c r="H676" s="47" t="n">
        <f aca="false">A676*Scorecard!$D$12+B676*Scorecard!$D$13+C676*Scorecard!$D$14+D676*Scorecard!$D$15+E676*Scorecard!$D$16+F676*Scorecard!$D$17</f>
        <v>2.67986248552829</v>
      </c>
      <c r="I676" s="47" t="n">
        <f aca="false">A676*Scorecard!$E$12+B676*Scorecard!$E$13+C676*Scorecard!$E$14+D676*Scorecard!$E$15+E676*Scorecard!$E$16+F676*Scorecard!$E$17</f>
        <v>3.8946294630177</v>
      </c>
      <c r="J676" s="0" t="str">
        <f aca="false">IF(AND(G676&gt;=H676,G676&gt;=I676),"Distribution",IF(I676&gt;=H676,"Prof. services","Manufacturing"))</f>
        <v>Prof. services</v>
      </c>
      <c r="L676" s="46" t="n">
        <v>0.310308</v>
      </c>
      <c r="M676" s="46" t="n">
        <v>0.233173</v>
      </c>
      <c r="N676" s="46" t="n">
        <v>0.138752</v>
      </c>
      <c r="O676" s="46" t="n">
        <v>0.079823</v>
      </c>
      <c r="P676" s="46" t="n">
        <v>0.173512</v>
      </c>
      <c r="Q676" s="46" t="n">
        <v>0.064432</v>
      </c>
      <c r="R676" s="47" t="n">
        <f aca="false">L676*Scorecard!$C$12+M676*Scorecard!$C$13+N676*Scorecard!$C$14+O676*Scorecard!$C$15+P676*Scorecard!$C$16+Q676*Scorecard!$C$17</f>
        <v>3.62557317470723</v>
      </c>
      <c r="S676" s="47" t="n">
        <f aca="false">L676*Scorecard!$D$12+M676*Scorecard!$D$13+N676*Scorecard!$D$14+O676*Scorecard!$D$15+P676*Scorecard!$D$16+Q676*Scorecard!$D$17</f>
        <v>2.90857624173571</v>
      </c>
      <c r="T676" s="47" t="n">
        <f aca="false">L676*Scorecard!$E$12+M676*Scorecard!$E$13+N676*Scorecard!$E$14+O676*Scorecard!$E$15+P676*Scorecard!$E$16+Q676*Scorecard!$E$17</f>
        <v>3.76785273310414</v>
      </c>
      <c r="U676" s="0" t="str">
        <f aca="false">IF(AND(R676&gt;=S676,R676&gt;=T676),"Distribution",IF(T676&gt;=S676,"Prof. services","Manufacturing"))</f>
        <v>Prof. services</v>
      </c>
    </row>
    <row r="677" customFormat="false" ht="15" hidden="false" customHeight="false" outlineLevel="0" collapsed="false">
      <c r="A677" s="46" t="n">
        <v>0.27588</v>
      </c>
      <c r="B677" s="46" t="n">
        <v>0.218292</v>
      </c>
      <c r="C677" s="46" t="n">
        <v>0.206326</v>
      </c>
      <c r="D677" s="46" t="n">
        <v>0.027457</v>
      </c>
      <c r="E677" s="46" t="n">
        <v>0.081644</v>
      </c>
      <c r="F677" s="46" t="n">
        <v>0.190401</v>
      </c>
      <c r="G677" s="47" t="n">
        <f aca="false">A677*Scorecard!$C$12+B677*Scorecard!$C$13+C677*Scorecard!$C$14+D677*Scorecard!$C$15+E677*Scorecard!$C$16+F677*Scorecard!$C$17</f>
        <v>3.36835906568387</v>
      </c>
      <c r="H677" s="47" t="n">
        <f aca="false">A677*Scorecard!$D$12+B677*Scorecard!$D$13+C677*Scorecard!$D$14+D677*Scorecard!$D$15+E677*Scorecard!$D$16+F677*Scorecard!$D$17</f>
        <v>2.62797406491538</v>
      </c>
      <c r="I677" s="47" t="n">
        <f aca="false">A677*Scorecard!$E$12+B677*Scorecard!$E$13+C677*Scorecard!$E$14+D677*Scorecard!$E$15+E677*Scorecard!$E$16+F677*Scorecard!$E$17</f>
        <v>4.03641338695465</v>
      </c>
      <c r="J677" s="0" t="str">
        <f aca="false">IF(AND(G677&gt;=H677,G677&gt;=I677),"Distribution",IF(I677&gt;=H677,"Prof. services","Manufacturing"))</f>
        <v>Prof. services</v>
      </c>
      <c r="L677" s="46" t="n">
        <v>0.265842</v>
      </c>
      <c r="M677" s="46" t="n">
        <v>0.160395</v>
      </c>
      <c r="N677" s="46" t="n">
        <v>0.152236</v>
      </c>
      <c r="O677" s="46" t="n">
        <v>0.298923</v>
      </c>
      <c r="P677" s="46" t="n">
        <v>0.036587</v>
      </c>
      <c r="Q677" s="46" t="n">
        <v>0.086016</v>
      </c>
      <c r="R677" s="47" t="n">
        <f aca="false">L677*Scorecard!$C$12+M677*Scorecard!$C$13+N677*Scorecard!$C$14+O677*Scorecard!$C$15+P677*Scorecard!$C$16+Q677*Scorecard!$C$17</f>
        <v>3.80876260883548</v>
      </c>
      <c r="S677" s="47" t="n">
        <f aca="false">L677*Scorecard!$D$12+M677*Scorecard!$D$13+N677*Scorecard!$D$14+O677*Scorecard!$D$15+P677*Scorecard!$D$16+Q677*Scorecard!$D$17</f>
        <v>3.16406270713967</v>
      </c>
      <c r="T677" s="47" t="n">
        <f aca="false">L677*Scorecard!$E$12+M677*Scorecard!$E$13+N677*Scorecard!$E$14+O677*Scorecard!$E$15+P677*Scorecard!$E$16+Q677*Scorecard!$E$17</f>
        <v>4.14832513333898</v>
      </c>
      <c r="U677" s="0" t="str">
        <f aca="false">IF(AND(R677&gt;=S677,R677&gt;=T677),"Distribution",IF(T677&gt;=S677,"Prof. services","Manufacturing"))</f>
        <v>Prof. services</v>
      </c>
    </row>
    <row r="678" customFormat="false" ht="15" hidden="false" customHeight="false" outlineLevel="0" collapsed="false">
      <c r="A678" s="46" t="n">
        <v>0.162576</v>
      </c>
      <c r="B678" s="46" t="n">
        <v>0.629821</v>
      </c>
      <c r="C678" s="46" t="n">
        <v>0.014813</v>
      </c>
      <c r="D678" s="46" t="n">
        <v>0.092617</v>
      </c>
      <c r="E678" s="46" t="n">
        <v>0.012897</v>
      </c>
      <c r="F678" s="46" t="n">
        <v>0.087277</v>
      </c>
      <c r="G678" s="47" t="n">
        <f aca="false">A678*Scorecard!$C$12+B678*Scorecard!$C$13+C678*Scorecard!$C$14+D678*Scorecard!$C$15+E678*Scorecard!$C$16+F678*Scorecard!$C$17</f>
        <v>4.2552488815087</v>
      </c>
      <c r="H678" s="47" t="n">
        <f aca="false">A678*Scorecard!$D$12+B678*Scorecard!$D$13+C678*Scorecard!$D$14+D678*Scorecard!$D$15+E678*Scorecard!$D$16+F678*Scorecard!$D$17</f>
        <v>2.14263059350003</v>
      </c>
      <c r="I678" s="47" t="n">
        <f aca="false">A678*Scorecard!$E$12+B678*Scorecard!$E$13+C678*Scorecard!$E$14+D678*Scorecard!$E$15+E678*Scorecard!$E$16+F678*Scorecard!$E$17</f>
        <v>3.03345148032562</v>
      </c>
      <c r="J678" s="0" t="str">
        <f aca="false">IF(AND(G678&gt;=H678,G678&gt;=I678),"Distribution",IF(I678&gt;=H678,"Prof. services","Manufacturing"))</f>
        <v>Distribution</v>
      </c>
      <c r="L678" s="46" t="n">
        <v>0.098491</v>
      </c>
      <c r="M678" s="46" t="n">
        <v>0.374206</v>
      </c>
      <c r="N678" s="46" t="n">
        <v>0.112173</v>
      </c>
      <c r="O678" s="46" t="n">
        <v>0.200064</v>
      </c>
      <c r="P678" s="46" t="n">
        <v>0.18666</v>
      </c>
      <c r="Q678" s="46" t="n">
        <v>0.028405</v>
      </c>
      <c r="R678" s="47" t="n">
        <f aca="false">L678*Scorecard!$C$12+M678*Scorecard!$C$13+N678*Scorecard!$C$14+O678*Scorecard!$C$15+P678*Scorecard!$C$16+Q678*Scorecard!$C$17</f>
        <v>4.3401707954229</v>
      </c>
      <c r="S678" s="47" t="n">
        <f aca="false">L678*Scorecard!$D$12+M678*Scorecard!$D$13+N678*Scorecard!$D$14+O678*Scorecard!$D$15+P678*Scorecard!$D$16+Q678*Scorecard!$D$17</f>
        <v>2.75458600633392</v>
      </c>
      <c r="T678" s="47" t="n">
        <f aca="false">L678*Scorecard!$E$12+M678*Scorecard!$E$13+N678*Scorecard!$E$14+O678*Scorecard!$E$15+P678*Scorecard!$E$16+Q678*Scorecard!$E$17</f>
        <v>3.24473894367085</v>
      </c>
      <c r="U678" s="0" t="str">
        <f aca="false">IF(AND(R678&gt;=S678,R678&gt;=T678),"Distribution",IF(T678&gt;=S678,"Prof. services","Manufacturing"))</f>
        <v>Distribution</v>
      </c>
    </row>
    <row r="679" customFormat="false" ht="15" hidden="false" customHeight="false" outlineLevel="0" collapsed="false">
      <c r="A679" s="46" t="n">
        <v>0.001831</v>
      </c>
      <c r="B679" s="46" t="n">
        <v>0.563009</v>
      </c>
      <c r="C679" s="46" t="n">
        <v>0.137431</v>
      </c>
      <c r="D679" s="46" t="n">
        <v>0.120051</v>
      </c>
      <c r="E679" s="46" t="n">
        <v>0.123854</v>
      </c>
      <c r="F679" s="46" t="n">
        <v>0.053824</v>
      </c>
      <c r="G679" s="47" t="n">
        <f aca="false">A679*Scorecard!$C$12+B679*Scorecard!$C$13+C679*Scorecard!$C$14+D679*Scorecard!$C$15+E679*Scorecard!$C$16+F679*Scorecard!$C$17</f>
        <v>4.57211617388817</v>
      </c>
      <c r="H679" s="47" t="n">
        <f aca="false">A679*Scorecard!$D$12+B679*Scorecard!$D$13+C679*Scorecard!$D$14+D679*Scorecard!$D$15+E679*Scorecard!$D$16+F679*Scorecard!$D$17</f>
        <v>2.25565647604279</v>
      </c>
      <c r="I679" s="47" t="n">
        <f aca="false">A679*Scorecard!$E$12+B679*Scorecard!$E$13+C679*Scorecard!$E$14+D679*Scorecard!$E$15+E679*Scorecard!$E$16+F679*Scorecard!$E$17</f>
        <v>2.92347960238184</v>
      </c>
      <c r="J679" s="0" t="str">
        <f aca="false">IF(AND(G679&gt;=H679,G679&gt;=I679),"Distribution",IF(I679&gt;=H679,"Prof. services","Manufacturing"))</f>
        <v>Distribution</v>
      </c>
      <c r="L679" s="46" t="n">
        <v>0.229797</v>
      </c>
      <c r="M679" s="46" t="n">
        <v>0.155555</v>
      </c>
      <c r="N679" s="46" t="n">
        <v>0.247932</v>
      </c>
      <c r="O679" s="46" t="n">
        <v>0.106317</v>
      </c>
      <c r="P679" s="46" t="n">
        <v>0.173777</v>
      </c>
      <c r="Q679" s="46" t="n">
        <v>0.086623</v>
      </c>
      <c r="R679" s="47" t="n">
        <f aca="false">L679*Scorecard!$C$12+M679*Scorecard!$C$13+N679*Scorecard!$C$14+O679*Scorecard!$C$15+P679*Scorecard!$C$16+Q679*Scorecard!$C$17</f>
        <v>3.67499212287211</v>
      </c>
      <c r="S679" s="47" t="n">
        <f aca="false">L679*Scorecard!$D$12+M679*Scorecard!$D$13+N679*Scorecard!$D$14+O679*Scorecard!$D$15+P679*Scorecard!$D$16+Q679*Scorecard!$D$17</f>
        <v>2.96937492892367</v>
      </c>
      <c r="T679" s="47" t="n">
        <f aca="false">L679*Scorecard!$E$12+M679*Scorecard!$E$13+N679*Scorecard!$E$14+O679*Scorecard!$E$15+P679*Scorecard!$E$16+Q679*Scorecard!$E$17</f>
        <v>3.95710685713008</v>
      </c>
      <c r="U679" s="0" t="str">
        <f aca="false">IF(AND(R679&gt;=S679,R679&gt;=T679),"Distribution",IF(T679&gt;=S679,"Prof. services","Manufacturing"))</f>
        <v>Prof. services</v>
      </c>
    </row>
    <row r="680" customFormat="false" ht="15" hidden="false" customHeight="false" outlineLevel="0" collapsed="false">
      <c r="A680" s="46" t="n">
        <v>0.069314</v>
      </c>
      <c r="B680" s="46" t="n">
        <v>0.38131</v>
      </c>
      <c r="C680" s="46" t="n">
        <v>0.051692</v>
      </c>
      <c r="D680" s="46" t="n">
        <v>0.018729</v>
      </c>
      <c r="E680" s="46" t="n">
        <v>0.152927</v>
      </c>
      <c r="F680" s="46" t="n">
        <v>0.326028</v>
      </c>
      <c r="G680" s="47" t="n">
        <f aca="false">A680*Scorecard!$C$12+B680*Scorecard!$C$13+C680*Scorecard!$C$14+D680*Scorecard!$C$15+E680*Scorecard!$C$16+F680*Scorecard!$C$17</f>
        <v>3.62321681151519</v>
      </c>
      <c r="H680" s="47" t="n">
        <f aca="false">A680*Scorecard!$D$12+B680*Scorecard!$D$13+C680*Scorecard!$D$14+D680*Scorecard!$D$15+E680*Scorecard!$D$16+F680*Scorecard!$D$17</f>
        <v>2.05705335151396</v>
      </c>
      <c r="I680" s="47" t="n">
        <f aca="false">A680*Scorecard!$E$12+B680*Scorecard!$E$13+C680*Scorecard!$E$14+D680*Scorecard!$E$15+E680*Scorecard!$E$16+F680*Scorecard!$E$17</f>
        <v>3.31703500325744</v>
      </c>
      <c r="J680" s="0" t="str">
        <f aca="false">IF(AND(G680&gt;=H680,G680&gt;=I680),"Distribution",IF(I680&gt;=H680,"Prof. services","Manufacturing"))</f>
        <v>Distribution</v>
      </c>
      <c r="L680" s="46" t="n">
        <v>0.224062</v>
      </c>
      <c r="M680" s="46" t="n">
        <v>0.239832</v>
      </c>
      <c r="N680" s="46" t="n">
        <v>0.17454</v>
      </c>
      <c r="O680" s="46" t="n">
        <v>0.116394</v>
      </c>
      <c r="P680" s="46" t="n">
        <v>0.180642</v>
      </c>
      <c r="Q680" s="46" t="n">
        <v>0.064528</v>
      </c>
      <c r="R680" s="47" t="n">
        <f aca="false">L680*Scorecard!$C$12+M680*Scorecard!$C$13+N680*Scorecard!$C$14+O680*Scorecard!$C$15+P680*Scorecard!$C$16+Q680*Scorecard!$C$17</f>
        <v>3.82384720465876</v>
      </c>
      <c r="S680" s="47" t="n">
        <f aca="false">L680*Scorecard!$D$12+M680*Scorecard!$D$13+N680*Scorecard!$D$14+O680*Scorecard!$D$15+P680*Scorecard!$D$16+Q680*Scorecard!$D$17</f>
        <v>2.88617411769695</v>
      </c>
      <c r="T680" s="47" t="n">
        <f aca="false">L680*Scorecard!$E$12+M680*Scorecard!$E$13+N680*Scorecard!$E$14+O680*Scorecard!$E$15+P680*Scorecard!$E$16+Q680*Scorecard!$E$17</f>
        <v>3.69906353850924</v>
      </c>
      <c r="U680" s="0" t="str">
        <f aca="false">IF(AND(R680&gt;=S680,R680&gt;=T680),"Distribution",IF(T680&gt;=S680,"Prof. services","Manufacturing"))</f>
        <v>Distribution</v>
      </c>
    </row>
    <row r="681" customFormat="false" ht="15" hidden="false" customHeight="false" outlineLevel="0" collapsed="false">
      <c r="A681" s="46" t="n">
        <v>0.017835</v>
      </c>
      <c r="B681" s="46" t="n">
        <v>0.334303</v>
      </c>
      <c r="C681" s="46" t="n">
        <v>0.150396</v>
      </c>
      <c r="D681" s="46" t="n">
        <v>0.486564</v>
      </c>
      <c r="E681" s="46" t="n">
        <v>0.008066</v>
      </c>
      <c r="F681" s="46" t="n">
        <v>0.002837</v>
      </c>
      <c r="G681" s="47" t="n">
        <f aca="false">A681*Scorecard!$C$12+B681*Scorecard!$C$13+C681*Scorecard!$C$14+D681*Scorecard!$C$15+E681*Scorecard!$C$16+F681*Scorecard!$C$17</f>
        <v>4.78309374565562</v>
      </c>
      <c r="H681" s="47" t="n">
        <f aca="false">A681*Scorecard!$D$12+B681*Scorecard!$D$13+C681*Scorecard!$D$14+D681*Scorecard!$D$15+E681*Scorecard!$D$16+F681*Scorecard!$D$17</f>
        <v>3.07169410936695</v>
      </c>
      <c r="I681" s="47" t="n">
        <f aca="false">A681*Scorecard!$E$12+B681*Scorecard!$E$13+C681*Scorecard!$E$14+D681*Scorecard!$E$15+E681*Scorecard!$E$16+F681*Scorecard!$E$17</f>
        <v>3.60904576813341</v>
      </c>
      <c r="J681" s="0" t="str">
        <f aca="false">IF(AND(G681&gt;=H681,G681&gt;=I681),"Distribution",IF(I681&gt;=H681,"Prof. services","Manufacturing"))</f>
        <v>Distribution</v>
      </c>
      <c r="L681" s="46" t="n">
        <v>0.157623</v>
      </c>
      <c r="M681" s="46" t="n">
        <v>0.304523</v>
      </c>
      <c r="N681" s="46" t="n">
        <v>0.171435</v>
      </c>
      <c r="O681" s="46" t="n">
        <v>0.176335</v>
      </c>
      <c r="P681" s="46" t="n">
        <v>0.08934</v>
      </c>
      <c r="Q681" s="46" t="n">
        <v>0.100744</v>
      </c>
      <c r="R681" s="47" t="n">
        <f aca="false">L681*Scorecard!$C$12+M681*Scorecard!$C$13+N681*Scorecard!$C$14+O681*Scorecard!$C$15+P681*Scorecard!$C$16+Q681*Scorecard!$C$17</f>
        <v>3.99564635214328</v>
      </c>
      <c r="S681" s="47" t="n">
        <f aca="false">L681*Scorecard!$D$12+M681*Scorecard!$D$13+N681*Scorecard!$D$14+O681*Scorecard!$D$15+P681*Scorecard!$D$16+Q681*Scorecard!$D$17</f>
        <v>2.72982474824719</v>
      </c>
      <c r="T681" s="47" t="n">
        <f aca="false">L681*Scorecard!$E$12+M681*Scorecard!$E$13+N681*Scorecard!$E$14+O681*Scorecard!$E$15+P681*Scorecard!$E$16+Q681*Scorecard!$E$17</f>
        <v>3.68830883787515</v>
      </c>
      <c r="U681" s="0" t="str">
        <f aca="false">IF(AND(R681&gt;=S681,R681&gt;=T681),"Distribution",IF(T681&gt;=S681,"Prof. services","Manufacturing"))</f>
        <v>Distribution</v>
      </c>
    </row>
    <row r="682" customFormat="false" ht="15" hidden="false" customHeight="false" outlineLevel="0" collapsed="false">
      <c r="A682" s="46" t="n">
        <v>0.075942</v>
      </c>
      <c r="B682" s="46" t="n">
        <v>0.008361</v>
      </c>
      <c r="C682" s="46" t="n">
        <v>0.403294</v>
      </c>
      <c r="D682" s="46" t="n">
        <v>0.329221</v>
      </c>
      <c r="E682" s="46" t="n">
        <v>0.133251</v>
      </c>
      <c r="F682" s="46" t="n">
        <v>0.049932</v>
      </c>
      <c r="G682" s="47" t="n">
        <f aca="false">A682*Scorecard!$C$12+B682*Scorecard!$C$13+C682*Scorecard!$C$14+D682*Scorecard!$C$15+E682*Scorecard!$C$16+F682*Scorecard!$C$17</f>
        <v>4.10102531699349</v>
      </c>
      <c r="H682" s="47" t="n">
        <f aca="false">A682*Scorecard!$D$12+B682*Scorecard!$D$13+C682*Scorecard!$D$14+D682*Scorecard!$D$15+E682*Scorecard!$D$16+F682*Scorecard!$D$17</f>
        <v>3.38825532572043</v>
      </c>
      <c r="I682" s="47" t="n">
        <f aca="false">A682*Scorecard!$E$12+B682*Scorecard!$E$13+C682*Scorecard!$E$14+D682*Scorecard!$E$15+E682*Scorecard!$E$16+F682*Scorecard!$E$17</f>
        <v>4.32046775505827</v>
      </c>
      <c r="J682" s="0" t="str">
        <f aca="false">IF(AND(G682&gt;=H682,G682&gt;=I682),"Distribution",IF(I682&gt;=H682,"Prof. services","Manufacturing"))</f>
        <v>Prof. services</v>
      </c>
      <c r="L682" s="46" t="n">
        <v>0.223727</v>
      </c>
      <c r="M682" s="46" t="n">
        <v>0.206703</v>
      </c>
      <c r="N682" s="46" t="n">
        <v>0.099558</v>
      </c>
      <c r="O682" s="46" t="n">
        <v>0.104525</v>
      </c>
      <c r="P682" s="46" t="n">
        <v>0.056792</v>
      </c>
      <c r="Q682" s="46" t="n">
        <v>0.308694</v>
      </c>
      <c r="R682" s="47" t="n">
        <f aca="false">L682*Scorecard!$C$12+M682*Scorecard!$C$13+N682*Scorecard!$C$14+O682*Scorecard!$C$15+P682*Scorecard!$C$16+Q682*Scorecard!$C$17</f>
        <v>3.29112420943619</v>
      </c>
      <c r="S682" s="47" t="n">
        <f aca="false">L682*Scorecard!$D$12+M682*Scorecard!$D$13+N682*Scorecard!$D$14+O682*Scorecard!$D$15+P682*Scorecard!$D$16+Q682*Scorecard!$D$17</f>
        <v>2.51441015265221</v>
      </c>
      <c r="T682" s="47" t="n">
        <f aca="false">L682*Scorecard!$E$12+M682*Scorecard!$E$13+N682*Scorecard!$E$14+O682*Scorecard!$E$15+P682*Scorecard!$E$16+Q682*Scorecard!$E$17</f>
        <v>4.01243872012186</v>
      </c>
      <c r="U682" s="0" t="str">
        <f aca="false">IF(AND(R682&gt;=S682,R682&gt;=T682),"Distribution",IF(T682&gt;=S682,"Prof. services","Manufacturing"))</f>
        <v>Prof. services</v>
      </c>
    </row>
    <row r="683" customFormat="false" ht="15" hidden="false" customHeight="false" outlineLevel="0" collapsed="false">
      <c r="A683" s="46" t="n">
        <v>0.134777</v>
      </c>
      <c r="B683" s="46" t="n">
        <v>0.136729</v>
      </c>
      <c r="C683" s="46" t="n">
        <v>0.267922</v>
      </c>
      <c r="D683" s="46" t="n">
        <v>0.035073</v>
      </c>
      <c r="E683" s="46" t="n">
        <v>0.229879</v>
      </c>
      <c r="F683" s="46" t="n">
        <v>0.195621</v>
      </c>
      <c r="G683" s="47" t="n">
        <f aca="false">A683*Scorecard!$C$12+B683*Scorecard!$C$13+C683*Scorecard!$C$14+D683*Scorecard!$C$15+E683*Scorecard!$C$16+F683*Scorecard!$C$17</f>
        <v>3.53796347794938</v>
      </c>
      <c r="H683" s="47" t="n">
        <f aca="false">A683*Scorecard!$D$12+B683*Scorecard!$D$13+C683*Scorecard!$D$14+D683*Scorecard!$D$15+E683*Scorecard!$D$16+F683*Scorecard!$D$17</f>
        <v>2.70759609968547</v>
      </c>
      <c r="I683" s="47" t="n">
        <f aca="false">A683*Scorecard!$E$12+B683*Scorecard!$E$13+C683*Scorecard!$E$14+D683*Scorecard!$E$15+E683*Scorecard!$E$16+F683*Scorecard!$E$17</f>
        <v>3.86669046374832</v>
      </c>
      <c r="J683" s="0" t="str">
        <f aca="false">IF(AND(G683&gt;=H683,G683&gt;=I683),"Distribution",IF(I683&gt;=H683,"Prof. services","Manufacturing"))</f>
        <v>Prof. services</v>
      </c>
      <c r="L683" s="46" t="n">
        <v>0.182059</v>
      </c>
      <c r="M683" s="46" t="n">
        <v>0.192245</v>
      </c>
      <c r="N683" s="46" t="n">
        <v>0.274745</v>
      </c>
      <c r="O683" s="46" t="n">
        <v>0.160857</v>
      </c>
      <c r="P683" s="46" t="n">
        <v>0.117664</v>
      </c>
      <c r="Q683" s="46" t="n">
        <v>0.072429</v>
      </c>
      <c r="R683" s="47" t="n">
        <f aca="false">L683*Scorecard!$C$12+M683*Scorecard!$C$13+N683*Scorecard!$C$14+O683*Scorecard!$C$15+P683*Scorecard!$C$16+Q683*Scorecard!$C$17</f>
        <v>3.88053120366224</v>
      </c>
      <c r="S683" s="47" t="n">
        <f aca="false">L683*Scorecard!$D$12+M683*Scorecard!$D$13+N683*Scorecard!$D$14+O683*Scorecard!$D$15+P683*Scorecard!$D$16+Q683*Scorecard!$D$17</f>
        <v>2.94848829115379</v>
      </c>
      <c r="T683" s="47" t="n">
        <f aca="false">L683*Scorecard!$E$12+M683*Scorecard!$E$13+N683*Scorecard!$E$14+O683*Scorecard!$E$15+P683*Scorecard!$E$16+Q683*Scorecard!$E$17</f>
        <v>3.96273379034351</v>
      </c>
      <c r="U683" s="0" t="str">
        <f aca="false">IF(AND(R683&gt;=S683,R683&gt;=T683),"Distribution",IF(T683&gt;=S683,"Prof. services","Manufacturing"))</f>
        <v>Prof. services</v>
      </c>
    </row>
    <row r="684" customFormat="false" ht="15" hidden="false" customHeight="false" outlineLevel="0" collapsed="false">
      <c r="A684" s="46" t="n">
        <v>0.159468</v>
      </c>
      <c r="B684" s="46" t="n">
        <v>0.014734</v>
      </c>
      <c r="C684" s="46" t="n">
        <v>0.034798</v>
      </c>
      <c r="D684" s="46" t="n">
        <v>0.031352</v>
      </c>
      <c r="E684" s="46" t="n">
        <v>0.220603</v>
      </c>
      <c r="F684" s="46" t="n">
        <v>0.539046</v>
      </c>
      <c r="G684" s="47" t="n">
        <f aca="false">A684*Scorecard!$C$12+B684*Scorecard!$C$13+C684*Scorecard!$C$14+D684*Scorecard!$C$15+E684*Scorecard!$C$16+F684*Scorecard!$C$17</f>
        <v>2.68095332583179</v>
      </c>
      <c r="H684" s="47" t="n">
        <f aca="false">A684*Scorecard!$D$12+B684*Scorecard!$D$13+C684*Scorecard!$D$14+D684*Scorecard!$D$15+E684*Scorecard!$D$16+F684*Scorecard!$D$17</f>
        <v>2.38448337309713</v>
      </c>
      <c r="I684" s="47" t="n">
        <f aca="false">A684*Scorecard!$E$12+B684*Scorecard!$E$13+C684*Scorecard!$E$14+D684*Scorecard!$E$15+E684*Scorecard!$E$16+F684*Scorecard!$E$17</f>
        <v>4.0736316112725</v>
      </c>
      <c r="J684" s="0" t="str">
        <f aca="false">IF(AND(G684&gt;=H684,G684&gt;=I684),"Distribution",IF(I684&gt;=H684,"Prof. services","Manufacturing"))</f>
        <v>Prof. services</v>
      </c>
      <c r="L684" s="46" t="n">
        <v>0.121029</v>
      </c>
      <c r="M684" s="46" t="n">
        <v>0.235977</v>
      </c>
      <c r="N684" s="46" t="n">
        <v>0.239428</v>
      </c>
      <c r="O684" s="46" t="n">
        <v>0.145556</v>
      </c>
      <c r="P684" s="46" t="n">
        <v>0.134075</v>
      </c>
      <c r="Q684" s="46" t="n">
        <v>0.123935</v>
      </c>
      <c r="R684" s="47" t="n">
        <f aca="false">L684*Scorecard!$C$12+M684*Scorecard!$C$13+N684*Scorecard!$C$14+O684*Scorecard!$C$15+P684*Scorecard!$C$16+Q684*Scorecard!$C$17</f>
        <v>3.91580907400918</v>
      </c>
      <c r="S684" s="47" t="n">
        <f aca="false">L684*Scorecard!$D$12+M684*Scorecard!$D$13+N684*Scorecard!$D$14+O684*Scorecard!$D$15+P684*Scorecard!$D$16+Q684*Scorecard!$D$17</f>
        <v>2.75303442820557</v>
      </c>
      <c r="T684" s="47" t="n">
        <f aca="false">L684*Scorecard!$E$12+M684*Scorecard!$E$13+N684*Scorecard!$E$14+O684*Scorecard!$E$15+P684*Scorecard!$E$16+Q684*Scorecard!$E$17</f>
        <v>3.78025787841239</v>
      </c>
      <c r="U684" s="0" t="str">
        <f aca="false">IF(AND(R684&gt;=S684,R684&gt;=T684),"Distribution",IF(T684&gt;=S684,"Prof. services","Manufacturing"))</f>
        <v>Distribution</v>
      </c>
    </row>
    <row r="685" customFormat="false" ht="15" hidden="false" customHeight="false" outlineLevel="0" collapsed="false">
      <c r="A685" s="46" t="n">
        <v>0.143734</v>
      </c>
      <c r="B685" s="46" t="n">
        <v>0.035906</v>
      </c>
      <c r="C685" s="46" t="n">
        <v>0.125954</v>
      </c>
      <c r="D685" s="46" t="n">
        <v>0.151792</v>
      </c>
      <c r="E685" s="46" t="n">
        <v>0.535635</v>
      </c>
      <c r="F685" s="46" t="n">
        <v>0.006979</v>
      </c>
      <c r="G685" s="47" t="n">
        <f aca="false">A685*Scorecard!$C$12+B685*Scorecard!$C$13+C685*Scorecard!$C$14+D685*Scorecard!$C$15+E685*Scorecard!$C$16+F685*Scorecard!$C$17</f>
        <v>3.91501675021388</v>
      </c>
      <c r="H685" s="47" t="n">
        <f aca="false">A685*Scorecard!$D$12+B685*Scorecard!$D$13+C685*Scorecard!$D$14+D685*Scorecard!$D$15+E685*Scorecard!$D$16+F685*Scorecard!$D$17</f>
        <v>3.38484555021998</v>
      </c>
      <c r="I685" s="47" t="n">
        <f aca="false">A685*Scorecard!$E$12+B685*Scorecard!$E$13+C685*Scorecard!$E$14+D685*Scorecard!$E$15+E685*Scorecard!$E$16+F685*Scorecard!$E$17</f>
        <v>3.33801827775785</v>
      </c>
      <c r="J685" s="0" t="str">
        <f aca="false">IF(AND(G685&gt;=H685,G685&gt;=I685),"Distribution",IF(I685&gt;=H685,"Prof. services","Manufacturing"))</f>
        <v>Distribution</v>
      </c>
      <c r="L685" s="46" t="n">
        <v>0.107595</v>
      </c>
      <c r="M685" s="46" t="n">
        <v>0.201381</v>
      </c>
      <c r="N685" s="46" t="n">
        <v>0.319862</v>
      </c>
      <c r="O685" s="46" t="n">
        <v>0.093096</v>
      </c>
      <c r="P685" s="46" t="n">
        <v>0.114798</v>
      </c>
      <c r="Q685" s="46" t="n">
        <v>0.163269</v>
      </c>
      <c r="R685" s="47" t="n">
        <f aca="false">L685*Scorecard!$C$12+M685*Scorecard!$C$13+N685*Scorecard!$C$14+O685*Scorecard!$C$15+P685*Scorecard!$C$16+Q685*Scorecard!$C$17</f>
        <v>3.77427046559104</v>
      </c>
      <c r="S685" s="47" t="n">
        <f aca="false">L685*Scorecard!$D$12+M685*Scorecard!$D$13+N685*Scorecard!$D$14+O685*Scorecard!$D$15+P685*Scorecard!$D$16+Q685*Scorecard!$D$17</f>
        <v>2.66993575452423</v>
      </c>
      <c r="T685" s="47" t="n">
        <f aca="false">L685*Scorecard!$E$12+M685*Scorecard!$E$13+N685*Scorecard!$E$14+O685*Scorecard!$E$15+P685*Scorecard!$E$16+Q685*Scorecard!$E$17</f>
        <v>3.9553358142246</v>
      </c>
      <c r="U685" s="0" t="str">
        <f aca="false">IF(AND(R685&gt;=S685,R685&gt;=T685),"Distribution",IF(T685&gt;=S685,"Prof. services","Manufacturing"))</f>
        <v>Prof. services</v>
      </c>
    </row>
    <row r="686" customFormat="false" ht="15" hidden="false" customHeight="false" outlineLevel="0" collapsed="false">
      <c r="A686" s="46" t="n">
        <v>0.170296</v>
      </c>
      <c r="B686" s="46" t="n">
        <v>0.456008</v>
      </c>
      <c r="C686" s="46" t="n">
        <v>0.011476</v>
      </c>
      <c r="D686" s="46" t="n">
        <v>0.060317</v>
      </c>
      <c r="E686" s="46" t="n">
        <v>0.197859</v>
      </c>
      <c r="F686" s="46" t="n">
        <v>0.104044</v>
      </c>
      <c r="G686" s="47" t="n">
        <f aca="false">A686*Scorecard!$C$12+B686*Scorecard!$C$13+C686*Scorecard!$C$14+D686*Scorecard!$C$15+E686*Scorecard!$C$16+F686*Scorecard!$C$17</f>
        <v>4.00170177141402</v>
      </c>
      <c r="H686" s="47" t="n">
        <f aca="false">A686*Scorecard!$D$12+B686*Scorecard!$D$13+C686*Scorecard!$D$14+D686*Scorecard!$D$15+E686*Scorecard!$D$16+F686*Scorecard!$D$17</f>
        <v>2.40773238342074</v>
      </c>
      <c r="I686" s="47" t="n">
        <f aca="false">A686*Scorecard!$E$12+B686*Scorecard!$E$13+C686*Scorecard!$E$14+D686*Scorecard!$E$15+E686*Scorecard!$E$16+F686*Scorecard!$E$17</f>
        <v>3.05864471593516</v>
      </c>
      <c r="J686" s="0" t="str">
        <f aca="false">IF(AND(G686&gt;=H686,G686&gt;=I686),"Distribution",IF(I686&gt;=H686,"Prof. services","Manufacturing"))</f>
        <v>Distribution</v>
      </c>
      <c r="L686" s="46" t="n">
        <v>0.19082</v>
      </c>
      <c r="M686" s="46" t="n">
        <v>0.260822</v>
      </c>
      <c r="N686" s="46" t="n">
        <v>0.221666</v>
      </c>
      <c r="O686" s="46" t="n">
        <v>0.173989</v>
      </c>
      <c r="P686" s="46" t="n">
        <v>0.09725</v>
      </c>
      <c r="Q686" s="46" t="n">
        <v>0.055453</v>
      </c>
      <c r="R686" s="47" t="n">
        <f aca="false">L686*Scorecard!$C$12+M686*Scorecard!$C$13+N686*Scorecard!$C$14+O686*Scorecard!$C$15+P686*Scorecard!$C$16+Q686*Scorecard!$C$17</f>
        <v>3.98042627872189</v>
      </c>
      <c r="S686" s="47" t="n">
        <f aca="false">L686*Scorecard!$D$12+M686*Scorecard!$D$13+N686*Scorecard!$D$14+O686*Scorecard!$D$15+P686*Scorecard!$D$16+Q686*Scorecard!$D$17</f>
        <v>2.88520562432465</v>
      </c>
      <c r="T686" s="47" t="n">
        <f aca="false">L686*Scorecard!$E$12+M686*Scorecard!$E$13+N686*Scorecard!$E$14+O686*Scorecard!$E$15+P686*Scorecard!$E$16+Q686*Scorecard!$E$17</f>
        <v>3.81748805291143</v>
      </c>
      <c r="U686" s="0" t="str">
        <f aca="false">IF(AND(R686&gt;=S686,R686&gt;=T686),"Distribution",IF(T686&gt;=S686,"Prof. services","Manufacturing"))</f>
        <v>Distribution</v>
      </c>
    </row>
    <row r="687" customFormat="false" ht="15" hidden="false" customHeight="false" outlineLevel="0" collapsed="false">
      <c r="A687" s="46" t="n">
        <v>0.124212</v>
      </c>
      <c r="B687" s="46" t="n">
        <v>0.120322</v>
      </c>
      <c r="C687" s="46" t="n">
        <v>0.199839</v>
      </c>
      <c r="D687" s="46" t="n">
        <v>0.07586</v>
      </c>
      <c r="E687" s="46" t="n">
        <v>0.21441</v>
      </c>
      <c r="F687" s="46" t="n">
        <v>0.265358</v>
      </c>
      <c r="G687" s="47" t="n">
        <f aca="false">A687*Scorecard!$C$12+B687*Scorecard!$C$13+C687*Scorecard!$C$14+D687*Scorecard!$C$15+E687*Scorecard!$C$16+F687*Scorecard!$C$17</f>
        <v>3.44188662861652</v>
      </c>
      <c r="H687" s="47" t="n">
        <f aca="false">A687*Scorecard!$D$12+B687*Scorecard!$D$13+C687*Scorecard!$D$14+D687*Scorecard!$D$15+E687*Scorecard!$D$16+F687*Scorecard!$D$17</f>
        <v>2.6626992162635</v>
      </c>
      <c r="I687" s="47" t="n">
        <f aca="false">A687*Scorecard!$E$12+B687*Scorecard!$E$13+C687*Scorecard!$E$14+D687*Scorecard!$E$15+E687*Scorecard!$E$16+F687*Scorecard!$E$17</f>
        <v>3.88615896015913</v>
      </c>
      <c r="J687" s="0" t="str">
        <f aca="false">IF(AND(G687&gt;=H687,G687&gt;=I687),"Distribution",IF(I687&gt;=H687,"Prof. services","Manufacturing"))</f>
        <v>Prof. services</v>
      </c>
      <c r="L687" s="46" t="n">
        <v>0.273156</v>
      </c>
      <c r="M687" s="46" t="n">
        <v>0.11168</v>
      </c>
      <c r="N687" s="46" t="n">
        <v>0.192539</v>
      </c>
      <c r="O687" s="46" t="n">
        <v>0.195514</v>
      </c>
      <c r="P687" s="46" t="n">
        <v>0.136326</v>
      </c>
      <c r="Q687" s="46" t="n">
        <v>0.090785</v>
      </c>
      <c r="R687" s="47" t="n">
        <f aca="false">L687*Scorecard!$C$12+M687*Scorecard!$C$13+N687*Scorecard!$C$14+O687*Scorecard!$C$15+P687*Scorecard!$C$16+Q687*Scorecard!$C$17</f>
        <v>3.63393930453075</v>
      </c>
      <c r="S687" s="47" t="n">
        <f aca="false">L687*Scorecard!$D$12+M687*Scorecard!$D$13+N687*Scorecard!$D$14+O687*Scorecard!$D$15+P687*Scorecard!$D$16+Q687*Scorecard!$D$17</f>
        <v>3.14840059209442</v>
      </c>
      <c r="T687" s="47" t="n">
        <f aca="false">L687*Scorecard!$E$12+M687*Scorecard!$E$13+N687*Scorecard!$E$14+O687*Scorecard!$E$15+P687*Scorecard!$E$16+Q687*Scorecard!$E$17</f>
        <v>4.1064977361961</v>
      </c>
      <c r="U687" s="0" t="str">
        <f aca="false">IF(AND(R687&gt;=S687,R687&gt;=T687),"Distribution",IF(T687&gt;=S687,"Prof. services","Manufacturing"))</f>
        <v>Prof. services</v>
      </c>
    </row>
    <row r="688" customFormat="false" ht="15" hidden="false" customHeight="false" outlineLevel="0" collapsed="false">
      <c r="A688" s="46" t="n">
        <v>0.16389</v>
      </c>
      <c r="B688" s="46" t="n">
        <v>0.06542</v>
      </c>
      <c r="C688" s="46" t="n">
        <v>0.39016</v>
      </c>
      <c r="D688" s="46" t="n">
        <v>0.006046</v>
      </c>
      <c r="E688" s="46" t="n">
        <v>0.123638</v>
      </c>
      <c r="F688" s="46" t="n">
        <v>0.250847</v>
      </c>
      <c r="G688" s="47" t="n">
        <f aca="false">A688*Scorecard!$C$12+B688*Scorecard!$C$13+C688*Scorecard!$C$14+D688*Scorecard!$C$15+E688*Scorecard!$C$16+F688*Scorecard!$C$17</f>
        <v>3.27477166276979</v>
      </c>
      <c r="H688" s="47" t="n">
        <f aca="false">A688*Scorecard!$D$12+B688*Scorecard!$D$13+C688*Scorecard!$D$14+D688*Scorecard!$D$15+E688*Scorecard!$D$16+F688*Scorecard!$D$17</f>
        <v>2.68200609907817</v>
      </c>
      <c r="I688" s="47" t="n">
        <f aca="false">A688*Scorecard!$E$12+B688*Scorecard!$E$13+C688*Scorecard!$E$14+D688*Scorecard!$E$15+E688*Scorecard!$E$16+F688*Scorecard!$E$17</f>
        <v>4.35170544048956</v>
      </c>
      <c r="J688" s="0" t="str">
        <f aca="false">IF(AND(G688&gt;=H688,G688&gt;=I688),"Distribution",IF(I688&gt;=H688,"Prof. services","Manufacturing"))</f>
        <v>Prof. services</v>
      </c>
      <c r="L688" s="46" t="n">
        <v>0.212541</v>
      </c>
      <c r="M688" s="46" t="n">
        <v>0.1641</v>
      </c>
      <c r="N688" s="46" t="n">
        <v>0.197943</v>
      </c>
      <c r="O688" s="46" t="n">
        <v>0.232872</v>
      </c>
      <c r="P688" s="46" t="n">
        <v>0.151305</v>
      </c>
      <c r="Q688" s="46" t="n">
        <v>0.04124</v>
      </c>
      <c r="R688" s="47" t="n">
        <f aca="false">L688*Scorecard!$C$12+M688*Scorecard!$C$13+N688*Scorecard!$C$14+O688*Scorecard!$C$15+P688*Scorecard!$C$16+Q688*Scorecard!$C$17</f>
        <v>3.93191916895939</v>
      </c>
      <c r="S688" s="47" t="n">
        <f aca="false">L688*Scorecard!$D$12+M688*Scorecard!$D$13+N688*Scorecard!$D$14+O688*Scorecard!$D$15+P688*Scorecard!$D$16+Q688*Scorecard!$D$17</f>
        <v>3.15223954517025</v>
      </c>
      <c r="T688" s="47" t="n">
        <f aca="false">L688*Scorecard!$E$12+M688*Scorecard!$E$13+N688*Scorecard!$E$14+O688*Scorecard!$E$15+P688*Scorecard!$E$16+Q688*Scorecard!$E$17</f>
        <v>3.90936576834663</v>
      </c>
      <c r="U688" s="0" t="str">
        <f aca="false">IF(AND(R688&gt;=S688,R688&gt;=T688),"Distribution",IF(T688&gt;=S688,"Prof. services","Manufacturing"))</f>
        <v>Distribution</v>
      </c>
    </row>
    <row r="689" customFormat="false" ht="15" hidden="false" customHeight="false" outlineLevel="0" collapsed="false">
      <c r="A689" s="46" t="n">
        <v>0.1106</v>
      </c>
      <c r="B689" s="46" t="n">
        <v>0.093023</v>
      </c>
      <c r="C689" s="46" t="n">
        <v>0.029907</v>
      </c>
      <c r="D689" s="46" t="n">
        <v>0.135833</v>
      </c>
      <c r="E689" s="46" t="n">
        <v>0.623125</v>
      </c>
      <c r="F689" s="46" t="n">
        <v>0.007513</v>
      </c>
      <c r="G689" s="47" t="n">
        <f aca="false">A689*Scorecard!$C$12+B689*Scorecard!$C$13+C689*Scorecard!$C$14+D689*Scorecard!$C$15+E689*Scorecard!$C$16+F689*Scorecard!$C$17</f>
        <v>4.01475242273683</v>
      </c>
      <c r="H689" s="47" t="n">
        <f aca="false">A689*Scorecard!$D$12+B689*Scorecard!$D$13+C689*Scorecard!$D$14+D689*Scorecard!$D$15+E689*Scorecard!$D$16+F689*Scorecard!$D$17</f>
        <v>3.28711672404327</v>
      </c>
      <c r="I689" s="47" t="n">
        <f aca="false">A689*Scorecard!$E$12+B689*Scorecard!$E$13+C689*Scorecard!$E$14+D689*Scorecard!$E$15+E689*Scorecard!$E$16+F689*Scorecard!$E$17</f>
        <v>2.95354464207284</v>
      </c>
      <c r="J689" s="0" t="str">
        <f aca="false">IF(AND(G689&gt;=H689,G689&gt;=I689),"Distribution",IF(I689&gt;=H689,"Prof. services","Manufacturing"))</f>
        <v>Distribution</v>
      </c>
      <c r="L689" s="46" t="n">
        <v>0.138144</v>
      </c>
      <c r="M689" s="46" t="n">
        <v>0.167163</v>
      </c>
      <c r="N689" s="46" t="n">
        <v>0.249628</v>
      </c>
      <c r="O689" s="46" t="n">
        <v>0.125112</v>
      </c>
      <c r="P689" s="46" t="n">
        <v>0.105888</v>
      </c>
      <c r="Q689" s="46" t="n">
        <v>0.214064</v>
      </c>
      <c r="R689" s="47" t="n">
        <f aca="false">L689*Scorecard!$C$12+M689*Scorecard!$C$13+N689*Scorecard!$C$14+O689*Scorecard!$C$15+P689*Scorecard!$C$16+Q689*Scorecard!$C$17</f>
        <v>3.6154818299327</v>
      </c>
      <c r="S689" s="47" t="n">
        <f aca="false">L689*Scorecard!$D$12+M689*Scorecard!$D$13+N689*Scorecard!$D$14+O689*Scorecard!$D$15+P689*Scorecard!$D$16+Q689*Scorecard!$D$17</f>
        <v>2.69937069426327</v>
      </c>
      <c r="T689" s="47" t="n">
        <f aca="false">L689*Scorecard!$E$12+M689*Scorecard!$E$13+N689*Scorecard!$E$14+O689*Scorecard!$E$15+P689*Scorecard!$E$16+Q689*Scorecard!$E$17</f>
        <v>4.02532332256863</v>
      </c>
      <c r="U689" s="0" t="str">
        <f aca="false">IF(AND(R689&gt;=S689,R689&gt;=T689),"Distribution",IF(T689&gt;=S689,"Prof. services","Manufacturing"))</f>
        <v>Prof. services</v>
      </c>
    </row>
    <row r="690" customFormat="false" ht="15" hidden="false" customHeight="false" outlineLevel="0" collapsed="false">
      <c r="A690" s="46" t="n">
        <v>0.004197</v>
      </c>
      <c r="B690" s="46" t="n">
        <v>0.162276</v>
      </c>
      <c r="C690" s="46" t="n">
        <v>0.359526</v>
      </c>
      <c r="D690" s="46" t="n">
        <v>0.067416</v>
      </c>
      <c r="E690" s="46" t="n">
        <v>0.351054</v>
      </c>
      <c r="F690" s="46" t="n">
        <v>0.055531</v>
      </c>
      <c r="G690" s="47" t="n">
        <f aca="false">A690*Scorecard!$C$12+B690*Scorecard!$C$13+C690*Scorecard!$C$14+D690*Scorecard!$C$15+E690*Scorecard!$C$16+F690*Scorecard!$C$17</f>
        <v>4.11107534014671</v>
      </c>
      <c r="H690" s="47" t="n">
        <f aca="false">A690*Scorecard!$D$12+B690*Scorecard!$D$13+C690*Scorecard!$D$14+D690*Scorecard!$D$15+E690*Scorecard!$D$16+F690*Scorecard!$D$17</f>
        <v>2.87096076099567</v>
      </c>
      <c r="I690" s="47" t="n">
        <f aca="false">A690*Scorecard!$E$12+B690*Scorecard!$E$13+C690*Scorecard!$E$14+D690*Scorecard!$E$15+E690*Scorecard!$E$16+F690*Scorecard!$E$17</f>
        <v>3.51309931356137</v>
      </c>
      <c r="J690" s="0" t="str">
        <f aca="false">IF(AND(G690&gt;=H690,G690&gt;=I690),"Distribution",IF(I690&gt;=H690,"Prof. services","Manufacturing"))</f>
        <v>Distribution</v>
      </c>
      <c r="L690" s="46" t="n">
        <v>0.16715</v>
      </c>
      <c r="M690" s="46" t="n">
        <v>0.234858</v>
      </c>
      <c r="N690" s="46" t="n">
        <v>0.23234</v>
      </c>
      <c r="O690" s="46" t="n">
        <v>0.050913</v>
      </c>
      <c r="P690" s="46" t="n">
        <v>0.272663</v>
      </c>
      <c r="Q690" s="46" t="n">
        <v>0.042076</v>
      </c>
      <c r="R690" s="47" t="n">
        <f aca="false">L690*Scorecard!$C$12+M690*Scorecard!$C$13+N690*Scorecard!$C$14+O690*Scorecard!$C$15+P690*Scorecard!$C$16+Q690*Scorecard!$C$17</f>
        <v>3.90074661627903</v>
      </c>
      <c r="S690" s="47" t="n">
        <f aca="false">L690*Scorecard!$D$12+M690*Scorecard!$D$13+N690*Scorecard!$D$14+O690*Scorecard!$D$15+P690*Scorecard!$D$16+Q690*Scorecard!$D$17</f>
        <v>2.84460109828186</v>
      </c>
      <c r="T690" s="47" t="n">
        <f aca="false">L690*Scorecard!$E$12+M690*Scorecard!$E$13+N690*Scorecard!$E$14+O690*Scorecard!$E$15+P690*Scorecard!$E$16+Q690*Scorecard!$E$17</f>
        <v>3.53394827394442</v>
      </c>
      <c r="U690" s="0" t="str">
        <f aca="false">IF(AND(R690&gt;=S690,R690&gt;=T690),"Distribution",IF(T690&gt;=S690,"Prof. services","Manufacturing"))</f>
        <v>Distribution</v>
      </c>
    </row>
    <row r="691" customFormat="false" ht="15" hidden="false" customHeight="false" outlineLevel="0" collapsed="false">
      <c r="A691" s="46" t="n">
        <v>0.083974</v>
      </c>
      <c r="B691" s="46" t="n">
        <v>0.13368</v>
      </c>
      <c r="C691" s="46" t="n">
        <v>0.388432</v>
      </c>
      <c r="D691" s="46" t="n">
        <v>0.035172</v>
      </c>
      <c r="E691" s="46" t="n">
        <v>0.079163</v>
      </c>
      <c r="F691" s="46" t="n">
        <v>0.279579</v>
      </c>
      <c r="G691" s="47" t="n">
        <f aca="false">A691*Scorecard!$C$12+B691*Scorecard!$C$13+C691*Scorecard!$C$14+D691*Scorecard!$C$15+E691*Scorecard!$C$16+F691*Scorecard!$C$17</f>
        <v>3.45853960244939</v>
      </c>
      <c r="H691" s="47" t="n">
        <f aca="false">A691*Scorecard!$D$12+B691*Scorecard!$D$13+C691*Scorecard!$D$14+D691*Scorecard!$D$15+E691*Scorecard!$D$16+F691*Scorecard!$D$17</f>
        <v>2.50255072086734</v>
      </c>
      <c r="I691" s="47" t="n">
        <f aca="false">A691*Scorecard!$E$12+B691*Scorecard!$E$13+C691*Scorecard!$E$14+D691*Scorecard!$E$15+E691*Scorecard!$E$16+F691*Scorecard!$E$17</f>
        <v>4.2353007104025</v>
      </c>
      <c r="J691" s="0" t="str">
        <f aca="false">IF(AND(G691&gt;=H691,G691&gt;=I691),"Distribution",IF(I691&gt;=H691,"Prof. services","Manufacturing"))</f>
        <v>Prof. services</v>
      </c>
      <c r="L691" s="46" t="n">
        <v>0.114459</v>
      </c>
      <c r="M691" s="46" t="n">
        <v>0.18215</v>
      </c>
      <c r="N691" s="46" t="n">
        <v>0.154528</v>
      </c>
      <c r="O691" s="46" t="n">
        <v>0.288628</v>
      </c>
      <c r="P691" s="46" t="n">
        <v>0.187037</v>
      </c>
      <c r="Q691" s="46" t="n">
        <v>0.073198</v>
      </c>
      <c r="R691" s="47" t="n">
        <f aca="false">L691*Scorecard!$C$12+M691*Scorecard!$C$13+N691*Scorecard!$C$14+O691*Scorecard!$C$15+P691*Scorecard!$C$16+Q691*Scorecard!$C$17</f>
        <v>4.11835416770375</v>
      </c>
      <c r="S691" s="47" t="n">
        <f aca="false">L691*Scorecard!$D$12+M691*Scorecard!$D$13+N691*Scorecard!$D$14+O691*Scorecard!$D$15+P691*Scorecard!$D$16+Q691*Scorecard!$D$17</f>
        <v>3.08887459470883</v>
      </c>
      <c r="T691" s="47" t="n">
        <f aca="false">L691*Scorecard!$E$12+M691*Scorecard!$E$13+N691*Scorecard!$E$14+O691*Scorecard!$E$15+P691*Scorecard!$E$16+Q691*Scorecard!$E$17</f>
        <v>3.69958621135253</v>
      </c>
      <c r="U691" s="0" t="str">
        <f aca="false">IF(AND(R691&gt;=S691,R691&gt;=T691),"Distribution",IF(T691&gt;=S691,"Prof. services","Manufacturing"))</f>
        <v>Distribution</v>
      </c>
    </row>
    <row r="692" customFormat="false" ht="15" hidden="false" customHeight="false" outlineLevel="0" collapsed="false">
      <c r="A692" s="46" t="n">
        <v>0.314492</v>
      </c>
      <c r="B692" s="46" t="n">
        <v>0.279255</v>
      </c>
      <c r="C692" s="46" t="n">
        <v>0.149178</v>
      </c>
      <c r="D692" s="46" t="n">
        <v>0.149561</v>
      </c>
      <c r="E692" s="46" t="n">
        <v>0.098118</v>
      </c>
      <c r="F692" s="46" t="n">
        <v>0.009396</v>
      </c>
      <c r="G692" s="47" t="n">
        <f aca="false">A692*Scorecard!$C$12+B692*Scorecard!$C$13+C692*Scorecard!$C$14+D692*Scorecard!$C$15+E692*Scorecard!$C$16+F692*Scorecard!$C$17</f>
        <v>3.84393391503934</v>
      </c>
      <c r="H692" s="47" t="n">
        <f aca="false">A692*Scorecard!$D$12+B692*Scorecard!$D$13+C692*Scorecard!$D$14+D692*Scorecard!$D$15+E692*Scorecard!$D$16+F692*Scorecard!$D$17</f>
        <v>2.9803250519345</v>
      </c>
      <c r="I692" s="47" t="n">
        <f aca="false">A692*Scorecard!$E$12+B692*Scorecard!$E$13+C692*Scorecard!$E$14+D692*Scorecard!$E$15+E692*Scorecard!$E$16+F692*Scorecard!$E$17</f>
        <v>3.80561529581907</v>
      </c>
      <c r="J692" s="0" t="str">
        <f aca="false">IF(AND(G692&gt;=H692,G692&gt;=I692),"Distribution",IF(I692&gt;=H692,"Prof. services","Manufacturing"))</f>
        <v>Distribution</v>
      </c>
      <c r="L692" s="46" t="n">
        <v>0.108959</v>
      </c>
      <c r="M692" s="46" t="n">
        <v>0.253521</v>
      </c>
      <c r="N692" s="46" t="n">
        <v>0.192295</v>
      </c>
      <c r="O692" s="46" t="n">
        <v>0.203683</v>
      </c>
      <c r="P692" s="46" t="n">
        <v>0.181712</v>
      </c>
      <c r="Q692" s="46" t="n">
        <v>0.059831</v>
      </c>
      <c r="R692" s="47" t="n">
        <f aca="false">L692*Scorecard!$C$12+M692*Scorecard!$C$13+N692*Scorecard!$C$14+O692*Scorecard!$C$15+P692*Scorecard!$C$16+Q692*Scorecard!$C$17</f>
        <v>4.14141824613908</v>
      </c>
      <c r="S692" s="47" t="n">
        <f aca="false">L692*Scorecard!$D$12+M692*Scorecard!$D$13+N692*Scorecard!$D$14+O692*Scorecard!$D$15+P692*Scorecard!$D$16+Q692*Scorecard!$D$17</f>
        <v>2.89805623081334</v>
      </c>
      <c r="T692" s="47" t="n">
        <f aca="false">L692*Scorecard!$E$12+M692*Scorecard!$E$13+N692*Scorecard!$E$14+O692*Scorecard!$E$15+P692*Scorecard!$E$16+Q692*Scorecard!$E$17</f>
        <v>3.58624580746232</v>
      </c>
      <c r="U692" s="0" t="str">
        <f aca="false">IF(AND(R692&gt;=S692,R692&gt;=T692),"Distribution",IF(T692&gt;=S692,"Prof. services","Manufacturing"))</f>
        <v>Distribution</v>
      </c>
    </row>
    <row r="693" customFormat="false" ht="15" hidden="false" customHeight="false" outlineLevel="0" collapsed="false">
      <c r="A693" s="46" t="n">
        <v>0.102291</v>
      </c>
      <c r="B693" s="46" t="n">
        <v>0.322281</v>
      </c>
      <c r="C693" s="46" t="n">
        <v>0.108753</v>
      </c>
      <c r="D693" s="46" t="n">
        <v>0.078538</v>
      </c>
      <c r="E693" s="46" t="n">
        <v>0.005068</v>
      </c>
      <c r="F693" s="46" t="n">
        <v>0.383071</v>
      </c>
      <c r="G693" s="47" t="n">
        <f aca="false">A693*Scorecard!$C$12+B693*Scorecard!$C$13+C693*Scorecard!$C$14+D693*Scorecard!$C$15+E693*Scorecard!$C$16+F693*Scorecard!$C$17</f>
        <v>3.45055974123122</v>
      </c>
      <c r="H693" s="47" t="n">
        <f aca="false">A693*Scorecard!$D$12+B693*Scorecard!$D$13+C693*Scorecard!$D$14+D693*Scorecard!$D$15+E693*Scorecard!$D$16+F693*Scorecard!$D$17</f>
        <v>2.10183145307336</v>
      </c>
      <c r="I693" s="47" t="n">
        <f aca="false">A693*Scorecard!$E$12+B693*Scorecard!$E$13+C693*Scorecard!$E$14+D693*Scorecard!$E$15+E693*Scorecard!$E$16+F693*Scorecard!$E$17</f>
        <v>3.80256349702595</v>
      </c>
      <c r="J693" s="0" t="str">
        <f aca="false">IF(AND(G693&gt;=H693,G693&gt;=I693),"Distribution",IF(I693&gt;=H693,"Prof. services","Manufacturing"))</f>
        <v>Prof. services</v>
      </c>
      <c r="L693" s="46" t="n">
        <v>0.301741</v>
      </c>
      <c r="M693" s="46" t="n">
        <v>0.131573</v>
      </c>
      <c r="N693" s="46" t="n">
        <v>0.202249</v>
      </c>
      <c r="O693" s="46" t="n">
        <v>0.155067</v>
      </c>
      <c r="P693" s="46" t="n">
        <v>0.165453</v>
      </c>
      <c r="Q693" s="46" t="n">
        <v>0.043917</v>
      </c>
      <c r="R693" s="47" t="n">
        <f aca="false">L693*Scorecard!$C$12+M693*Scorecard!$C$13+N693*Scorecard!$C$14+O693*Scorecard!$C$15+P693*Scorecard!$C$16+Q693*Scorecard!$C$17</f>
        <v>3.65566789688095</v>
      </c>
      <c r="S693" s="47" t="n">
        <f aca="false">L693*Scorecard!$D$12+M693*Scorecard!$D$13+N693*Scorecard!$D$14+O693*Scorecard!$D$15+P693*Scorecard!$D$16+Q693*Scorecard!$D$17</f>
        <v>3.170610841204</v>
      </c>
      <c r="T693" s="47" t="n">
        <f aca="false">L693*Scorecard!$E$12+M693*Scorecard!$E$13+N693*Scorecard!$E$14+O693*Scorecard!$E$15+P693*Scorecard!$E$16+Q693*Scorecard!$E$17</f>
        <v>4.02886490577891</v>
      </c>
      <c r="U693" s="0" t="str">
        <f aca="false">IF(AND(R693&gt;=S693,R693&gt;=T693),"Distribution",IF(T693&gt;=S693,"Prof. services","Manufacturing"))</f>
        <v>Prof. services</v>
      </c>
    </row>
    <row r="694" customFormat="false" ht="15" hidden="false" customHeight="false" outlineLevel="0" collapsed="false">
      <c r="A694" s="46" t="n">
        <v>0.14186</v>
      </c>
      <c r="B694" s="46" t="n">
        <v>0.088468</v>
      </c>
      <c r="C694" s="46" t="n">
        <v>0.201257</v>
      </c>
      <c r="D694" s="46" t="n">
        <v>0.032293</v>
      </c>
      <c r="E694" s="46" t="n">
        <v>0.383101</v>
      </c>
      <c r="F694" s="46" t="n">
        <v>0.153021</v>
      </c>
      <c r="G694" s="47" t="n">
        <f aca="false">A694*Scorecard!$C$12+B694*Scorecard!$C$13+C694*Scorecard!$C$14+D694*Scorecard!$C$15+E694*Scorecard!$C$16+F694*Scorecard!$C$17</f>
        <v>3.55936897693894</v>
      </c>
      <c r="H694" s="47" t="n">
        <f aca="false">A694*Scorecard!$D$12+B694*Scorecard!$D$13+C694*Scorecard!$D$14+D694*Scorecard!$D$15+E694*Scorecard!$D$16+F694*Scorecard!$D$17</f>
        <v>2.89646738389001</v>
      </c>
      <c r="I694" s="47" t="n">
        <f aca="false">A694*Scorecard!$E$12+B694*Scorecard!$E$13+C694*Scorecard!$E$14+D694*Scorecard!$E$15+E694*Scorecard!$E$16+F694*Scorecard!$E$17</f>
        <v>3.62049596744353</v>
      </c>
      <c r="J694" s="0" t="str">
        <f aca="false">IF(AND(G694&gt;=H694,G694&gt;=I694),"Distribution",IF(I694&gt;=H694,"Prof. services","Manufacturing"))</f>
        <v>Prof. services</v>
      </c>
      <c r="L694" s="46" t="n">
        <v>0.295832</v>
      </c>
      <c r="M694" s="46" t="n">
        <v>0.129747</v>
      </c>
      <c r="N694" s="46" t="n">
        <v>0.083732</v>
      </c>
      <c r="O694" s="46" t="n">
        <v>0.157851</v>
      </c>
      <c r="P694" s="46" t="n">
        <v>0.310642</v>
      </c>
      <c r="Q694" s="46" t="n">
        <v>0.022197</v>
      </c>
      <c r="R694" s="47" t="n">
        <f aca="false">L694*Scorecard!$C$12+M694*Scorecard!$C$13+N694*Scorecard!$C$14+O694*Scorecard!$C$15+P694*Scorecard!$C$16+Q694*Scorecard!$C$17</f>
        <v>3.71070618114902</v>
      </c>
      <c r="S694" s="47" t="n">
        <f aca="false">L694*Scorecard!$D$12+M694*Scorecard!$D$13+N694*Scorecard!$D$14+O694*Scorecard!$D$15+P694*Scorecard!$D$16+Q694*Scorecard!$D$17</f>
        <v>3.25365069286508</v>
      </c>
      <c r="T694" s="47" t="n">
        <f aca="false">L694*Scorecard!$E$12+M694*Scorecard!$E$13+N694*Scorecard!$E$14+O694*Scorecard!$E$15+P694*Scorecard!$E$16+Q694*Scorecard!$E$17</f>
        <v>3.65548294490962</v>
      </c>
      <c r="U694" s="0" t="str">
        <f aca="false">IF(AND(R694&gt;=S694,R694&gt;=T694),"Distribution",IF(T694&gt;=S694,"Prof. services","Manufacturing"))</f>
        <v>Distribution</v>
      </c>
    </row>
    <row r="695" customFormat="false" ht="15" hidden="false" customHeight="false" outlineLevel="0" collapsed="false">
      <c r="A695" s="46" t="n">
        <v>0.524816</v>
      </c>
      <c r="B695" s="46" t="n">
        <v>0.006398</v>
      </c>
      <c r="C695" s="46" t="n">
        <v>0.048939</v>
      </c>
      <c r="D695" s="46" t="n">
        <v>0.029357</v>
      </c>
      <c r="E695" s="46" t="n">
        <v>0.068282</v>
      </c>
      <c r="F695" s="46" t="n">
        <v>0.322208</v>
      </c>
      <c r="G695" s="47" t="n">
        <f aca="false">A695*Scorecard!$C$12+B695*Scorecard!$C$13+C695*Scorecard!$C$14+D695*Scorecard!$C$15+E695*Scorecard!$C$16+F695*Scorecard!$C$17</f>
        <v>2.44666271561529</v>
      </c>
      <c r="H695" s="47" t="n">
        <f aca="false">A695*Scorecard!$D$12+B695*Scorecard!$D$13+C695*Scorecard!$D$14+D695*Scorecard!$D$15+E695*Scorecard!$D$16+F695*Scorecard!$D$17</f>
        <v>2.91049684182767</v>
      </c>
      <c r="I695" s="47" t="n">
        <f aca="false">A695*Scorecard!$E$12+B695*Scorecard!$E$13+C695*Scorecard!$E$14+D695*Scorecard!$E$15+E695*Scorecard!$E$16+F695*Scorecard!$E$17</f>
        <v>4.61387344236857</v>
      </c>
      <c r="J695" s="0" t="str">
        <f aca="false">IF(AND(G695&gt;=H695,G695&gt;=I695),"Distribution",IF(I695&gt;=H695,"Prof. services","Manufacturing"))</f>
        <v>Prof. services</v>
      </c>
      <c r="L695" s="46" t="n">
        <v>0.12293</v>
      </c>
      <c r="M695" s="46" t="n">
        <v>0.272893</v>
      </c>
      <c r="N695" s="46" t="n">
        <v>0.192611</v>
      </c>
      <c r="O695" s="46" t="n">
        <v>0.0712</v>
      </c>
      <c r="P695" s="46" t="n">
        <v>0.127897</v>
      </c>
      <c r="Q695" s="46" t="n">
        <v>0.212468</v>
      </c>
      <c r="R695" s="47" t="n">
        <f aca="false">L695*Scorecard!$C$12+M695*Scorecard!$C$13+N695*Scorecard!$C$14+O695*Scorecard!$C$15+P695*Scorecard!$C$16+Q695*Scorecard!$C$17</f>
        <v>3.69787724689908</v>
      </c>
      <c r="S695" s="47" t="n">
        <f aca="false">L695*Scorecard!$D$12+M695*Scorecard!$D$13+N695*Scorecard!$D$14+O695*Scorecard!$D$15+P695*Scorecard!$D$16+Q695*Scorecard!$D$17</f>
        <v>2.4779397410525</v>
      </c>
      <c r="T695" s="47" t="n">
        <f aca="false">L695*Scorecard!$E$12+M695*Scorecard!$E$13+N695*Scorecard!$E$14+O695*Scorecard!$E$15+P695*Scorecard!$E$16+Q695*Scorecard!$E$17</f>
        <v>3.70845927333212</v>
      </c>
      <c r="U695" s="0" t="str">
        <f aca="false">IF(AND(R695&gt;=S695,R695&gt;=T695),"Distribution",IF(T695&gt;=S695,"Prof. services","Manufacturing"))</f>
        <v>Prof. services</v>
      </c>
    </row>
    <row r="696" customFormat="false" ht="15" hidden="false" customHeight="false" outlineLevel="0" collapsed="false">
      <c r="A696" s="46" t="n">
        <v>0.013345</v>
      </c>
      <c r="B696" s="46" t="n">
        <v>0.332172</v>
      </c>
      <c r="C696" s="46" t="n">
        <v>0.104315</v>
      </c>
      <c r="D696" s="46" t="n">
        <v>0.166058</v>
      </c>
      <c r="E696" s="46" t="n">
        <v>0.337525</v>
      </c>
      <c r="F696" s="46" t="n">
        <v>0.046584</v>
      </c>
      <c r="G696" s="47" t="n">
        <f aca="false">A696*Scorecard!$C$12+B696*Scorecard!$C$13+C696*Scorecard!$C$14+D696*Scorecard!$C$15+E696*Scorecard!$C$16+F696*Scorecard!$C$17</f>
        <v>4.38103680968737</v>
      </c>
      <c r="H696" s="47" t="n">
        <f aca="false">A696*Scorecard!$D$12+B696*Scorecard!$D$13+C696*Scorecard!$D$14+D696*Scorecard!$D$15+E696*Scorecard!$D$16+F696*Scorecard!$D$17</f>
        <v>2.7450891019287</v>
      </c>
      <c r="I696" s="47" t="n">
        <f aca="false">A696*Scorecard!$E$12+B696*Scorecard!$E$13+C696*Scorecard!$E$14+D696*Scorecard!$E$15+E696*Scorecard!$E$16+F696*Scorecard!$E$17</f>
        <v>2.98264049025345</v>
      </c>
      <c r="J696" s="0" t="str">
        <f aca="false">IF(AND(G696&gt;=H696,G696&gt;=I696),"Distribution",IF(I696&gt;=H696,"Prof. services","Manufacturing"))</f>
        <v>Distribution</v>
      </c>
      <c r="L696" s="46" t="n">
        <v>0.220669</v>
      </c>
      <c r="M696" s="46" t="n">
        <v>0.344604</v>
      </c>
      <c r="N696" s="46" t="n">
        <v>0.175428</v>
      </c>
      <c r="O696" s="46" t="n">
        <v>0.075366</v>
      </c>
      <c r="P696" s="46" t="n">
        <v>0.144811</v>
      </c>
      <c r="Q696" s="46" t="n">
        <v>0.039123</v>
      </c>
      <c r="R696" s="47" t="n">
        <f aca="false">L696*Scorecard!$C$12+M696*Scorecard!$C$13+N696*Scorecard!$C$14+O696*Scorecard!$C$15+P696*Scorecard!$C$16+Q696*Scorecard!$C$17</f>
        <v>3.94452065304623</v>
      </c>
      <c r="S696" s="47" t="n">
        <f aca="false">L696*Scorecard!$D$12+M696*Scorecard!$D$13+N696*Scorecard!$D$14+O696*Scorecard!$D$15+P696*Scorecard!$D$16+Q696*Scorecard!$D$17</f>
        <v>2.70534702377388</v>
      </c>
      <c r="T696" s="47" t="n">
        <f aca="false">L696*Scorecard!$E$12+M696*Scorecard!$E$13+N696*Scorecard!$E$14+O696*Scorecard!$E$15+P696*Scorecard!$E$16+Q696*Scorecard!$E$17</f>
        <v>3.54034419866838</v>
      </c>
      <c r="U696" s="0" t="str">
        <f aca="false">IF(AND(R696&gt;=S696,R696&gt;=T696),"Distribution",IF(T696&gt;=S696,"Prof. services","Manufacturing"))</f>
        <v>Distribution</v>
      </c>
    </row>
    <row r="697" customFormat="false" ht="15" hidden="false" customHeight="false" outlineLevel="0" collapsed="false">
      <c r="A697" s="46" t="n">
        <v>0.282815</v>
      </c>
      <c r="B697" s="46" t="n">
        <v>0.018354</v>
      </c>
      <c r="C697" s="46" t="n">
        <v>0.012917</v>
      </c>
      <c r="D697" s="46" t="n">
        <v>0.155035</v>
      </c>
      <c r="E697" s="46" t="n">
        <v>0.243591</v>
      </c>
      <c r="F697" s="46" t="n">
        <v>0.287289</v>
      </c>
      <c r="G697" s="47" t="n">
        <f aca="false">A697*Scorecard!$C$12+B697*Scorecard!$C$13+C697*Scorecard!$C$14+D697*Scorecard!$C$15+E697*Scorecard!$C$16+F697*Scorecard!$C$17</f>
        <v>3.08974396678405</v>
      </c>
      <c r="H697" s="47" t="n">
        <f aca="false">A697*Scorecard!$D$12+B697*Scorecard!$D$13+C697*Scorecard!$D$14+D697*Scorecard!$D$15+E697*Scorecard!$D$16+F697*Scorecard!$D$17</f>
        <v>2.98900519112681</v>
      </c>
      <c r="I697" s="47" t="n">
        <f aca="false">A697*Scorecard!$E$12+B697*Scorecard!$E$13+C697*Scorecard!$E$14+D697*Scorecard!$E$15+E697*Scorecard!$E$16+F697*Scorecard!$E$17</f>
        <v>4.02441379979637</v>
      </c>
      <c r="J697" s="0" t="str">
        <f aca="false">IF(AND(G697&gt;=H697,G697&gt;=I697),"Distribution",IF(I697&gt;=H697,"Prof. services","Manufacturing"))</f>
        <v>Prof. services</v>
      </c>
      <c r="L697" s="46" t="n">
        <v>0.176506</v>
      </c>
      <c r="M697" s="46" t="n">
        <v>0.136379</v>
      </c>
      <c r="N697" s="46" t="n">
        <v>0.245628</v>
      </c>
      <c r="O697" s="46" t="n">
        <v>0.180894</v>
      </c>
      <c r="P697" s="46" t="n">
        <v>0.099197</v>
      </c>
      <c r="Q697" s="46" t="n">
        <v>0.161396</v>
      </c>
      <c r="R697" s="47" t="n">
        <f aca="false">L697*Scorecard!$C$12+M697*Scorecard!$C$13+N697*Scorecard!$C$14+O697*Scorecard!$C$15+P697*Scorecard!$C$16+Q697*Scorecard!$C$17</f>
        <v>3.6767676828534</v>
      </c>
      <c r="S697" s="47" t="n">
        <f aca="false">L697*Scorecard!$D$12+M697*Scorecard!$D$13+N697*Scorecard!$D$14+O697*Scorecard!$D$15+P697*Scorecard!$D$16+Q697*Scorecard!$D$17</f>
        <v>2.91226772985819</v>
      </c>
      <c r="T697" s="47" t="n">
        <f aca="false">L697*Scorecard!$E$12+M697*Scorecard!$E$13+N697*Scorecard!$E$14+O697*Scorecard!$E$15+P697*Scorecard!$E$16+Q697*Scorecard!$E$17</f>
        <v>4.11139947430673</v>
      </c>
      <c r="U697" s="0" t="str">
        <f aca="false">IF(AND(R697&gt;=S697,R697&gt;=T697),"Distribution",IF(T697&gt;=S697,"Prof. services","Manufacturing"))</f>
        <v>Prof. services</v>
      </c>
    </row>
    <row r="698" customFormat="false" ht="15" hidden="false" customHeight="false" outlineLevel="0" collapsed="false">
      <c r="A698" s="46" t="n">
        <v>0.349666</v>
      </c>
      <c r="B698" s="46" t="n">
        <v>0.295487</v>
      </c>
      <c r="C698" s="46" t="n">
        <v>0.154561</v>
      </c>
      <c r="D698" s="46" t="n">
        <v>0.113263</v>
      </c>
      <c r="E698" s="46" t="n">
        <v>0.085948</v>
      </c>
      <c r="F698" s="46" t="n">
        <v>0.001074</v>
      </c>
      <c r="G698" s="47" t="n">
        <f aca="false">A698*Scorecard!$C$12+B698*Scorecard!$C$13+C698*Scorecard!$C$14+D698*Scorecard!$C$15+E698*Scorecard!$C$16+F698*Scorecard!$C$17</f>
        <v>3.77719421342401</v>
      </c>
      <c r="H698" s="47" t="n">
        <f aca="false">A698*Scorecard!$D$12+B698*Scorecard!$D$13+C698*Scorecard!$D$14+D698*Scorecard!$D$15+E698*Scorecard!$D$16+F698*Scorecard!$D$17</f>
        <v>2.94559821370687</v>
      </c>
      <c r="I698" s="47" t="n">
        <f aca="false">A698*Scorecard!$E$12+B698*Scorecard!$E$13+C698*Scorecard!$E$14+D698*Scorecard!$E$15+E698*Scorecard!$E$16+F698*Scorecard!$E$17</f>
        <v>3.82588921816507</v>
      </c>
      <c r="J698" s="0" t="str">
        <f aca="false">IF(AND(G698&gt;=H698,G698&gt;=I698),"Distribution",IF(I698&gt;=H698,"Prof. services","Manufacturing"))</f>
        <v>Prof. services</v>
      </c>
      <c r="L698" s="46" t="n">
        <v>0.272258</v>
      </c>
      <c r="M698" s="46" t="n">
        <v>0.126069</v>
      </c>
      <c r="N698" s="46" t="n">
        <v>0.184226</v>
      </c>
      <c r="O698" s="46" t="n">
        <v>0.223946</v>
      </c>
      <c r="P698" s="46" t="n">
        <v>0.13333</v>
      </c>
      <c r="Q698" s="46" t="n">
        <v>0.060171</v>
      </c>
      <c r="R698" s="47" t="n">
        <f aca="false">L698*Scorecard!$C$12+M698*Scorecard!$C$13+N698*Scorecard!$C$14+O698*Scorecard!$C$15+P698*Scorecard!$C$16+Q698*Scorecard!$C$17</f>
        <v>3.7396047173371</v>
      </c>
      <c r="S698" s="47" t="n">
        <f aca="false">L698*Scorecard!$D$12+M698*Scorecard!$D$13+N698*Scorecard!$D$14+O698*Scorecard!$D$15+P698*Scorecard!$D$16+Q698*Scorecard!$D$17</f>
        <v>3.20404588857519</v>
      </c>
      <c r="T698" s="47" t="n">
        <f aca="false">L698*Scorecard!$E$12+M698*Scorecard!$E$13+N698*Scorecard!$E$14+O698*Scorecard!$E$15+P698*Scorecard!$E$16+Q698*Scorecard!$E$17</f>
        <v>4.06465122322301</v>
      </c>
      <c r="U698" s="0" t="str">
        <f aca="false">IF(AND(R698&gt;=S698,R698&gt;=T698),"Distribution",IF(T698&gt;=S698,"Prof. services","Manufacturing"))</f>
        <v>Prof. services</v>
      </c>
    </row>
    <row r="699" customFormat="false" ht="15" hidden="false" customHeight="false" outlineLevel="0" collapsed="false">
      <c r="A699" s="46" t="n">
        <v>0.188538</v>
      </c>
      <c r="B699" s="46" t="n">
        <v>0.317218</v>
      </c>
      <c r="C699" s="46" t="n">
        <v>0.243235</v>
      </c>
      <c r="D699" s="46" t="n">
        <v>0.069596</v>
      </c>
      <c r="E699" s="46" t="n">
        <v>0.104077</v>
      </c>
      <c r="F699" s="46" t="n">
        <v>0.077336</v>
      </c>
      <c r="G699" s="47" t="n">
        <f aca="false">A699*Scorecard!$C$12+B699*Scorecard!$C$13+C699*Scorecard!$C$14+D699*Scorecard!$C$15+E699*Scorecard!$C$16+F699*Scorecard!$C$17</f>
        <v>3.89277091126543</v>
      </c>
      <c r="H699" s="47" t="n">
        <f aca="false">A699*Scorecard!$D$12+B699*Scorecard!$D$13+C699*Scorecard!$D$14+D699*Scorecard!$D$15+E699*Scorecard!$D$16+F699*Scorecard!$D$17</f>
        <v>2.64764927329794</v>
      </c>
      <c r="I699" s="47" t="n">
        <f aca="false">A699*Scorecard!$E$12+B699*Scorecard!$E$13+C699*Scorecard!$E$14+D699*Scorecard!$E$15+E699*Scorecard!$E$16+F699*Scorecard!$E$17</f>
        <v>3.71343062282859</v>
      </c>
      <c r="J699" s="0" t="str">
        <f aca="false">IF(AND(G699&gt;=H699,G699&gt;=I699),"Distribution",IF(I699&gt;=H699,"Prof. services","Manufacturing"))</f>
        <v>Distribution</v>
      </c>
      <c r="L699" s="46" t="n">
        <v>0.146193</v>
      </c>
      <c r="M699" s="46" t="n">
        <v>0.121434</v>
      </c>
      <c r="N699" s="46" t="n">
        <v>0.236322</v>
      </c>
      <c r="O699" s="46" t="n">
        <v>0.175328</v>
      </c>
      <c r="P699" s="46" t="n">
        <v>0.276755</v>
      </c>
      <c r="Q699" s="46" t="n">
        <v>0.043969</v>
      </c>
      <c r="R699" s="47" t="n">
        <f aca="false">L699*Scorecard!$C$12+M699*Scorecard!$C$13+N699*Scorecard!$C$14+O699*Scorecard!$C$15+P699*Scorecard!$C$16+Q699*Scorecard!$C$17</f>
        <v>3.94567851514616</v>
      </c>
      <c r="S699" s="47" t="n">
        <f aca="false">L699*Scorecard!$D$12+M699*Scorecard!$D$13+N699*Scorecard!$D$14+O699*Scorecard!$D$15+P699*Scorecard!$D$16+Q699*Scorecard!$D$17</f>
        <v>3.14356305043663</v>
      </c>
      <c r="T699" s="47" t="n">
        <f aca="false">L699*Scorecard!$E$12+M699*Scorecard!$E$13+N699*Scorecard!$E$14+O699*Scorecard!$E$15+P699*Scorecard!$E$16+Q699*Scorecard!$E$17</f>
        <v>3.74425819238996</v>
      </c>
      <c r="U699" s="0" t="str">
        <f aca="false">IF(AND(R699&gt;=S699,R699&gt;=T699),"Distribution",IF(T699&gt;=S699,"Prof. services","Manufacturing"))</f>
        <v>Distribution</v>
      </c>
    </row>
    <row r="700" customFormat="false" ht="15" hidden="false" customHeight="false" outlineLevel="0" collapsed="false">
      <c r="A700" s="46" t="n">
        <v>0.314113</v>
      </c>
      <c r="B700" s="46" t="n">
        <v>0.420218</v>
      </c>
      <c r="C700" s="46" t="n">
        <v>0.050888</v>
      </c>
      <c r="D700" s="46" t="n">
        <v>0.147671</v>
      </c>
      <c r="E700" s="46" t="n">
        <v>0.061974</v>
      </c>
      <c r="F700" s="46" t="n">
        <v>0.005136</v>
      </c>
      <c r="G700" s="47" t="n">
        <f aca="false">A700*Scorecard!$C$12+B700*Scorecard!$C$13+C700*Scorecard!$C$14+D700*Scorecard!$C$15+E700*Scorecard!$C$16+F700*Scorecard!$C$17</f>
        <v>3.99220912044424</v>
      </c>
      <c r="H700" s="47" t="n">
        <f aca="false">A700*Scorecard!$D$12+B700*Scorecard!$D$13+C700*Scorecard!$D$14+D700*Scorecard!$D$15+E700*Scorecard!$D$16+F700*Scorecard!$D$17</f>
        <v>2.76064301652032</v>
      </c>
      <c r="I700" s="47" t="n">
        <f aca="false">A700*Scorecard!$E$12+B700*Scorecard!$E$13+C700*Scorecard!$E$14+D700*Scorecard!$E$15+E700*Scorecard!$E$16+F700*Scorecard!$E$17</f>
        <v>3.50035768121622</v>
      </c>
      <c r="J700" s="0" t="str">
        <f aca="false">IF(AND(G700&gt;=H700,G700&gt;=I700),"Distribution",IF(I700&gt;=H700,"Prof. services","Manufacturing"))</f>
        <v>Distribution</v>
      </c>
      <c r="L700" s="46" t="n">
        <v>0.156341</v>
      </c>
      <c r="M700" s="46" t="n">
        <v>0.103</v>
      </c>
      <c r="N700" s="46" t="n">
        <v>0.248768</v>
      </c>
      <c r="O700" s="46" t="n">
        <v>0.081026</v>
      </c>
      <c r="P700" s="46" t="n">
        <v>0.356833</v>
      </c>
      <c r="Q700" s="46" t="n">
        <v>0.054032</v>
      </c>
      <c r="R700" s="47" t="n">
        <f aca="false">L700*Scorecard!$C$12+M700*Scorecard!$C$13+N700*Scorecard!$C$14+O700*Scorecard!$C$15+P700*Scorecard!$C$16+Q700*Scorecard!$C$17</f>
        <v>3.79454597042584</v>
      </c>
      <c r="S700" s="47" t="n">
        <f aca="false">L700*Scorecard!$D$12+M700*Scorecard!$D$13+N700*Scorecard!$D$14+O700*Scorecard!$D$15+P700*Scorecard!$D$16+Q700*Scorecard!$D$17</f>
        <v>3.08036306129699</v>
      </c>
      <c r="T700" s="47" t="n">
        <f aca="false">L700*Scorecard!$E$12+M700*Scorecard!$E$13+N700*Scorecard!$E$14+O700*Scorecard!$E$15+P700*Scorecard!$E$16+Q700*Scorecard!$E$17</f>
        <v>3.65751501441866</v>
      </c>
      <c r="U700" s="0" t="str">
        <f aca="false">IF(AND(R700&gt;=S700,R700&gt;=T700),"Distribution",IF(T700&gt;=S700,"Prof. services","Manufacturing"))</f>
        <v>Distribution</v>
      </c>
    </row>
    <row r="701" customFormat="false" ht="15" hidden="false" customHeight="false" outlineLevel="0" collapsed="false">
      <c r="A701" s="46" t="n">
        <v>0.110262</v>
      </c>
      <c r="B701" s="46" t="n">
        <v>0.164544</v>
      </c>
      <c r="C701" s="46" t="n">
        <v>0.150775</v>
      </c>
      <c r="D701" s="46" t="n">
        <v>0.010866</v>
      </c>
      <c r="E701" s="46" t="n">
        <v>0.513936</v>
      </c>
      <c r="F701" s="46" t="n">
        <v>0.049616</v>
      </c>
      <c r="G701" s="47" t="n">
        <f aca="false">A701*Scorecard!$C$12+B701*Scorecard!$C$13+C701*Scorecard!$C$14+D701*Scorecard!$C$15+E701*Scorecard!$C$16+F701*Scorecard!$C$17</f>
        <v>3.87770082755704</v>
      </c>
      <c r="H701" s="47" t="n">
        <f aca="false">A701*Scorecard!$D$12+B701*Scorecard!$D$13+C701*Scorecard!$D$14+D701*Scorecard!$D$15+E701*Scorecard!$D$16+F701*Scorecard!$D$17</f>
        <v>2.93531651543059</v>
      </c>
      <c r="I701" s="47" t="n">
        <f aca="false">A701*Scorecard!$E$12+B701*Scorecard!$E$13+C701*Scorecard!$E$14+D701*Scorecard!$E$15+E701*Scorecard!$E$16+F701*Scorecard!$E$17</f>
        <v>3.12244754606758</v>
      </c>
      <c r="J701" s="0" t="str">
        <f aca="false">IF(AND(G701&gt;=H701,G701&gt;=I701),"Distribution",IF(I701&gt;=H701,"Prof. services","Manufacturing"))</f>
        <v>Distribution</v>
      </c>
      <c r="L701" s="46" t="n">
        <v>0.490237</v>
      </c>
      <c r="M701" s="46" t="n">
        <v>0.049825</v>
      </c>
      <c r="N701" s="46" t="n">
        <v>0.08945</v>
      </c>
      <c r="O701" s="46" t="n">
        <v>0.087464</v>
      </c>
      <c r="P701" s="46" t="n">
        <v>0.185199</v>
      </c>
      <c r="Q701" s="46" t="n">
        <v>0.097824</v>
      </c>
      <c r="R701" s="47" t="n">
        <f aca="false">L701*Scorecard!$C$12+M701*Scorecard!$C$13+N701*Scorecard!$C$14+O701*Scorecard!$C$15+P701*Scorecard!$C$16+Q701*Scorecard!$C$17</f>
        <v>3.05920340874534</v>
      </c>
      <c r="S701" s="47" t="n">
        <f aca="false">L701*Scorecard!$D$12+M701*Scorecard!$D$13+N701*Scorecard!$D$14+O701*Scorecard!$D$15+P701*Scorecard!$D$16+Q701*Scorecard!$D$17</f>
        <v>3.26528409135329</v>
      </c>
      <c r="T701" s="47" t="n">
        <f aca="false">L701*Scorecard!$E$12+M701*Scorecard!$E$13+N701*Scorecard!$E$14+O701*Scorecard!$E$15+P701*Scorecard!$E$16+Q701*Scorecard!$E$17</f>
        <v>4.24083259028219</v>
      </c>
      <c r="U701" s="0" t="str">
        <f aca="false">IF(AND(R701&gt;=S701,R701&gt;=T701),"Distribution",IF(T701&gt;=S701,"Prof. services","Manufacturing"))</f>
        <v>Prof. services</v>
      </c>
    </row>
    <row r="702" customFormat="false" ht="15" hidden="false" customHeight="false" outlineLevel="0" collapsed="false">
      <c r="A702" s="46" t="n">
        <v>0.382573</v>
      </c>
      <c r="B702" s="46" t="n">
        <v>0.404154</v>
      </c>
      <c r="C702" s="46" t="n">
        <v>0.051592</v>
      </c>
      <c r="D702" s="46" t="n">
        <v>0.01398</v>
      </c>
      <c r="E702" s="46" t="n">
        <v>0.010771</v>
      </c>
      <c r="F702" s="46" t="n">
        <v>0.13693</v>
      </c>
      <c r="G702" s="47" t="n">
        <f aca="false">A702*Scorecard!$C$12+B702*Scorecard!$C$13+C702*Scorecard!$C$14+D702*Scorecard!$C$15+E702*Scorecard!$C$16+F702*Scorecard!$C$17</f>
        <v>3.4556371441383</v>
      </c>
      <c r="H702" s="47" t="n">
        <f aca="false">A702*Scorecard!$D$12+B702*Scorecard!$D$13+C702*Scorecard!$D$14+D702*Scorecard!$D$15+E702*Scorecard!$D$16+F702*Scorecard!$D$17</f>
        <v>2.46045142745679</v>
      </c>
      <c r="I702" s="47" t="n">
        <f aca="false">A702*Scorecard!$E$12+B702*Scorecard!$E$13+C702*Scorecard!$E$14+D702*Scorecard!$E$15+E702*Scorecard!$E$16+F702*Scorecard!$E$17</f>
        <v>3.72894638858574</v>
      </c>
      <c r="J702" s="0" t="str">
        <f aca="false">IF(AND(G702&gt;=H702,G702&gt;=I702),"Distribution",IF(I702&gt;=H702,"Prof. services","Manufacturing"))</f>
        <v>Prof. services</v>
      </c>
      <c r="L702" s="46" t="n">
        <v>0.160916</v>
      </c>
      <c r="M702" s="46" t="n">
        <v>0.221127</v>
      </c>
      <c r="N702" s="46" t="n">
        <v>0.180684</v>
      </c>
      <c r="O702" s="46" t="n">
        <v>0.220189</v>
      </c>
      <c r="P702" s="46" t="n">
        <v>0.097203</v>
      </c>
      <c r="Q702" s="46" t="n">
        <v>0.119881</v>
      </c>
      <c r="R702" s="47" t="n">
        <f aca="false">L702*Scorecard!$C$12+M702*Scorecard!$C$13+N702*Scorecard!$C$14+O702*Scorecard!$C$15+P702*Scorecard!$C$16+Q702*Scorecard!$C$17</f>
        <v>3.91190290518191</v>
      </c>
      <c r="S702" s="47" t="n">
        <f aca="false">L702*Scorecard!$D$12+M702*Scorecard!$D$13+N702*Scorecard!$D$14+O702*Scorecard!$D$15+P702*Scorecard!$D$16+Q702*Scorecard!$D$17</f>
        <v>2.88186019573555</v>
      </c>
      <c r="T702" s="47" t="n">
        <f aca="false">L702*Scorecard!$E$12+M702*Scorecard!$E$13+N702*Scorecard!$E$14+O702*Scorecard!$E$15+P702*Scorecard!$E$16+Q702*Scorecard!$E$17</f>
        <v>3.86092772740421</v>
      </c>
      <c r="U702" s="0" t="str">
        <f aca="false">IF(AND(R702&gt;=S702,R702&gt;=T702),"Distribution",IF(T702&gt;=S702,"Prof. services","Manufacturing"))</f>
        <v>Distribution</v>
      </c>
    </row>
    <row r="703" customFormat="false" ht="15" hidden="false" customHeight="false" outlineLevel="0" collapsed="false">
      <c r="A703" s="46" t="n">
        <v>0.228442</v>
      </c>
      <c r="B703" s="46" t="n">
        <v>0.038031</v>
      </c>
      <c r="C703" s="46" t="n">
        <v>0.019167</v>
      </c>
      <c r="D703" s="46" t="n">
        <v>0.235686</v>
      </c>
      <c r="E703" s="46" t="n">
        <v>0.041101</v>
      </c>
      <c r="F703" s="46" t="n">
        <v>0.437572</v>
      </c>
      <c r="G703" s="47" t="n">
        <f aca="false">A703*Scorecard!$C$12+B703*Scorecard!$C$13+C703*Scorecard!$C$14+D703*Scorecard!$C$15+E703*Scorecard!$C$16+F703*Scorecard!$C$17</f>
        <v>2.98737014219572</v>
      </c>
      <c r="H703" s="47" t="n">
        <f aca="false">A703*Scorecard!$D$12+B703*Scorecard!$D$13+C703*Scorecard!$D$14+D703*Scorecard!$D$15+E703*Scorecard!$D$16+F703*Scorecard!$D$17</f>
        <v>2.72399169298206</v>
      </c>
      <c r="I703" s="47" t="n">
        <f aca="false">A703*Scorecard!$E$12+B703*Scorecard!$E$13+C703*Scorecard!$E$14+D703*Scorecard!$E$15+E703*Scorecard!$E$16+F703*Scorecard!$E$17</f>
        <v>4.36523735335742</v>
      </c>
      <c r="J703" s="0" t="str">
        <f aca="false">IF(AND(G703&gt;=H703,G703&gt;=I703),"Distribution",IF(I703&gt;=H703,"Prof. services","Manufacturing"))</f>
        <v>Prof. services</v>
      </c>
      <c r="L703" s="46" t="n">
        <v>0.200356</v>
      </c>
      <c r="M703" s="46" t="n">
        <v>0.181405</v>
      </c>
      <c r="N703" s="46" t="n">
        <v>0.218399</v>
      </c>
      <c r="O703" s="46" t="n">
        <v>0.126977</v>
      </c>
      <c r="P703" s="46" t="n">
        <v>0.188528</v>
      </c>
      <c r="Q703" s="46" t="n">
        <v>0.084336</v>
      </c>
      <c r="R703" s="47" t="n">
        <f aca="false">L703*Scorecard!$C$12+M703*Scorecard!$C$13+N703*Scorecard!$C$14+O703*Scorecard!$C$15+P703*Scorecard!$C$16+Q703*Scorecard!$C$17</f>
        <v>3.77907034272929</v>
      </c>
      <c r="S703" s="47" t="n">
        <f aca="false">L703*Scorecard!$D$12+M703*Scorecard!$D$13+N703*Scorecard!$D$14+O703*Scorecard!$D$15+P703*Scorecard!$D$16+Q703*Scorecard!$D$17</f>
        <v>2.94339116911887</v>
      </c>
      <c r="T703" s="47" t="n">
        <f aca="false">L703*Scorecard!$E$12+M703*Scorecard!$E$13+N703*Scorecard!$E$14+O703*Scorecard!$E$15+P703*Scorecard!$E$16+Q703*Scorecard!$E$17</f>
        <v>3.82731093713569</v>
      </c>
      <c r="U703" s="0" t="str">
        <f aca="false">IF(AND(R703&gt;=S703,R703&gt;=T703),"Distribution",IF(T703&gt;=S703,"Prof. services","Manufacturing"))</f>
        <v>Prof. services</v>
      </c>
    </row>
    <row r="704" customFormat="false" ht="15" hidden="false" customHeight="false" outlineLevel="0" collapsed="false">
      <c r="A704" s="46" t="n">
        <v>0.133388</v>
      </c>
      <c r="B704" s="46" t="n">
        <v>0.174652</v>
      </c>
      <c r="C704" s="46" t="n">
        <v>0.41203</v>
      </c>
      <c r="D704" s="46" t="n">
        <v>0.034991</v>
      </c>
      <c r="E704" s="46" t="n">
        <v>0.161553</v>
      </c>
      <c r="F704" s="46" t="n">
        <v>0.083387</v>
      </c>
      <c r="G704" s="47" t="n">
        <f aca="false">A704*Scorecard!$C$12+B704*Scorecard!$C$13+C704*Scorecard!$C$14+D704*Scorecard!$C$15+E704*Scorecard!$C$16+F704*Scorecard!$C$17</f>
        <v>3.80277269775787</v>
      </c>
      <c r="H704" s="47" t="n">
        <f aca="false">A704*Scorecard!$D$12+B704*Scorecard!$D$13+C704*Scorecard!$D$14+D704*Scorecard!$D$15+E704*Scorecard!$D$16+F704*Scorecard!$D$17</f>
        <v>2.79523683813731</v>
      </c>
      <c r="I704" s="47" t="n">
        <f aca="false">A704*Scorecard!$E$12+B704*Scorecard!$E$13+C704*Scorecard!$E$14+D704*Scorecard!$E$15+E704*Scorecard!$E$16+F704*Scorecard!$E$17</f>
        <v>3.99602776714338</v>
      </c>
      <c r="J704" s="0" t="str">
        <f aca="false">IF(AND(G704&gt;=H704,G704&gt;=I704),"Distribution",IF(I704&gt;=H704,"Prof. services","Manufacturing"))</f>
        <v>Prof. services</v>
      </c>
      <c r="L704" s="46" t="n">
        <v>0.270878</v>
      </c>
      <c r="M704" s="46" t="n">
        <v>0.17949</v>
      </c>
      <c r="N704" s="46" t="n">
        <v>0.263812</v>
      </c>
      <c r="O704" s="46" t="n">
        <v>0.092855</v>
      </c>
      <c r="P704" s="46" t="n">
        <v>0.074656</v>
      </c>
      <c r="Q704" s="46" t="n">
        <v>0.118309</v>
      </c>
      <c r="R704" s="47" t="n">
        <f aca="false">L704*Scorecard!$C$12+M704*Scorecard!$C$13+N704*Scorecard!$C$14+O704*Scorecard!$C$15+P704*Scorecard!$C$16+Q704*Scorecard!$C$17</f>
        <v>3.54814273701724</v>
      </c>
      <c r="S704" s="47" t="n">
        <f aca="false">L704*Scorecard!$D$12+M704*Scorecard!$D$13+N704*Scorecard!$D$14+O704*Scorecard!$D$15+P704*Scorecard!$D$16+Q704*Scorecard!$D$17</f>
        <v>2.86442796286337</v>
      </c>
      <c r="T704" s="47" t="n">
        <f aca="false">L704*Scorecard!$E$12+M704*Scorecard!$E$13+N704*Scorecard!$E$14+O704*Scorecard!$E$15+P704*Scorecard!$E$16+Q704*Scorecard!$E$17</f>
        <v>4.14800708379631</v>
      </c>
      <c r="U704" s="0" t="str">
        <f aca="false">IF(AND(R704&gt;=S704,R704&gt;=T704),"Distribution",IF(T704&gt;=S704,"Prof. services","Manufacturing"))</f>
        <v>Prof. services</v>
      </c>
    </row>
    <row r="705" customFormat="false" ht="15" hidden="false" customHeight="false" outlineLevel="0" collapsed="false">
      <c r="A705" s="46" t="n">
        <v>0.017566</v>
      </c>
      <c r="B705" s="46" t="n">
        <v>0.1121</v>
      </c>
      <c r="C705" s="46" t="n">
        <v>0.004373</v>
      </c>
      <c r="D705" s="46" t="n">
        <v>0.232735</v>
      </c>
      <c r="E705" s="46" t="n">
        <v>0.142608</v>
      </c>
      <c r="F705" s="46" t="n">
        <v>0.490618</v>
      </c>
      <c r="G705" s="47" t="n">
        <f aca="false">A705*Scorecard!$C$12+B705*Scorecard!$C$13+C705*Scorecard!$C$14+D705*Scorecard!$C$15+E705*Scorecard!$C$16+F705*Scorecard!$C$17</f>
        <v>3.33197994949182</v>
      </c>
      <c r="H705" s="47" t="n">
        <f aca="false">A705*Scorecard!$D$12+B705*Scorecard!$D$13+C705*Scorecard!$D$14+D705*Scorecard!$D$15+E705*Scorecard!$D$16+F705*Scorecard!$D$17</f>
        <v>2.42437350016468</v>
      </c>
      <c r="I705" s="47" t="n">
        <f aca="false">A705*Scorecard!$E$12+B705*Scorecard!$E$13+C705*Scorecard!$E$14+D705*Scorecard!$E$15+E705*Scorecard!$E$16+F705*Scorecard!$E$17</f>
        <v>3.85750883725472</v>
      </c>
      <c r="J705" s="0" t="str">
        <f aca="false">IF(AND(G705&gt;=H705,G705&gt;=I705),"Distribution",IF(I705&gt;=H705,"Prof. services","Manufacturing"))</f>
        <v>Prof. services</v>
      </c>
      <c r="L705" s="46" t="n">
        <v>0.254395</v>
      </c>
      <c r="M705" s="46" t="n">
        <v>0.089505</v>
      </c>
      <c r="N705" s="46" t="n">
        <v>0.186327</v>
      </c>
      <c r="O705" s="46" t="n">
        <v>0.218753</v>
      </c>
      <c r="P705" s="46" t="n">
        <v>0.178724</v>
      </c>
      <c r="Q705" s="46" t="n">
        <v>0.072296</v>
      </c>
      <c r="R705" s="47" t="n">
        <f aca="false">L705*Scorecard!$C$12+M705*Scorecard!$C$13+N705*Scorecard!$C$14+O705*Scorecard!$C$15+P705*Scorecard!$C$16+Q705*Scorecard!$C$17</f>
        <v>3.70575137208079</v>
      </c>
      <c r="S705" s="47" t="n">
        <f aca="false">L705*Scorecard!$D$12+M705*Scorecard!$D$13+N705*Scorecard!$D$14+O705*Scorecard!$D$15+P705*Scorecard!$D$16+Q705*Scorecard!$D$17</f>
        <v>3.23806134073046</v>
      </c>
      <c r="T705" s="47" t="n">
        <f aca="false">L705*Scorecard!$E$12+M705*Scorecard!$E$13+N705*Scorecard!$E$14+O705*Scorecard!$E$15+P705*Scorecard!$E$16+Q705*Scorecard!$E$17</f>
        <v>4.04702181476438</v>
      </c>
      <c r="U705" s="0" t="str">
        <f aca="false">IF(AND(R705&gt;=S705,R705&gt;=T705),"Distribution",IF(T705&gt;=S705,"Prof. services","Manufacturing"))</f>
        <v>Prof. services</v>
      </c>
    </row>
    <row r="706" customFormat="false" ht="15" hidden="false" customHeight="false" outlineLevel="0" collapsed="false">
      <c r="A706" s="46" t="n">
        <v>0.102681</v>
      </c>
      <c r="B706" s="46" t="n">
        <v>0.41965</v>
      </c>
      <c r="C706" s="46" t="n">
        <v>0.033672</v>
      </c>
      <c r="D706" s="46" t="n">
        <v>0.125638</v>
      </c>
      <c r="E706" s="46" t="n">
        <v>0.125044</v>
      </c>
      <c r="F706" s="46" t="n">
        <v>0.193314</v>
      </c>
      <c r="G706" s="47" t="n">
        <f aca="false">A706*Scorecard!$C$12+B706*Scorecard!$C$13+C706*Scorecard!$C$14+D706*Scorecard!$C$15+E706*Scorecard!$C$16+F706*Scorecard!$C$17</f>
        <v>3.97382873566944</v>
      </c>
      <c r="H706" s="47" t="n">
        <f aca="false">A706*Scorecard!$D$12+B706*Scorecard!$D$13+C706*Scorecard!$D$14+D706*Scorecard!$D$15+E706*Scorecard!$D$16+F706*Scorecard!$D$17</f>
        <v>2.335081402666</v>
      </c>
      <c r="I706" s="47" t="n">
        <f aca="false">A706*Scorecard!$E$12+B706*Scorecard!$E$13+C706*Scorecard!$E$14+D706*Scorecard!$E$15+E706*Scorecard!$E$16+F706*Scorecard!$E$17</f>
        <v>3.2581275070092</v>
      </c>
      <c r="J706" s="0" t="str">
        <f aca="false">IF(AND(G706&gt;=H706,G706&gt;=I706),"Distribution",IF(I706&gt;=H706,"Prof. services","Manufacturing"))</f>
        <v>Distribution</v>
      </c>
      <c r="L706" s="46" t="n">
        <v>0.184612</v>
      </c>
      <c r="M706" s="46" t="n">
        <v>0.197138</v>
      </c>
      <c r="N706" s="46" t="n">
        <v>0.085535</v>
      </c>
      <c r="O706" s="46" t="n">
        <v>0.22728</v>
      </c>
      <c r="P706" s="46" t="n">
        <v>0.251419</v>
      </c>
      <c r="Q706" s="46" t="n">
        <v>0.054016</v>
      </c>
      <c r="R706" s="47" t="n">
        <f aca="false">L706*Scorecard!$C$12+M706*Scorecard!$C$13+N706*Scorecard!$C$14+O706*Scorecard!$C$15+P706*Scorecard!$C$16+Q706*Scorecard!$C$17</f>
        <v>3.98408176725399</v>
      </c>
      <c r="S706" s="47" t="n">
        <f aca="false">L706*Scorecard!$D$12+M706*Scorecard!$D$13+N706*Scorecard!$D$14+O706*Scorecard!$D$15+P706*Scorecard!$D$16+Q706*Scorecard!$D$17</f>
        <v>3.09193177020472</v>
      </c>
      <c r="T706" s="47" t="n">
        <f aca="false">L706*Scorecard!$E$12+M706*Scorecard!$E$13+N706*Scorecard!$E$14+O706*Scorecard!$E$15+P706*Scorecard!$E$16+Q706*Scorecard!$E$17</f>
        <v>3.54567273602644</v>
      </c>
      <c r="U706" s="0" t="str">
        <f aca="false">IF(AND(R706&gt;=S706,R706&gt;=T706),"Distribution",IF(T706&gt;=S706,"Prof. services","Manufacturing"))</f>
        <v>Distribution</v>
      </c>
    </row>
    <row r="707" customFormat="false" ht="15" hidden="false" customHeight="false" outlineLevel="0" collapsed="false">
      <c r="A707" s="46" t="n">
        <v>0.490674</v>
      </c>
      <c r="B707" s="46" t="n">
        <v>0.267273</v>
      </c>
      <c r="C707" s="46" t="n">
        <v>0.01303</v>
      </c>
      <c r="D707" s="46" t="n">
        <v>0.14111</v>
      </c>
      <c r="E707" s="46" t="n">
        <v>0.064944</v>
      </c>
      <c r="F707" s="46" t="n">
        <v>0.022969</v>
      </c>
      <c r="G707" s="47" t="n">
        <f aca="false">A707*Scorecard!$C$12+B707*Scorecard!$C$13+C707*Scorecard!$C$14+D707*Scorecard!$C$15+E707*Scorecard!$C$16+F707*Scorecard!$C$17</f>
        <v>3.47922480251329</v>
      </c>
      <c r="H707" s="47" t="n">
        <f aca="false">A707*Scorecard!$D$12+B707*Scorecard!$D$13+C707*Scorecard!$D$14+D707*Scorecard!$D$15+E707*Scorecard!$D$16+F707*Scorecard!$D$17</f>
        <v>3.0734861862781</v>
      </c>
      <c r="I707" s="47" t="n">
        <f aca="false">A707*Scorecard!$E$12+B707*Scorecard!$E$13+C707*Scorecard!$E$14+D707*Scorecard!$E$15+E707*Scorecard!$E$16+F707*Scorecard!$E$17</f>
        <v>3.9288121899376</v>
      </c>
      <c r="J707" s="0" t="str">
        <f aca="false">IF(AND(G707&gt;=H707,G707&gt;=I707),"Distribution",IF(I707&gt;=H707,"Prof. services","Manufacturing"))</f>
        <v>Prof. services</v>
      </c>
      <c r="L707" s="46" t="n">
        <v>0.333562</v>
      </c>
      <c r="M707" s="46" t="n">
        <v>0.156469</v>
      </c>
      <c r="N707" s="46" t="n">
        <v>0.123833</v>
      </c>
      <c r="O707" s="46" t="n">
        <v>0.085303</v>
      </c>
      <c r="P707" s="46" t="n">
        <v>0.263211</v>
      </c>
      <c r="Q707" s="46" t="n">
        <v>0.037621</v>
      </c>
      <c r="R707" s="47" t="n">
        <f aca="false">L707*Scorecard!$C$12+M707*Scorecard!$C$13+N707*Scorecard!$C$14+O707*Scorecard!$C$15+P707*Scorecard!$C$16+Q707*Scorecard!$C$17</f>
        <v>3.56610964308266</v>
      </c>
      <c r="S707" s="47" t="n">
        <f aca="false">L707*Scorecard!$D$12+M707*Scorecard!$D$13+N707*Scorecard!$D$14+O707*Scorecard!$D$15+P707*Scorecard!$D$16+Q707*Scorecard!$D$17</f>
        <v>3.11552654755499</v>
      </c>
      <c r="T707" s="47" t="n">
        <f aca="false">L707*Scorecard!$E$12+M707*Scorecard!$E$13+N707*Scorecard!$E$14+O707*Scorecard!$E$15+P707*Scorecard!$E$16+Q707*Scorecard!$E$17</f>
        <v>3.75804429054118</v>
      </c>
      <c r="U707" s="0" t="str">
        <f aca="false">IF(AND(R707&gt;=S707,R707&gt;=T707),"Distribution",IF(T707&gt;=S707,"Prof. services","Manufacturing"))</f>
        <v>Prof. services</v>
      </c>
    </row>
    <row r="708" customFormat="false" ht="15" hidden="false" customHeight="false" outlineLevel="0" collapsed="false">
      <c r="A708" s="46" t="n">
        <v>0.187583</v>
      </c>
      <c r="B708" s="46" t="n">
        <v>0.146688</v>
      </c>
      <c r="C708" s="46" t="n">
        <v>0.009912</v>
      </c>
      <c r="D708" s="46" t="n">
        <v>0.227595</v>
      </c>
      <c r="E708" s="46" t="n">
        <v>0.028309</v>
      </c>
      <c r="F708" s="46" t="n">
        <v>0.399912</v>
      </c>
      <c r="G708" s="47" t="n">
        <f aca="false">A708*Scorecard!$C$12+B708*Scorecard!$C$13+C708*Scorecard!$C$14+D708*Scorecard!$C$15+E708*Scorecard!$C$16+F708*Scorecard!$C$17</f>
        <v>3.23680292488465</v>
      </c>
      <c r="H708" s="47" t="n">
        <f aca="false">A708*Scorecard!$D$12+B708*Scorecard!$D$13+C708*Scorecard!$D$14+D708*Scorecard!$D$15+E708*Scorecard!$D$16+F708*Scorecard!$D$17</f>
        <v>2.57676746952679</v>
      </c>
      <c r="I708" s="47" t="n">
        <f aca="false">A708*Scorecard!$E$12+B708*Scorecard!$E$13+C708*Scorecard!$E$14+D708*Scorecard!$E$15+E708*Scorecard!$E$16+F708*Scorecard!$E$17</f>
        <v>4.11248982208507</v>
      </c>
      <c r="J708" s="0" t="str">
        <f aca="false">IF(AND(G708&gt;=H708,G708&gt;=I708),"Distribution",IF(I708&gt;=H708,"Prof. services","Manufacturing"))</f>
        <v>Prof. services</v>
      </c>
      <c r="L708" s="46" t="n">
        <v>0.14934</v>
      </c>
      <c r="M708" s="46" t="n">
        <v>0.156826</v>
      </c>
      <c r="N708" s="46" t="n">
        <v>0.186809</v>
      </c>
      <c r="O708" s="46" t="n">
        <v>0.106527</v>
      </c>
      <c r="P708" s="46" t="n">
        <v>0.218726</v>
      </c>
      <c r="Q708" s="46" t="n">
        <v>0.181772</v>
      </c>
      <c r="R708" s="47" t="n">
        <f aca="false">L708*Scorecard!$C$12+M708*Scorecard!$C$13+N708*Scorecard!$C$14+O708*Scorecard!$C$15+P708*Scorecard!$C$16+Q708*Scorecard!$C$17</f>
        <v>3.63099487026689</v>
      </c>
      <c r="S708" s="47" t="n">
        <f aca="false">L708*Scorecard!$D$12+M708*Scorecard!$D$13+N708*Scorecard!$D$14+O708*Scorecard!$D$15+P708*Scorecard!$D$16+Q708*Scorecard!$D$17</f>
        <v>2.78682096455209</v>
      </c>
      <c r="T708" s="47" t="n">
        <f aca="false">L708*Scorecard!$E$12+M708*Scorecard!$E$13+N708*Scorecard!$E$14+O708*Scorecard!$E$15+P708*Scorecard!$E$16+Q708*Scorecard!$E$17</f>
        <v>3.78583294852206</v>
      </c>
      <c r="U708" s="0" t="str">
        <f aca="false">IF(AND(R708&gt;=S708,R708&gt;=T708),"Distribution",IF(T708&gt;=S708,"Prof. services","Manufacturing"))</f>
        <v>Prof. services</v>
      </c>
    </row>
    <row r="709" customFormat="false" ht="15" hidden="false" customHeight="false" outlineLevel="0" collapsed="false">
      <c r="A709" s="46" t="n">
        <v>0.050677</v>
      </c>
      <c r="B709" s="46" t="n">
        <v>0.151215</v>
      </c>
      <c r="C709" s="46" t="n">
        <v>0.031948</v>
      </c>
      <c r="D709" s="46" t="n">
        <v>0.387261</v>
      </c>
      <c r="E709" s="46" t="n">
        <v>0.009257</v>
      </c>
      <c r="F709" s="46" t="n">
        <v>0.369642</v>
      </c>
      <c r="G709" s="47" t="n">
        <f aca="false">A709*Scorecard!$C$12+B709*Scorecard!$C$13+C709*Scorecard!$C$14+D709*Scorecard!$C$15+E709*Scorecard!$C$16+F709*Scorecard!$C$17</f>
        <v>3.70797267729687</v>
      </c>
      <c r="H709" s="47" t="n">
        <f aca="false">A709*Scorecard!$D$12+B709*Scorecard!$D$13+C709*Scorecard!$D$14+D709*Scorecard!$D$15+E709*Scorecard!$D$16+F709*Scorecard!$D$17</f>
        <v>2.70343257428392</v>
      </c>
      <c r="I709" s="47" t="n">
        <f aca="false">A709*Scorecard!$E$12+B709*Scorecard!$E$13+C709*Scorecard!$E$14+D709*Scorecard!$E$15+E709*Scorecard!$E$16+F709*Scorecard!$E$17</f>
        <v>4.03195419870641</v>
      </c>
      <c r="J709" s="0" t="str">
        <f aca="false">IF(AND(G709&gt;=H709,G709&gt;=I709),"Distribution",IF(I709&gt;=H709,"Prof. services","Manufacturing"))</f>
        <v>Prof. services</v>
      </c>
      <c r="L709" s="46" t="n">
        <v>0.266488</v>
      </c>
      <c r="M709" s="46" t="n">
        <v>0.17788</v>
      </c>
      <c r="N709" s="46" t="n">
        <v>0.22081</v>
      </c>
      <c r="O709" s="46" t="n">
        <v>0.096233</v>
      </c>
      <c r="P709" s="46" t="n">
        <v>0.189254</v>
      </c>
      <c r="Q709" s="46" t="n">
        <v>0.049335</v>
      </c>
      <c r="R709" s="47" t="n">
        <f aca="false">L709*Scorecard!$C$12+M709*Scorecard!$C$13+N709*Scorecard!$C$14+O709*Scorecard!$C$15+P709*Scorecard!$C$16+Q709*Scorecard!$C$17</f>
        <v>3.69576079962289</v>
      </c>
      <c r="S709" s="47" t="n">
        <f aca="false">L709*Scorecard!$D$12+M709*Scorecard!$D$13+N709*Scorecard!$D$14+O709*Scorecard!$D$15+P709*Scorecard!$D$16+Q709*Scorecard!$D$17</f>
        <v>3.0095156109701</v>
      </c>
      <c r="T709" s="47" t="n">
        <f aca="false">L709*Scorecard!$E$12+M709*Scorecard!$E$13+N709*Scorecard!$E$14+O709*Scorecard!$E$15+P709*Scorecard!$E$16+Q709*Scorecard!$E$17</f>
        <v>3.8787054775105</v>
      </c>
      <c r="U709" s="0" t="str">
        <f aca="false">IF(AND(R709&gt;=S709,R709&gt;=T709),"Distribution",IF(T709&gt;=S709,"Prof. services","Manufacturing"))</f>
        <v>Prof. services</v>
      </c>
    </row>
    <row r="710" customFormat="false" ht="15" hidden="false" customHeight="false" outlineLevel="0" collapsed="false">
      <c r="A710" s="46" t="n">
        <v>0.033562</v>
      </c>
      <c r="B710" s="46" t="n">
        <v>0.026665</v>
      </c>
      <c r="C710" s="46" t="n">
        <v>0.155735</v>
      </c>
      <c r="D710" s="46" t="n">
        <v>0.133966</v>
      </c>
      <c r="E710" s="46" t="n">
        <v>0.535887</v>
      </c>
      <c r="F710" s="46" t="n">
        <v>0.114186</v>
      </c>
      <c r="G710" s="47" t="n">
        <f aca="false">A710*Scorecard!$C$12+B710*Scorecard!$C$13+C710*Scorecard!$C$14+D710*Scorecard!$C$15+E710*Scorecard!$C$16+F710*Scorecard!$C$17</f>
        <v>3.87185092137336</v>
      </c>
      <c r="H710" s="47" t="n">
        <f aca="false">A710*Scorecard!$D$12+B710*Scorecard!$D$13+C710*Scorecard!$D$14+D710*Scorecard!$D$15+E710*Scorecard!$D$16+F710*Scorecard!$D$17</f>
        <v>3.14458268736168</v>
      </c>
      <c r="I710" s="47" t="n">
        <f aca="false">A710*Scorecard!$E$12+B710*Scorecard!$E$13+C710*Scorecard!$E$14+D710*Scorecard!$E$15+E710*Scorecard!$E$16+F710*Scorecard!$E$17</f>
        <v>3.32522165278621</v>
      </c>
      <c r="J710" s="0" t="str">
        <f aca="false">IF(AND(G710&gt;=H710,G710&gt;=I710),"Distribution",IF(I710&gt;=H710,"Prof. services","Manufacturing"))</f>
        <v>Distribution</v>
      </c>
      <c r="L710" s="46" t="n">
        <v>0.118415</v>
      </c>
      <c r="M710" s="46" t="n">
        <v>0.116978</v>
      </c>
      <c r="N710" s="46" t="n">
        <v>0.221671</v>
      </c>
      <c r="O710" s="46" t="n">
        <v>0.258558</v>
      </c>
      <c r="P710" s="46" t="n">
        <v>0.268332</v>
      </c>
      <c r="Q710" s="46" t="n">
        <v>0.016047</v>
      </c>
      <c r="R710" s="47" t="n">
        <f aca="false">L710*Scorecard!$C$12+M710*Scorecard!$C$13+N710*Scorecard!$C$14+O710*Scorecard!$C$15+P710*Scorecard!$C$16+Q710*Scorecard!$C$17</f>
        <v>4.13029731128736</v>
      </c>
      <c r="S710" s="47" t="n">
        <f aca="false">L710*Scorecard!$D$12+M710*Scorecard!$D$13+N710*Scorecard!$D$14+O710*Scorecard!$D$15+P710*Scorecard!$D$16+Q710*Scorecard!$D$17</f>
        <v>3.26732859242711</v>
      </c>
      <c r="T710" s="47" t="n">
        <f aca="false">L710*Scorecard!$E$12+M710*Scorecard!$E$13+N710*Scorecard!$E$14+O710*Scorecard!$E$15+P710*Scorecard!$E$16+Q710*Scorecard!$E$17</f>
        <v>3.72392304037206</v>
      </c>
      <c r="U710" s="0" t="str">
        <f aca="false">IF(AND(R710&gt;=S710,R710&gt;=T710),"Distribution",IF(T710&gt;=S710,"Prof. services","Manufacturing"))</f>
        <v>Distribution</v>
      </c>
    </row>
    <row r="711" customFormat="false" ht="15" hidden="false" customHeight="false" outlineLevel="0" collapsed="false">
      <c r="A711" s="46" t="n">
        <v>0.036338</v>
      </c>
      <c r="B711" s="46" t="n">
        <v>0.137914</v>
      </c>
      <c r="C711" s="46" t="n">
        <v>0.124552</v>
      </c>
      <c r="D711" s="46" t="n">
        <v>0.124448</v>
      </c>
      <c r="E711" s="46" t="n">
        <v>0.530572</v>
      </c>
      <c r="F711" s="46" t="n">
        <v>0.046176</v>
      </c>
      <c r="G711" s="47" t="n">
        <f aca="false">A711*Scorecard!$C$12+B711*Scorecard!$C$13+C711*Scorecard!$C$14+D711*Scorecard!$C$15+E711*Scorecard!$C$16+F711*Scorecard!$C$17</f>
        <v>4.10460108178491</v>
      </c>
      <c r="H711" s="47" t="n">
        <f aca="false">A711*Scorecard!$D$12+B711*Scorecard!$D$13+C711*Scorecard!$D$14+D711*Scorecard!$D$15+E711*Scorecard!$D$16+F711*Scorecard!$D$17</f>
        <v>3.06865330417972</v>
      </c>
      <c r="I711" s="47" t="n">
        <f aca="false">A711*Scorecard!$E$12+B711*Scorecard!$E$13+C711*Scorecard!$E$14+D711*Scorecard!$E$15+E711*Scorecard!$E$16+F711*Scorecard!$E$17</f>
        <v>3.06144474661206</v>
      </c>
      <c r="J711" s="0" t="str">
        <f aca="false">IF(AND(G711&gt;=H711,G711&gt;=I711),"Distribution",IF(I711&gt;=H711,"Prof. services","Manufacturing"))</f>
        <v>Distribution</v>
      </c>
      <c r="L711" s="46" t="n">
        <v>0.244984</v>
      </c>
      <c r="M711" s="46" t="n">
        <v>0.108084</v>
      </c>
      <c r="N711" s="46" t="n">
        <v>0.400349</v>
      </c>
      <c r="O711" s="46" t="n">
        <v>0.061405</v>
      </c>
      <c r="P711" s="46" t="n">
        <v>0.048282</v>
      </c>
      <c r="Q711" s="46" t="n">
        <v>0.136896</v>
      </c>
      <c r="R711" s="47" t="n">
        <f aca="false">L711*Scorecard!$C$12+M711*Scorecard!$C$13+N711*Scorecard!$C$14+O711*Scorecard!$C$15+P711*Scorecard!$C$16+Q711*Scorecard!$C$17</f>
        <v>3.45472230629077</v>
      </c>
      <c r="S711" s="47" t="n">
        <f aca="false">L711*Scorecard!$D$12+M711*Scorecard!$D$13+N711*Scorecard!$D$14+O711*Scorecard!$D$15+P711*Scorecard!$D$16+Q711*Scorecard!$D$17</f>
        <v>2.88142460623029</v>
      </c>
      <c r="T711" s="47" t="n">
        <f aca="false">L711*Scorecard!$E$12+M711*Scorecard!$E$13+N711*Scorecard!$E$14+O711*Scorecard!$E$15+P711*Scorecard!$E$16+Q711*Scorecard!$E$17</f>
        <v>4.44066718671275</v>
      </c>
      <c r="U711" s="0" t="str">
        <f aca="false">IF(AND(R711&gt;=S711,R711&gt;=T711),"Distribution",IF(T711&gt;=S711,"Prof. services","Manufacturing"))</f>
        <v>Prof. services</v>
      </c>
    </row>
    <row r="712" customFormat="false" ht="15" hidden="false" customHeight="false" outlineLevel="0" collapsed="false">
      <c r="A712" s="46" t="n">
        <v>0.106679</v>
      </c>
      <c r="B712" s="46" t="n">
        <v>0.336544</v>
      </c>
      <c r="C712" s="46" t="n">
        <v>0.205275</v>
      </c>
      <c r="D712" s="46" t="n">
        <v>0.044504</v>
      </c>
      <c r="E712" s="46" t="n">
        <v>0.271573</v>
      </c>
      <c r="F712" s="46" t="n">
        <v>0.035425</v>
      </c>
      <c r="G712" s="47" t="n">
        <f aca="false">A712*Scorecard!$C$12+B712*Scorecard!$C$13+C712*Scorecard!$C$14+D712*Scorecard!$C$15+E712*Scorecard!$C$16+F712*Scorecard!$C$17</f>
        <v>4.11817427865409</v>
      </c>
      <c r="H712" s="47" t="n">
        <f aca="false">A712*Scorecard!$D$12+B712*Scorecard!$D$13+C712*Scorecard!$D$14+D712*Scorecard!$D$15+E712*Scorecard!$D$16+F712*Scorecard!$D$17</f>
        <v>2.65421999082409</v>
      </c>
      <c r="I712" s="47" t="n">
        <f aca="false">A712*Scorecard!$E$12+B712*Scorecard!$E$13+C712*Scorecard!$E$14+D712*Scorecard!$E$15+E712*Scorecard!$E$16+F712*Scorecard!$E$17</f>
        <v>3.25313066352109</v>
      </c>
      <c r="J712" s="0" t="str">
        <f aca="false">IF(AND(G712&gt;=H712,G712&gt;=I712),"Distribution",IF(I712&gt;=H712,"Prof. services","Manufacturing"))</f>
        <v>Distribution</v>
      </c>
      <c r="L712" s="46" t="n">
        <v>0.194555</v>
      </c>
      <c r="M712" s="46" t="n">
        <v>0.189747</v>
      </c>
      <c r="N712" s="46" t="n">
        <v>0.163884</v>
      </c>
      <c r="O712" s="46" t="n">
        <v>0.123338</v>
      </c>
      <c r="P712" s="46" t="n">
        <v>0.271051</v>
      </c>
      <c r="Q712" s="46" t="n">
        <v>0.057424</v>
      </c>
      <c r="R712" s="47" t="n">
        <f aca="false">L712*Scorecard!$C$12+M712*Scorecard!$C$13+N712*Scorecard!$C$14+O712*Scorecard!$C$15+P712*Scorecard!$C$16+Q712*Scorecard!$C$17</f>
        <v>3.84803122545718</v>
      </c>
      <c r="S712" s="47" t="n">
        <f aca="false">L712*Scorecard!$D$12+M712*Scorecard!$D$13+N712*Scorecard!$D$14+O712*Scorecard!$D$15+P712*Scorecard!$D$16+Q712*Scorecard!$D$17</f>
        <v>2.99069497573409</v>
      </c>
      <c r="T712" s="47" t="n">
        <f aca="false">L712*Scorecard!$E$12+M712*Scorecard!$E$13+N712*Scorecard!$E$14+O712*Scorecard!$E$15+P712*Scorecard!$E$16+Q712*Scorecard!$E$17</f>
        <v>3.59974925533416</v>
      </c>
      <c r="U712" s="0" t="str">
        <f aca="false">IF(AND(R712&gt;=S712,R712&gt;=T712),"Distribution",IF(T712&gt;=S712,"Prof. services","Manufacturing"))</f>
        <v>Distribution</v>
      </c>
    </row>
    <row r="713" customFormat="false" ht="15" hidden="false" customHeight="false" outlineLevel="0" collapsed="false">
      <c r="A713" s="46" t="n">
        <v>0.203049</v>
      </c>
      <c r="B713" s="46" t="n">
        <v>0.362336</v>
      </c>
      <c r="C713" s="46" t="n">
        <v>0.267944</v>
      </c>
      <c r="D713" s="46" t="n">
        <v>0.002578</v>
      </c>
      <c r="E713" s="46" t="n">
        <v>0.132913</v>
      </c>
      <c r="F713" s="46" t="n">
        <v>0.03118</v>
      </c>
      <c r="G713" s="47" t="n">
        <f aca="false">A713*Scorecard!$C$12+B713*Scorecard!$C$13+C713*Scorecard!$C$14+D713*Scorecard!$C$15+E713*Scorecard!$C$16+F713*Scorecard!$C$17</f>
        <v>3.9370629043245</v>
      </c>
      <c r="H713" s="47" t="n">
        <f aca="false">A713*Scorecard!$D$12+B713*Scorecard!$D$13+C713*Scorecard!$D$14+D713*Scorecard!$D$15+E713*Scorecard!$D$16+F713*Scorecard!$D$17</f>
        <v>2.59077549562956</v>
      </c>
      <c r="I713" s="47" t="n">
        <f aca="false">A713*Scorecard!$E$12+B713*Scorecard!$E$13+C713*Scorecard!$E$14+D713*Scorecard!$E$15+E713*Scorecard!$E$16+F713*Scorecard!$E$17</f>
        <v>3.58589152314495</v>
      </c>
      <c r="J713" s="0" t="str">
        <f aca="false">IF(AND(G713&gt;=H713,G713&gt;=I713),"Distribution",IF(I713&gt;=H713,"Prof. services","Manufacturing"))</f>
        <v>Distribution</v>
      </c>
      <c r="L713" s="46" t="n">
        <v>0.196675</v>
      </c>
      <c r="M713" s="46" t="n">
        <v>0.131924</v>
      </c>
      <c r="N713" s="46" t="n">
        <v>0.218197</v>
      </c>
      <c r="O713" s="46" t="n">
        <v>0.122432</v>
      </c>
      <c r="P713" s="46" t="n">
        <v>0.191644</v>
      </c>
      <c r="Q713" s="46" t="n">
        <v>0.139128</v>
      </c>
      <c r="R713" s="47" t="n">
        <f aca="false">L713*Scorecard!$C$12+M713*Scorecard!$C$13+N713*Scorecard!$C$14+O713*Scorecard!$C$15+P713*Scorecard!$C$16+Q713*Scorecard!$C$17</f>
        <v>3.62208219522392</v>
      </c>
      <c r="S713" s="47" t="n">
        <f aca="false">L713*Scorecard!$D$12+M713*Scorecard!$D$13+N713*Scorecard!$D$14+O713*Scorecard!$D$15+P713*Scorecard!$D$16+Q713*Scorecard!$D$17</f>
        <v>2.92881695570322</v>
      </c>
      <c r="T713" s="47" t="n">
        <f aca="false">L713*Scorecard!$E$12+M713*Scorecard!$E$13+N713*Scorecard!$E$14+O713*Scorecard!$E$15+P713*Scorecard!$E$16+Q713*Scorecard!$E$17</f>
        <v>3.93768666969361</v>
      </c>
      <c r="U713" s="0" t="str">
        <f aca="false">IF(AND(R713&gt;=S713,R713&gt;=T713),"Distribution",IF(T713&gt;=S713,"Prof. services","Manufacturing"))</f>
        <v>Prof. services</v>
      </c>
    </row>
    <row r="714" customFormat="false" ht="15" hidden="false" customHeight="false" outlineLevel="0" collapsed="false">
      <c r="A714" s="46" t="n">
        <v>0.080746</v>
      </c>
      <c r="B714" s="46" t="n">
        <v>0.286071</v>
      </c>
      <c r="C714" s="46" t="n">
        <v>0.039664</v>
      </c>
      <c r="D714" s="46" t="n">
        <v>0.548716</v>
      </c>
      <c r="E714" s="46" t="n">
        <v>0.005596</v>
      </c>
      <c r="F714" s="46" t="n">
        <v>0.039207</v>
      </c>
      <c r="G714" s="47" t="n">
        <f aca="false">A714*Scorecard!$C$12+B714*Scorecard!$C$13+C714*Scorecard!$C$14+D714*Scorecard!$C$15+E714*Scorecard!$C$16+F714*Scorecard!$C$17</f>
        <v>4.6110290484838</v>
      </c>
      <c r="H714" s="47" t="n">
        <f aca="false">A714*Scorecard!$D$12+B714*Scorecard!$D$13+C714*Scorecard!$D$14+D714*Scorecard!$D$15+E714*Scorecard!$D$16+F714*Scorecard!$D$17</f>
        <v>3.20221462104409</v>
      </c>
      <c r="I714" s="47" t="n">
        <f aca="false">A714*Scorecard!$E$12+B714*Scorecard!$E$13+C714*Scorecard!$E$14+D714*Scorecard!$E$15+E714*Scorecard!$E$16+F714*Scorecard!$E$17</f>
        <v>3.68418555357537</v>
      </c>
      <c r="J714" s="0" t="str">
        <f aca="false">IF(AND(G714&gt;=H714,G714&gt;=I714),"Distribution",IF(I714&gt;=H714,"Prof. services","Manufacturing"))</f>
        <v>Distribution</v>
      </c>
      <c r="L714" s="46" t="n">
        <v>0.255232</v>
      </c>
      <c r="M714" s="46" t="n">
        <v>0.325871</v>
      </c>
      <c r="N714" s="46" t="n">
        <v>0.104142</v>
      </c>
      <c r="O714" s="46" t="n">
        <v>0.143001</v>
      </c>
      <c r="P714" s="46" t="n">
        <v>0.080754</v>
      </c>
      <c r="Q714" s="46" t="n">
        <v>0.091</v>
      </c>
      <c r="R714" s="47" t="n">
        <f aca="false">L714*Scorecard!$C$12+M714*Scorecard!$C$13+N714*Scorecard!$C$14+O714*Scorecard!$C$15+P714*Scorecard!$C$16+Q714*Scorecard!$C$17</f>
        <v>3.82745076014436</v>
      </c>
      <c r="S714" s="47" t="n">
        <f aca="false">L714*Scorecard!$D$12+M714*Scorecard!$D$13+N714*Scorecard!$D$14+O714*Scorecard!$D$15+P714*Scorecard!$D$16+Q714*Scorecard!$D$17</f>
        <v>2.7354220792605</v>
      </c>
      <c r="T714" s="47" t="n">
        <f aca="false">L714*Scorecard!$E$12+M714*Scorecard!$E$13+N714*Scorecard!$E$14+O714*Scorecard!$E$15+P714*Scorecard!$E$16+Q714*Scorecard!$E$17</f>
        <v>3.68255234383745</v>
      </c>
      <c r="U714" s="0" t="str">
        <f aca="false">IF(AND(R714&gt;=S714,R714&gt;=T714),"Distribution",IF(T714&gt;=S714,"Prof. services","Manufacturing"))</f>
        <v>Distribution</v>
      </c>
    </row>
    <row r="715" customFormat="false" ht="15" hidden="false" customHeight="false" outlineLevel="0" collapsed="false">
      <c r="A715" s="46" t="n">
        <v>0.010738</v>
      </c>
      <c r="B715" s="46" t="n">
        <v>0.142534</v>
      </c>
      <c r="C715" s="46" t="n">
        <v>0.059663</v>
      </c>
      <c r="D715" s="46" t="n">
        <v>0.146898</v>
      </c>
      <c r="E715" s="46" t="n">
        <v>0.436002</v>
      </c>
      <c r="F715" s="46" t="n">
        <v>0.204165</v>
      </c>
      <c r="G715" s="47" t="n">
        <f aca="false">A715*Scorecard!$C$12+B715*Scorecard!$C$13+C715*Scorecard!$C$14+D715*Scorecard!$C$15+E715*Scorecard!$C$16+F715*Scorecard!$C$17</f>
        <v>3.86177344686571</v>
      </c>
      <c r="H715" s="47" t="n">
        <f aca="false">A715*Scorecard!$D$12+B715*Scorecard!$D$13+C715*Scorecard!$D$14+D715*Scorecard!$D$15+E715*Scorecard!$D$16+F715*Scorecard!$D$17</f>
        <v>2.80229083022691</v>
      </c>
      <c r="I715" s="47" t="n">
        <f aca="false">A715*Scorecard!$E$12+B715*Scorecard!$E$13+C715*Scorecard!$E$14+D715*Scorecard!$E$15+E715*Scorecard!$E$16+F715*Scorecard!$E$17</f>
        <v>3.20258597408881</v>
      </c>
      <c r="J715" s="0" t="str">
        <f aca="false">IF(AND(G715&gt;=H715,G715&gt;=I715),"Distribution",IF(I715&gt;=H715,"Prof. services","Manufacturing"))</f>
        <v>Distribution</v>
      </c>
      <c r="L715" s="46" t="n">
        <v>0.215403</v>
      </c>
      <c r="M715" s="46" t="n">
        <v>0.212623</v>
      </c>
      <c r="N715" s="46" t="n">
        <v>0.23998</v>
      </c>
      <c r="O715" s="46" t="n">
        <v>0.138482</v>
      </c>
      <c r="P715" s="46" t="n">
        <v>0.106018</v>
      </c>
      <c r="Q715" s="46" t="n">
        <v>0.087495</v>
      </c>
      <c r="R715" s="47" t="n">
        <f aca="false">L715*Scorecard!$C$12+M715*Scorecard!$C$13+N715*Scorecard!$C$14+O715*Scorecard!$C$15+P715*Scorecard!$C$16+Q715*Scorecard!$C$17</f>
        <v>3.78839052814449</v>
      </c>
      <c r="S715" s="47" t="n">
        <f aca="false">L715*Scorecard!$D$12+M715*Scorecard!$D$13+N715*Scorecard!$D$14+O715*Scorecard!$D$15+P715*Scorecard!$D$16+Q715*Scorecard!$D$17</f>
        <v>2.88754899866236</v>
      </c>
      <c r="T715" s="47" t="n">
        <f aca="false">L715*Scorecard!$E$12+M715*Scorecard!$E$13+N715*Scorecard!$E$14+O715*Scorecard!$E$15+P715*Scorecard!$E$16+Q715*Scorecard!$E$17</f>
        <v>3.94637110050984</v>
      </c>
      <c r="U715" s="0" t="str">
        <f aca="false">IF(AND(R715&gt;=S715,R715&gt;=T715),"Distribution",IF(T715&gt;=S715,"Prof. services","Manufacturing"))</f>
        <v>Prof. services</v>
      </c>
    </row>
    <row r="716" customFormat="false" ht="15" hidden="false" customHeight="false" outlineLevel="0" collapsed="false">
      <c r="A716" s="46" t="n">
        <v>0.010786</v>
      </c>
      <c r="B716" s="46" t="n">
        <v>0.00122</v>
      </c>
      <c r="C716" s="46" t="n">
        <v>0.247654</v>
      </c>
      <c r="D716" s="46" t="n">
        <v>0.023686</v>
      </c>
      <c r="E716" s="46" t="n">
        <v>0.167881</v>
      </c>
      <c r="F716" s="46" t="n">
        <v>0.548773</v>
      </c>
      <c r="G716" s="47" t="n">
        <f aca="false">A716*Scorecard!$C$12+B716*Scorecard!$C$13+C716*Scorecard!$C$14+D716*Scorecard!$C$15+E716*Scorecard!$C$16+F716*Scorecard!$C$17</f>
        <v>2.90794504618119</v>
      </c>
      <c r="H716" s="47" t="n">
        <f aca="false">A716*Scorecard!$D$12+B716*Scorecard!$D$13+C716*Scorecard!$D$14+D716*Scorecard!$D$15+E716*Scorecard!$D$16+F716*Scorecard!$D$17</f>
        <v>2.26551418201121</v>
      </c>
      <c r="I716" s="47" t="n">
        <f aca="false">A716*Scorecard!$E$12+B716*Scorecard!$E$13+C716*Scorecard!$E$14+D716*Scorecard!$E$15+E716*Scorecard!$E$16+F716*Scorecard!$E$17</f>
        <v>4.254623732051</v>
      </c>
      <c r="J716" s="0" t="str">
        <f aca="false">IF(AND(G716&gt;=H716,G716&gt;=I716),"Distribution",IF(I716&gt;=H716,"Prof. services","Manufacturing"))</f>
        <v>Prof. services</v>
      </c>
      <c r="L716" s="46" t="n">
        <v>0.440282</v>
      </c>
      <c r="M716" s="46" t="n">
        <v>0.152396</v>
      </c>
      <c r="N716" s="46" t="n">
        <v>0.171171</v>
      </c>
      <c r="O716" s="46" t="n">
        <v>0.097559</v>
      </c>
      <c r="P716" s="46" t="n">
        <v>0.05056</v>
      </c>
      <c r="Q716" s="46" t="n">
        <v>0.088032</v>
      </c>
      <c r="R716" s="47" t="n">
        <f aca="false">L716*Scorecard!$C$12+M716*Scorecard!$C$13+N716*Scorecard!$C$14+O716*Scorecard!$C$15+P716*Scorecard!$C$16+Q716*Scorecard!$C$17</f>
        <v>3.28137712115205</v>
      </c>
      <c r="S716" s="47" t="n">
        <f aca="false">L716*Scorecard!$D$12+M716*Scorecard!$D$13+N716*Scorecard!$D$14+O716*Scorecard!$D$15+P716*Scorecard!$D$16+Q716*Scorecard!$D$17</f>
        <v>3.05982480770964</v>
      </c>
      <c r="T716" s="47" t="n">
        <f aca="false">L716*Scorecard!$E$12+M716*Scorecard!$E$13+N716*Scorecard!$E$14+O716*Scorecard!$E$15+P716*Scorecard!$E$16+Q716*Scorecard!$E$17</f>
        <v>4.30138072721272</v>
      </c>
      <c r="U716" s="0" t="str">
        <f aca="false">IF(AND(R716&gt;=S716,R716&gt;=T716),"Distribution",IF(T716&gt;=S716,"Prof. services","Manufacturing"))</f>
        <v>Prof. services</v>
      </c>
    </row>
    <row r="717" customFormat="false" ht="15" hidden="false" customHeight="false" outlineLevel="0" collapsed="false">
      <c r="A717" s="46" t="n">
        <v>0.247162</v>
      </c>
      <c r="B717" s="46" t="n">
        <v>0.396171</v>
      </c>
      <c r="C717" s="46" t="n">
        <v>0.146424</v>
      </c>
      <c r="D717" s="46" t="n">
        <v>0.151029</v>
      </c>
      <c r="E717" s="46" t="n">
        <v>0.010621</v>
      </c>
      <c r="F717" s="46" t="n">
        <v>0.048594</v>
      </c>
      <c r="G717" s="47" t="n">
        <f aca="false">A717*Scorecard!$C$12+B717*Scorecard!$C$13+C717*Scorecard!$C$14+D717*Scorecard!$C$15+E717*Scorecard!$C$16+F717*Scorecard!$C$17</f>
        <v>4.00512087523038</v>
      </c>
      <c r="H717" s="47" t="n">
        <f aca="false">A717*Scorecard!$D$12+B717*Scorecard!$D$13+C717*Scorecard!$D$14+D717*Scorecard!$D$15+E717*Scorecard!$D$16+F717*Scorecard!$D$17</f>
        <v>2.67409888421762</v>
      </c>
      <c r="I717" s="47" t="n">
        <f aca="false">A717*Scorecard!$E$12+B717*Scorecard!$E$13+C717*Scorecard!$E$14+D717*Scorecard!$E$15+E717*Scorecard!$E$16+F717*Scorecard!$E$17</f>
        <v>3.68191735033141</v>
      </c>
      <c r="J717" s="0" t="str">
        <f aca="false">IF(AND(G717&gt;=H717,G717&gt;=I717),"Distribution",IF(I717&gt;=H717,"Prof. services","Manufacturing"))</f>
        <v>Distribution</v>
      </c>
      <c r="L717" s="46" t="n">
        <v>0.20398</v>
      </c>
      <c r="M717" s="46" t="n">
        <v>0.106036</v>
      </c>
      <c r="N717" s="46" t="n">
        <v>0.270046</v>
      </c>
      <c r="O717" s="46" t="n">
        <v>0.14221</v>
      </c>
      <c r="P717" s="46" t="n">
        <v>0.187497</v>
      </c>
      <c r="Q717" s="46" t="n">
        <v>0.090231</v>
      </c>
      <c r="R717" s="47" t="n">
        <f aca="false">L717*Scorecard!$C$12+M717*Scorecard!$C$13+N717*Scorecard!$C$14+O717*Scorecard!$C$15+P717*Scorecard!$C$16+Q717*Scorecard!$C$17</f>
        <v>3.70061709104754</v>
      </c>
      <c r="S717" s="47" t="n">
        <f aca="false">L717*Scorecard!$D$12+M717*Scorecard!$D$13+N717*Scorecard!$D$14+O717*Scorecard!$D$15+P717*Scorecard!$D$16+Q717*Scorecard!$D$17</f>
        <v>3.06735920037295</v>
      </c>
      <c r="T717" s="47" t="n">
        <f aca="false">L717*Scorecard!$E$12+M717*Scorecard!$E$13+N717*Scorecard!$E$14+O717*Scorecard!$E$15+P717*Scorecard!$E$16+Q717*Scorecard!$E$17</f>
        <v>4.03110481919839</v>
      </c>
      <c r="U717" s="0" t="str">
        <f aca="false">IF(AND(R717&gt;=S717,R717&gt;=T717),"Distribution",IF(T717&gt;=S717,"Prof. services","Manufacturing"))</f>
        <v>Prof. services</v>
      </c>
    </row>
    <row r="718" customFormat="false" ht="15" hidden="false" customHeight="false" outlineLevel="0" collapsed="false">
      <c r="A718" s="46" t="n">
        <v>0.010889</v>
      </c>
      <c r="B718" s="46" t="n">
        <v>0.09002</v>
      </c>
      <c r="C718" s="46" t="n">
        <v>0.263508</v>
      </c>
      <c r="D718" s="46" t="n">
        <v>0.032621</v>
      </c>
      <c r="E718" s="46" t="n">
        <v>0.427208</v>
      </c>
      <c r="F718" s="46" t="n">
        <v>0.175754</v>
      </c>
      <c r="G718" s="47" t="n">
        <f aca="false">A718*Scorecard!$C$12+B718*Scorecard!$C$13+C718*Scorecard!$C$14+D718*Scorecard!$C$15+E718*Scorecard!$C$16+F718*Scorecard!$C$17</f>
        <v>3.75153264471231</v>
      </c>
      <c r="H718" s="47" t="n">
        <f aca="false">A718*Scorecard!$D$12+B718*Scorecard!$D$13+C718*Scorecard!$D$14+D718*Scorecard!$D$15+E718*Scorecard!$D$16+F718*Scorecard!$D$17</f>
        <v>2.78860759788682</v>
      </c>
      <c r="I718" s="47" t="n">
        <f aca="false">A718*Scorecard!$E$12+B718*Scorecard!$E$13+C718*Scorecard!$E$14+D718*Scorecard!$E$15+E718*Scorecard!$E$16+F718*Scorecard!$E$17</f>
        <v>3.48677371708063</v>
      </c>
      <c r="J718" s="0" t="str">
        <f aca="false">IF(AND(G718&gt;=H718,G718&gt;=I718),"Distribution",IF(I718&gt;=H718,"Prof. services","Manufacturing"))</f>
        <v>Distribution</v>
      </c>
      <c r="L718" s="46" t="n">
        <v>0.195414</v>
      </c>
      <c r="M718" s="46" t="n">
        <v>0.179214</v>
      </c>
      <c r="N718" s="46" t="n">
        <v>0.23489</v>
      </c>
      <c r="O718" s="46" t="n">
        <v>0.183623</v>
      </c>
      <c r="P718" s="46" t="n">
        <v>0.119173</v>
      </c>
      <c r="Q718" s="46" t="n">
        <v>0.087686</v>
      </c>
      <c r="R718" s="47" t="n">
        <f aca="false">L718*Scorecard!$C$12+M718*Scorecard!$C$13+N718*Scorecard!$C$14+O718*Scorecard!$C$15+P718*Scorecard!$C$16+Q718*Scorecard!$C$17</f>
        <v>3.835717013207</v>
      </c>
      <c r="S718" s="47" t="n">
        <f aca="false">L718*Scorecard!$D$12+M718*Scorecard!$D$13+N718*Scorecard!$D$14+O718*Scorecard!$D$15+P718*Scorecard!$D$16+Q718*Scorecard!$D$17</f>
        <v>2.98084484003219</v>
      </c>
      <c r="T718" s="47" t="n">
        <f aca="false">L718*Scorecard!$E$12+M718*Scorecard!$E$13+N718*Scorecard!$E$14+O718*Scorecard!$E$15+P718*Scorecard!$E$16+Q718*Scorecard!$E$17</f>
        <v>3.96952820564021</v>
      </c>
      <c r="U718" s="0" t="str">
        <f aca="false">IF(AND(R718&gt;=S718,R718&gt;=T718),"Distribution",IF(T718&gt;=S718,"Prof. services","Manufacturing"))</f>
        <v>Prof. services</v>
      </c>
    </row>
    <row r="719" customFormat="false" ht="15" hidden="false" customHeight="false" outlineLevel="0" collapsed="false">
      <c r="A719" s="46" t="n">
        <v>0.180172</v>
      </c>
      <c r="B719" s="46" t="n">
        <v>0.338167</v>
      </c>
      <c r="C719" s="46" t="n">
        <v>0.134971</v>
      </c>
      <c r="D719" s="46" t="n">
        <v>0.181504</v>
      </c>
      <c r="E719" s="46" t="n">
        <v>0.151606</v>
      </c>
      <c r="F719" s="46" t="n">
        <v>0.013581</v>
      </c>
      <c r="G719" s="47" t="n">
        <f aca="false">A719*Scorecard!$C$12+B719*Scorecard!$C$13+C719*Scorecard!$C$14+D719*Scorecard!$C$15+E719*Scorecard!$C$16+F719*Scorecard!$C$17</f>
        <v>4.16820083057269</v>
      </c>
      <c r="H719" s="47" t="n">
        <f aca="false">A719*Scorecard!$D$12+B719*Scorecard!$D$13+C719*Scorecard!$D$14+D719*Scorecard!$D$15+E719*Scorecard!$D$16+F719*Scorecard!$D$17</f>
        <v>2.85170643810268</v>
      </c>
      <c r="I719" s="47" t="n">
        <f aca="false">A719*Scorecard!$E$12+B719*Scorecard!$E$13+C719*Scorecard!$E$14+D719*Scorecard!$E$15+E719*Scorecard!$E$16+F719*Scorecard!$E$17</f>
        <v>3.46478568996736</v>
      </c>
      <c r="J719" s="0" t="str">
        <f aca="false">IF(AND(G719&gt;=H719,G719&gt;=I719),"Distribution",IF(I719&gt;=H719,"Prof. services","Manufacturing"))</f>
        <v>Distribution</v>
      </c>
      <c r="L719" s="46" t="n">
        <v>0.292877</v>
      </c>
      <c r="M719" s="46" t="n">
        <v>0.148913</v>
      </c>
      <c r="N719" s="46" t="n">
        <v>0.15523</v>
      </c>
      <c r="O719" s="46" t="n">
        <v>0.21158</v>
      </c>
      <c r="P719" s="46" t="n">
        <v>0.125095</v>
      </c>
      <c r="Q719" s="46" t="n">
        <v>0.066306</v>
      </c>
      <c r="R719" s="47" t="n">
        <f aca="false">L719*Scorecard!$C$12+M719*Scorecard!$C$13+N719*Scorecard!$C$14+O719*Scorecard!$C$15+P719*Scorecard!$C$16+Q719*Scorecard!$C$17</f>
        <v>3.70070222329018</v>
      </c>
      <c r="S719" s="47" t="n">
        <f aca="false">L719*Scorecard!$D$12+M719*Scorecard!$D$13+N719*Scorecard!$D$14+O719*Scorecard!$D$15+P719*Scorecard!$D$16+Q719*Scorecard!$D$17</f>
        <v>3.15711696896551</v>
      </c>
      <c r="T719" s="47" t="n">
        <f aca="false">L719*Scorecard!$E$12+M719*Scorecard!$E$13+N719*Scorecard!$E$14+O719*Scorecard!$E$15+P719*Scorecard!$E$16+Q719*Scorecard!$E$17</f>
        <v>4.02819541406749</v>
      </c>
      <c r="U719" s="0" t="str">
        <f aca="false">IF(AND(R719&gt;=S719,R719&gt;=T719),"Distribution",IF(T719&gt;=S719,"Prof. services","Manufacturing"))</f>
        <v>Prof. services</v>
      </c>
    </row>
    <row r="720" customFormat="false" ht="15" hidden="false" customHeight="false" outlineLevel="0" collapsed="false">
      <c r="A720" s="46" t="n">
        <v>0.033014</v>
      </c>
      <c r="B720" s="46" t="n">
        <v>0.253417</v>
      </c>
      <c r="C720" s="46" t="n">
        <v>0.553057</v>
      </c>
      <c r="D720" s="46" t="n">
        <v>0.028298</v>
      </c>
      <c r="E720" s="46" t="n">
        <v>0.083986</v>
      </c>
      <c r="F720" s="46" t="n">
        <v>0.048227</v>
      </c>
      <c r="G720" s="47" t="n">
        <f aca="false">A720*Scorecard!$C$12+B720*Scorecard!$C$13+C720*Scorecard!$C$14+D720*Scorecard!$C$15+E720*Scorecard!$C$16+F720*Scorecard!$C$17</f>
        <v>4.12583132918837</v>
      </c>
      <c r="H720" s="47" t="n">
        <f aca="false">A720*Scorecard!$D$12+B720*Scorecard!$D$13+C720*Scorecard!$D$14+D720*Scorecard!$D$15+E720*Scorecard!$D$16+F720*Scorecard!$D$17</f>
        <v>2.62983870516675</v>
      </c>
      <c r="I720" s="47" t="n">
        <f aca="false">A720*Scorecard!$E$12+B720*Scorecard!$E$13+C720*Scorecard!$E$14+D720*Scorecard!$E$15+E720*Scorecard!$E$16+F720*Scorecard!$E$17</f>
        <v>3.99954205804898</v>
      </c>
      <c r="J720" s="0" t="str">
        <f aca="false">IF(AND(G720&gt;=H720,G720&gt;=I720),"Distribution",IF(I720&gt;=H720,"Prof. services","Manufacturing"))</f>
        <v>Distribution</v>
      </c>
      <c r="L720" s="46" t="n">
        <v>0.263103</v>
      </c>
      <c r="M720" s="46" t="n">
        <v>0.238688</v>
      </c>
      <c r="N720" s="46" t="n">
        <v>0.194945</v>
      </c>
      <c r="O720" s="46" t="n">
        <v>0.151753</v>
      </c>
      <c r="P720" s="46" t="n">
        <v>0.112607</v>
      </c>
      <c r="Q720" s="46" t="n">
        <v>0.038903</v>
      </c>
      <c r="R720" s="47" t="n">
        <f aca="false">L720*Scorecard!$C$12+M720*Scorecard!$C$13+N720*Scorecard!$C$14+O720*Scorecard!$C$15+P720*Scorecard!$C$16+Q720*Scorecard!$C$17</f>
        <v>3.83904184789627</v>
      </c>
      <c r="S720" s="47" t="n">
        <f aca="false">L720*Scorecard!$D$12+M720*Scorecard!$D$13+N720*Scorecard!$D$14+O720*Scorecard!$D$15+P720*Scorecard!$D$16+Q720*Scorecard!$D$17</f>
        <v>2.97037496087893</v>
      </c>
      <c r="T720" s="47" t="n">
        <f aca="false">L720*Scorecard!$E$12+M720*Scorecard!$E$13+N720*Scorecard!$E$14+O720*Scorecard!$E$15+P720*Scorecard!$E$16+Q720*Scorecard!$E$17</f>
        <v>3.86704115184909</v>
      </c>
      <c r="U720" s="0" t="str">
        <f aca="false">IF(AND(R720&gt;=S720,R720&gt;=T720),"Distribution",IF(T720&gt;=S720,"Prof. services","Manufacturing"))</f>
        <v>Prof. services</v>
      </c>
    </row>
    <row r="721" customFormat="false" ht="15" hidden="false" customHeight="false" outlineLevel="0" collapsed="false">
      <c r="A721" s="46" t="n">
        <v>0.113766</v>
      </c>
      <c r="B721" s="46" t="n">
        <v>0.086051</v>
      </c>
      <c r="C721" s="46" t="n">
        <v>0.004476</v>
      </c>
      <c r="D721" s="46" t="n">
        <v>0.375913</v>
      </c>
      <c r="E721" s="46" t="n">
        <v>0.281602</v>
      </c>
      <c r="F721" s="46" t="n">
        <v>0.138193</v>
      </c>
      <c r="G721" s="47" t="n">
        <f aca="false">A721*Scorecard!$C$12+B721*Scorecard!$C$13+C721*Scorecard!$C$14+D721*Scorecard!$C$15+E721*Scorecard!$C$16+F721*Scorecard!$C$17</f>
        <v>3.9808015775866</v>
      </c>
      <c r="H721" s="47" t="n">
        <f aca="false">A721*Scorecard!$D$12+B721*Scorecard!$D$13+C721*Scorecard!$D$14+D721*Scorecard!$D$15+E721*Scorecard!$D$16+F721*Scorecard!$D$17</f>
        <v>3.26773850287836</v>
      </c>
      <c r="I721" s="47" t="n">
        <f aca="false">A721*Scorecard!$E$12+B721*Scorecard!$E$13+C721*Scorecard!$E$14+D721*Scorecard!$E$15+E721*Scorecard!$E$16+F721*Scorecard!$E$17</f>
        <v>3.6183008285649</v>
      </c>
      <c r="J721" s="0" t="str">
        <f aca="false">IF(AND(G721&gt;=H721,G721&gt;=I721),"Distribution",IF(I721&gt;=H721,"Prof. services","Manufacturing"))</f>
        <v>Distribution</v>
      </c>
      <c r="L721" s="46" t="n">
        <v>0.289268</v>
      </c>
      <c r="M721" s="46" t="n">
        <v>0.114692</v>
      </c>
      <c r="N721" s="46" t="n">
        <v>0.140589</v>
      </c>
      <c r="O721" s="46" t="n">
        <v>0.151095</v>
      </c>
      <c r="P721" s="46" t="n">
        <v>0.143701</v>
      </c>
      <c r="Q721" s="46" t="n">
        <v>0.160655</v>
      </c>
      <c r="R721" s="47" t="n">
        <f aca="false">L721*Scorecard!$C$12+M721*Scorecard!$C$13+N721*Scorecard!$C$14+O721*Scorecard!$C$15+P721*Scorecard!$C$16+Q721*Scorecard!$C$17</f>
        <v>3.42379047475802</v>
      </c>
      <c r="S721" s="47" t="n">
        <f aca="false">L721*Scorecard!$D$12+M721*Scorecard!$D$13+N721*Scorecard!$D$14+O721*Scorecard!$D$15+P721*Scorecard!$D$16+Q721*Scorecard!$D$17</f>
        <v>3.00075441021221</v>
      </c>
      <c r="T721" s="47" t="n">
        <f aca="false">L721*Scorecard!$E$12+M721*Scorecard!$E$13+N721*Scorecard!$E$14+O721*Scorecard!$E$15+P721*Scorecard!$E$16+Q721*Scorecard!$E$17</f>
        <v>4.0803641864179</v>
      </c>
      <c r="U721" s="0" t="str">
        <f aca="false">IF(AND(R721&gt;=S721,R721&gt;=T721),"Distribution",IF(T721&gt;=S721,"Prof. services","Manufacturing"))</f>
        <v>Prof. services</v>
      </c>
    </row>
    <row r="722" customFormat="false" ht="15" hidden="false" customHeight="false" outlineLevel="0" collapsed="false">
      <c r="A722" s="46" t="n">
        <v>0.297774</v>
      </c>
      <c r="B722" s="46" t="n">
        <v>0.130108</v>
      </c>
      <c r="C722" s="46" t="n">
        <v>0.193984</v>
      </c>
      <c r="D722" s="46" t="n">
        <v>0.153703</v>
      </c>
      <c r="E722" s="46" t="n">
        <v>0.196057</v>
      </c>
      <c r="F722" s="46" t="n">
        <v>0.028373</v>
      </c>
      <c r="G722" s="47" t="n">
        <f aca="false">A722*Scorecard!$C$12+B722*Scorecard!$C$13+C722*Scorecard!$C$14+D722*Scorecard!$C$15+E722*Scorecard!$C$16+F722*Scorecard!$C$17</f>
        <v>3.69106355345422</v>
      </c>
      <c r="H722" s="47" t="n">
        <f aca="false">A722*Scorecard!$D$12+B722*Scorecard!$D$13+C722*Scorecard!$D$14+D722*Scorecard!$D$15+E722*Scorecard!$D$16+F722*Scorecard!$D$17</f>
        <v>3.20212472179459</v>
      </c>
      <c r="I722" s="47" t="n">
        <f aca="false">A722*Scorecard!$E$12+B722*Scorecard!$E$13+C722*Scorecard!$E$14+D722*Scorecard!$E$15+E722*Scorecard!$E$16+F722*Scorecard!$E$17</f>
        <v>3.96037412846778</v>
      </c>
      <c r="J722" s="0" t="str">
        <f aca="false">IF(AND(G722&gt;=H722,G722&gt;=I722),"Distribution",IF(I722&gt;=H722,"Prof. services","Manufacturing"))</f>
        <v>Prof. services</v>
      </c>
      <c r="L722" s="46" t="n">
        <v>0.225955</v>
      </c>
      <c r="M722" s="46" t="n">
        <v>0.336049</v>
      </c>
      <c r="N722" s="46" t="n">
        <v>0.072259</v>
      </c>
      <c r="O722" s="46" t="n">
        <v>0.141091</v>
      </c>
      <c r="P722" s="46" t="n">
        <v>0.138365</v>
      </c>
      <c r="Q722" s="46" t="n">
        <v>0.086281</v>
      </c>
      <c r="R722" s="47" t="n">
        <f aca="false">L722*Scorecard!$C$12+M722*Scorecard!$C$13+N722*Scorecard!$C$14+O722*Scorecard!$C$15+P722*Scorecard!$C$16+Q722*Scorecard!$C$17</f>
        <v>3.89785577766275</v>
      </c>
      <c r="S722" s="47" t="n">
        <f aca="false">L722*Scorecard!$D$12+M722*Scorecard!$D$13+N722*Scorecard!$D$14+O722*Scorecard!$D$15+P722*Scorecard!$D$16+Q722*Scorecard!$D$17</f>
        <v>2.72487705813679</v>
      </c>
      <c r="T722" s="47" t="n">
        <f aca="false">L722*Scorecard!$E$12+M722*Scorecard!$E$13+N722*Scorecard!$E$14+O722*Scorecard!$E$15+P722*Scorecard!$E$16+Q722*Scorecard!$E$17</f>
        <v>3.50361132994683</v>
      </c>
      <c r="U722" s="0" t="str">
        <f aca="false">IF(AND(R722&gt;=S722,R722&gt;=T722),"Distribution",IF(T722&gt;=S722,"Prof. services","Manufacturing"))</f>
        <v>Distribution</v>
      </c>
    </row>
    <row r="723" customFormat="false" ht="15" hidden="false" customHeight="false" outlineLevel="0" collapsed="false">
      <c r="A723" s="46" t="n">
        <v>0.324982</v>
      </c>
      <c r="B723" s="46" t="n">
        <v>0.148659</v>
      </c>
      <c r="C723" s="46" t="n">
        <v>0.099649</v>
      </c>
      <c r="D723" s="46" t="n">
        <v>0.209456</v>
      </c>
      <c r="E723" s="46" t="n">
        <v>0.212244</v>
      </c>
      <c r="F723" s="46" t="n">
        <v>0.00501</v>
      </c>
      <c r="G723" s="47" t="n">
        <f aca="false">A723*Scorecard!$C$12+B723*Scorecard!$C$13+C723*Scorecard!$C$14+D723*Scorecard!$C$15+E723*Scorecard!$C$16+F723*Scorecard!$C$17</f>
        <v>3.76312276544177</v>
      </c>
      <c r="H723" s="47" t="n">
        <f aca="false">A723*Scorecard!$D$12+B723*Scorecard!$D$13+C723*Scorecard!$D$14+D723*Scorecard!$D$15+E723*Scorecard!$D$16+F723*Scorecard!$D$17</f>
        <v>3.29723698774669</v>
      </c>
      <c r="I723" s="47" t="n">
        <f aca="false">A723*Scorecard!$E$12+B723*Scorecard!$E$13+C723*Scorecard!$E$14+D723*Scorecard!$E$15+E723*Scorecard!$E$16+F723*Scorecard!$E$17</f>
        <v>3.82894690978602</v>
      </c>
      <c r="J723" s="0" t="str">
        <f aca="false">IF(AND(G723&gt;=H723,G723&gt;=I723),"Distribution",IF(I723&gt;=H723,"Prof. services","Manufacturing"))</f>
        <v>Prof. services</v>
      </c>
      <c r="L723" s="46" t="n">
        <v>0.17223</v>
      </c>
      <c r="M723" s="46" t="n">
        <v>0.187127</v>
      </c>
      <c r="N723" s="46" t="n">
        <v>0.23355</v>
      </c>
      <c r="O723" s="46" t="n">
        <v>0.116347</v>
      </c>
      <c r="P723" s="46" t="n">
        <v>0.213054</v>
      </c>
      <c r="Q723" s="46" t="n">
        <v>0.077691</v>
      </c>
      <c r="R723" s="47" t="n">
        <f aca="false">L723*Scorecard!$C$12+M723*Scorecard!$C$13+N723*Scorecard!$C$14+O723*Scorecard!$C$15+P723*Scorecard!$C$16+Q723*Scorecard!$C$17</f>
        <v>3.83807154383331</v>
      </c>
      <c r="S723" s="47" t="n">
        <f aca="false">L723*Scorecard!$D$12+M723*Scorecard!$D$13+N723*Scorecard!$D$14+O723*Scorecard!$D$15+P723*Scorecard!$D$16+Q723*Scorecard!$D$17</f>
        <v>2.92205494046462</v>
      </c>
      <c r="T723" s="47" t="n">
        <f aca="false">L723*Scorecard!$E$12+M723*Scorecard!$E$13+N723*Scorecard!$E$14+O723*Scorecard!$E$15+P723*Scorecard!$E$16+Q723*Scorecard!$E$17</f>
        <v>3.75765216655513</v>
      </c>
      <c r="U723" s="0" t="str">
        <f aca="false">IF(AND(R723&gt;=S723,R723&gt;=T723),"Distribution",IF(T723&gt;=S723,"Prof. services","Manufacturing"))</f>
        <v>Distribution</v>
      </c>
    </row>
    <row r="724" customFormat="false" ht="15" hidden="false" customHeight="false" outlineLevel="0" collapsed="false">
      <c r="A724" s="46" t="n">
        <v>0.028297</v>
      </c>
      <c r="B724" s="46" t="n">
        <v>0.108705</v>
      </c>
      <c r="C724" s="46" t="n">
        <v>0.279053</v>
      </c>
      <c r="D724" s="46" t="n">
        <v>0.291692</v>
      </c>
      <c r="E724" s="46" t="n">
        <v>0.061178</v>
      </c>
      <c r="F724" s="46" t="n">
        <v>0.231076</v>
      </c>
      <c r="G724" s="47" t="n">
        <f aca="false">A724*Scorecard!$C$12+B724*Scorecard!$C$13+C724*Scorecard!$C$14+D724*Scorecard!$C$15+E724*Scorecard!$C$16+F724*Scorecard!$C$17</f>
        <v>3.88731399645736</v>
      </c>
      <c r="H724" s="47" t="n">
        <f aca="false">A724*Scorecard!$D$12+B724*Scorecard!$D$13+C724*Scorecard!$D$14+D724*Scorecard!$D$15+E724*Scorecard!$D$16+F724*Scorecard!$D$17</f>
        <v>2.86698147162738</v>
      </c>
      <c r="I724" s="47" t="n">
        <f aca="false">A724*Scorecard!$E$12+B724*Scorecard!$E$13+C724*Scorecard!$E$14+D724*Scorecard!$E$15+E724*Scorecard!$E$16+F724*Scorecard!$E$17</f>
        <v>4.16491257195662</v>
      </c>
      <c r="J724" s="0" t="str">
        <f aca="false">IF(AND(G724&gt;=H724,G724&gt;=I724),"Distribution",IF(I724&gt;=H724,"Prof. services","Manufacturing"))</f>
        <v>Prof. services</v>
      </c>
      <c r="L724" s="46" t="n">
        <v>0.19684</v>
      </c>
      <c r="M724" s="46" t="n">
        <v>0.26242</v>
      </c>
      <c r="N724" s="46" t="n">
        <v>0.164863</v>
      </c>
      <c r="O724" s="46" t="n">
        <v>0.116584</v>
      </c>
      <c r="P724" s="46" t="n">
        <v>0.164471</v>
      </c>
      <c r="Q724" s="46" t="n">
        <v>0.094822</v>
      </c>
      <c r="R724" s="47" t="n">
        <f aca="false">L724*Scorecard!$C$12+M724*Scorecard!$C$13+N724*Scorecard!$C$14+O724*Scorecard!$C$15+P724*Scorecard!$C$16+Q724*Scorecard!$C$17</f>
        <v>3.83504519287086</v>
      </c>
      <c r="S724" s="47" t="n">
        <f aca="false">L724*Scorecard!$D$12+M724*Scorecard!$D$13+N724*Scorecard!$D$14+O724*Scorecard!$D$15+P724*Scorecard!$D$16+Q724*Scorecard!$D$17</f>
        <v>2.78368263649394</v>
      </c>
      <c r="T724" s="47" t="n">
        <f aca="false">L724*Scorecard!$E$12+M724*Scorecard!$E$13+N724*Scorecard!$E$14+O724*Scorecard!$E$15+P724*Scorecard!$E$16+Q724*Scorecard!$E$17</f>
        <v>3.66193661480001</v>
      </c>
      <c r="U724" s="0" t="str">
        <f aca="false">IF(AND(R724&gt;=S724,R724&gt;=T724),"Distribution",IF(T724&gt;=S724,"Prof. services","Manufacturing"))</f>
        <v>Distribution</v>
      </c>
    </row>
    <row r="725" customFormat="false" ht="15" hidden="false" customHeight="false" outlineLevel="0" collapsed="false">
      <c r="A725" s="46" t="n">
        <v>0.005555</v>
      </c>
      <c r="B725" s="46" t="n">
        <v>0.311911</v>
      </c>
      <c r="C725" s="46" t="n">
        <v>0.156058</v>
      </c>
      <c r="D725" s="46" t="n">
        <v>0.083913</v>
      </c>
      <c r="E725" s="46" t="n">
        <v>0.205452</v>
      </c>
      <c r="F725" s="46" t="n">
        <v>0.23711</v>
      </c>
      <c r="G725" s="47" t="n">
        <f aca="false">A725*Scorecard!$C$12+B725*Scorecard!$C$13+C725*Scorecard!$C$14+D725*Scorecard!$C$15+E725*Scorecard!$C$16+F725*Scorecard!$C$17</f>
        <v>3.91160092078032</v>
      </c>
      <c r="H725" s="47" t="n">
        <f aca="false">A725*Scorecard!$D$12+B725*Scorecard!$D$13+C725*Scorecard!$D$14+D725*Scorecard!$D$15+E725*Scorecard!$D$16+F725*Scorecard!$D$17</f>
        <v>2.34544745829543</v>
      </c>
      <c r="I725" s="47" t="n">
        <f aca="false">A725*Scorecard!$E$12+B725*Scorecard!$E$13+C725*Scorecard!$E$14+D725*Scorecard!$E$15+E725*Scorecard!$E$16+F725*Scorecard!$E$17</f>
        <v>3.3664985990931</v>
      </c>
      <c r="J725" s="0" t="str">
        <f aca="false">IF(AND(G725&gt;=H725,G725&gt;=I725),"Distribution",IF(I725&gt;=H725,"Prof. services","Manufacturing"))</f>
        <v>Distribution</v>
      </c>
      <c r="L725" s="46" t="n">
        <v>0.314107</v>
      </c>
      <c r="M725" s="46" t="n">
        <v>0.173967</v>
      </c>
      <c r="N725" s="46" t="n">
        <v>0.12002</v>
      </c>
      <c r="O725" s="46" t="n">
        <v>0.138687</v>
      </c>
      <c r="P725" s="46" t="n">
        <v>0.158117</v>
      </c>
      <c r="Q725" s="46" t="n">
        <v>0.095101</v>
      </c>
      <c r="R725" s="47" t="n">
        <f aca="false">L725*Scorecard!$C$12+M725*Scorecard!$C$13+N725*Scorecard!$C$14+O725*Scorecard!$C$15+P725*Scorecard!$C$16+Q725*Scorecard!$C$17</f>
        <v>3.55705092052981</v>
      </c>
      <c r="S725" s="47" t="n">
        <f aca="false">L725*Scorecard!$D$12+M725*Scorecard!$D$13+N725*Scorecard!$D$14+O725*Scorecard!$D$15+P725*Scorecard!$D$16+Q725*Scorecard!$D$17</f>
        <v>3.01695921601846</v>
      </c>
      <c r="T725" s="47" t="n">
        <f aca="false">L725*Scorecard!$E$12+M725*Scorecard!$E$13+N725*Scorecard!$E$14+O725*Scorecard!$E$15+P725*Scorecard!$E$16+Q725*Scorecard!$E$17</f>
        <v>3.9146147883421</v>
      </c>
      <c r="U725" s="0" t="str">
        <f aca="false">IF(AND(R725&gt;=S725,R725&gt;=T725),"Distribution",IF(T725&gt;=S725,"Prof. services","Manufacturing"))</f>
        <v>Prof. services</v>
      </c>
    </row>
    <row r="726" customFormat="false" ht="15" hidden="false" customHeight="false" outlineLevel="0" collapsed="false">
      <c r="A726" s="46" t="n">
        <v>0.28032</v>
      </c>
      <c r="B726" s="46" t="n">
        <v>0.342819</v>
      </c>
      <c r="C726" s="46" t="n">
        <v>0.056151</v>
      </c>
      <c r="D726" s="46" t="n">
        <v>0.173601</v>
      </c>
      <c r="E726" s="46" t="n">
        <v>0.05081</v>
      </c>
      <c r="F726" s="46" t="n">
        <v>0.096299</v>
      </c>
      <c r="G726" s="47" t="n">
        <f aca="false">A726*Scorecard!$C$12+B726*Scorecard!$C$13+C726*Scorecard!$C$14+D726*Scorecard!$C$15+E726*Scorecard!$C$16+F726*Scorecard!$C$17</f>
        <v>3.81924200236517</v>
      </c>
      <c r="H726" s="47" t="n">
        <f aca="false">A726*Scorecard!$D$12+B726*Scorecard!$D$13+C726*Scorecard!$D$14+D726*Scorecard!$D$15+E726*Scorecard!$D$16+F726*Scorecard!$D$17</f>
        <v>2.74404893881811</v>
      </c>
      <c r="I726" s="47" t="n">
        <f aca="false">A726*Scorecard!$E$12+B726*Scorecard!$E$13+C726*Scorecard!$E$14+D726*Scorecard!$E$15+E726*Scorecard!$E$16+F726*Scorecard!$E$17</f>
        <v>3.68543982672033</v>
      </c>
      <c r="J726" s="0" t="str">
        <f aca="false">IF(AND(G726&gt;=H726,G726&gt;=I726),"Distribution",IF(I726&gt;=H726,"Prof. services","Manufacturing"))</f>
        <v>Distribution</v>
      </c>
      <c r="L726" s="46" t="n">
        <v>0.129237</v>
      </c>
      <c r="M726" s="46" t="n">
        <v>0.361165</v>
      </c>
      <c r="N726" s="46" t="n">
        <v>0.090555</v>
      </c>
      <c r="O726" s="46" t="n">
        <v>0.159283</v>
      </c>
      <c r="P726" s="46" t="n">
        <v>0.086102</v>
      </c>
      <c r="Q726" s="46" t="n">
        <v>0.173657</v>
      </c>
      <c r="R726" s="47" t="n">
        <f aca="false">L726*Scorecard!$C$12+M726*Scorecard!$C$13+N726*Scorecard!$C$14+O726*Scorecard!$C$15+P726*Scorecard!$C$16+Q726*Scorecard!$C$17</f>
        <v>3.94050155695515</v>
      </c>
      <c r="S726" s="47" t="n">
        <f aca="false">L726*Scorecard!$D$12+M726*Scorecard!$D$13+N726*Scorecard!$D$14+O726*Scorecard!$D$15+P726*Scorecard!$D$16+Q726*Scorecard!$D$17</f>
        <v>2.49586271646797</v>
      </c>
      <c r="T726" s="47" t="n">
        <f aca="false">L726*Scorecard!$E$12+M726*Scorecard!$E$13+N726*Scorecard!$E$14+O726*Scorecard!$E$15+P726*Scorecard!$E$16+Q726*Scorecard!$E$17</f>
        <v>3.51185656709495</v>
      </c>
      <c r="U726" s="0" t="str">
        <f aca="false">IF(AND(R726&gt;=S726,R726&gt;=T726),"Distribution",IF(T726&gt;=S726,"Prof. services","Manufacturing"))</f>
        <v>Distribution</v>
      </c>
    </row>
    <row r="727" customFormat="false" ht="15" hidden="false" customHeight="false" outlineLevel="0" collapsed="false">
      <c r="A727" s="46" t="n">
        <v>0.123112</v>
      </c>
      <c r="B727" s="46" t="n">
        <v>0.078412</v>
      </c>
      <c r="C727" s="46" t="n">
        <v>0.391617</v>
      </c>
      <c r="D727" s="46" t="n">
        <v>0.198717</v>
      </c>
      <c r="E727" s="46" t="n">
        <v>0.175861</v>
      </c>
      <c r="F727" s="46" t="n">
        <v>0.032281</v>
      </c>
      <c r="G727" s="47" t="n">
        <f aca="false">A727*Scorecard!$C$12+B727*Scorecard!$C$13+C727*Scorecard!$C$14+D727*Scorecard!$C$15+E727*Scorecard!$C$16+F727*Scorecard!$C$17</f>
        <v>3.99096364430358</v>
      </c>
      <c r="H727" s="47" t="n">
        <f aca="false">A727*Scorecard!$D$12+B727*Scorecard!$D$13+C727*Scorecard!$D$14+D727*Scorecard!$D$15+E727*Scorecard!$D$16+F727*Scorecard!$D$17</f>
        <v>3.20386676210138</v>
      </c>
      <c r="I727" s="47" t="n">
        <f aca="false">A727*Scorecard!$E$12+B727*Scorecard!$E$13+C727*Scorecard!$E$14+D727*Scorecard!$E$15+E727*Scorecard!$E$16+F727*Scorecard!$E$17</f>
        <v>4.12331076091615</v>
      </c>
      <c r="J727" s="0" t="str">
        <f aca="false">IF(AND(G727&gt;=H727,G727&gt;=I727),"Distribution",IF(I727&gt;=H727,"Prof. services","Manufacturing"))</f>
        <v>Prof. services</v>
      </c>
      <c r="L727" s="46" t="n">
        <v>0.185265</v>
      </c>
      <c r="M727" s="46" t="n">
        <v>0.174471</v>
      </c>
      <c r="N727" s="46" t="n">
        <v>0.139691</v>
      </c>
      <c r="O727" s="46" t="n">
        <v>0.209174</v>
      </c>
      <c r="P727" s="46" t="n">
        <v>0.101077</v>
      </c>
      <c r="Q727" s="46" t="n">
        <v>0.190322</v>
      </c>
      <c r="R727" s="47" t="n">
        <f aca="false">L727*Scorecard!$C$12+M727*Scorecard!$C$13+N727*Scorecard!$C$14+O727*Scorecard!$C$15+P727*Scorecard!$C$16+Q727*Scorecard!$C$17</f>
        <v>3.66952135794158</v>
      </c>
      <c r="S727" s="47" t="n">
        <f aca="false">L727*Scorecard!$D$12+M727*Scorecard!$D$13+N727*Scorecard!$D$14+O727*Scorecard!$D$15+P727*Scorecard!$D$16+Q727*Scorecard!$D$17</f>
        <v>2.85085306995454</v>
      </c>
      <c r="T727" s="47" t="n">
        <f aca="false">L727*Scorecard!$E$12+M727*Scorecard!$E$13+N727*Scorecard!$E$14+O727*Scorecard!$E$15+P727*Scorecard!$E$16+Q727*Scorecard!$E$17</f>
        <v>3.95874729847799</v>
      </c>
      <c r="U727" s="0" t="str">
        <f aca="false">IF(AND(R727&gt;=S727,R727&gt;=T727),"Distribution",IF(T727&gt;=S727,"Prof. services","Manufacturing"))</f>
        <v>Prof. services</v>
      </c>
    </row>
    <row r="728" customFormat="false" ht="15" hidden="false" customHeight="false" outlineLevel="0" collapsed="false">
      <c r="A728" s="46" t="n">
        <v>0.034496</v>
      </c>
      <c r="B728" s="46" t="n">
        <v>0.284567</v>
      </c>
      <c r="C728" s="46" t="n">
        <v>0.282852</v>
      </c>
      <c r="D728" s="46" t="n">
        <v>0.162873</v>
      </c>
      <c r="E728" s="46" t="n">
        <v>0.222056</v>
      </c>
      <c r="F728" s="46" t="n">
        <v>0.013156</v>
      </c>
      <c r="G728" s="47" t="n">
        <f aca="false">A728*Scorecard!$C$12+B728*Scorecard!$C$13+C728*Scorecard!$C$14+D728*Scorecard!$C$15+E728*Scorecard!$C$16+F728*Scorecard!$C$17</f>
        <v>4.35903470805361</v>
      </c>
      <c r="H728" s="47" t="n">
        <f aca="false">A728*Scorecard!$D$12+B728*Scorecard!$D$13+C728*Scorecard!$D$14+D728*Scorecard!$D$15+E728*Scorecard!$D$16+F728*Scorecard!$D$17</f>
        <v>2.83848382160666</v>
      </c>
      <c r="I728" s="47" t="n">
        <f aca="false">A728*Scorecard!$E$12+B728*Scorecard!$E$13+C728*Scorecard!$E$14+D728*Scorecard!$E$15+E728*Scorecard!$E$16+F728*Scorecard!$E$17</f>
        <v>3.44683147720307</v>
      </c>
      <c r="J728" s="0" t="str">
        <f aca="false">IF(AND(G728&gt;=H728,G728&gt;=I728),"Distribution",IF(I728&gt;=H728,"Prof. services","Manufacturing"))</f>
        <v>Distribution</v>
      </c>
      <c r="L728" s="46" t="n">
        <v>0.14252</v>
      </c>
      <c r="M728" s="46" t="n">
        <v>0.208186</v>
      </c>
      <c r="N728" s="46" t="n">
        <v>0.278109</v>
      </c>
      <c r="O728" s="46" t="n">
        <v>0.193336</v>
      </c>
      <c r="P728" s="46" t="n">
        <v>0.147899</v>
      </c>
      <c r="Q728" s="46" t="n">
        <v>0.029951</v>
      </c>
      <c r="R728" s="47" t="n">
        <f aca="false">L728*Scorecard!$C$12+M728*Scorecard!$C$13+N728*Scorecard!$C$14+O728*Scorecard!$C$15+P728*Scorecard!$C$16+Q728*Scorecard!$C$17</f>
        <v>4.0850859675267</v>
      </c>
      <c r="S728" s="47" t="n">
        <f aca="false">L728*Scorecard!$D$12+M728*Scorecard!$D$13+N728*Scorecard!$D$14+O728*Scorecard!$D$15+P728*Scorecard!$D$16+Q728*Scorecard!$D$17</f>
        <v>3.00984373027241</v>
      </c>
      <c r="T728" s="47" t="n">
        <f aca="false">L728*Scorecard!$E$12+M728*Scorecard!$E$13+N728*Scorecard!$E$14+O728*Scorecard!$E$15+P728*Scorecard!$E$16+Q728*Scorecard!$E$17</f>
        <v>3.83036751971489</v>
      </c>
      <c r="U728" s="0" t="str">
        <f aca="false">IF(AND(R728&gt;=S728,R728&gt;=T728),"Distribution",IF(T728&gt;=S728,"Prof. services","Manufacturing"))</f>
        <v>Distribution</v>
      </c>
    </row>
    <row r="729" customFormat="false" ht="15" hidden="false" customHeight="false" outlineLevel="0" collapsed="false">
      <c r="A729" s="46" t="n">
        <v>0.282181</v>
      </c>
      <c r="B729" s="46" t="n">
        <v>0.14267</v>
      </c>
      <c r="C729" s="46" t="n">
        <v>0.190892</v>
      </c>
      <c r="D729" s="46" t="n">
        <v>0.030157</v>
      </c>
      <c r="E729" s="46" t="n">
        <v>0.175336</v>
      </c>
      <c r="F729" s="46" t="n">
        <v>0.178765</v>
      </c>
      <c r="G729" s="47" t="n">
        <f aca="false">A729*Scorecard!$C$12+B729*Scorecard!$C$13+C729*Scorecard!$C$14+D729*Scorecard!$C$15+E729*Scorecard!$C$16+F729*Scorecard!$C$17</f>
        <v>3.3073711758255</v>
      </c>
      <c r="H729" s="47" t="n">
        <f aca="false">A729*Scorecard!$D$12+B729*Scorecard!$D$13+C729*Scorecard!$D$14+D729*Scorecard!$D$15+E729*Scorecard!$D$16+F729*Scorecard!$D$17</f>
        <v>2.79745825592339</v>
      </c>
      <c r="I729" s="47" t="n">
        <f aca="false">A729*Scorecard!$E$12+B729*Scorecard!$E$13+C729*Scorecard!$E$14+D729*Scorecard!$E$15+E729*Scorecard!$E$16+F729*Scorecard!$E$17</f>
        <v>4.00759183216414</v>
      </c>
      <c r="J729" s="0" t="str">
        <f aca="false">IF(AND(G729&gt;=H729,G729&gt;=I729),"Distribution",IF(I729&gt;=H729,"Prof. services","Manufacturing"))</f>
        <v>Prof. services</v>
      </c>
      <c r="L729" s="46" t="n">
        <v>0.238428</v>
      </c>
      <c r="M729" s="46" t="n">
        <v>0.190096</v>
      </c>
      <c r="N729" s="46" t="n">
        <v>0.171275</v>
      </c>
      <c r="O729" s="46" t="n">
        <v>0.237696</v>
      </c>
      <c r="P729" s="46" t="n">
        <v>0.058588</v>
      </c>
      <c r="Q729" s="46" t="n">
        <v>0.103916</v>
      </c>
      <c r="R729" s="47" t="n">
        <f aca="false">L729*Scorecard!$C$12+M729*Scorecard!$C$13+N729*Scorecard!$C$14+O729*Scorecard!$C$15+P729*Scorecard!$C$16+Q729*Scorecard!$C$17</f>
        <v>3.79078219978568</v>
      </c>
      <c r="S729" s="47" t="n">
        <f aca="false">L729*Scorecard!$D$12+M729*Scorecard!$D$13+N729*Scorecard!$D$14+O729*Scorecard!$D$15+P729*Scorecard!$D$16+Q729*Scorecard!$D$17</f>
        <v>3.01097792489721</v>
      </c>
      <c r="T729" s="47" t="n">
        <f aca="false">L729*Scorecard!$E$12+M729*Scorecard!$E$13+N729*Scorecard!$E$14+O729*Scorecard!$E$15+P729*Scorecard!$E$16+Q729*Scorecard!$E$17</f>
        <v>4.04647699589673</v>
      </c>
      <c r="U729" s="0" t="str">
        <f aca="false">IF(AND(R729&gt;=S729,R729&gt;=T729),"Distribution",IF(T729&gt;=S729,"Prof. services","Manufacturing"))</f>
        <v>Prof. services</v>
      </c>
    </row>
    <row r="730" customFormat="false" ht="15" hidden="false" customHeight="false" outlineLevel="0" collapsed="false">
      <c r="A730" s="46" t="n">
        <v>0.037704</v>
      </c>
      <c r="B730" s="46" t="n">
        <v>0.330396</v>
      </c>
      <c r="C730" s="46" t="n">
        <v>0.037859</v>
      </c>
      <c r="D730" s="46" t="n">
        <v>0.210736</v>
      </c>
      <c r="E730" s="46" t="n">
        <v>0.160833</v>
      </c>
      <c r="F730" s="46" t="n">
        <v>0.222472</v>
      </c>
      <c r="G730" s="47" t="n">
        <f aca="false">A730*Scorecard!$C$12+B730*Scorecard!$C$13+C730*Scorecard!$C$14+D730*Scorecard!$C$15+E730*Scorecard!$C$16+F730*Scorecard!$C$17</f>
        <v>4.02832026230442</v>
      </c>
      <c r="H730" s="47" t="n">
        <f aca="false">A730*Scorecard!$D$12+B730*Scorecard!$D$13+C730*Scorecard!$D$14+D730*Scorecard!$D$15+E730*Scorecard!$D$16+F730*Scorecard!$D$17</f>
        <v>2.49283995528211</v>
      </c>
      <c r="I730" s="47" t="n">
        <f aca="false">A730*Scorecard!$E$12+B730*Scorecard!$E$13+C730*Scorecard!$E$14+D730*Scorecard!$E$15+E730*Scorecard!$E$16+F730*Scorecard!$E$17</f>
        <v>3.33364131839001</v>
      </c>
      <c r="J730" s="0" t="str">
        <f aca="false">IF(AND(G730&gt;=H730,G730&gt;=I730),"Distribution",IF(I730&gt;=H730,"Prof. services","Manufacturing"))</f>
        <v>Distribution</v>
      </c>
      <c r="L730" s="46" t="n">
        <v>0.052713</v>
      </c>
      <c r="M730" s="46" t="n">
        <v>0.234472</v>
      </c>
      <c r="N730" s="46" t="n">
        <v>0.26351</v>
      </c>
      <c r="O730" s="46" t="n">
        <v>0.151092</v>
      </c>
      <c r="P730" s="46" t="n">
        <v>0.111326</v>
      </c>
      <c r="Q730" s="46" t="n">
        <v>0.186886</v>
      </c>
      <c r="R730" s="47" t="n">
        <f aca="false">L730*Scorecard!$C$12+M730*Scorecard!$C$13+N730*Scorecard!$C$14+O730*Scorecard!$C$15+P730*Scorecard!$C$16+Q730*Scorecard!$C$17</f>
        <v>3.91690384826154</v>
      </c>
      <c r="S730" s="47" t="n">
        <f aca="false">L730*Scorecard!$D$12+M730*Scorecard!$D$13+N730*Scorecard!$D$14+O730*Scorecard!$D$15+P730*Scorecard!$D$16+Q730*Scorecard!$D$17</f>
        <v>2.61456356842303</v>
      </c>
      <c r="T730" s="47" t="n">
        <f aca="false">L730*Scorecard!$E$12+M730*Scorecard!$E$13+N730*Scorecard!$E$14+O730*Scorecard!$E$15+P730*Scorecard!$E$16+Q730*Scorecard!$E$17</f>
        <v>3.80914165203333</v>
      </c>
      <c r="U730" s="0" t="str">
        <f aca="false">IF(AND(R730&gt;=S730,R730&gt;=T730),"Distribution",IF(T730&gt;=S730,"Prof. services","Manufacturing"))</f>
        <v>Distribution</v>
      </c>
    </row>
    <row r="731" customFormat="false" ht="15" hidden="false" customHeight="false" outlineLevel="0" collapsed="false">
      <c r="A731" s="46" t="n">
        <v>0.157917</v>
      </c>
      <c r="B731" s="46" t="n">
        <v>0.058704</v>
      </c>
      <c r="C731" s="46" t="n">
        <v>0.048863</v>
      </c>
      <c r="D731" s="46" t="n">
        <v>0.369484</v>
      </c>
      <c r="E731" s="46" t="n">
        <v>0.202919</v>
      </c>
      <c r="F731" s="46" t="n">
        <v>0.162113</v>
      </c>
      <c r="G731" s="47" t="n">
        <f aca="false">A731*Scorecard!$C$12+B731*Scorecard!$C$13+C731*Scorecard!$C$14+D731*Scorecard!$C$15+E731*Scorecard!$C$16+F731*Scorecard!$C$17</f>
        <v>3.81970914795056</v>
      </c>
      <c r="H731" s="47" t="n">
        <f aca="false">A731*Scorecard!$D$12+B731*Scorecard!$D$13+C731*Scorecard!$D$14+D731*Scorecard!$D$15+E731*Scorecard!$D$16+F731*Scorecard!$D$17</f>
        <v>3.26839716427954</v>
      </c>
      <c r="I731" s="47" t="n">
        <f aca="false">A731*Scorecard!$E$12+B731*Scorecard!$E$13+C731*Scorecard!$E$14+D731*Scorecard!$E$15+E731*Scorecard!$E$16+F731*Scorecard!$E$17</f>
        <v>3.90016978948598</v>
      </c>
      <c r="J731" s="0" t="str">
        <f aca="false">IF(AND(G731&gt;=H731,G731&gt;=I731),"Distribution",IF(I731&gt;=H731,"Prof. services","Manufacturing"))</f>
        <v>Prof. services</v>
      </c>
      <c r="L731" s="46" t="n">
        <v>0.289728</v>
      </c>
      <c r="M731" s="46" t="n">
        <v>0.192666</v>
      </c>
      <c r="N731" s="46" t="n">
        <v>0.307865</v>
      </c>
      <c r="O731" s="46" t="n">
        <v>0.07976</v>
      </c>
      <c r="P731" s="46" t="n">
        <v>0.11641</v>
      </c>
      <c r="Q731" s="46" t="n">
        <v>0.01357</v>
      </c>
      <c r="R731" s="47" t="n">
        <f aca="false">L731*Scorecard!$C$12+M731*Scorecard!$C$13+N731*Scorecard!$C$14+O731*Scorecard!$C$15+P731*Scorecard!$C$16+Q731*Scorecard!$C$17</f>
        <v>3.72376746819797</v>
      </c>
      <c r="S731" s="47" t="n">
        <f aca="false">L731*Scorecard!$D$12+M731*Scorecard!$D$13+N731*Scorecard!$D$14+O731*Scorecard!$D$15+P731*Scorecard!$D$16+Q731*Scorecard!$D$17</f>
        <v>3.01296629892636</v>
      </c>
      <c r="T731" s="47" t="n">
        <f aca="false">L731*Scorecard!$E$12+M731*Scorecard!$E$13+N731*Scorecard!$E$14+O731*Scorecard!$E$15+P731*Scorecard!$E$16+Q731*Scorecard!$E$17</f>
        <v>4.06208481858872</v>
      </c>
      <c r="U731" s="0" t="str">
        <f aca="false">IF(AND(R731&gt;=S731,R731&gt;=T731),"Distribution",IF(T731&gt;=S731,"Prof. services","Manufacturing"))</f>
        <v>Prof. services</v>
      </c>
    </row>
    <row r="732" customFormat="false" ht="15" hidden="false" customHeight="false" outlineLevel="0" collapsed="false">
      <c r="A732" s="46" t="n">
        <v>0.113167</v>
      </c>
      <c r="B732" s="46" t="n">
        <v>0.008159</v>
      </c>
      <c r="C732" s="46" t="n">
        <v>0.088386</v>
      </c>
      <c r="D732" s="46" t="n">
        <v>0.535431</v>
      </c>
      <c r="E732" s="46" t="n">
        <v>0.204725</v>
      </c>
      <c r="F732" s="46" t="n">
        <v>0.050132</v>
      </c>
      <c r="G732" s="47" t="n">
        <f aca="false">A732*Scorecard!$C$12+B732*Scorecard!$C$13+C732*Scorecard!$C$14+D732*Scorecard!$C$15+E732*Scorecard!$C$16+F732*Scorecard!$C$17</f>
        <v>4.23962378612892</v>
      </c>
      <c r="H732" s="47" t="n">
        <f aca="false">A732*Scorecard!$D$12+B732*Scorecard!$D$13+C732*Scorecard!$D$14+D732*Scorecard!$D$15+E732*Scorecard!$D$16+F732*Scorecard!$D$17</f>
        <v>3.67538632121027</v>
      </c>
      <c r="I732" s="47" t="n">
        <f aca="false">A732*Scorecard!$E$12+B732*Scorecard!$E$13+C732*Scorecard!$E$14+D732*Scorecard!$E$15+E732*Scorecard!$E$16+F732*Scorecard!$E$17</f>
        <v>3.95797746622165</v>
      </c>
      <c r="J732" s="0" t="str">
        <f aca="false">IF(AND(G732&gt;=H732,G732&gt;=I732),"Distribution",IF(I732&gt;=H732,"Prof. services","Manufacturing"))</f>
        <v>Distribution</v>
      </c>
      <c r="L732" s="46" t="n">
        <v>0.177358</v>
      </c>
      <c r="M732" s="46" t="n">
        <v>0.170577</v>
      </c>
      <c r="N732" s="46" t="n">
        <v>0.363191</v>
      </c>
      <c r="O732" s="46" t="n">
        <v>0.123454</v>
      </c>
      <c r="P732" s="46" t="n">
        <v>0.075054</v>
      </c>
      <c r="Q732" s="46" t="n">
        <v>0.090366</v>
      </c>
      <c r="R732" s="47" t="n">
        <f aca="false">L732*Scorecard!$C$12+M732*Scorecard!$C$13+N732*Scorecard!$C$14+O732*Scorecard!$C$15+P732*Scorecard!$C$16+Q732*Scorecard!$C$17</f>
        <v>3.79405207070306</v>
      </c>
      <c r="S732" s="47" t="n">
        <f aca="false">L732*Scorecard!$D$12+M732*Scorecard!$D$13+N732*Scorecard!$D$14+O732*Scorecard!$D$15+P732*Scorecard!$D$16+Q732*Scorecard!$D$17</f>
        <v>2.8935016750627</v>
      </c>
      <c r="T732" s="47" t="n">
        <f aca="false">L732*Scorecard!$E$12+M732*Scorecard!$E$13+N732*Scorecard!$E$14+O732*Scorecard!$E$15+P732*Scorecard!$E$16+Q732*Scorecard!$E$17</f>
        <v>4.16096997190762</v>
      </c>
      <c r="U732" s="0" t="str">
        <f aca="false">IF(AND(R732&gt;=S732,R732&gt;=T732),"Distribution",IF(T732&gt;=S732,"Prof. services","Manufacturing"))</f>
        <v>Prof. services</v>
      </c>
    </row>
    <row r="733" customFormat="false" ht="15" hidden="false" customHeight="false" outlineLevel="0" collapsed="false">
      <c r="A733" s="46" t="n">
        <v>0.201755</v>
      </c>
      <c r="B733" s="46" t="n">
        <v>0.127343</v>
      </c>
      <c r="C733" s="46" t="n">
        <v>0.352163</v>
      </c>
      <c r="D733" s="46" t="n">
        <v>0.037452</v>
      </c>
      <c r="E733" s="46" t="n">
        <v>0.028167</v>
      </c>
      <c r="F733" s="46" t="n">
        <v>0.25312</v>
      </c>
      <c r="G733" s="47" t="n">
        <f aca="false">A733*Scorecard!$C$12+B733*Scorecard!$C$13+C733*Scorecard!$C$14+D733*Scorecard!$C$15+E733*Scorecard!$C$16+F733*Scorecard!$C$17</f>
        <v>3.2953931227782</v>
      </c>
      <c r="H733" s="47" t="n">
        <f aca="false">A733*Scorecard!$D$12+B733*Scorecard!$D$13+C733*Scorecard!$D$14+D733*Scorecard!$D$15+E733*Scorecard!$D$16+F733*Scorecard!$D$17</f>
        <v>2.61519195426367</v>
      </c>
      <c r="I733" s="47" t="n">
        <f aca="false">A733*Scorecard!$E$12+B733*Scorecard!$E$13+C733*Scorecard!$E$14+D733*Scorecard!$E$15+E733*Scorecard!$E$16+F733*Scorecard!$E$17</f>
        <v>4.4008363133515</v>
      </c>
      <c r="J733" s="0" t="str">
        <f aca="false">IF(AND(G733&gt;=H733,G733&gt;=I733),"Distribution",IF(I733&gt;=H733,"Prof. services","Manufacturing"))</f>
        <v>Prof. services</v>
      </c>
      <c r="L733" s="46" t="n">
        <v>0.186479</v>
      </c>
      <c r="M733" s="46" t="n">
        <v>0.130498</v>
      </c>
      <c r="N733" s="46" t="n">
        <v>0.245154</v>
      </c>
      <c r="O733" s="46" t="n">
        <v>0.197821</v>
      </c>
      <c r="P733" s="46" t="n">
        <v>0.074984</v>
      </c>
      <c r="Q733" s="46" t="n">
        <v>0.165063</v>
      </c>
      <c r="R733" s="47" t="n">
        <f aca="false">L733*Scorecard!$C$12+M733*Scorecard!$C$13+N733*Scorecard!$C$14+O733*Scorecard!$C$15+P733*Scorecard!$C$16+Q733*Scorecard!$C$17</f>
        <v>3.66252414062876</v>
      </c>
      <c r="S733" s="47" t="n">
        <f aca="false">L733*Scorecard!$D$12+M733*Scorecard!$D$13+N733*Scorecard!$D$14+O733*Scorecard!$D$15+P733*Scorecard!$D$16+Q733*Scorecard!$D$17</f>
        <v>2.93370367064609</v>
      </c>
      <c r="T733" s="47" t="n">
        <f aca="false">L733*Scorecard!$E$12+M733*Scorecard!$E$13+N733*Scorecard!$E$14+O733*Scorecard!$E$15+P733*Scorecard!$E$16+Q733*Scorecard!$E$17</f>
        <v>4.17689119891899</v>
      </c>
      <c r="U733" s="0" t="str">
        <f aca="false">IF(AND(R733&gt;=S733,R733&gt;=T733),"Distribution",IF(T733&gt;=S733,"Prof. services","Manufacturing"))</f>
        <v>Prof. services</v>
      </c>
    </row>
    <row r="734" customFormat="false" ht="15" hidden="false" customHeight="false" outlineLevel="0" collapsed="false">
      <c r="A734" s="46" t="n">
        <v>0.128345</v>
      </c>
      <c r="B734" s="46" t="n">
        <v>0.102209</v>
      </c>
      <c r="C734" s="46" t="n">
        <v>0.290042</v>
      </c>
      <c r="D734" s="46" t="n">
        <v>0.109094</v>
      </c>
      <c r="E734" s="46" t="n">
        <v>0.057687</v>
      </c>
      <c r="F734" s="46" t="n">
        <v>0.312623</v>
      </c>
      <c r="G734" s="47" t="n">
        <f aca="false">A734*Scorecard!$C$12+B734*Scorecard!$C$13+C734*Scorecard!$C$14+D734*Scorecard!$C$15+E734*Scorecard!$C$16+F734*Scorecard!$C$17</f>
        <v>3.35503416967593</v>
      </c>
      <c r="H734" s="47" t="n">
        <f aca="false">A734*Scorecard!$D$12+B734*Scorecard!$D$13+C734*Scorecard!$D$14+D734*Scorecard!$D$15+E734*Scorecard!$D$16+F734*Scorecard!$D$17</f>
        <v>2.60794846179801</v>
      </c>
      <c r="I734" s="47" t="n">
        <f aca="false">A734*Scorecard!$E$12+B734*Scorecard!$E$13+C734*Scorecard!$E$14+D734*Scorecard!$E$15+E734*Scorecard!$E$16+F734*Scorecard!$E$17</f>
        <v>4.30475501748353</v>
      </c>
      <c r="J734" s="0" t="str">
        <f aca="false">IF(AND(G734&gt;=H734,G734&gt;=I734),"Distribution",IF(I734&gt;=H734,"Prof. services","Manufacturing"))</f>
        <v>Prof. services</v>
      </c>
      <c r="L734" s="46" t="n">
        <v>0.163684</v>
      </c>
      <c r="M734" s="46" t="n">
        <v>0.190858</v>
      </c>
      <c r="N734" s="46" t="n">
        <v>0.29334</v>
      </c>
      <c r="O734" s="46" t="n">
        <v>0.135393</v>
      </c>
      <c r="P734" s="46" t="n">
        <v>0.099479</v>
      </c>
      <c r="Q734" s="46" t="n">
        <v>0.117246</v>
      </c>
      <c r="R734" s="47" t="n">
        <f aca="false">L734*Scorecard!$C$12+M734*Scorecard!$C$13+N734*Scorecard!$C$14+O734*Scorecard!$C$15+P734*Scorecard!$C$16+Q734*Scorecard!$C$17</f>
        <v>3.79712546570755</v>
      </c>
      <c r="S734" s="47" t="n">
        <f aca="false">L734*Scorecard!$D$12+M734*Scorecard!$D$13+N734*Scorecard!$D$14+O734*Scorecard!$D$15+P734*Scorecard!$D$16+Q734*Scorecard!$D$17</f>
        <v>2.83567025033253</v>
      </c>
      <c r="T734" s="47" t="n">
        <f aca="false">L734*Scorecard!$E$12+M734*Scorecard!$E$13+N734*Scorecard!$E$14+O734*Scorecard!$E$15+P734*Scorecard!$E$16+Q734*Scorecard!$E$17</f>
        <v>4.01409716004363</v>
      </c>
      <c r="U734" s="0" t="str">
        <f aca="false">IF(AND(R734&gt;=S734,R734&gt;=T734),"Distribution",IF(T734&gt;=S734,"Prof. services","Manufacturing"))</f>
        <v>Prof. services</v>
      </c>
    </row>
    <row r="735" customFormat="false" ht="15" hidden="false" customHeight="false" outlineLevel="0" collapsed="false">
      <c r="A735" s="46" t="n">
        <v>0.243138</v>
      </c>
      <c r="B735" s="46" t="n">
        <v>0.045534</v>
      </c>
      <c r="C735" s="46" t="n">
        <v>0.359276</v>
      </c>
      <c r="D735" s="46" t="n">
        <v>0.048236</v>
      </c>
      <c r="E735" s="46" t="n">
        <v>0.013355</v>
      </c>
      <c r="F735" s="46" t="n">
        <v>0.290461</v>
      </c>
      <c r="G735" s="47" t="n">
        <f aca="false">A735*Scorecard!$C$12+B735*Scorecard!$C$13+C735*Scorecard!$C$14+D735*Scorecard!$C$15+E735*Scorecard!$C$16+F735*Scorecard!$C$17</f>
        <v>3.07519613261652</v>
      </c>
      <c r="H735" s="47" t="n">
        <f aca="false">A735*Scorecard!$D$12+B735*Scorecard!$D$13+C735*Scorecard!$D$14+D735*Scorecard!$D$15+E735*Scorecard!$D$16+F735*Scorecard!$D$17</f>
        <v>2.71685809798618</v>
      </c>
      <c r="I735" s="47" t="n">
        <f aca="false">A735*Scorecard!$E$12+B735*Scorecard!$E$13+C735*Scorecard!$E$14+D735*Scorecard!$E$15+E735*Scorecard!$E$16+F735*Scorecard!$E$17</f>
        <v>4.64789918596954</v>
      </c>
      <c r="J735" s="0" t="str">
        <f aca="false">IF(AND(G735&gt;=H735,G735&gt;=I735),"Distribution",IF(I735&gt;=H735,"Prof. services","Manufacturing"))</f>
        <v>Prof. services</v>
      </c>
      <c r="L735" s="46" t="n">
        <v>0.278614</v>
      </c>
      <c r="M735" s="46" t="n">
        <v>0.264516</v>
      </c>
      <c r="N735" s="46" t="n">
        <v>0.138538</v>
      </c>
      <c r="O735" s="46" t="n">
        <v>0.081468</v>
      </c>
      <c r="P735" s="46" t="n">
        <v>0.090143</v>
      </c>
      <c r="Q735" s="46" t="n">
        <v>0.146721</v>
      </c>
      <c r="R735" s="47" t="n">
        <f aca="false">L735*Scorecard!$C$12+M735*Scorecard!$C$13+N735*Scorecard!$C$14+O735*Scorecard!$C$15+P735*Scorecard!$C$16+Q735*Scorecard!$C$17</f>
        <v>3.55103282669438</v>
      </c>
      <c r="S735" s="47" t="n">
        <f aca="false">L735*Scorecard!$D$12+M735*Scorecard!$D$13+N735*Scorecard!$D$14+O735*Scorecard!$D$15+P735*Scorecard!$D$16+Q735*Scorecard!$D$17</f>
        <v>2.69127604718898</v>
      </c>
      <c r="T735" s="47" t="n">
        <f aca="false">L735*Scorecard!$E$12+M735*Scorecard!$E$13+N735*Scorecard!$E$14+O735*Scorecard!$E$15+P735*Scorecard!$E$16+Q735*Scorecard!$E$17</f>
        <v>3.85752098758208</v>
      </c>
      <c r="U735" s="0" t="str">
        <f aca="false">IF(AND(R735&gt;=S735,R735&gt;=T735),"Distribution",IF(T735&gt;=S735,"Prof. services","Manufacturing"))</f>
        <v>Prof. services</v>
      </c>
    </row>
    <row r="736" customFormat="false" ht="15" hidden="false" customHeight="false" outlineLevel="0" collapsed="false">
      <c r="A736" s="46" t="n">
        <v>0.022063</v>
      </c>
      <c r="B736" s="46" t="n">
        <v>0.077722</v>
      </c>
      <c r="C736" s="46" t="n">
        <v>0.572633</v>
      </c>
      <c r="D736" s="46" t="n">
        <v>0.271136</v>
      </c>
      <c r="E736" s="46" t="n">
        <v>0.024311</v>
      </c>
      <c r="F736" s="46" t="n">
        <v>0.032134</v>
      </c>
      <c r="G736" s="47" t="n">
        <f aca="false">A736*Scorecard!$C$12+B736*Scorecard!$C$13+C736*Scorecard!$C$14+D736*Scorecard!$C$15+E736*Scorecard!$C$16+F736*Scorecard!$C$17</f>
        <v>4.24487228536024</v>
      </c>
      <c r="H736" s="47" t="n">
        <f aca="false">A736*Scorecard!$D$12+B736*Scorecard!$D$13+C736*Scorecard!$D$14+D736*Scorecard!$D$15+E736*Scorecard!$D$16+F736*Scorecard!$D$17</f>
        <v>3.17169068179599</v>
      </c>
      <c r="I736" s="47" t="n">
        <f aca="false">A736*Scorecard!$E$12+B736*Scorecard!$E$13+C736*Scorecard!$E$14+D736*Scorecard!$E$15+E736*Scorecard!$E$16+F736*Scorecard!$E$17</f>
        <v>4.46896245025382</v>
      </c>
      <c r="J736" s="0" t="str">
        <f aca="false">IF(AND(G736&gt;=H736,G736&gt;=I736),"Distribution",IF(I736&gt;=H736,"Prof. services","Manufacturing"))</f>
        <v>Prof. services</v>
      </c>
      <c r="L736" s="46" t="n">
        <v>0.129731</v>
      </c>
      <c r="M736" s="46" t="n">
        <v>0.333038</v>
      </c>
      <c r="N736" s="46" t="n">
        <v>0.220829</v>
      </c>
      <c r="O736" s="46" t="n">
        <v>0.130097</v>
      </c>
      <c r="P736" s="46" t="n">
        <v>0.096839</v>
      </c>
      <c r="Q736" s="46" t="n">
        <v>0.089465</v>
      </c>
      <c r="R736" s="47" t="n">
        <f aca="false">L736*Scorecard!$C$12+M736*Scorecard!$C$13+N736*Scorecard!$C$14+O736*Scorecard!$C$15+P736*Scorecard!$C$16+Q736*Scorecard!$C$17</f>
        <v>4.05068334991023</v>
      </c>
      <c r="S736" s="47" t="n">
        <f aca="false">L736*Scorecard!$D$12+M736*Scorecard!$D$13+N736*Scorecard!$D$14+O736*Scorecard!$D$15+P736*Scorecard!$D$16+Q736*Scorecard!$D$17</f>
        <v>2.6344877955827</v>
      </c>
      <c r="T736" s="47" t="n">
        <f aca="false">L736*Scorecard!$E$12+M736*Scorecard!$E$13+N736*Scorecard!$E$14+O736*Scorecard!$E$15+P736*Scorecard!$E$16+Q736*Scorecard!$E$17</f>
        <v>3.63059849587547</v>
      </c>
      <c r="U736" s="0" t="str">
        <f aca="false">IF(AND(R736&gt;=S736,R736&gt;=T736),"Distribution",IF(T736&gt;=S736,"Prof. services","Manufacturing"))</f>
        <v>Distribution</v>
      </c>
    </row>
    <row r="737" customFormat="false" ht="15" hidden="false" customHeight="false" outlineLevel="0" collapsed="false">
      <c r="A737" s="46" t="n">
        <v>0.263598</v>
      </c>
      <c r="B737" s="46" t="n">
        <v>0.001107</v>
      </c>
      <c r="C737" s="46" t="n">
        <v>0.193139</v>
      </c>
      <c r="D737" s="46" t="n">
        <v>0.068498</v>
      </c>
      <c r="E737" s="46" t="n">
        <v>0.220631</v>
      </c>
      <c r="F737" s="46" t="n">
        <v>0.253027</v>
      </c>
      <c r="G737" s="47" t="n">
        <f aca="false">A737*Scorecard!$C$12+B737*Scorecard!$C$13+C737*Scorecard!$C$14+D737*Scorecard!$C$15+E737*Scorecard!$C$16+F737*Scorecard!$C$17</f>
        <v>3.08907084083709</v>
      </c>
      <c r="H737" s="47" t="n">
        <f aca="false">A737*Scorecard!$D$12+B737*Scorecard!$D$13+C737*Scorecard!$D$14+D737*Scorecard!$D$15+E737*Scorecard!$D$16+F737*Scorecard!$D$17</f>
        <v>2.94575707331652</v>
      </c>
      <c r="I737" s="47" t="n">
        <f aca="false">A737*Scorecard!$E$12+B737*Scorecard!$E$13+C737*Scorecard!$E$14+D737*Scorecard!$E$15+E737*Scorecard!$E$16+F737*Scorecard!$E$17</f>
        <v>4.2246971155516</v>
      </c>
      <c r="J737" s="0" t="str">
        <f aca="false">IF(AND(G737&gt;=H737,G737&gt;=I737),"Distribution",IF(I737&gt;=H737,"Prof. services","Manufacturing"))</f>
        <v>Prof. services</v>
      </c>
      <c r="L737" s="46" t="n">
        <v>0.132117</v>
      </c>
      <c r="M737" s="46" t="n">
        <v>0.109043</v>
      </c>
      <c r="N737" s="46" t="n">
        <v>0.262397</v>
      </c>
      <c r="O737" s="46" t="n">
        <v>0.153642</v>
      </c>
      <c r="P737" s="46" t="n">
        <v>0.224204</v>
      </c>
      <c r="Q737" s="46" t="n">
        <v>0.118597</v>
      </c>
      <c r="R737" s="47" t="n">
        <f aca="false">L737*Scorecard!$C$12+M737*Scorecard!$C$13+N737*Scorecard!$C$14+O737*Scorecard!$C$15+P737*Scorecard!$C$16+Q737*Scorecard!$C$17</f>
        <v>3.78767851588356</v>
      </c>
      <c r="S737" s="47" t="n">
        <f aca="false">L737*Scorecard!$D$12+M737*Scorecard!$D$13+N737*Scorecard!$D$14+O737*Scorecard!$D$15+P737*Scorecard!$D$16+Q737*Scorecard!$D$17</f>
        <v>2.99829747110873</v>
      </c>
      <c r="T737" s="47" t="n">
        <f aca="false">L737*Scorecard!$E$12+M737*Scorecard!$E$13+N737*Scorecard!$E$14+O737*Scorecard!$E$15+P737*Scorecard!$E$16+Q737*Scorecard!$E$17</f>
        <v>3.90083370257853</v>
      </c>
      <c r="U737" s="0" t="str">
        <f aca="false">IF(AND(R737&gt;=S737,R737&gt;=T737),"Distribution",IF(T737&gt;=S737,"Prof. services","Manufacturing"))</f>
        <v>Prof. services</v>
      </c>
    </row>
    <row r="738" customFormat="false" ht="15" hidden="false" customHeight="false" outlineLevel="0" collapsed="false">
      <c r="A738" s="46" t="n">
        <v>0.264887</v>
      </c>
      <c r="B738" s="46" t="n">
        <v>0.011891</v>
      </c>
      <c r="C738" s="46" t="n">
        <v>0.032586</v>
      </c>
      <c r="D738" s="46" t="n">
        <v>0.498693</v>
      </c>
      <c r="E738" s="46" t="n">
        <v>0.036606</v>
      </c>
      <c r="F738" s="46" t="n">
        <v>0.155337</v>
      </c>
      <c r="G738" s="47" t="n">
        <f aca="false">A738*Scorecard!$C$12+B738*Scorecard!$C$13+C738*Scorecard!$C$14+D738*Scorecard!$C$15+E738*Scorecard!$C$16+F738*Scorecard!$C$17</f>
        <v>3.7231096224547</v>
      </c>
      <c r="H738" s="47" t="n">
        <f aca="false">A738*Scorecard!$D$12+B738*Scorecard!$D$13+C738*Scorecard!$D$14+D738*Scorecard!$D$15+E738*Scorecard!$D$16+F738*Scorecard!$D$17</f>
        <v>3.51362649630084</v>
      </c>
      <c r="I738" s="47" t="n">
        <f aca="false">A738*Scorecard!$E$12+B738*Scorecard!$E$13+C738*Scorecard!$E$14+D738*Scorecard!$E$15+E738*Scorecard!$E$16+F738*Scorecard!$E$17</f>
        <v>4.3736695242891</v>
      </c>
      <c r="J738" s="0" t="str">
        <f aca="false">IF(AND(G738&gt;=H738,G738&gt;=I738),"Distribution",IF(I738&gt;=H738,"Prof. services","Manufacturing"))</f>
        <v>Prof. services</v>
      </c>
      <c r="L738" s="46" t="n">
        <v>0.149968</v>
      </c>
      <c r="M738" s="46" t="n">
        <v>0.290208</v>
      </c>
      <c r="N738" s="46" t="n">
        <v>0.157502</v>
      </c>
      <c r="O738" s="46" t="n">
        <v>0.256268</v>
      </c>
      <c r="P738" s="46" t="n">
        <v>0.10946</v>
      </c>
      <c r="Q738" s="46" t="n">
        <v>0.036595</v>
      </c>
      <c r="R738" s="47" t="n">
        <f aca="false">L738*Scorecard!$C$12+M738*Scorecard!$C$13+N738*Scorecard!$C$14+O738*Scorecard!$C$15+P738*Scorecard!$C$16+Q738*Scorecard!$C$17</f>
        <v>4.203345461311</v>
      </c>
      <c r="S738" s="47" t="n">
        <f aca="false">L738*Scorecard!$D$12+M738*Scorecard!$D$13+N738*Scorecard!$D$14+O738*Scorecard!$D$15+P738*Scorecard!$D$16+Q738*Scorecard!$D$17</f>
        <v>2.94172198802963</v>
      </c>
      <c r="T738" s="47" t="n">
        <f aca="false">L738*Scorecard!$E$12+M738*Scorecard!$E$13+N738*Scorecard!$E$14+O738*Scorecard!$E$15+P738*Scorecard!$E$16+Q738*Scorecard!$E$17</f>
        <v>3.64108386522194</v>
      </c>
      <c r="U738" s="0" t="str">
        <f aca="false">IF(AND(R738&gt;=S738,R738&gt;=T738),"Distribution",IF(T738&gt;=S738,"Prof. services","Manufacturing"))</f>
        <v>Distribution</v>
      </c>
    </row>
    <row r="739" customFormat="false" ht="15" hidden="false" customHeight="false" outlineLevel="0" collapsed="false">
      <c r="A739" s="46" t="n">
        <v>0.4469</v>
      </c>
      <c r="B739" s="46" t="n">
        <v>0.005403</v>
      </c>
      <c r="C739" s="46" t="n">
        <v>0.052591</v>
      </c>
      <c r="D739" s="46" t="n">
        <v>0.265044</v>
      </c>
      <c r="E739" s="46" t="n">
        <v>0.032534</v>
      </c>
      <c r="F739" s="46" t="n">
        <v>0.197528</v>
      </c>
      <c r="G739" s="47" t="n">
        <f aca="false">A739*Scorecard!$C$12+B739*Scorecard!$C$13+C739*Scorecard!$C$14+D739*Scorecard!$C$15+E739*Scorecard!$C$16+F739*Scorecard!$C$17</f>
        <v>3.07096462677295</v>
      </c>
      <c r="H739" s="47" t="n">
        <f aca="false">A739*Scorecard!$D$12+B739*Scorecard!$D$13+C739*Scorecard!$D$14+D739*Scorecard!$D$15+E739*Scorecard!$D$16+F739*Scorecard!$D$17</f>
        <v>3.30846797534715</v>
      </c>
      <c r="I739" s="47" t="n">
        <f aca="false">A739*Scorecard!$E$12+B739*Scorecard!$E$13+C739*Scorecard!$E$14+D739*Scorecard!$E$15+E739*Scorecard!$E$16+F739*Scorecard!$E$17</f>
        <v>4.57739430578875</v>
      </c>
      <c r="J739" s="0" t="str">
        <f aca="false">IF(AND(G739&gt;=H739,G739&gt;=I739),"Distribution",IF(I739&gt;=H739,"Prof. services","Manufacturing"))</f>
        <v>Prof. services</v>
      </c>
      <c r="L739" s="46" t="n">
        <v>0.382934</v>
      </c>
      <c r="M739" s="46" t="n">
        <v>0.168582</v>
      </c>
      <c r="N739" s="46" t="n">
        <v>0.173623</v>
      </c>
      <c r="O739" s="46" t="n">
        <v>0.079681</v>
      </c>
      <c r="P739" s="46" t="n">
        <v>0.149863</v>
      </c>
      <c r="Q739" s="46" t="n">
        <v>0.045317</v>
      </c>
      <c r="R739" s="47" t="n">
        <f aca="false">L739*Scorecard!$C$12+M739*Scorecard!$C$13+N739*Scorecard!$C$14+O739*Scorecard!$C$15+P739*Scorecard!$C$16+Q739*Scorecard!$C$17</f>
        <v>3.46834233899009</v>
      </c>
      <c r="S739" s="47" t="n">
        <f aca="false">L739*Scorecard!$D$12+M739*Scorecard!$D$13+N739*Scorecard!$D$14+O739*Scorecard!$D$15+P739*Scorecard!$D$16+Q739*Scorecard!$D$17</f>
        <v>3.07412561293662</v>
      </c>
      <c r="T739" s="47" t="n">
        <f aca="false">L739*Scorecard!$E$12+M739*Scorecard!$E$13+N739*Scorecard!$E$14+O739*Scorecard!$E$15+P739*Scorecard!$E$16+Q739*Scorecard!$E$17</f>
        <v>4.02633000416091</v>
      </c>
      <c r="U739" s="0" t="str">
        <f aca="false">IF(AND(R739&gt;=S739,R739&gt;=T739),"Distribution",IF(T739&gt;=S739,"Prof. services","Manufacturing"))</f>
        <v>Prof. services</v>
      </c>
    </row>
    <row r="740" customFormat="false" ht="15" hidden="false" customHeight="false" outlineLevel="0" collapsed="false">
      <c r="A740" s="46" t="n">
        <v>0.219288</v>
      </c>
      <c r="B740" s="46" t="n">
        <v>0.108634</v>
      </c>
      <c r="C740" s="46" t="n">
        <v>0.240552</v>
      </c>
      <c r="D740" s="46" t="n">
        <v>0.044346</v>
      </c>
      <c r="E740" s="46" t="n">
        <v>0.155934</v>
      </c>
      <c r="F740" s="46" t="n">
        <v>0.231246</v>
      </c>
      <c r="G740" s="47" t="n">
        <f aca="false">A740*Scorecard!$C$12+B740*Scorecard!$C$13+C740*Scorecard!$C$14+D740*Scorecard!$C$15+E740*Scorecard!$C$16+F740*Scorecard!$C$17</f>
        <v>3.29576647274063</v>
      </c>
      <c r="H740" s="47" t="n">
        <f aca="false">A740*Scorecard!$D$12+B740*Scorecard!$D$13+C740*Scorecard!$D$14+D740*Scorecard!$D$15+E740*Scorecard!$D$16+F740*Scorecard!$D$17</f>
        <v>2.73823638566806</v>
      </c>
      <c r="I740" s="47" t="n">
        <f aca="false">A740*Scorecard!$E$12+B740*Scorecard!$E$13+C740*Scorecard!$E$14+D740*Scorecard!$E$15+E740*Scorecard!$E$16+F740*Scorecard!$E$17</f>
        <v>4.11909805671563</v>
      </c>
      <c r="J740" s="0" t="str">
        <f aca="false">IF(AND(G740&gt;=H740,G740&gt;=I740),"Distribution",IF(I740&gt;=H740,"Prof. services","Manufacturing"))</f>
        <v>Prof. services</v>
      </c>
      <c r="L740" s="46" t="n">
        <v>0.2684</v>
      </c>
      <c r="M740" s="46" t="n">
        <v>0.132654</v>
      </c>
      <c r="N740" s="46" t="n">
        <v>0.104547</v>
      </c>
      <c r="O740" s="46" t="n">
        <v>0.116876</v>
      </c>
      <c r="P740" s="46" t="n">
        <v>0.300461</v>
      </c>
      <c r="Q740" s="46" t="n">
        <v>0.077062</v>
      </c>
      <c r="R740" s="47" t="n">
        <f aca="false">L740*Scorecard!$C$12+M740*Scorecard!$C$13+N740*Scorecard!$C$14+O740*Scorecard!$C$15+P740*Scorecard!$C$16+Q740*Scorecard!$C$17</f>
        <v>3.61228217235592</v>
      </c>
      <c r="S740" s="47" t="n">
        <f aca="false">L740*Scorecard!$D$12+M740*Scorecard!$D$13+N740*Scorecard!$D$14+O740*Scorecard!$D$15+P740*Scorecard!$D$16+Q740*Scorecard!$D$17</f>
        <v>3.09803858428362</v>
      </c>
      <c r="T740" s="47" t="n">
        <f aca="false">L740*Scorecard!$E$12+M740*Scorecard!$E$13+N740*Scorecard!$E$14+O740*Scorecard!$E$15+P740*Scorecard!$E$16+Q740*Scorecard!$E$17</f>
        <v>3.68108602754339</v>
      </c>
      <c r="U740" s="0" t="str">
        <f aca="false">IF(AND(R740&gt;=S740,R740&gt;=T740),"Distribution",IF(T740&gt;=S740,"Prof. services","Manufacturing"))</f>
        <v>Prof. services</v>
      </c>
    </row>
    <row r="741" customFormat="false" ht="15" hidden="false" customHeight="false" outlineLevel="0" collapsed="false">
      <c r="A741" s="46" t="n">
        <v>0.070595</v>
      </c>
      <c r="B741" s="46" t="n">
        <v>0.413776</v>
      </c>
      <c r="C741" s="46" t="n">
        <v>0.022155</v>
      </c>
      <c r="D741" s="46" t="n">
        <v>0.188023</v>
      </c>
      <c r="E741" s="46" t="n">
        <v>0.037117</v>
      </c>
      <c r="F741" s="46" t="n">
        <v>0.268333</v>
      </c>
      <c r="G741" s="47" t="n">
        <f aca="false">A741*Scorecard!$C$12+B741*Scorecard!$C$13+C741*Scorecard!$C$14+D741*Scorecard!$C$15+E741*Scorecard!$C$16+F741*Scorecard!$C$17</f>
        <v>3.93805699324689</v>
      </c>
      <c r="H741" s="47" t="n">
        <f aca="false">A741*Scorecard!$D$12+B741*Scorecard!$D$13+C741*Scorecard!$D$14+D741*Scorecard!$D$15+E741*Scorecard!$D$16+F741*Scorecard!$D$17</f>
        <v>2.2530858564258</v>
      </c>
      <c r="I741" s="47" t="n">
        <f aca="false">A741*Scorecard!$E$12+B741*Scorecard!$E$13+C741*Scorecard!$E$14+D741*Scorecard!$E$15+E741*Scorecard!$E$16+F741*Scorecard!$E$17</f>
        <v>3.41983422650921</v>
      </c>
      <c r="J741" s="0" t="str">
        <f aca="false">IF(AND(G741&gt;=H741,G741&gt;=I741),"Distribution",IF(I741&gt;=H741,"Prof. services","Manufacturing"))</f>
        <v>Distribution</v>
      </c>
      <c r="L741" s="46" t="n">
        <v>0.150358</v>
      </c>
      <c r="M741" s="46" t="n">
        <v>0.16836</v>
      </c>
      <c r="N741" s="46" t="n">
        <v>0.232227</v>
      </c>
      <c r="O741" s="46" t="n">
        <v>0.171818</v>
      </c>
      <c r="P741" s="46" t="n">
        <v>0.138525</v>
      </c>
      <c r="Q741" s="46" t="n">
        <v>0.138712</v>
      </c>
      <c r="R741" s="47" t="n">
        <f aca="false">L741*Scorecard!$C$12+M741*Scorecard!$C$13+N741*Scorecard!$C$14+O741*Scorecard!$C$15+P741*Scorecard!$C$16+Q741*Scorecard!$C$17</f>
        <v>3.79210745574922</v>
      </c>
      <c r="S741" s="47" t="n">
        <f aca="false">L741*Scorecard!$D$12+M741*Scorecard!$D$13+N741*Scorecard!$D$14+O741*Scorecard!$D$15+P741*Scorecard!$D$16+Q741*Scorecard!$D$17</f>
        <v>2.88362073000935</v>
      </c>
      <c r="T741" s="47" t="n">
        <f aca="false">L741*Scorecard!$E$12+M741*Scorecard!$E$13+N741*Scorecard!$E$14+O741*Scorecard!$E$15+P741*Scorecard!$E$16+Q741*Scorecard!$E$17</f>
        <v>3.93348917788434</v>
      </c>
      <c r="U741" s="0" t="str">
        <f aca="false">IF(AND(R741&gt;=S741,R741&gt;=T741),"Distribution",IF(T741&gt;=S741,"Prof. services","Manufacturing"))</f>
        <v>Prof. services</v>
      </c>
    </row>
    <row r="742" customFormat="false" ht="15" hidden="false" customHeight="false" outlineLevel="0" collapsed="false">
      <c r="A742" s="46" t="n">
        <v>0.119984</v>
      </c>
      <c r="B742" s="46" t="n">
        <v>0.173087</v>
      </c>
      <c r="C742" s="46" t="n">
        <v>0.260988</v>
      </c>
      <c r="D742" s="46" t="n">
        <v>0.106424</v>
      </c>
      <c r="E742" s="46" t="n">
        <v>0.040495</v>
      </c>
      <c r="F742" s="46" t="n">
        <v>0.299022</v>
      </c>
      <c r="G742" s="47" t="n">
        <f aca="false">A742*Scorecard!$C$12+B742*Scorecard!$C$13+C742*Scorecard!$C$14+D742*Scorecard!$C$15+E742*Scorecard!$C$16+F742*Scorecard!$C$17</f>
        <v>3.46549408891189</v>
      </c>
      <c r="H742" s="47" t="n">
        <f aca="false">A742*Scorecard!$D$12+B742*Scorecard!$D$13+C742*Scorecard!$D$14+D742*Scorecard!$D$15+E742*Scorecard!$D$16+F742*Scorecard!$D$17</f>
        <v>2.50761752247517</v>
      </c>
      <c r="I742" s="47" t="n">
        <f aca="false">A742*Scorecard!$E$12+B742*Scorecard!$E$13+C742*Scorecard!$E$14+D742*Scorecard!$E$15+E742*Scorecard!$E$16+F742*Scorecard!$E$17</f>
        <v>4.15581678286537</v>
      </c>
      <c r="J742" s="0" t="str">
        <f aca="false">IF(AND(G742&gt;=H742,G742&gt;=I742),"Distribution",IF(I742&gt;=H742,"Prof. services","Manufacturing"))</f>
        <v>Prof. services</v>
      </c>
      <c r="L742" s="46" t="n">
        <v>0.208475</v>
      </c>
      <c r="M742" s="46" t="n">
        <v>0.188284</v>
      </c>
      <c r="N742" s="46" t="n">
        <v>0.206584</v>
      </c>
      <c r="O742" s="46" t="n">
        <v>0.112548</v>
      </c>
      <c r="P742" s="46" t="n">
        <v>0.219412</v>
      </c>
      <c r="Q742" s="46" t="n">
        <v>0.064696</v>
      </c>
      <c r="R742" s="47" t="n">
        <f aca="false">L742*Scorecard!$C$12+M742*Scorecard!$C$13+N742*Scorecard!$C$14+O742*Scorecard!$C$15+P742*Scorecard!$C$16+Q742*Scorecard!$C$17</f>
        <v>3.79617802694449</v>
      </c>
      <c r="S742" s="47" t="n">
        <f aca="false">L742*Scorecard!$D$12+M742*Scorecard!$D$13+N742*Scorecard!$D$14+O742*Scorecard!$D$15+P742*Scorecard!$D$16+Q742*Scorecard!$D$17</f>
        <v>2.96147383620358</v>
      </c>
      <c r="T742" s="47" t="n">
        <f aca="false">L742*Scorecard!$E$12+M742*Scorecard!$E$13+N742*Scorecard!$E$14+O742*Scorecard!$E$15+P742*Scorecard!$E$16+Q742*Scorecard!$E$17</f>
        <v>3.74704349024503</v>
      </c>
      <c r="U742" s="0" t="str">
        <f aca="false">IF(AND(R742&gt;=S742,R742&gt;=T742),"Distribution",IF(T742&gt;=S742,"Prof. services","Manufacturing"))</f>
        <v>Distribution</v>
      </c>
    </row>
    <row r="743" customFormat="false" ht="15" hidden="false" customHeight="false" outlineLevel="0" collapsed="false">
      <c r="A743" s="46" t="n">
        <v>0.344004</v>
      </c>
      <c r="B743" s="46" t="n">
        <v>0.244794</v>
      </c>
      <c r="C743" s="46" t="n">
        <v>0.018185</v>
      </c>
      <c r="D743" s="46" t="n">
        <v>0.195894</v>
      </c>
      <c r="E743" s="46" t="n">
        <v>0.128079</v>
      </c>
      <c r="F743" s="46" t="n">
        <v>0.069045</v>
      </c>
      <c r="G743" s="47" t="n">
        <f aca="false">A743*Scorecard!$C$12+B743*Scorecard!$C$13+C743*Scorecard!$C$14+D743*Scorecard!$C$15+E743*Scorecard!$C$16+F743*Scorecard!$C$17</f>
        <v>3.68338989416962</v>
      </c>
      <c r="H743" s="47" t="n">
        <f aca="false">A743*Scorecard!$D$12+B743*Scorecard!$D$13+C743*Scorecard!$D$14+D743*Scorecard!$D$15+E743*Scorecard!$D$16+F743*Scorecard!$D$17</f>
        <v>3.02569869456581</v>
      </c>
      <c r="I743" s="47" t="n">
        <f aca="false">A743*Scorecard!$E$12+B743*Scorecard!$E$13+C743*Scorecard!$E$14+D743*Scorecard!$E$15+E743*Scorecard!$E$16+F743*Scorecard!$E$17</f>
        <v>3.75626613846489</v>
      </c>
      <c r="J743" s="0" t="str">
        <f aca="false">IF(AND(G743&gt;=H743,G743&gt;=I743),"Distribution",IF(I743&gt;=H743,"Prof. services","Manufacturing"))</f>
        <v>Prof. services</v>
      </c>
      <c r="L743" s="46" t="n">
        <v>0.097731</v>
      </c>
      <c r="M743" s="46" t="n">
        <v>0.125347</v>
      </c>
      <c r="N743" s="46" t="n">
        <v>0.284811</v>
      </c>
      <c r="O743" s="46" t="n">
        <v>0.122893</v>
      </c>
      <c r="P743" s="46" t="n">
        <v>0.256116</v>
      </c>
      <c r="Q743" s="46" t="n">
        <v>0.113102</v>
      </c>
      <c r="R743" s="47" t="n">
        <f aca="false">L743*Scorecard!$C$12+M743*Scorecard!$C$13+N743*Scorecard!$C$14+O743*Scorecard!$C$15+P743*Scorecard!$C$16+Q743*Scorecard!$C$17</f>
        <v>3.84611880626124</v>
      </c>
      <c r="S743" s="47" t="n">
        <f aca="false">L743*Scorecard!$D$12+M743*Scorecard!$D$13+N743*Scorecard!$D$14+O743*Scorecard!$D$15+P743*Scorecard!$D$16+Q743*Scorecard!$D$17</f>
        <v>2.93439501924678</v>
      </c>
      <c r="T743" s="47" t="n">
        <f aca="false">L743*Scorecard!$E$12+M743*Scorecard!$E$13+N743*Scorecard!$E$14+O743*Scorecard!$E$15+P743*Scorecard!$E$16+Q743*Scorecard!$E$17</f>
        <v>3.79730173043024</v>
      </c>
      <c r="U743" s="0" t="str">
        <f aca="false">IF(AND(R743&gt;=S743,R743&gt;=T743),"Distribution",IF(T743&gt;=S743,"Prof. services","Manufacturing"))</f>
        <v>Distribution</v>
      </c>
    </row>
    <row r="744" customFormat="false" ht="15" hidden="false" customHeight="false" outlineLevel="0" collapsed="false">
      <c r="A744" s="46" t="n">
        <v>0.037768</v>
      </c>
      <c r="B744" s="46" t="n">
        <v>0.357784</v>
      </c>
      <c r="C744" s="46" t="n">
        <v>0.324456</v>
      </c>
      <c r="D744" s="46" t="n">
        <v>0.081269</v>
      </c>
      <c r="E744" s="46" t="n">
        <v>0.145838</v>
      </c>
      <c r="F744" s="46" t="n">
        <v>0.052886</v>
      </c>
      <c r="G744" s="47" t="n">
        <f aca="false">A744*Scorecard!$C$12+B744*Scorecard!$C$13+C744*Scorecard!$C$14+D744*Scorecard!$C$15+E744*Scorecard!$C$16+F744*Scorecard!$C$17</f>
        <v>4.26530206139172</v>
      </c>
      <c r="H744" s="47" t="n">
        <f aca="false">A744*Scorecard!$D$12+B744*Scorecard!$D$13+C744*Scorecard!$D$14+D744*Scorecard!$D$15+E744*Scorecard!$D$16+F744*Scorecard!$D$17</f>
        <v>2.55128012352217</v>
      </c>
      <c r="I744" s="47" t="n">
        <f aca="false">A744*Scorecard!$E$12+B744*Scorecard!$E$13+C744*Scorecard!$E$14+D744*Scorecard!$E$15+E744*Scorecard!$E$16+F744*Scorecard!$E$17</f>
        <v>3.48788953108046</v>
      </c>
      <c r="J744" s="0" t="str">
        <f aca="false">IF(AND(G744&gt;=H744,G744&gt;=I744),"Distribution",IF(I744&gt;=H744,"Prof. services","Manufacturing"))</f>
        <v>Distribution</v>
      </c>
      <c r="L744" s="46" t="n">
        <v>0.254345</v>
      </c>
      <c r="M744" s="46" t="n">
        <v>0.075302</v>
      </c>
      <c r="N744" s="46" t="n">
        <v>0.140392</v>
      </c>
      <c r="O744" s="46" t="n">
        <v>0.081929</v>
      </c>
      <c r="P744" s="46" t="n">
        <v>0.383758</v>
      </c>
      <c r="Q744" s="46" t="n">
        <v>0.064275</v>
      </c>
      <c r="R744" s="47" t="n">
        <f aca="false">L744*Scorecard!$C$12+M744*Scorecard!$C$13+N744*Scorecard!$C$14+O744*Scorecard!$C$15+P744*Scorecard!$C$16+Q744*Scorecard!$C$17</f>
        <v>3.57086037279384</v>
      </c>
      <c r="S744" s="47" t="n">
        <f aca="false">L744*Scorecard!$D$12+M744*Scorecard!$D$13+N744*Scorecard!$D$14+O744*Scorecard!$D$15+P744*Scorecard!$D$16+Q744*Scorecard!$D$17</f>
        <v>3.1813331145638</v>
      </c>
      <c r="T744" s="47" t="n">
        <f aca="false">L744*Scorecard!$E$12+M744*Scorecard!$E$13+N744*Scorecard!$E$14+O744*Scorecard!$E$15+P744*Scorecard!$E$16+Q744*Scorecard!$E$17</f>
        <v>3.65949172962679</v>
      </c>
      <c r="U744" s="0" t="str">
        <f aca="false">IF(AND(R744&gt;=S744,R744&gt;=T744),"Distribution",IF(T744&gt;=S744,"Prof. services","Manufacturing"))</f>
        <v>Prof. services</v>
      </c>
    </row>
    <row r="745" customFormat="false" ht="15" hidden="false" customHeight="false" outlineLevel="0" collapsed="false">
      <c r="A745" s="46" t="n">
        <v>0.34514</v>
      </c>
      <c r="B745" s="46" t="n">
        <v>0.085142</v>
      </c>
      <c r="C745" s="46" t="n">
        <v>0.12176</v>
      </c>
      <c r="D745" s="46" t="n">
        <v>0.109689</v>
      </c>
      <c r="E745" s="46" t="n">
        <v>0.201633</v>
      </c>
      <c r="F745" s="46" t="n">
        <v>0.136637</v>
      </c>
      <c r="G745" s="47" t="n">
        <f aca="false">A745*Scorecard!$C$12+B745*Scorecard!$C$13+C745*Scorecard!$C$14+D745*Scorecard!$C$15+E745*Scorecard!$C$16+F745*Scorecard!$C$17</f>
        <v>3.30030407796916</v>
      </c>
      <c r="H745" s="47" t="n">
        <f aca="false">A745*Scorecard!$D$12+B745*Scorecard!$D$13+C745*Scorecard!$D$14+D745*Scorecard!$D$15+E745*Scorecard!$D$16+F745*Scorecard!$D$17</f>
        <v>3.08942259229687</v>
      </c>
      <c r="I745" s="47" t="n">
        <f aca="false">A745*Scorecard!$E$12+B745*Scorecard!$E$13+C745*Scorecard!$E$14+D745*Scorecard!$E$15+E745*Scorecard!$E$16+F745*Scorecard!$E$17</f>
        <v>4.05747731560886</v>
      </c>
      <c r="J745" s="0" t="str">
        <f aca="false">IF(AND(G745&gt;=H745,G745&gt;=I745),"Distribution",IF(I745&gt;=H745,"Prof. services","Manufacturing"))</f>
        <v>Prof. services</v>
      </c>
      <c r="L745" s="46" t="n">
        <v>0.103155</v>
      </c>
      <c r="M745" s="46" t="n">
        <v>0.234107</v>
      </c>
      <c r="N745" s="46" t="n">
        <v>0.129877</v>
      </c>
      <c r="O745" s="46" t="n">
        <v>0.231518</v>
      </c>
      <c r="P745" s="46" t="n">
        <v>0.249839</v>
      </c>
      <c r="Q745" s="46" t="n">
        <v>0.051502</v>
      </c>
      <c r="R745" s="47" t="n">
        <f aca="false">L745*Scorecard!$C$12+M745*Scorecard!$C$13+N745*Scorecard!$C$14+O745*Scorecard!$C$15+P745*Scorecard!$C$16+Q745*Scorecard!$C$17</f>
        <v>4.17693252890974</v>
      </c>
      <c r="S745" s="47" t="n">
        <f aca="false">L745*Scorecard!$D$12+M745*Scorecard!$D$13+N745*Scorecard!$D$14+O745*Scorecard!$D$15+P745*Scorecard!$D$16+Q745*Scorecard!$D$17</f>
        <v>2.99077929924443</v>
      </c>
      <c r="T745" s="47" t="n">
        <f aca="false">L745*Scorecard!$E$12+M745*Scorecard!$E$13+N745*Scorecard!$E$14+O745*Scorecard!$E$15+P745*Scorecard!$E$16+Q745*Scorecard!$E$17</f>
        <v>3.44128297290443</v>
      </c>
      <c r="U745" s="0" t="str">
        <f aca="false">IF(AND(R745&gt;=S745,R745&gt;=T745),"Distribution",IF(T745&gt;=S745,"Prof. services","Manufacturing"))</f>
        <v>Distribution</v>
      </c>
    </row>
    <row r="746" customFormat="false" ht="15" hidden="false" customHeight="false" outlineLevel="0" collapsed="false">
      <c r="A746" s="46" t="n">
        <v>0.082083</v>
      </c>
      <c r="B746" s="46" t="n">
        <v>0.172226</v>
      </c>
      <c r="C746" s="46" t="n">
        <v>0.102271</v>
      </c>
      <c r="D746" s="46" t="n">
        <v>0.160735</v>
      </c>
      <c r="E746" s="46" t="n">
        <v>0.301506</v>
      </c>
      <c r="F746" s="46" t="n">
        <v>0.181179</v>
      </c>
      <c r="G746" s="47" t="n">
        <f aca="false">A746*Scorecard!$C$12+B746*Scorecard!$C$13+C746*Scorecard!$C$14+D746*Scorecard!$C$15+E746*Scorecard!$C$16+F746*Scorecard!$C$17</f>
        <v>3.82285242941688</v>
      </c>
      <c r="H746" s="47" t="n">
        <f aca="false">A746*Scorecard!$D$12+B746*Scorecard!$D$13+C746*Scorecard!$D$14+D746*Scorecard!$D$15+E746*Scorecard!$D$16+F746*Scorecard!$D$17</f>
        <v>2.81051523220042</v>
      </c>
      <c r="I746" s="47" t="n">
        <f aca="false">A746*Scorecard!$E$12+B746*Scorecard!$E$13+C746*Scorecard!$E$14+D746*Scorecard!$E$15+E746*Scorecard!$E$16+F746*Scorecard!$E$17</f>
        <v>3.47578682249651</v>
      </c>
      <c r="J746" s="0" t="str">
        <f aca="false">IF(AND(G746&gt;=H746,G746&gt;=I746),"Distribution",IF(I746&gt;=H746,"Prof. services","Manufacturing"))</f>
        <v>Distribution</v>
      </c>
      <c r="L746" s="46" t="n">
        <v>0.316347</v>
      </c>
      <c r="M746" s="46" t="n">
        <v>0.118561</v>
      </c>
      <c r="N746" s="46" t="n">
        <v>0.179358</v>
      </c>
      <c r="O746" s="46" t="n">
        <v>0.187024</v>
      </c>
      <c r="P746" s="46" t="n">
        <v>0.141235</v>
      </c>
      <c r="Q746" s="46" t="n">
        <v>0.057476</v>
      </c>
      <c r="R746" s="47" t="n">
        <f aca="false">L746*Scorecard!$C$12+M746*Scorecard!$C$13+N746*Scorecard!$C$14+O746*Scorecard!$C$15+P746*Scorecard!$C$16+Q746*Scorecard!$C$17</f>
        <v>3.62120788858524</v>
      </c>
      <c r="S746" s="47" t="n">
        <f aca="false">L746*Scorecard!$D$12+M746*Scorecard!$D$13+N746*Scorecard!$D$14+O746*Scorecard!$D$15+P746*Scorecard!$D$16+Q746*Scorecard!$D$17</f>
        <v>3.20837643133533</v>
      </c>
      <c r="T746" s="47" t="n">
        <f aca="false">L746*Scorecard!$E$12+M746*Scorecard!$E$13+N746*Scorecard!$E$14+O746*Scorecard!$E$15+P746*Scorecard!$E$16+Q746*Scorecard!$E$17</f>
        <v>4.09737635560523</v>
      </c>
      <c r="U746" s="0" t="str">
        <f aca="false">IF(AND(R746&gt;=S746,R746&gt;=T746),"Distribution",IF(T746&gt;=S746,"Prof. services","Manufacturing"))</f>
        <v>Prof. services</v>
      </c>
    </row>
    <row r="747" customFormat="false" ht="15" hidden="false" customHeight="false" outlineLevel="0" collapsed="false">
      <c r="A747" s="46" t="n">
        <v>0.205382</v>
      </c>
      <c r="B747" s="46" t="n">
        <v>0.041114</v>
      </c>
      <c r="C747" s="46" t="n">
        <v>0.153473</v>
      </c>
      <c r="D747" s="46" t="n">
        <v>0.257077</v>
      </c>
      <c r="E747" s="46" t="n">
        <v>0.22824</v>
      </c>
      <c r="F747" s="46" t="n">
        <v>0.114714</v>
      </c>
      <c r="G747" s="47" t="n">
        <f aca="false">A747*Scorecard!$C$12+B747*Scorecard!$C$13+C747*Scorecard!$C$14+D747*Scorecard!$C$15+E747*Scorecard!$C$16+F747*Scorecard!$C$17</f>
        <v>3.69907247105366</v>
      </c>
      <c r="H747" s="47" t="n">
        <f aca="false">A747*Scorecard!$D$12+B747*Scorecard!$D$13+C747*Scorecard!$D$14+D747*Scorecard!$D$15+E747*Scorecard!$D$16+F747*Scorecard!$D$17</f>
        <v>3.27556461170412</v>
      </c>
      <c r="I747" s="47" t="n">
        <f aca="false">A747*Scorecard!$E$12+B747*Scorecard!$E$13+C747*Scorecard!$E$14+D747*Scorecard!$E$15+E747*Scorecard!$E$16+F747*Scorecard!$E$17</f>
        <v>4.00088806612046</v>
      </c>
      <c r="J747" s="0" t="str">
        <f aca="false">IF(AND(G747&gt;=H747,G747&gt;=I747),"Distribution",IF(I747&gt;=H747,"Prof. services","Manufacturing"))</f>
        <v>Prof. services</v>
      </c>
      <c r="L747" s="46" t="n">
        <v>0.073382</v>
      </c>
      <c r="M747" s="46" t="n">
        <v>0.256031</v>
      </c>
      <c r="N747" s="46" t="n">
        <v>0.156117</v>
      </c>
      <c r="O747" s="46" t="n">
        <v>0.227815</v>
      </c>
      <c r="P747" s="46" t="n">
        <v>0.125576</v>
      </c>
      <c r="Q747" s="46" t="n">
        <v>0.161081</v>
      </c>
      <c r="R747" s="47" t="n">
        <f aca="false">L747*Scorecard!$C$12+M747*Scorecard!$C$13+N747*Scorecard!$C$14+O747*Scorecard!$C$15+P747*Scorecard!$C$16+Q747*Scorecard!$C$17</f>
        <v>4.02960335350157</v>
      </c>
      <c r="S747" s="47" t="n">
        <f aca="false">L747*Scorecard!$D$12+M747*Scorecard!$D$13+N747*Scorecard!$D$14+O747*Scorecard!$D$15+P747*Scorecard!$D$16+Q747*Scorecard!$D$17</f>
        <v>2.7281405589466</v>
      </c>
      <c r="T747" s="47" t="n">
        <f aca="false">L747*Scorecard!$E$12+M747*Scorecard!$E$13+N747*Scorecard!$E$14+O747*Scorecard!$E$15+P747*Scorecard!$E$16+Q747*Scorecard!$E$17</f>
        <v>3.65793239142906</v>
      </c>
      <c r="U747" s="0" t="str">
        <f aca="false">IF(AND(R747&gt;=S747,R747&gt;=T747),"Distribution",IF(T747&gt;=S747,"Prof. services","Manufacturing"))</f>
        <v>Distribution</v>
      </c>
    </row>
    <row r="748" customFormat="false" ht="15" hidden="false" customHeight="false" outlineLevel="0" collapsed="false">
      <c r="A748" s="46" t="n">
        <v>0.037144</v>
      </c>
      <c r="B748" s="46" t="n">
        <v>0.466422</v>
      </c>
      <c r="C748" s="46" t="n">
        <v>0.148536</v>
      </c>
      <c r="D748" s="46" t="n">
        <v>0.108671</v>
      </c>
      <c r="E748" s="46" t="n">
        <v>0.02727</v>
      </c>
      <c r="F748" s="46" t="n">
        <v>0.211957</v>
      </c>
      <c r="G748" s="47" t="n">
        <f aca="false">A748*Scorecard!$C$12+B748*Scorecard!$C$13+C748*Scorecard!$C$14+D748*Scorecard!$C$15+E748*Scorecard!$C$16+F748*Scorecard!$C$17</f>
        <v>4.08431927029057</v>
      </c>
      <c r="H748" s="47" t="n">
        <f aca="false">A748*Scorecard!$D$12+B748*Scorecard!$D$13+C748*Scorecard!$D$14+D748*Scorecard!$D$15+E748*Scorecard!$D$16+F748*Scorecard!$D$17</f>
        <v>2.14139160215315</v>
      </c>
      <c r="I748" s="47" t="n">
        <f aca="false">A748*Scorecard!$E$12+B748*Scorecard!$E$13+C748*Scorecard!$E$14+D748*Scorecard!$E$15+E748*Scorecard!$E$16+F748*Scorecard!$E$17</f>
        <v>3.38922723460783</v>
      </c>
      <c r="J748" s="0" t="str">
        <f aca="false">IF(AND(G748&gt;=H748,G748&gt;=I748),"Distribution",IF(I748&gt;=H748,"Prof. services","Manufacturing"))</f>
        <v>Distribution</v>
      </c>
      <c r="L748" s="46" t="n">
        <v>0.205537</v>
      </c>
      <c r="M748" s="46" t="n">
        <v>0.212076</v>
      </c>
      <c r="N748" s="46" t="n">
        <v>0.26864</v>
      </c>
      <c r="O748" s="46" t="n">
        <v>0.135891</v>
      </c>
      <c r="P748" s="46" t="n">
        <v>0.087409</v>
      </c>
      <c r="Q748" s="46" t="n">
        <v>0.090447</v>
      </c>
      <c r="R748" s="47" t="n">
        <f aca="false">L748*Scorecard!$C$12+M748*Scorecard!$C$13+N748*Scorecard!$C$14+O748*Scorecard!$C$15+P748*Scorecard!$C$16+Q748*Scorecard!$C$17</f>
        <v>3.79710346884321</v>
      </c>
      <c r="S748" s="47" t="n">
        <f aca="false">L748*Scorecard!$D$12+M748*Scorecard!$D$13+N748*Scorecard!$D$14+O748*Scorecard!$D$15+P748*Scorecard!$D$16+Q748*Scorecard!$D$17</f>
        <v>2.86821962146504</v>
      </c>
      <c r="T748" s="47" t="n">
        <f aca="false">L748*Scorecard!$E$12+M748*Scorecard!$E$13+N748*Scorecard!$E$14+O748*Scorecard!$E$15+P748*Scorecard!$E$16+Q748*Scorecard!$E$17</f>
        <v>3.99825283722117</v>
      </c>
      <c r="U748" s="0" t="str">
        <f aca="false">IF(AND(R748&gt;=S748,R748&gt;=T748),"Distribution",IF(T748&gt;=S748,"Prof. services","Manufacturing"))</f>
        <v>Prof. services</v>
      </c>
    </row>
    <row r="749" customFormat="false" ht="15" hidden="false" customHeight="false" outlineLevel="0" collapsed="false">
      <c r="A749" s="46" t="n">
        <v>0.334467</v>
      </c>
      <c r="B749" s="46" t="n">
        <v>0.101272</v>
      </c>
      <c r="C749" s="46" t="n">
        <v>0.004838</v>
      </c>
      <c r="D749" s="46" t="n">
        <v>0.284977</v>
      </c>
      <c r="E749" s="46" t="n">
        <v>0.076983</v>
      </c>
      <c r="F749" s="46" t="n">
        <v>0.197463</v>
      </c>
      <c r="G749" s="47" t="n">
        <f aca="false">A749*Scorecard!$C$12+B749*Scorecard!$C$13+C749*Scorecard!$C$14+D749*Scorecard!$C$15+E749*Scorecard!$C$16+F749*Scorecard!$C$17</f>
        <v>3.38927763017648</v>
      </c>
      <c r="H749" s="47" t="n">
        <f aca="false">A749*Scorecard!$D$12+B749*Scorecard!$D$13+C749*Scorecard!$D$14+D749*Scorecard!$D$15+E749*Scorecard!$D$16+F749*Scorecard!$D$17</f>
        <v>3.12828999708741</v>
      </c>
      <c r="I749" s="47" t="n">
        <f aca="false">A749*Scorecard!$E$12+B749*Scorecard!$E$13+C749*Scorecard!$E$14+D749*Scorecard!$E$15+E749*Scorecard!$E$16+F749*Scorecard!$E$17</f>
        <v>4.16655464709865</v>
      </c>
      <c r="J749" s="0" t="str">
        <f aca="false">IF(AND(G749&gt;=H749,G749&gt;=I749),"Distribution",IF(I749&gt;=H749,"Prof. services","Manufacturing"))</f>
        <v>Prof. services</v>
      </c>
      <c r="L749" s="46" t="n">
        <v>0.329638</v>
      </c>
      <c r="M749" s="46" t="n">
        <v>0.154944</v>
      </c>
      <c r="N749" s="46" t="n">
        <v>0.162546</v>
      </c>
      <c r="O749" s="46" t="n">
        <v>0.146232</v>
      </c>
      <c r="P749" s="46" t="n">
        <v>0.117253</v>
      </c>
      <c r="Q749" s="46" t="n">
        <v>0.089386</v>
      </c>
      <c r="R749" s="47" t="n">
        <f aca="false">L749*Scorecard!$C$12+M749*Scorecard!$C$13+N749*Scorecard!$C$14+O749*Scorecard!$C$15+P749*Scorecard!$C$16+Q749*Scorecard!$C$17</f>
        <v>3.5290468990427</v>
      </c>
      <c r="S749" s="47" t="n">
        <f aca="false">L749*Scorecard!$D$12+M749*Scorecard!$D$13+N749*Scorecard!$D$14+O749*Scorecard!$D$15+P749*Scorecard!$D$16+Q749*Scorecard!$D$17</f>
        <v>3.05945733391516</v>
      </c>
      <c r="T749" s="47" t="n">
        <f aca="false">L749*Scorecard!$E$12+M749*Scorecard!$E$13+N749*Scorecard!$E$14+O749*Scorecard!$E$15+P749*Scorecard!$E$16+Q749*Scorecard!$E$17</f>
        <v>4.07483846863646</v>
      </c>
      <c r="U749" s="0" t="str">
        <f aca="false">IF(AND(R749&gt;=S749,R749&gt;=T749),"Distribution",IF(T749&gt;=S749,"Prof. services","Manufacturing"))</f>
        <v>Prof. services</v>
      </c>
    </row>
    <row r="750" customFormat="false" ht="15" hidden="false" customHeight="false" outlineLevel="0" collapsed="false">
      <c r="A750" s="46" t="n">
        <v>0.220166</v>
      </c>
      <c r="B750" s="46" t="n">
        <v>0.215436</v>
      </c>
      <c r="C750" s="46" t="n">
        <v>0.015137</v>
      </c>
      <c r="D750" s="46" t="n">
        <v>0.077474</v>
      </c>
      <c r="E750" s="46" t="n">
        <v>0.41508</v>
      </c>
      <c r="F750" s="46" t="n">
        <v>0.056707</v>
      </c>
      <c r="G750" s="47" t="n">
        <f aca="false">A750*Scorecard!$C$12+B750*Scorecard!$C$13+C750*Scorecard!$C$14+D750*Scorecard!$C$15+E750*Scorecard!$C$16+F750*Scorecard!$C$17</f>
        <v>3.7831940602195</v>
      </c>
      <c r="H750" s="47" t="n">
        <f aca="false">A750*Scorecard!$D$12+B750*Scorecard!$D$13+C750*Scorecard!$D$14+D750*Scorecard!$D$15+E750*Scorecard!$D$16+F750*Scorecard!$D$17</f>
        <v>2.96504716872654</v>
      </c>
      <c r="I750" s="47" t="n">
        <f aca="false">A750*Scorecard!$E$12+B750*Scorecard!$E$13+C750*Scorecard!$E$14+D750*Scorecard!$E$15+E750*Scorecard!$E$16+F750*Scorecard!$E$17</f>
        <v>3.1805017009545</v>
      </c>
      <c r="J750" s="0" t="str">
        <f aca="false">IF(AND(G750&gt;=H750,G750&gt;=I750),"Distribution",IF(I750&gt;=H750,"Prof. services","Manufacturing"))</f>
        <v>Distribution</v>
      </c>
      <c r="L750" s="46" t="n">
        <v>0.25532</v>
      </c>
      <c r="M750" s="46" t="n">
        <v>0.160791</v>
      </c>
      <c r="N750" s="46" t="n">
        <v>0.211834</v>
      </c>
      <c r="O750" s="46" t="n">
        <v>0.193891</v>
      </c>
      <c r="P750" s="46" t="n">
        <v>0.127817</v>
      </c>
      <c r="Q750" s="46" t="n">
        <v>0.050346</v>
      </c>
      <c r="R750" s="47" t="n">
        <f aca="false">L750*Scorecard!$C$12+M750*Scorecard!$C$13+N750*Scorecard!$C$14+O750*Scorecard!$C$15+P750*Scorecard!$C$16+Q750*Scorecard!$C$17</f>
        <v>3.79440635888939</v>
      </c>
      <c r="S750" s="47" t="n">
        <f aca="false">L750*Scorecard!$D$12+M750*Scorecard!$D$13+N750*Scorecard!$D$14+O750*Scorecard!$D$15+P750*Scorecard!$D$16+Q750*Scorecard!$D$17</f>
        <v>3.11884364472758</v>
      </c>
      <c r="T750" s="47" t="n">
        <f aca="false">L750*Scorecard!$E$12+M750*Scorecard!$E$13+N750*Scorecard!$E$14+O750*Scorecard!$E$15+P750*Scorecard!$E$16+Q750*Scorecard!$E$17</f>
        <v>4.0095365723041</v>
      </c>
      <c r="U750" s="0" t="str">
        <f aca="false">IF(AND(R750&gt;=S750,R750&gt;=T750),"Distribution",IF(T750&gt;=S750,"Prof. services","Manufacturing"))</f>
        <v>Prof. services</v>
      </c>
    </row>
    <row r="751" customFormat="false" ht="15" hidden="false" customHeight="false" outlineLevel="0" collapsed="false">
      <c r="A751" s="46" t="n">
        <v>0.171499</v>
      </c>
      <c r="B751" s="46" t="n">
        <v>0.199276</v>
      </c>
      <c r="C751" s="46" t="n">
        <v>0.001385</v>
      </c>
      <c r="D751" s="46" t="n">
        <v>0.485635</v>
      </c>
      <c r="E751" s="46" t="n">
        <v>0.024437</v>
      </c>
      <c r="F751" s="46" t="n">
        <v>0.117768</v>
      </c>
      <c r="G751" s="47" t="n">
        <f aca="false">A751*Scorecard!$C$12+B751*Scorecard!$C$13+C751*Scorecard!$C$14+D751*Scorecard!$C$15+E751*Scorecard!$C$16+F751*Scorecard!$C$17</f>
        <v>4.14067435425808</v>
      </c>
      <c r="H751" s="47" t="n">
        <f aca="false">A751*Scorecard!$D$12+B751*Scorecard!$D$13+C751*Scorecard!$D$14+D751*Scorecard!$D$15+E751*Scorecard!$D$16+F751*Scorecard!$D$17</f>
        <v>3.20785456858773</v>
      </c>
      <c r="I751" s="47" t="n">
        <f aca="false">A751*Scorecard!$E$12+B751*Scorecard!$E$13+C751*Scorecard!$E$14+D751*Scorecard!$E$15+E751*Scorecard!$E$16+F751*Scorecard!$E$17</f>
        <v>3.89697776829583</v>
      </c>
      <c r="J751" s="0" t="str">
        <f aca="false">IF(AND(G751&gt;=H751,G751&gt;=I751),"Distribution",IF(I751&gt;=H751,"Prof. services","Manufacturing"))</f>
        <v>Distribution</v>
      </c>
      <c r="L751" s="46" t="n">
        <v>0.184219</v>
      </c>
      <c r="M751" s="46" t="n">
        <v>0.219449</v>
      </c>
      <c r="N751" s="46" t="n">
        <v>0.119017</v>
      </c>
      <c r="O751" s="46" t="n">
        <v>0.243545</v>
      </c>
      <c r="P751" s="46" t="n">
        <v>0.160743</v>
      </c>
      <c r="Q751" s="46" t="n">
        <v>0.073028</v>
      </c>
      <c r="R751" s="47" t="n">
        <f aca="false">L751*Scorecard!$C$12+M751*Scorecard!$C$13+N751*Scorecard!$C$14+O751*Scorecard!$C$15+P751*Scorecard!$C$16+Q751*Scorecard!$C$17</f>
        <v>3.98534517285855</v>
      </c>
      <c r="S751" s="47" t="n">
        <f aca="false">L751*Scorecard!$D$12+M751*Scorecard!$D$13+N751*Scorecard!$D$14+O751*Scorecard!$D$15+P751*Scorecard!$D$16+Q751*Scorecard!$D$17</f>
        <v>3.01827201917699</v>
      </c>
      <c r="T751" s="47" t="n">
        <f aca="false">L751*Scorecard!$E$12+M751*Scorecard!$E$13+N751*Scorecard!$E$14+O751*Scorecard!$E$15+P751*Scorecard!$E$16+Q751*Scorecard!$E$17</f>
        <v>3.70022142242472</v>
      </c>
      <c r="U751" s="0" t="str">
        <f aca="false">IF(AND(R751&gt;=S751,R751&gt;=T751),"Distribution",IF(T751&gt;=S751,"Prof. services","Manufacturing"))</f>
        <v>Distribution</v>
      </c>
    </row>
    <row r="752" customFormat="false" ht="15" hidden="false" customHeight="false" outlineLevel="0" collapsed="false">
      <c r="A752" s="46" t="n">
        <v>0.054745</v>
      </c>
      <c r="B752" s="46" t="n">
        <v>0.194511</v>
      </c>
      <c r="C752" s="46" t="n">
        <v>0.098515</v>
      </c>
      <c r="D752" s="46" t="n">
        <v>0.277451</v>
      </c>
      <c r="E752" s="46" t="n">
        <v>0.339169</v>
      </c>
      <c r="F752" s="46" t="n">
        <v>0.035609</v>
      </c>
      <c r="G752" s="47" t="n">
        <f aca="false">A752*Scorecard!$C$12+B752*Scorecard!$C$13+C752*Scorecard!$C$14+D752*Scorecard!$C$15+E752*Scorecard!$C$16+F752*Scorecard!$C$17</f>
        <v>4.30220221928325</v>
      </c>
      <c r="H752" s="47" t="n">
        <f aca="false">A752*Scorecard!$D$12+B752*Scorecard!$D$13+C752*Scorecard!$D$14+D752*Scorecard!$D$15+E752*Scorecard!$D$16+F752*Scorecard!$D$17</f>
        <v>3.12503189374784</v>
      </c>
      <c r="I752" s="47" t="n">
        <f aca="false">A752*Scorecard!$E$12+B752*Scorecard!$E$13+C752*Scorecard!$E$14+D752*Scorecard!$E$15+E752*Scorecard!$E$16+F752*Scorecard!$E$17</f>
        <v>3.28649298012596</v>
      </c>
      <c r="J752" s="0" t="str">
        <f aca="false">IF(AND(G752&gt;=H752,G752&gt;=I752),"Distribution",IF(I752&gt;=H752,"Prof. services","Manufacturing"))</f>
        <v>Distribution</v>
      </c>
      <c r="L752" s="46" t="n">
        <v>0.084178</v>
      </c>
      <c r="M752" s="46" t="n">
        <v>0.200613</v>
      </c>
      <c r="N752" s="46" t="n">
        <v>0.267821</v>
      </c>
      <c r="O752" s="46" t="n">
        <v>0.092292</v>
      </c>
      <c r="P752" s="46" t="n">
        <v>0.279359</v>
      </c>
      <c r="Q752" s="46" t="n">
        <v>0.075737</v>
      </c>
      <c r="R752" s="47" t="n">
        <f aca="false">L752*Scorecard!$C$12+M752*Scorecard!$C$13+N752*Scorecard!$C$14+O752*Scorecard!$C$15+P752*Scorecard!$C$16+Q752*Scorecard!$C$17</f>
        <v>3.98990939954015</v>
      </c>
      <c r="S752" s="47" t="n">
        <f aca="false">L752*Scorecard!$D$12+M752*Scorecard!$D$13+N752*Scorecard!$D$14+O752*Scorecard!$D$15+P752*Scorecard!$D$16+Q752*Scorecard!$D$17</f>
        <v>2.84083836995526</v>
      </c>
      <c r="T752" s="47" t="n">
        <f aca="false">L752*Scorecard!$E$12+M752*Scorecard!$E$13+N752*Scorecard!$E$14+O752*Scorecard!$E$15+P752*Scorecard!$E$16+Q752*Scorecard!$E$17</f>
        <v>3.56314798747547</v>
      </c>
      <c r="U752" s="0" t="str">
        <f aca="false">IF(AND(R752&gt;=S752,R752&gt;=T752),"Distribution",IF(T752&gt;=S752,"Prof. services","Manufacturing"))</f>
        <v>Distribution</v>
      </c>
    </row>
    <row r="753" customFormat="false" ht="15" hidden="false" customHeight="false" outlineLevel="0" collapsed="false">
      <c r="A753" s="46" t="n">
        <v>0.026325</v>
      </c>
      <c r="B753" s="46" t="n">
        <v>0.117349</v>
      </c>
      <c r="C753" s="46" t="n">
        <v>0.202703</v>
      </c>
      <c r="D753" s="46" t="n">
        <v>0.391939</v>
      </c>
      <c r="E753" s="46" t="n">
        <v>0.030234</v>
      </c>
      <c r="F753" s="46" t="n">
        <v>0.231451</v>
      </c>
      <c r="G753" s="47" t="n">
        <f aca="false">A753*Scorecard!$C$12+B753*Scorecard!$C$13+C753*Scorecard!$C$14+D753*Scorecard!$C$15+E753*Scorecard!$C$16+F753*Scorecard!$C$17</f>
        <v>3.99900462457999</v>
      </c>
      <c r="H753" s="47" t="n">
        <f aca="false">A753*Scorecard!$D$12+B753*Scorecard!$D$13+C753*Scorecard!$D$14+D753*Scorecard!$D$15+E753*Scorecard!$D$16+F753*Scorecard!$D$17</f>
        <v>2.95787709629206</v>
      </c>
      <c r="I753" s="47" t="n">
        <f aca="false">A753*Scorecard!$E$12+B753*Scorecard!$E$13+C753*Scorecard!$E$14+D753*Scorecard!$E$15+E753*Scorecard!$E$16+F753*Scorecard!$E$17</f>
        <v>4.13859038740167</v>
      </c>
      <c r="J753" s="0" t="str">
        <f aca="false">IF(AND(G753&gt;=H753,G753&gt;=I753),"Distribution",IF(I753&gt;=H753,"Prof. services","Manufacturing"))</f>
        <v>Prof. services</v>
      </c>
      <c r="L753" s="46" t="n">
        <v>0.185087</v>
      </c>
      <c r="M753" s="46" t="n">
        <v>0.261116</v>
      </c>
      <c r="N753" s="46" t="n">
        <v>0.227009</v>
      </c>
      <c r="O753" s="46" t="n">
        <v>0.072366</v>
      </c>
      <c r="P753" s="46" t="n">
        <v>0.100323</v>
      </c>
      <c r="Q753" s="46" t="n">
        <v>0.1541</v>
      </c>
      <c r="R753" s="47" t="n">
        <f aca="false">L753*Scorecard!$C$12+M753*Scorecard!$C$13+N753*Scorecard!$C$14+O753*Scorecard!$C$15+P753*Scorecard!$C$16+Q753*Scorecard!$C$17</f>
        <v>3.69212676048003</v>
      </c>
      <c r="S753" s="47" t="n">
        <f aca="false">L753*Scorecard!$D$12+M753*Scorecard!$D$13+N753*Scorecard!$D$14+O753*Scorecard!$D$15+P753*Scorecard!$D$16+Q753*Scorecard!$D$17</f>
        <v>2.61639126566728</v>
      </c>
      <c r="T753" s="47" t="n">
        <f aca="false">L753*Scorecard!$E$12+M753*Scorecard!$E$13+N753*Scorecard!$E$14+O753*Scorecard!$E$15+P753*Scorecard!$E$16+Q753*Scorecard!$E$17</f>
        <v>3.84407508700028</v>
      </c>
      <c r="U753" s="0" t="str">
        <f aca="false">IF(AND(R753&gt;=S753,R753&gt;=T753),"Distribution",IF(T753&gt;=S753,"Prof. services","Manufacturing"))</f>
        <v>Prof. services</v>
      </c>
    </row>
    <row r="754" customFormat="false" ht="15" hidden="false" customHeight="false" outlineLevel="0" collapsed="false">
      <c r="A754" s="46" t="n">
        <v>0.052854</v>
      </c>
      <c r="B754" s="46" t="n">
        <v>0.186676</v>
      </c>
      <c r="C754" s="46" t="n">
        <v>0.589636</v>
      </c>
      <c r="D754" s="46" t="n">
        <v>0.094995</v>
      </c>
      <c r="E754" s="46" t="n">
        <v>0.062314</v>
      </c>
      <c r="F754" s="46" t="n">
        <v>0.013524</v>
      </c>
      <c r="G754" s="47" t="n">
        <f aca="false">A754*Scorecard!$C$12+B754*Scorecard!$C$13+C754*Scorecard!$C$14+D754*Scorecard!$C$15+E754*Scorecard!$C$16+F754*Scorecard!$C$17</f>
        <v>4.15948104625075</v>
      </c>
      <c r="H754" s="47" t="n">
        <f aca="false">A754*Scorecard!$D$12+B754*Scorecard!$D$13+C754*Scorecard!$D$14+D754*Scorecard!$D$15+E754*Scorecard!$D$16+F754*Scorecard!$D$17</f>
        <v>2.86516406700308</v>
      </c>
      <c r="I754" s="47" t="n">
        <f aca="false">A754*Scorecard!$E$12+B754*Scorecard!$E$13+C754*Scorecard!$E$14+D754*Scorecard!$E$15+E754*Scorecard!$E$16+F754*Scorecard!$E$17</f>
        <v>4.21085380769017</v>
      </c>
      <c r="J754" s="0" t="str">
        <f aca="false">IF(AND(G754&gt;=H754,G754&gt;=I754),"Distribution",IF(I754&gt;=H754,"Prof. services","Manufacturing"))</f>
        <v>Prof. services</v>
      </c>
      <c r="L754" s="46" t="n">
        <v>0.181612</v>
      </c>
      <c r="M754" s="46" t="n">
        <v>0.303183</v>
      </c>
      <c r="N754" s="46" t="n">
        <v>0.170179</v>
      </c>
      <c r="O754" s="46" t="n">
        <v>0.139667</v>
      </c>
      <c r="P754" s="46" t="n">
        <v>0.073735</v>
      </c>
      <c r="Q754" s="46" t="n">
        <v>0.131624</v>
      </c>
      <c r="R754" s="47" t="n">
        <f aca="false">L754*Scorecard!$C$12+M754*Scorecard!$C$13+N754*Scorecard!$C$14+O754*Scorecard!$C$15+P754*Scorecard!$C$16+Q754*Scorecard!$C$17</f>
        <v>3.8526978100369</v>
      </c>
      <c r="S754" s="47" t="n">
        <f aca="false">L754*Scorecard!$D$12+M754*Scorecard!$D$13+N754*Scorecard!$D$14+O754*Scorecard!$D$15+P754*Scorecard!$D$16+Q754*Scorecard!$D$17</f>
        <v>2.65371194879569</v>
      </c>
      <c r="T754" s="47" t="n">
        <f aca="false">L754*Scorecard!$E$12+M754*Scorecard!$E$13+N754*Scorecard!$E$14+O754*Scorecard!$E$15+P754*Scorecard!$E$16+Q754*Scorecard!$E$17</f>
        <v>3.74898586365684</v>
      </c>
      <c r="U754" s="0" t="str">
        <f aca="false">IF(AND(R754&gt;=S754,R754&gt;=T754),"Distribution",IF(T754&gt;=S754,"Prof. services","Manufacturing"))</f>
        <v>Distribution</v>
      </c>
    </row>
    <row r="755" customFormat="false" ht="15" hidden="false" customHeight="false" outlineLevel="0" collapsed="false">
      <c r="A755" s="46" t="n">
        <v>0.136352</v>
      </c>
      <c r="B755" s="46" t="n">
        <v>0.122899</v>
      </c>
      <c r="C755" s="46" t="n">
        <v>0.546319</v>
      </c>
      <c r="D755" s="46" t="n">
        <v>0.097353</v>
      </c>
      <c r="E755" s="46" t="n">
        <v>0.029284</v>
      </c>
      <c r="F755" s="46" t="n">
        <v>0.067793</v>
      </c>
      <c r="G755" s="47" t="n">
        <f aca="false">A755*Scorecard!$C$12+B755*Scorecard!$C$13+C755*Scorecard!$C$14+D755*Scorecard!$C$15+E755*Scorecard!$C$16+F755*Scorecard!$C$17</f>
        <v>3.83923045548835</v>
      </c>
      <c r="H755" s="47" t="n">
        <f aca="false">A755*Scorecard!$D$12+B755*Scorecard!$D$13+C755*Scorecard!$D$14+D755*Scorecard!$D$15+E755*Scorecard!$D$16+F755*Scorecard!$D$17</f>
        <v>2.9263672148701</v>
      </c>
      <c r="I755" s="47" t="n">
        <f aca="false">A755*Scorecard!$E$12+B755*Scorecard!$E$13+C755*Scorecard!$E$14+D755*Scorecard!$E$15+E755*Scorecard!$E$16+F755*Scorecard!$E$17</f>
        <v>4.4532296261295</v>
      </c>
      <c r="J755" s="0" t="str">
        <f aca="false">IF(AND(G755&gt;=H755,G755&gt;=I755),"Distribution",IF(I755&gt;=H755,"Prof. services","Manufacturing"))</f>
        <v>Prof. services</v>
      </c>
      <c r="L755" s="46" t="n">
        <v>0.074596</v>
      </c>
      <c r="M755" s="46" t="n">
        <v>0.229142</v>
      </c>
      <c r="N755" s="46" t="n">
        <v>0.271424</v>
      </c>
      <c r="O755" s="46" t="n">
        <v>0.17977</v>
      </c>
      <c r="P755" s="46" t="n">
        <v>0.154227</v>
      </c>
      <c r="Q755" s="46" t="n">
        <v>0.090841</v>
      </c>
      <c r="R755" s="47" t="n">
        <f aca="false">L755*Scorecard!$C$12+M755*Scorecard!$C$13+N755*Scorecard!$C$14+O755*Scorecard!$C$15+P755*Scorecard!$C$16+Q755*Scorecard!$C$17</f>
        <v>4.09295613618876</v>
      </c>
      <c r="S755" s="47" t="n">
        <f aca="false">L755*Scorecard!$D$12+M755*Scorecard!$D$13+N755*Scorecard!$D$14+O755*Scorecard!$D$15+P755*Scorecard!$D$16+Q755*Scorecard!$D$17</f>
        <v>2.82858837121679</v>
      </c>
      <c r="T755" s="47" t="n">
        <f aca="false">L755*Scorecard!$E$12+M755*Scorecard!$E$13+N755*Scorecard!$E$14+O755*Scorecard!$E$15+P755*Scorecard!$E$16+Q755*Scorecard!$E$17</f>
        <v>3.73412172085903</v>
      </c>
      <c r="U755" s="0" t="str">
        <f aca="false">IF(AND(R755&gt;=S755,R755&gt;=T755),"Distribution",IF(T755&gt;=S755,"Prof. services","Manufacturing"))</f>
        <v>Distribution</v>
      </c>
    </row>
    <row r="756" customFormat="false" ht="15" hidden="false" customHeight="false" outlineLevel="0" collapsed="false">
      <c r="A756" s="46" t="n">
        <v>0.020397</v>
      </c>
      <c r="B756" s="46" t="n">
        <v>0.354563</v>
      </c>
      <c r="C756" s="46" t="n">
        <v>0.420999</v>
      </c>
      <c r="D756" s="46" t="n">
        <v>0.080693</v>
      </c>
      <c r="E756" s="46" t="n">
        <v>0.0979</v>
      </c>
      <c r="F756" s="46" t="n">
        <v>0.025449</v>
      </c>
      <c r="G756" s="47" t="n">
        <f aca="false">A756*Scorecard!$C$12+B756*Scorecard!$C$13+C756*Scorecard!$C$14+D756*Scorecard!$C$15+E756*Scorecard!$C$16+F756*Scorecard!$C$17</f>
        <v>4.34764710911902</v>
      </c>
      <c r="H756" s="47" t="n">
        <f aca="false">A756*Scorecard!$D$12+B756*Scorecard!$D$13+C756*Scorecard!$D$14+D756*Scorecard!$D$15+E756*Scorecard!$D$16+F756*Scorecard!$D$17</f>
        <v>2.56914981865624</v>
      </c>
      <c r="I756" s="47" t="n">
        <f aca="false">A756*Scorecard!$E$12+B756*Scorecard!$E$13+C756*Scorecard!$E$14+D756*Scorecard!$E$15+E756*Scorecard!$E$16+F756*Scorecard!$E$17</f>
        <v>3.63918643770208</v>
      </c>
      <c r="J756" s="0" t="str">
        <f aca="false">IF(AND(G756&gt;=H756,G756&gt;=I756),"Distribution",IF(I756&gt;=H756,"Prof. services","Manufacturing"))</f>
        <v>Distribution</v>
      </c>
      <c r="L756" s="46" t="n">
        <v>0.249474</v>
      </c>
      <c r="M756" s="46" t="n">
        <v>0.156369</v>
      </c>
      <c r="N756" s="46" t="n">
        <v>0.279167</v>
      </c>
      <c r="O756" s="46" t="n">
        <v>0.125313</v>
      </c>
      <c r="P756" s="46" t="n">
        <v>0.137133</v>
      </c>
      <c r="Q756" s="46" t="n">
        <v>0.052543</v>
      </c>
      <c r="R756" s="47" t="n">
        <f aca="false">L756*Scorecard!$C$12+M756*Scorecard!$C$13+N756*Scorecard!$C$14+O756*Scorecard!$C$15+P756*Scorecard!$C$16+Q756*Scorecard!$C$17</f>
        <v>3.72753524225902</v>
      </c>
      <c r="S756" s="47" t="n">
        <f aca="false">L756*Scorecard!$D$12+M756*Scorecard!$D$13+N756*Scorecard!$D$14+O756*Scorecard!$D$15+P756*Scorecard!$D$16+Q756*Scorecard!$D$17</f>
        <v>3.04204062227828</v>
      </c>
      <c r="T756" s="47" t="n">
        <f aca="false">L756*Scorecard!$E$12+M756*Scorecard!$E$13+N756*Scorecard!$E$14+O756*Scorecard!$E$15+P756*Scorecard!$E$16+Q756*Scorecard!$E$17</f>
        <v>4.05363490062289</v>
      </c>
      <c r="U756" s="0" t="str">
        <f aca="false">IF(AND(R756&gt;=S756,R756&gt;=T756),"Distribution",IF(T756&gt;=S756,"Prof. services","Manufacturing"))</f>
        <v>Prof. services</v>
      </c>
    </row>
    <row r="757" customFormat="false" ht="15" hidden="false" customHeight="false" outlineLevel="0" collapsed="false">
      <c r="A757" s="46" t="n">
        <v>0.028345</v>
      </c>
      <c r="B757" s="46" t="n">
        <v>0.196745</v>
      </c>
      <c r="C757" s="46" t="n">
        <v>0.265411</v>
      </c>
      <c r="D757" s="46" t="n">
        <v>0.004526</v>
      </c>
      <c r="E757" s="46" t="n">
        <v>0.384838</v>
      </c>
      <c r="F757" s="46" t="n">
        <v>0.120134</v>
      </c>
      <c r="G757" s="47" t="n">
        <f aca="false">A757*Scorecard!$C$12+B757*Scorecard!$C$13+C757*Scorecard!$C$14+D757*Scorecard!$C$15+E757*Scorecard!$C$16+F757*Scorecard!$C$17</f>
        <v>3.90997759577283</v>
      </c>
      <c r="H757" s="47" t="n">
        <f aca="false">A757*Scorecard!$D$12+B757*Scorecard!$D$13+C757*Scorecard!$D$14+D757*Scorecard!$D$15+E757*Scorecard!$D$16+F757*Scorecard!$D$17</f>
        <v>2.67672344105478</v>
      </c>
      <c r="I757" s="47" t="n">
        <f aca="false">A757*Scorecard!$E$12+B757*Scorecard!$E$13+C757*Scorecard!$E$14+D757*Scorecard!$E$15+E757*Scorecard!$E$16+F757*Scorecard!$E$17</f>
        <v>3.34415262604608</v>
      </c>
      <c r="J757" s="0" t="str">
        <f aca="false">IF(AND(G757&gt;=H757,G757&gt;=I757),"Distribution",IF(I757&gt;=H757,"Prof. services","Manufacturing"))</f>
        <v>Distribution</v>
      </c>
      <c r="L757" s="46" t="n">
        <v>0.402528</v>
      </c>
      <c r="M757" s="46" t="n">
        <v>0.155437</v>
      </c>
      <c r="N757" s="46" t="n">
        <v>0.077623</v>
      </c>
      <c r="O757" s="46" t="n">
        <v>0.109641</v>
      </c>
      <c r="P757" s="46" t="n">
        <v>0.177056</v>
      </c>
      <c r="Q757" s="46" t="n">
        <v>0.077715</v>
      </c>
      <c r="R757" s="47" t="n">
        <f aca="false">L757*Scorecard!$C$12+M757*Scorecard!$C$13+N757*Scorecard!$C$14+O757*Scorecard!$C$15+P757*Scorecard!$C$16+Q757*Scorecard!$C$17</f>
        <v>3.38509185956067</v>
      </c>
      <c r="S757" s="47" t="n">
        <f aca="false">L757*Scorecard!$D$12+M757*Scorecard!$D$13+N757*Scorecard!$D$14+O757*Scorecard!$D$15+P757*Scorecard!$D$16+Q757*Scorecard!$D$17</f>
        <v>3.10194934559347</v>
      </c>
      <c r="T757" s="47" t="n">
        <f aca="false">L757*Scorecard!$E$12+M757*Scorecard!$E$13+N757*Scorecard!$E$14+O757*Scorecard!$E$15+P757*Scorecard!$E$16+Q757*Scorecard!$E$17</f>
        <v>3.95037267894937</v>
      </c>
      <c r="U757" s="0" t="str">
        <f aca="false">IF(AND(R757&gt;=S757,R757&gt;=T757),"Distribution",IF(T757&gt;=S757,"Prof. services","Manufacturing"))</f>
        <v>Prof. services</v>
      </c>
    </row>
    <row r="758" customFormat="false" ht="15" hidden="false" customHeight="false" outlineLevel="0" collapsed="false">
      <c r="A758" s="46" t="n">
        <v>0.110975</v>
      </c>
      <c r="B758" s="46" t="n">
        <v>0.103991</v>
      </c>
      <c r="C758" s="46" t="n">
        <v>0.20859</v>
      </c>
      <c r="D758" s="46" t="n">
        <v>0.265208</v>
      </c>
      <c r="E758" s="46" t="n">
        <v>0.257172</v>
      </c>
      <c r="F758" s="46" t="n">
        <v>0.054065</v>
      </c>
      <c r="G758" s="47" t="n">
        <f aca="false">A758*Scorecard!$C$12+B758*Scorecard!$C$13+C758*Scorecard!$C$14+D758*Scorecard!$C$15+E758*Scorecard!$C$16+F758*Scorecard!$C$17</f>
        <v>4.06131641738897</v>
      </c>
      <c r="H758" s="47" t="n">
        <f aca="false">A758*Scorecard!$D$12+B758*Scorecard!$D$13+C758*Scorecard!$D$14+D758*Scorecard!$D$15+E758*Scorecard!$D$16+F758*Scorecard!$D$17</f>
        <v>3.22885893431821</v>
      </c>
      <c r="I758" s="47" t="n">
        <f aca="false">A758*Scorecard!$E$12+B758*Scorecard!$E$13+C758*Scorecard!$E$14+D758*Scorecard!$E$15+E758*Scorecard!$E$16+F758*Scorecard!$E$17</f>
        <v>3.76646062893729</v>
      </c>
      <c r="J758" s="0" t="str">
        <f aca="false">IF(AND(G758&gt;=H758,G758&gt;=I758),"Distribution",IF(I758&gt;=H758,"Prof. services","Manufacturing"))</f>
        <v>Distribution</v>
      </c>
      <c r="L758" s="46" t="n">
        <v>0.181137</v>
      </c>
      <c r="M758" s="46" t="n">
        <v>0.130653</v>
      </c>
      <c r="N758" s="46" t="n">
        <v>0.207639</v>
      </c>
      <c r="O758" s="46" t="n">
        <v>0.191924</v>
      </c>
      <c r="P758" s="46" t="n">
        <v>0.19291</v>
      </c>
      <c r="Q758" s="46" t="n">
        <v>0.095737</v>
      </c>
      <c r="R758" s="47" t="n">
        <f aca="false">L758*Scorecard!$C$12+M758*Scorecard!$C$13+N758*Scorecard!$C$14+O758*Scorecard!$C$15+P758*Scorecard!$C$16+Q758*Scorecard!$C$17</f>
        <v>3.80505381681086</v>
      </c>
      <c r="S758" s="47" t="n">
        <f aca="false">L758*Scorecard!$D$12+M758*Scorecard!$D$13+N758*Scorecard!$D$14+O758*Scorecard!$D$15+P758*Scorecard!$D$16+Q758*Scorecard!$D$17</f>
        <v>3.06641641890029</v>
      </c>
      <c r="T758" s="47" t="n">
        <f aca="false">L758*Scorecard!$E$12+M758*Scorecard!$E$13+N758*Scorecard!$E$14+O758*Scorecard!$E$15+P758*Scorecard!$E$16+Q758*Scorecard!$E$17</f>
        <v>3.9015733913397</v>
      </c>
      <c r="U758" s="0" t="str">
        <f aca="false">IF(AND(R758&gt;=S758,R758&gt;=T758),"Distribution",IF(T758&gt;=S758,"Prof. services","Manufacturing"))</f>
        <v>Prof. services</v>
      </c>
    </row>
    <row r="759" customFormat="false" ht="15" hidden="false" customHeight="false" outlineLevel="0" collapsed="false">
      <c r="A759" s="46" t="n">
        <v>0.240788</v>
      </c>
      <c r="B759" s="46" t="n">
        <v>0.041145</v>
      </c>
      <c r="C759" s="46" t="n">
        <v>0.154528</v>
      </c>
      <c r="D759" s="46" t="n">
        <v>0.090566</v>
      </c>
      <c r="E759" s="46" t="n">
        <v>0.099613</v>
      </c>
      <c r="F759" s="46" t="n">
        <v>0.37336</v>
      </c>
      <c r="G759" s="47" t="n">
        <f aca="false">A759*Scorecard!$C$12+B759*Scorecard!$C$13+C759*Scorecard!$C$14+D759*Scorecard!$C$15+E759*Scorecard!$C$16+F759*Scorecard!$C$17</f>
        <v>2.95156916612979</v>
      </c>
      <c r="H759" s="47" t="n">
        <f aca="false">A759*Scorecard!$D$12+B759*Scorecard!$D$13+C759*Scorecard!$D$14+D759*Scorecard!$D$15+E759*Scorecard!$D$16+F759*Scorecard!$D$17</f>
        <v>2.6753008233237</v>
      </c>
      <c r="I759" s="47" t="n">
        <f aca="false">A759*Scorecard!$E$12+B759*Scorecard!$E$13+C759*Scorecard!$E$14+D759*Scorecard!$E$15+E759*Scorecard!$E$16+F759*Scorecard!$E$17</f>
        <v>4.35366609346453</v>
      </c>
      <c r="J759" s="0" t="str">
        <f aca="false">IF(AND(G759&gt;=H759,G759&gt;=I759),"Distribution",IF(I759&gt;=H759,"Prof. services","Manufacturing"))</f>
        <v>Prof. services</v>
      </c>
      <c r="L759" s="46" t="n">
        <v>0.157163</v>
      </c>
      <c r="M759" s="46" t="n">
        <v>0.247296</v>
      </c>
      <c r="N759" s="46" t="n">
        <v>0.236513</v>
      </c>
      <c r="O759" s="46" t="n">
        <v>0.096924</v>
      </c>
      <c r="P759" s="46" t="n">
        <v>0.2352</v>
      </c>
      <c r="Q759" s="46" t="n">
        <v>0.026903</v>
      </c>
      <c r="R759" s="47" t="n">
        <f aca="false">L759*Scorecard!$C$12+M759*Scorecard!$C$13+N759*Scorecard!$C$14+O759*Scorecard!$C$15+P759*Scorecard!$C$16+Q759*Scorecard!$C$17</f>
        <v>4.00751435870333</v>
      </c>
      <c r="S759" s="47" t="n">
        <f aca="false">L759*Scorecard!$D$12+M759*Scorecard!$D$13+N759*Scorecard!$D$14+O759*Scorecard!$D$15+P759*Scorecard!$D$16+Q759*Scorecard!$D$17</f>
        <v>2.88286779360135</v>
      </c>
      <c r="T759" s="47" t="n">
        <f aca="false">L759*Scorecard!$E$12+M759*Scorecard!$E$13+N759*Scorecard!$E$14+O759*Scorecard!$E$15+P759*Scorecard!$E$16+Q759*Scorecard!$E$17</f>
        <v>3.56720442644312</v>
      </c>
      <c r="U759" s="0" t="str">
        <f aca="false">IF(AND(R759&gt;=S759,R759&gt;=T759),"Distribution",IF(T759&gt;=S759,"Prof. services","Manufacturing"))</f>
        <v>Distribution</v>
      </c>
    </row>
    <row r="760" customFormat="false" ht="15" hidden="false" customHeight="false" outlineLevel="0" collapsed="false">
      <c r="A760" s="46" t="n">
        <v>0.404334</v>
      </c>
      <c r="B760" s="46" t="n">
        <v>0.070789</v>
      </c>
      <c r="C760" s="46" t="n">
        <v>0.287646</v>
      </c>
      <c r="D760" s="46" t="n">
        <v>0.098946</v>
      </c>
      <c r="E760" s="46" t="n">
        <v>0.053653</v>
      </c>
      <c r="F760" s="46" t="n">
        <v>0.084632</v>
      </c>
      <c r="G760" s="47" t="n">
        <f aca="false">A760*Scorecard!$C$12+B760*Scorecard!$C$13+C760*Scorecard!$C$14+D760*Scorecard!$C$15+E760*Scorecard!$C$16+F760*Scorecard!$C$17</f>
        <v>3.27266403380536</v>
      </c>
      <c r="H760" s="47" t="n">
        <f aca="false">A760*Scorecard!$D$12+B760*Scorecard!$D$13+C760*Scorecard!$D$14+D760*Scorecard!$D$15+E760*Scorecard!$D$16+F760*Scorecard!$D$17</f>
        <v>3.16630830906967</v>
      </c>
      <c r="I760" s="47" t="n">
        <f aca="false">A760*Scorecard!$E$12+B760*Scorecard!$E$13+C760*Scorecard!$E$14+D760*Scorecard!$E$15+E760*Scorecard!$E$16+F760*Scorecard!$E$17</f>
        <v>4.5283414204091</v>
      </c>
      <c r="J760" s="0" t="str">
        <f aca="false">IF(AND(G760&gt;=H760,G760&gt;=I760),"Distribution",IF(I760&gt;=H760,"Prof. services","Manufacturing"))</f>
        <v>Prof. services</v>
      </c>
      <c r="L760" s="46" t="n">
        <v>0.242899</v>
      </c>
      <c r="M760" s="46" t="n">
        <v>0.252957</v>
      </c>
      <c r="N760" s="46" t="n">
        <v>0.152218</v>
      </c>
      <c r="O760" s="46" t="n">
        <v>0.070626</v>
      </c>
      <c r="P760" s="46" t="n">
        <v>0.105186</v>
      </c>
      <c r="Q760" s="46" t="n">
        <v>0.176114</v>
      </c>
      <c r="R760" s="47" t="n">
        <f aca="false">L760*Scorecard!$C$12+M760*Scorecard!$C$13+N760*Scorecard!$C$14+O760*Scorecard!$C$15+P760*Scorecard!$C$16+Q760*Scorecard!$C$17</f>
        <v>3.53413333602489</v>
      </c>
      <c r="S760" s="47" t="n">
        <f aca="false">L760*Scorecard!$D$12+M760*Scorecard!$D$13+N760*Scorecard!$D$14+O760*Scorecard!$D$15+P760*Scorecard!$D$16+Q760*Scorecard!$D$17</f>
        <v>2.63340830744284</v>
      </c>
      <c r="T760" s="47" t="n">
        <f aca="false">L760*Scorecard!$E$12+M760*Scorecard!$E$13+N760*Scorecard!$E$14+O760*Scorecard!$E$15+P760*Scorecard!$E$16+Q760*Scorecard!$E$17</f>
        <v>3.84501145388385</v>
      </c>
      <c r="U760" s="0" t="str">
        <f aca="false">IF(AND(R760&gt;=S760,R760&gt;=T760),"Distribution",IF(T760&gt;=S760,"Prof. services","Manufacturing"))</f>
        <v>Prof. services</v>
      </c>
    </row>
    <row r="761" customFormat="false" ht="15" hidden="false" customHeight="false" outlineLevel="0" collapsed="false">
      <c r="A761" s="46" t="n">
        <v>0.133055</v>
      </c>
      <c r="B761" s="46" t="n">
        <v>0.058653</v>
      </c>
      <c r="C761" s="46" t="n">
        <v>0.017076</v>
      </c>
      <c r="D761" s="46" t="n">
        <v>0.010341</v>
      </c>
      <c r="E761" s="46" t="n">
        <v>0.473102</v>
      </c>
      <c r="F761" s="46" t="n">
        <v>0.307774</v>
      </c>
      <c r="G761" s="47" t="n">
        <f aca="false">A761*Scorecard!$C$12+B761*Scorecard!$C$13+C761*Scorecard!$C$14+D761*Scorecard!$C$15+E761*Scorecard!$C$16+F761*Scorecard!$C$17</f>
        <v>3.21394910250677</v>
      </c>
      <c r="H761" s="47" t="n">
        <f aca="false">A761*Scorecard!$D$12+B761*Scorecard!$D$13+C761*Scorecard!$D$14+D761*Scorecard!$D$15+E761*Scorecard!$D$16+F761*Scorecard!$D$17</f>
        <v>2.70786491833835</v>
      </c>
      <c r="I761" s="47" t="n">
        <f aca="false">A761*Scorecard!$E$12+B761*Scorecard!$E$13+C761*Scorecard!$E$14+D761*Scorecard!$E$15+E761*Scorecard!$E$16+F761*Scorecard!$E$17</f>
        <v>3.40720689491198</v>
      </c>
      <c r="J761" s="0" t="str">
        <f aca="false">IF(AND(G761&gt;=H761,G761&gt;=I761),"Distribution",IF(I761&gt;=H761,"Prof. services","Manufacturing"))</f>
        <v>Prof. services</v>
      </c>
      <c r="L761" s="46" t="n">
        <v>0.256339</v>
      </c>
      <c r="M761" s="46" t="n">
        <v>0.228882</v>
      </c>
      <c r="N761" s="46" t="n">
        <v>0.127595</v>
      </c>
      <c r="O761" s="46" t="n">
        <v>0.200433</v>
      </c>
      <c r="P761" s="46" t="n">
        <v>0.091441</v>
      </c>
      <c r="Q761" s="46" t="n">
        <v>0.09531</v>
      </c>
      <c r="R761" s="47" t="n">
        <f aca="false">L761*Scorecard!$C$12+M761*Scorecard!$C$13+N761*Scorecard!$C$14+O761*Scorecard!$C$15+P761*Scorecard!$C$16+Q761*Scorecard!$C$17</f>
        <v>3.77728114435747</v>
      </c>
      <c r="S761" s="47" t="n">
        <f aca="false">L761*Scorecard!$D$12+M761*Scorecard!$D$13+N761*Scorecard!$D$14+O761*Scorecard!$D$15+P761*Scorecard!$D$16+Q761*Scorecard!$D$17</f>
        <v>2.94531697202938</v>
      </c>
      <c r="T761" s="47" t="n">
        <f aca="false">L761*Scorecard!$E$12+M761*Scorecard!$E$13+N761*Scorecard!$E$14+O761*Scorecard!$E$15+P761*Scorecard!$E$16+Q761*Scorecard!$E$17</f>
        <v>3.88279221716455</v>
      </c>
      <c r="U761" s="0" t="str">
        <f aca="false">IF(AND(R761&gt;=S761,R761&gt;=T761),"Distribution",IF(T761&gt;=S761,"Prof. services","Manufacturing"))</f>
        <v>Prof. services</v>
      </c>
    </row>
    <row r="762" customFormat="false" ht="15" hidden="false" customHeight="false" outlineLevel="0" collapsed="false">
      <c r="A762" s="46" t="n">
        <v>0.057703</v>
      </c>
      <c r="B762" s="46" t="n">
        <v>0.085226</v>
      </c>
      <c r="C762" s="46" t="n">
        <v>0.58615</v>
      </c>
      <c r="D762" s="46" t="n">
        <v>0.074804</v>
      </c>
      <c r="E762" s="46" t="n">
        <v>0.032437</v>
      </c>
      <c r="F762" s="46" t="n">
        <v>0.16368</v>
      </c>
      <c r="G762" s="47" t="n">
        <f aca="false">A762*Scorecard!$C$12+B762*Scorecard!$C$13+C762*Scorecard!$C$14+D762*Scorecard!$C$15+E762*Scorecard!$C$16+F762*Scorecard!$C$17</f>
        <v>3.72880377709931</v>
      </c>
      <c r="H762" s="47" t="n">
        <f aca="false">A762*Scorecard!$D$12+B762*Scorecard!$D$13+C762*Scorecard!$D$14+D762*Scorecard!$D$15+E762*Scorecard!$D$16+F762*Scorecard!$D$17</f>
        <v>2.76207978961672</v>
      </c>
      <c r="I762" s="47" t="n">
        <f aca="false">A762*Scorecard!$E$12+B762*Scorecard!$E$13+C762*Scorecard!$E$14+D762*Scorecard!$E$15+E762*Scorecard!$E$16+F762*Scorecard!$E$17</f>
        <v>4.52405861332122</v>
      </c>
      <c r="J762" s="0" t="str">
        <f aca="false">IF(AND(G762&gt;=H762,G762&gt;=I762),"Distribution",IF(I762&gt;=H762,"Prof. services","Manufacturing"))</f>
        <v>Prof. services</v>
      </c>
      <c r="L762" s="46" t="n">
        <v>0.192708</v>
      </c>
      <c r="M762" s="46" t="n">
        <v>0.16381</v>
      </c>
      <c r="N762" s="46" t="n">
        <v>0.248589</v>
      </c>
      <c r="O762" s="46" t="n">
        <v>0.207278</v>
      </c>
      <c r="P762" s="46" t="n">
        <v>0.094963</v>
      </c>
      <c r="Q762" s="46" t="n">
        <v>0.092651</v>
      </c>
      <c r="R762" s="47" t="n">
        <f aca="false">L762*Scorecard!$C$12+M762*Scorecard!$C$13+N762*Scorecard!$C$14+O762*Scorecard!$C$15+P762*Scorecard!$C$16+Q762*Scorecard!$C$17</f>
        <v>3.83890485179718</v>
      </c>
      <c r="S762" s="47" t="n">
        <f aca="false">L762*Scorecard!$D$12+M762*Scorecard!$D$13+N762*Scorecard!$D$14+O762*Scorecard!$D$15+P762*Scorecard!$D$16+Q762*Scorecard!$D$17</f>
        <v>3.01404233127219</v>
      </c>
      <c r="T762" s="47" t="n">
        <f aca="false">L762*Scorecard!$E$12+M762*Scorecard!$E$13+N762*Scorecard!$E$14+O762*Scorecard!$E$15+P762*Scorecard!$E$16+Q762*Scorecard!$E$17</f>
        <v>4.05612328418354</v>
      </c>
      <c r="U762" s="0" t="str">
        <f aca="false">IF(AND(R762&gt;=S762,R762&gt;=T762),"Distribution",IF(T762&gt;=S762,"Prof. services","Manufacturing"))</f>
        <v>Prof. services</v>
      </c>
    </row>
    <row r="763" customFormat="false" ht="15" hidden="false" customHeight="false" outlineLevel="0" collapsed="false">
      <c r="A763" s="46" t="n">
        <v>0.040173</v>
      </c>
      <c r="B763" s="46" t="n">
        <v>0.278957</v>
      </c>
      <c r="C763" s="46" t="n">
        <v>0.17159</v>
      </c>
      <c r="D763" s="46" t="n">
        <v>0.249696</v>
      </c>
      <c r="E763" s="46" t="n">
        <v>0.103437</v>
      </c>
      <c r="F763" s="46" t="n">
        <v>0.156147</v>
      </c>
      <c r="G763" s="47" t="n">
        <f aca="false">A763*Scorecard!$C$12+B763*Scorecard!$C$13+C763*Scorecard!$C$14+D763*Scorecard!$C$15+E763*Scorecard!$C$16+F763*Scorecard!$C$17</f>
        <v>4.14404702709409</v>
      </c>
      <c r="H763" s="47" t="n">
        <f aca="false">A763*Scorecard!$D$12+B763*Scorecard!$D$13+C763*Scorecard!$D$14+D763*Scorecard!$D$15+E763*Scorecard!$D$16+F763*Scorecard!$D$17</f>
        <v>2.69713809336946</v>
      </c>
      <c r="I763" s="47" t="n">
        <f aca="false">A763*Scorecard!$E$12+B763*Scorecard!$E$13+C763*Scorecard!$E$14+D763*Scorecard!$E$15+E763*Scorecard!$E$16+F763*Scorecard!$E$17</f>
        <v>3.63521090135333</v>
      </c>
      <c r="J763" s="0" t="str">
        <f aca="false">IF(AND(G763&gt;=H763,G763&gt;=I763),"Distribution",IF(I763&gt;=H763,"Prof. services","Manufacturing"))</f>
        <v>Distribution</v>
      </c>
      <c r="L763" s="46" t="n">
        <v>0.252018</v>
      </c>
      <c r="M763" s="46" t="n">
        <v>0.051016</v>
      </c>
      <c r="N763" s="46" t="n">
        <v>0.218382</v>
      </c>
      <c r="O763" s="46" t="n">
        <v>0.195601</v>
      </c>
      <c r="P763" s="46" t="n">
        <v>0.167709</v>
      </c>
      <c r="Q763" s="46" t="n">
        <v>0.115274</v>
      </c>
      <c r="R763" s="47" t="n">
        <f aca="false">L763*Scorecard!$C$12+M763*Scorecard!$C$13+N763*Scorecard!$C$14+O763*Scorecard!$C$15+P763*Scorecard!$C$16+Q763*Scorecard!$C$17</f>
        <v>3.56243300597911</v>
      </c>
      <c r="S763" s="47" t="n">
        <f aca="false">L763*Scorecard!$D$12+M763*Scorecard!$D$13+N763*Scorecard!$D$14+O763*Scorecard!$D$15+P763*Scorecard!$D$16+Q763*Scorecard!$D$17</f>
        <v>3.19932290648314</v>
      </c>
      <c r="T763" s="47" t="n">
        <f aca="false">L763*Scorecard!$E$12+M763*Scorecard!$E$13+N763*Scorecard!$E$14+O763*Scorecard!$E$15+P763*Scorecard!$E$16+Q763*Scorecard!$E$17</f>
        <v>4.18493715623687</v>
      </c>
      <c r="U763" s="0" t="str">
        <f aca="false">IF(AND(R763&gt;=S763,R763&gt;=T763),"Distribution",IF(T763&gt;=S763,"Prof. services","Manufacturing"))</f>
        <v>Prof. services</v>
      </c>
    </row>
    <row r="764" customFormat="false" ht="15" hidden="false" customHeight="false" outlineLevel="0" collapsed="false">
      <c r="A764" s="46" t="n">
        <v>0.21226</v>
      </c>
      <c r="B764" s="46" t="n">
        <v>0.013371</v>
      </c>
      <c r="C764" s="46" t="n">
        <v>0.24019</v>
      </c>
      <c r="D764" s="46" t="n">
        <v>0.272657</v>
      </c>
      <c r="E764" s="46" t="n">
        <v>0.072189</v>
      </c>
      <c r="F764" s="46" t="n">
        <v>0.189333</v>
      </c>
      <c r="G764" s="47" t="n">
        <f aca="false">A764*Scorecard!$C$12+B764*Scorecard!$C$13+C764*Scorecard!$C$14+D764*Scorecard!$C$15+E764*Scorecard!$C$16+F764*Scorecard!$C$17</f>
        <v>3.52529097296672</v>
      </c>
      <c r="H764" s="47" t="n">
        <f aca="false">A764*Scorecard!$D$12+B764*Scorecard!$D$13+C764*Scorecard!$D$14+D764*Scorecard!$D$15+E764*Scorecard!$D$16+F764*Scorecard!$D$17</f>
        <v>3.17584071630272</v>
      </c>
      <c r="I764" s="47" t="n">
        <f aca="false">A764*Scorecard!$E$12+B764*Scorecard!$E$13+C764*Scorecard!$E$14+D764*Scorecard!$E$15+E764*Scorecard!$E$16+F764*Scorecard!$E$17</f>
        <v>4.44646882898974</v>
      </c>
      <c r="J764" s="0" t="str">
        <f aca="false">IF(AND(G764&gt;=H764,G764&gt;=I764),"Distribution",IF(I764&gt;=H764,"Prof. services","Manufacturing"))</f>
        <v>Prof. services</v>
      </c>
      <c r="L764" s="46" t="n">
        <v>0.194319</v>
      </c>
      <c r="M764" s="46" t="n">
        <v>0.268049</v>
      </c>
      <c r="N764" s="46" t="n">
        <v>0.116431</v>
      </c>
      <c r="O764" s="46" t="n">
        <v>0.095196</v>
      </c>
      <c r="P764" s="46" t="n">
        <v>0.18461</v>
      </c>
      <c r="Q764" s="46" t="n">
        <v>0.141394</v>
      </c>
      <c r="R764" s="47" t="n">
        <f aca="false">L764*Scorecard!$C$12+M764*Scorecard!$C$13+N764*Scorecard!$C$14+O764*Scorecard!$C$15+P764*Scorecard!$C$16+Q764*Scorecard!$C$17</f>
        <v>3.73067602882276</v>
      </c>
      <c r="S764" s="47" t="n">
        <f aca="false">L764*Scorecard!$D$12+M764*Scorecard!$D$13+N764*Scorecard!$D$14+O764*Scorecard!$D$15+P764*Scorecard!$D$16+Q764*Scorecard!$D$17</f>
        <v>2.6856606224782</v>
      </c>
      <c r="T764" s="47" t="n">
        <f aca="false">L764*Scorecard!$E$12+M764*Scorecard!$E$13+N764*Scorecard!$E$14+O764*Scorecard!$E$15+P764*Scorecard!$E$16+Q764*Scorecard!$E$17</f>
        <v>3.58663294239713</v>
      </c>
      <c r="U764" s="0" t="str">
        <f aca="false">IF(AND(R764&gt;=S764,R764&gt;=T764),"Distribution",IF(T764&gt;=S764,"Prof. services","Manufacturing"))</f>
        <v>Distribution</v>
      </c>
    </row>
    <row r="765" customFormat="false" ht="15" hidden="false" customHeight="false" outlineLevel="0" collapsed="false">
      <c r="A765" s="46" t="n">
        <v>0.125103</v>
      </c>
      <c r="B765" s="46" t="n">
        <v>0.093031</v>
      </c>
      <c r="C765" s="46" t="n">
        <v>0.177845</v>
      </c>
      <c r="D765" s="46" t="n">
        <v>0.054594</v>
      </c>
      <c r="E765" s="46" t="n">
        <v>0.235654</v>
      </c>
      <c r="F765" s="46" t="n">
        <v>0.313774</v>
      </c>
      <c r="G765" s="47" t="n">
        <f aca="false">A765*Scorecard!$C$12+B765*Scorecard!$C$13+C765*Scorecard!$C$14+D765*Scorecard!$C$15+E765*Scorecard!$C$16+F765*Scorecard!$C$17</f>
        <v>3.29489381590999</v>
      </c>
      <c r="H765" s="47" t="n">
        <f aca="false">A765*Scorecard!$D$12+B765*Scorecard!$D$13+C765*Scorecard!$D$14+D765*Scorecard!$D$15+E765*Scorecard!$D$16+F765*Scorecard!$D$17</f>
        <v>2.61409054715922</v>
      </c>
      <c r="I765" s="47" t="n">
        <f aca="false">A765*Scorecard!$E$12+B765*Scorecard!$E$13+C765*Scorecard!$E$14+D765*Scorecard!$E$15+E765*Scorecard!$E$16+F765*Scorecard!$E$17</f>
        <v>3.90155398431523</v>
      </c>
      <c r="J765" s="0" t="str">
        <f aca="false">IF(AND(G765&gt;=H765,G765&gt;=I765),"Distribution",IF(I765&gt;=H765,"Prof. services","Manufacturing"))</f>
        <v>Prof. services</v>
      </c>
      <c r="L765" s="46" t="n">
        <v>0.26097</v>
      </c>
      <c r="M765" s="46" t="n">
        <v>0.306182</v>
      </c>
      <c r="N765" s="46" t="n">
        <v>0.121541</v>
      </c>
      <c r="O765" s="46" t="n">
        <v>0.068816</v>
      </c>
      <c r="P765" s="46" t="n">
        <v>0.184105</v>
      </c>
      <c r="Q765" s="46" t="n">
        <v>0.058386</v>
      </c>
      <c r="R765" s="47" t="n">
        <f aca="false">L765*Scorecard!$C$12+M765*Scorecard!$C$13+N765*Scorecard!$C$14+O765*Scorecard!$C$15+P765*Scorecard!$C$16+Q765*Scorecard!$C$17</f>
        <v>3.78847627831492</v>
      </c>
      <c r="S765" s="47" t="n">
        <f aca="false">L765*Scorecard!$D$12+M765*Scorecard!$D$13+N765*Scorecard!$D$14+O765*Scorecard!$D$15+P765*Scorecard!$D$16+Q765*Scorecard!$D$17</f>
        <v>2.76625726058418</v>
      </c>
      <c r="T765" s="47" t="n">
        <f aca="false">L765*Scorecard!$E$12+M765*Scorecard!$E$13+N765*Scorecard!$E$14+O765*Scorecard!$E$15+P765*Scorecard!$E$16+Q765*Scorecard!$E$17</f>
        <v>3.54188460090645</v>
      </c>
      <c r="U765" s="0" t="str">
        <f aca="false">IF(AND(R765&gt;=S765,R765&gt;=T765),"Distribution",IF(T765&gt;=S765,"Prof. services","Manufacturing"))</f>
        <v>Distribution</v>
      </c>
    </row>
    <row r="766" customFormat="false" ht="15" hidden="false" customHeight="false" outlineLevel="0" collapsed="false">
      <c r="A766" s="46" t="n">
        <v>0.426343</v>
      </c>
      <c r="B766" s="46" t="n">
        <v>0.094199</v>
      </c>
      <c r="C766" s="46" t="n">
        <v>0.020643</v>
      </c>
      <c r="D766" s="46" t="n">
        <v>0.222554</v>
      </c>
      <c r="E766" s="46" t="n">
        <v>0.030037</v>
      </c>
      <c r="F766" s="46" t="n">
        <v>0.206224</v>
      </c>
      <c r="G766" s="47" t="n">
        <f aca="false">A766*Scorecard!$C$12+B766*Scorecard!$C$13+C766*Scorecard!$C$14+D766*Scorecard!$C$15+E766*Scorecard!$C$16+F766*Scorecard!$C$17</f>
        <v>3.13688151993569</v>
      </c>
      <c r="H766" s="47" t="n">
        <f aca="false">A766*Scorecard!$D$12+B766*Scorecard!$D$13+C766*Scorecard!$D$14+D766*Scorecard!$D$15+E766*Scorecard!$D$16+F766*Scorecard!$D$17</f>
        <v>3.09854158735504</v>
      </c>
      <c r="I766" s="47" t="n">
        <f aca="false">A766*Scorecard!$E$12+B766*Scorecard!$E$13+C766*Scorecard!$E$14+D766*Scorecard!$E$15+E766*Scorecard!$E$16+F766*Scorecard!$E$17</f>
        <v>4.35988125660598</v>
      </c>
      <c r="J766" s="0" t="str">
        <f aca="false">IF(AND(G766&gt;=H766,G766&gt;=I766),"Distribution",IF(I766&gt;=H766,"Prof. services","Manufacturing"))</f>
        <v>Prof. services</v>
      </c>
      <c r="L766" s="46" t="n">
        <v>0.178504</v>
      </c>
      <c r="M766" s="46" t="n">
        <v>0.250353</v>
      </c>
      <c r="N766" s="46" t="n">
        <v>0.197887</v>
      </c>
      <c r="O766" s="46" t="n">
        <v>0.182823</v>
      </c>
      <c r="P766" s="46" t="n">
        <v>0.088187</v>
      </c>
      <c r="Q766" s="46" t="n">
        <v>0.102245</v>
      </c>
      <c r="R766" s="47" t="n">
        <f aca="false">L766*Scorecard!$C$12+M766*Scorecard!$C$13+N766*Scorecard!$C$14+O766*Scorecard!$C$15+P766*Scorecard!$C$16+Q766*Scorecard!$C$17</f>
        <v>3.90737225435999</v>
      </c>
      <c r="S766" s="47" t="n">
        <f aca="false">L766*Scorecard!$D$12+M766*Scorecard!$D$13+N766*Scorecard!$D$14+O766*Scorecard!$D$15+P766*Scorecard!$D$16+Q766*Scorecard!$D$17</f>
        <v>2.82979889430576</v>
      </c>
      <c r="T766" s="47" t="n">
        <f aca="false">L766*Scorecard!$E$12+M766*Scorecard!$E$13+N766*Scorecard!$E$14+O766*Scorecard!$E$15+P766*Scorecard!$E$16+Q766*Scorecard!$E$17</f>
        <v>3.84097532885248</v>
      </c>
      <c r="U766" s="0" t="str">
        <f aca="false">IF(AND(R766&gt;=S766,R766&gt;=T766),"Distribution",IF(T766&gt;=S766,"Prof. services","Manufacturing"))</f>
        <v>Distribution</v>
      </c>
    </row>
    <row r="767" customFormat="false" ht="15" hidden="false" customHeight="false" outlineLevel="0" collapsed="false">
      <c r="A767" s="46" t="n">
        <v>0.294056</v>
      </c>
      <c r="B767" s="46" t="n">
        <v>0.170003</v>
      </c>
      <c r="C767" s="46" t="n">
        <v>0.009384</v>
      </c>
      <c r="D767" s="46" t="n">
        <v>0.026948</v>
      </c>
      <c r="E767" s="46" t="n">
        <v>0.132681</v>
      </c>
      <c r="F767" s="46" t="n">
        <v>0.366928</v>
      </c>
      <c r="G767" s="47" t="n">
        <f aca="false">A767*Scorecard!$C$12+B767*Scorecard!$C$13+C767*Scorecard!$C$14+D767*Scorecard!$C$15+E767*Scorecard!$C$16+F767*Scorecard!$C$17</f>
        <v>2.9337900064765</v>
      </c>
      <c r="H767" s="47" t="n">
        <f aca="false">A767*Scorecard!$D$12+B767*Scorecard!$D$13+C767*Scorecard!$D$14+D767*Scorecard!$D$15+E767*Scorecard!$D$16+F767*Scorecard!$D$17</f>
        <v>2.46409468431804</v>
      </c>
      <c r="I767" s="47" t="n">
        <f aca="false">A767*Scorecard!$E$12+B767*Scorecard!$E$13+C767*Scorecard!$E$14+D767*Scorecard!$E$15+E767*Scorecard!$E$16+F767*Scorecard!$E$17</f>
        <v>3.95133593482481</v>
      </c>
      <c r="J767" s="0" t="str">
        <f aca="false">IF(AND(G767&gt;=H767,G767&gt;=I767),"Distribution",IF(I767&gt;=H767,"Prof. services","Manufacturing"))</f>
        <v>Prof. services</v>
      </c>
      <c r="L767" s="46" t="n">
        <v>0.184018</v>
      </c>
      <c r="M767" s="46" t="n">
        <v>0.255025</v>
      </c>
      <c r="N767" s="46" t="n">
        <v>0.278328</v>
      </c>
      <c r="O767" s="46" t="n">
        <v>0.094814</v>
      </c>
      <c r="P767" s="46" t="n">
        <v>0.071885</v>
      </c>
      <c r="Q767" s="46" t="n">
        <v>0.11593</v>
      </c>
      <c r="R767" s="47" t="n">
        <f aca="false">L767*Scorecard!$C$12+M767*Scorecard!$C$13+N767*Scorecard!$C$14+O767*Scorecard!$C$15+P767*Scorecard!$C$16+Q767*Scorecard!$C$17</f>
        <v>3.78674397572501</v>
      </c>
      <c r="S767" s="47" t="n">
        <f aca="false">L767*Scorecard!$D$12+M767*Scorecard!$D$13+N767*Scorecard!$D$14+O767*Scorecard!$D$15+P767*Scorecard!$D$16+Q767*Scorecard!$D$17</f>
        <v>2.69858713781225</v>
      </c>
      <c r="T767" s="47" t="n">
        <f aca="false">L767*Scorecard!$E$12+M767*Scorecard!$E$13+N767*Scorecard!$E$14+O767*Scorecard!$E$15+P767*Scorecard!$E$16+Q767*Scorecard!$E$17</f>
        <v>3.93774090438368</v>
      </c>
      <c r="U767" s="0" t="str">
        <f aca="false">IF(AND(R767&gt;=S767,R767&gt;=T767),"Distribution",IF(T767&gt;=S767,"Prof. services","Manufacturing"))</f>
        <v>Prof. services</v>
      </c>
    </row>
    <row r="768" customFormat="false" ht="15" hidden="false" customHeight="false" outlineLevel="0" collapsed="false">
      <c r="A768" s="46" t="n">
        <v>0.271707</v>
      </c>
      <c r="B768" s="46" t="n">
        <v>0.031462</v>
      </c>
      <c r="C768" s="46" t="n">
        <v>0.103491</v>
      </c>
      <c r="D768" s="46" t="n">
        <v>0.325199</v>
      </c>
      <c r="E768" s="46" t="n">
        <v>0.173703</v>
      </c>
      <c r="F768" s="46" t="n">
        <v>0.094438</v>
      </c>
      <c r="G768" s="47" t="n">
        <f aca="false">A768*Scorecard!$C$12+B768*Scorecard!$C$13+C768*Scorecard!$C$14+D768*Scorecard!$C$15+E768*Scorecard!$C$16+F768*Scorecard!$C$17</f>
        <v>3.67870852519489</v>
      </c>
      <c r="H768" s="47" t="n">
        <f aca="false">A768*Scorecard!$D$12+B768*Scorecard!$D$13+C768*Scorecard!$D$14+D768*Scorecard!$D$15+E768*Scorecard!$D$16+F768*Scorecard!$D$17</f>
        <v>3.42495903172623</v>
      </c>
      <c r="I768" s="47" t="n">
        <f aca="false">A768*Scorecard!$E$12+B768*Scorecard!$E$13+C768*Scorecard!$E$14+D768*Scorecard!$E$15+E768*Scorecard!$E$16+F768*Scorecard!$E$17</f>
        <v>4.12727075587829</v>
      </c>
      <c r="J768" s="0" t="str">
        <f aca="false">IF(AND(G768&gt;=H768,G768&gt;=I768),"Distribution",IF(I768&gt;=H768,"Prof. services","Manufacturing"))</f>
        <v>Prof. services</v>
      </c>
      <c r="L768" s="46" t="n">
        <v>0.09806</v>
      </c>
      <c r="M768" s="46" t="n">
        <v>0.286091</v>
      </c>
      <c r="N768" s="46" t="n">
        <v>0.295193</v>
      </c>
      <c r="O768" s="46" t="n">
        <v>0.115559</v>
      </c>
      <c r="P768" s="46" t="n">
        <v>0.035541</v>
      </c>
      <c r="Q768" s="46" t="n">
        <v>0.169556</v>
      </c>
      <c r="R768" s="47" t="n">
        <f aca="false">L768*Scorecard!$C$12+M768*Scorecard!$C$13+N768*Scorecard!$C$14+O768*Scorecard!$C$15+P768*Scorecard!$C$16+Q768*Scorecard!$C$17</f>
        <v>3.88602860156938</v>
      </c>
      <c r="S768" s="47" t="n">
        <f aca="false">L768*Scorecard!$D$12+M768*Scorecard!$D$13+N768*Scorecard!$D$14+O768*Scorecard!$D$15+P768*Scorecard!$D$16+Q768*Scorecard!$D$17</f>
        <v>2.52663913333845</v>
      </c>
      <c r="T768" s="47" t="n">
        <f aca="false">L768*Scorecard!$E$12+M768*Scorecard!$E$13+N768*Scorecard!$E$14+O768*Scorecard!$E$15+P768*Scorecard!$E$16+Q768*Scorecard!$E$17</f>
        <v>3.90117170249242</v>
      </c>
      <c r="U768" s="0" t="str">
        <f aca="false">IF(AND(R768&gt;=S768,R768&gt;=T768),"Distribution",IF(T768&gt;=S768,"Prof. services","Manufacturing"))</f>
        <v>Prof. services</v>
      </c>
    </row>
    <row r="769" customFormat="false" ht="15" hidden="false" customHeight="false" outlineLevel="0" collapsed="false">
      <c r="A769" s="46" t="n">
        <v>0.539325</v>
      </c>
      <c r="B769" s="46" t="n">
        <v>0.112381</v>
      </c>
      <c r="C769" s="46" t="n">
        <v>0.057893</v>
      </c>
      <c r="D769" s="46" t="n">
        <v>0.101849</v>
      </c>
      <c r="E769" s="46" t="n">
        <v>0.023666</v>
      </c>
      <c r="F769" s="46" t="n">
        <v>0.164886</v>
      </c>
      <c r="G769" s="47" t="n">
        <f aca="false">A769*Scorecard!$C$12+B769*Scorecard!$C$13+C769*Scorecard!$C$14+D769*Scorecard!$C$15+E769*Scorecard!$C$16+F769*Scorecard!$C$17</f>
        <v>2.91366530870289</v>
      </c>
      <c r="H769" s="47" t="n">
        <f aca="false">A769*Scorecard!$D$12+B769*Scorecard!$D$13+C769*Scorecard!$D$14+D769*Scorecard!$D$15+E769*Scorecard!$D$16+F769*Scorecard!$D$17</f>
        <v>3.06603077714072</v>
      </c>
      <c r="I769" s="47" t="n">
        <f aca="false">A769*Scorecard!$E$12+B769*Scorecard!$E$13+C769*Scorecard!$E$14+D769*Scorecard!$E$15+E769*Scorecard!$E$16+F769*Scorecard!$E$17</f>
        <v>4.44615172890435</v>
      </c>
      <c r="J769" s="0" t="str">
        <f aca="false">IF(AND(G769&gt;=H769,G769&gt;=I769),"Distribution",IF(I769&gt;=H769,"Prof. services","Manufacturing"))</f>
        <v>Prof. services</v>
      </c>
      <c r="L769" s="46" t="n">
        <v>0.291751</v>
      </c>
      <c r="M769" s="46" t="n">
        <v>0.054472</v>
      </c>
      <c r="N769" s="46" t="n">
        <v>0.283484</v>
      </c>
      <c r="O769" s="46" t="n">
        <v>0.228594</v>
      </c>
      <c r="P769" s="46" t="n">
        <v>0.0609</v>
      </c>
      <c r="Q769" s="46" t="n">
        <v>0.0808</v>
      </c>
      <c r="R769" s="47" t="n">
        <f aca="false">L769*Scorecard!$C$12+M769*Scorecard!$C$13+N769*Scorecard!$C$14+O769*Scorecard!$C$15+P769*Scorecard!$C$16+Q769*Scorecard!$C$17</f>
        <v>3.59631403934803</v>
      </c>
      <c r="S769" s="47" t="n">
        <f aca="false">L769*Scorecard!$D$12+M769*Scorecard!$D$13+N769*Scorecard!$D$14+O769*Scorecard!$D$15+P769*Scorecard!$D$16+Q769*Scorecard!$D$17</f>
        <v>3.27468609469499</v>
      </c>
      <c r="T769" s="47" t="n">
        <f aca="false">L769*Scorecard!$E$12+M769*Scorecard!$E$13+N769*Scorecard!$E$14+O769*Scorecard!$E$15+P769*Scorecard!$E$16+Q769*Scorecard!$E$17</f>
        <v>4.44948661536715</v>
      </c>
      <c r="U769" s="0" t="str">
        <f aca="false">IF(AND(R769&gt;=S769,R769&gt;=T769),"Distribution",IF(T769&gt;=S769,"Prof. services","Manufacturing"))</f>
        <v>Prof. services</v>
      </c>
    </row>
    <row r="770" customFormat="false" ht="15" hidden="false" customHeight="false" outlineLevel="0" collapsed="false">
      <c r="A770" s="46" t="n">
        <v>0.079104</v>
      </c>
      <c r="B770" s="46" t="n">
        <v>0.126945</v>
      </c>
      <c r="C770" s="46" t="n">
        <v>0.566548</v>
      </c>
      <c r="D770" s="46" t="n">
        <v>0.074969</v>
      </c>
      <c r="E770" s="46" t="n">
        <v>0.069681</v>
      </c>
      <c r="F770" s="46" t="n">
        <v>0.082754</v>
      </c>
      <c r="G770" s="47" t="n">
        <f aca="false">A770*Scorecard!$C$12+B770*Scorecard!$C$13+C770*Scorecard!$C$14+D770*Scorecard!$C$15+E770*Scorecard!$C$16+F770*Scorecard!$C$17</f>
        <v>3.89402167190031</v>
      </c>
      <c r="H770" s="47" t="n">
        <f aca="false">A770*Scorecard!$D$12+B770*Scorecard!$D$13+C770*Scorecard!$D$14+D770*Scorecard!$D$15+E770*Scorecard!$D$16+F770*Scorecard!$D$17</f>
        <v>2.84759357483998</v>
      </c>
      <c r="I770" s="47" t="n">
        <f aca="false">A770*Scorecard!$E$12+B770*Scorecard!$E$13+C770*Scorecard!$E$14+D770*Scorecard!$E$15+E770*Scorecard!$E$16+F770*Scorecard!$E$17</f>
        <v>4.34510472165246</v>
      </c>
      <c r="J770" s="0" t="str">
        <f aca="false">IF(AND(G770&gt;=H770,G770&gt;=I770),"Distribution",IF(I770&gt;=H770,"Prof. services","Manufacturing"))</f>
        <v>Prof. services</v>
      </c>
      <c r="L770" s="46" t="n">
        <v>0.259854</v>
      </c>
      <c r="M770" s="46" t="n">
        <v>0.243871</v>
      </c>
      <c r="N770" s="46" t="n">
        <v>0.304348</v>
      </c>
      <c r="O770" s="46" t="n">
        <v>0.098459</v>
      </c>
      <c r="P770" s="46" t="n">
        <v>0.06821</v>
      </c>
      <c r="Q770" s="46" t="n">
        <v>0.025259</v>
      </c>
      <c r="R770" s="47" t="n">
        <f aca="false">L770*Scorecard!$C$12+M770*Scorecard!$C$13+N770*Scorecard!$C$14+O770*Scorecard!$C$15+P770*Scorecard!$C$16+Q770*Scorecard!$C$17</f>
        <v>3.82407509423016</v>
      </c>
      <c r="S770" s="47" t="n">
        <f aca="false">L770*Scorecard!$D$12+M770*Scorecard!$D$13+N770*Scorecard!$D$14+O770*Scorecard!$D$15+P770*Scorecard!$D$16+Q770*Scorecard!$D$17</f>
        <v>2.90442681454721</v>
      </c>
      <c r="T770" s="47" t="n">
        <f aca="false">L770*Scorecard!$E$12+M770*Scorecard!$E$13+N770*Scorecard!$E$14+O770*Scorecard!$E$15+P770*Scorecard!$E$16+Q770*Scorecard!$E$17</f>
        <v>4.02190888967228</v>
      </c>
      <c r="U770" s="0" t="str">
        <f aca="false">IF(AND(R770&gt;=S770,R770&gt;=T770),"Distribution",IF(T770&gt;=S770,"Prof. services","Manufacturing"))</f>
        <v>Prof. services</v>
      </c>
    </row>
    <row r="771" customFormat="false" ht="15" hidden="false" customHeight="false" outlineLevel="0" collapsed="false">
      <c r="A771" s="46" t="n">
        <v>0.05014</v>
      </c>
      <c r="B771" s="46" t="n">
        <v>0.1013</v>
      </c>
      <c r="C771" s="46" t="n">
        <v>0.008654</v>
      </c>
      <c r="D771" s="46" t="n">
        <v>0.229715</v>
      </c>
      <c r="E771" s="46" t="n">
        <v>0.529763</v>
      </c>
      <c r="F771" s="46" t="n">
        <v>0.080428</v>
      </c>
      <c r="G771" s="47" t="n">
        <f aca="false">A771*Scorecard!$C$12+B771*Scorecard!$C$13+C771*Scorecard!$C$14+D771*Scorecard!$C$15+E771*Scorecard!$C$16+F771*Scorecard!$C$17</f>
        <v>4.07990628495501</v>
      </c>
      <c r="H771" s="47" t="n">
        <f aca="false">A771*Scorecard!$D$12+B771*Scorecard!$D$13+C771*Scorecard!$D$14+D771*Scorecard!$D$15+E771*Scorecard!$D$16+F771*Scorecard!$D$17</f>
        <v>3.20294163709034</v>
      </c>
      <c r="I771" s="47" t="n">
        <f aca="false">A771*Scorecard!$E$12+B771*Scorecard!$E$13+C771*Scorecard!$E$14+D771*Scorecard!$E$15+E771*Scorecard!$E$16+F771*Scorecard!$E$17</f>
        <v>3.06377123636749</v>
      </c>
      <c r="J771" s="0" t="str">
        <f aca="false">IF(AND(G771&gt;=H771,G771&gt;=I771),"Distribution",IF(I771&gt;=H771,"Prof. services","Manufacturing"))</f>
        <v>Distribution</v>
      </c>
      <c r="L771" s="46" t="n">
        <v>0.324427</v>
      </c>
      <c r="M771" s="46" t="n">
        <v>0.120061</v>
      </c>
      <c r="N771" s="46" t="n">
        <v>0.227535</v>
      </c>
      <c r="O771" s="46" t="n">
        <v>0.117852</v>
      </c>
      <c r="P771" s="46" t="n">
        <v>0.120573</v>
      </c>
      <c r="Q771" s="46" t="n">
        <v>0.089552</v>
      </c>
      <c r="R771" s="47" t="n">
        <f aca="false">L771*Scorecard!$C$12+M771*Scorecard!$C$13+N771*Scorecard!$C$14+O771*Scorecard!$C$15+P771*Scorecard!$C$16+Q771*Scorecard!$C$17</f>
        <v>3.47483577335661</v>
      </c>
      <c r="S771" s="47" t="n">
        <f aca="false">L771*Scorecard!$D$12+M771*Scorecard!$D$13+N771*Scorecard!$D$14+O771*Scorecard!$D$15+P771*Scorecard!$D$16+Q771*Scorecard!$D$17</f>
        <v>3.07638147565719</v>
      </c>
      <c r="T771" s="47" t="n">
        <f aca="false">L771*Scorecard!$E$12+M771*Scorecard!$E$13+N771*Scorecard!$E$14+O771*Scorecard!$E$15+P771*Scorecard!$E$16+Q771*Scorecard!$E$17</f>
        <v>4.18993880636124</v>
      </c>
      <c r="U771" s="0" t="str">
        <f aca="false">IF(AND(R771&gt;=S771,R771&gt;=T771),"Distribution",IF(T771&gt;=S771,"Prof. services","Manufacturing"))</f>
        <v>Prof. services</v>
      </c>
    </row>
    <row r="772" customFormat="false" ht="15" hidden="false" customHeight="false" outlineLevel="0" collapsed="false">
      <c r="A772" s="46" t="n">
        <v>0.00335</v>
      </c>
      <c r="B772" s="46" t="n">
        <v>0.100759</v>
      </c>
      <c r="C772" s="46" t="n">
        <v>0.003305</v>
      </c>
      <c r="D772" s="46" t="n">
        <v>0.049093</v>
      </c>
      <c r="E772" s="46" t="n">
        <v>0.695271</v>
      </c>
      <c r="F772" s="46" t="n">
        <v>0.148222</v>
      </c>
      <c r="G772" s="47" t="n">
        <f aca="false">A772*Scorecard!$C$12+B772*Scorecard!$C$13+C772*Scorecard!$C$14+D772*Scorecard!$C$15+E772*Scorecard!$C$16+F772*Scorecard!$C$17</f>
        <v>3.84737795222575</v>
      </c>
      <c r="H772" s="47" t="n">
        <f aca="false">A772*Scorecard!$D$12+B772*Scorecard!$D$13+C772*Scorecard!$D$14+D772*Scorecard!$D$15+E772*Scorecard!$D$16+F772*Scorecard!$D$17</f>
        <v>2.91722945687972</v>
      </c>
      <c r="I772" s="47" t="n">
        <f aca="false">A772*Scorecard!$E$12+B772*Scorecard!$E$13+C772*Scorecard!$E$14+D772*Scorecard!$E$15+E772*Scorecard!$E$16+F772*Scorecard!$E$17</f>
        <v>2.74105533996648</v>
      </c>
      <c r="J772" s="0" t="str">
        <f aca="false">IF(AND(G772&gt;=H772,G772&gt;=I772),"Distribution",IF(I772&gt;=H772,"Prof. services","Manufacturing"))</f>
        <v>Distribution</v>
      </c>
      <c r="L772" s="46" t="n">
        <v>0.185335</v>
      </c>
      <c r="M772" s="46" t="n">
        <v>0.107402</v>
      </c>
      <c r="N772" s="46" t="n">
        <v>0.211991</v>
      </c>
      <c r="O772" s="46" t="n">
        <v>0.112229</v>
      </c>
      <c r="P772" s="46" t="n">
        <v>0.109377</v>
      </c>
      <c r="Q772" s="46" t="n">
        <v>0.273665</v>
      </c>
      <c r="R772" s="47" t="n">
        <f aca="false">L772*Scorecard!$C$12+M772*Scorecard!$C$13+N772*Scorecard!$C$14+O772*Scorecard!$C$15+P772*Scorecard!$C$16+Q772*Scorecard!$C$17</f>
        <v>3.33869135694331</v>
      </c>
      <c r="S772" s="47" t="n">
        <f aca="false">L772*Scorecard!$D$12+M772*Scorecard!$D$13+N772*Scorecard!$D$14+O772*Scorecard!$D$15+P772*Scorecard!$D$16+Q772*Scorecard!$D$17</f>
        <v>2.71709165424488</v>
      </c>
      <c r="T772" s="47" t="n">
        <f aca="false">L772*Scorecard!$E$12+M772*Scorecard!$E$13+N772*Scorecard!$E$14+O772*Scorecard!$E$15+P772*Scorecard!$E$16+Q772*Scorecard!$E$17</f>
        <v>4.1688355770464</v>
      </c>
      <c r="U772" s="0" t="str">
        <f aca="false">IF(AND(R772&gt;=S772,R772&gt;=T772),"Distribution",IF(T772&gt;=S772,"Prof. services","Manufacturing"))</f>
        <v>Prof. services</v>
      </c>
    </row>
    <row r="773" customFormat="false" ht="15" hidden="false" customHeight="false" outlineLevel="0" collapsed="false">
      <c r="A773" s="46" t="n">
        <v>0.118501</v>
      </c>
      <c r="B773" s="46" t="n">
        <v>0.143798</v>
      </c>
      <c r="C773" s="46" t="n">
        <v>0.041817</v>
      </c>
      <c r="D773" s="46" t="n">
        <v>0.336939</v>
      </c>
      <c r="E773" s="46" t="n">
        <v>0.175227</v>
      </c>
      <c r="F773" s="46" t="n">
        <v>0.183719</v>
      </c>
      <c r="G773" s="47" t="n">
        <f aca="false">A773*Scorecard!$C$12+B773*Scorecard!$C$13+C773*Scorecard!$C$14+D773*Scorecard!$C$15+E773*Scorecard!$C$16+F773*Scorecard!$C$17</f>
        <v>3.89999951006091</v>
      </c>
      <c r="H773" s="47" t="n">
        <f aca="false">A773*Scorecard!$D$12+B773*Scorecard!$D$13+C773*Scorecard!$D$14+D773*Scorecard!$D$15+E773*Scorecard!$D$16+F773*Scorecard!$D$17</f>
        <v>3.0353225992459</v>
      </c>
      <c r="I773" s="47" t="n">
        <f aca="false">A773*Scorecard!$E$12+B773*Scorecard!$E$13+C773*Scorecard!$E$14+D773*Scorecard!$E$15+E773*Scorecard!$E$16+F773*Scorecard!$E$17</f>
        <v>3.74572590853046</v>
      </c>
      <c r="J773" s="0" t="str">
        <f aca="false">IF(AND(G773&gt;=H773,G773&gt;=I773),"Distribution",IF(I773&gt;=H773,"Prof. services","Manufacturing"))</f>
        <v>Distribution</v>
      </c>
      <c r="L773" s="46" t="n">
        <v>0.094675</v>
      </c>
      <c r="M773" s="46" t="n">
        <v>0.165804</v>
      </c>
      <c r="N773" s="46" t="n">
        <v>0.199607</v>
      </c>
      <c r="O773" s="46" t="n">
        <v>0.290711</v>
      </c>
      <c r="P773" s="46" t="n">
        <v>0.073725</v>
      </c>
      <c r="Q773" s="46" t="n">
        <v>0.175478</v>
      </c>
      <c r="R773" s="47" t="n">
        <f aca="false">L773*Scorecard!$C$12+M773*Scorecard!$C$13+N773*Scorecard!$C$14+O773*Scorecard!$C$15+P773*Scorecard!$C$16+Q773*Scorecard!$C$17</f>
        <v>3.93514264984276</v>
      </c>
      <c r="S773" s="47" t="n">
        <f aca="false">L773*Scorecard!$D$12+M773*Scorecard!$D$13+N773*Scorecard!$D$14+O773*Scorecard!$D$15+P773*Scorecard!$D$16+Q773*Scorecard!$D$17</f>
        <v>2.91156237083606</v>
      </c>
      <c r="T773" s="47" t="n">
        <f aca="false">L773*Scorecard!$E$12+M773*Scorecard!$E$13+N773*Scorecard!$E$14+O773*Scorecard!$E$15+P773*Scorecard!$E$16+Q773*Scorecard!$E$17</f>
        <v>3.99587474025616</v>
      </c>
      <c r="U773" s="0" t="str">
        <f aca="false">IF(AND(R773&gt;=S773,R773&gt;=T773),"Distribution",IF(T773&gt;=S773,"Prof. services","Manufacturing"))</f>
        <v>Prof. services</v>
      </c>
    </row>
    <row r="774" customFormat="false" ht="15" hidden="false" customHeight="false" outlineLevel="0" collapsed="false">
      <c r="A774" s="46" t="n">
        <v>0.152931</v>
      </c>
      <c r="B774" s="46" t="n">
        <v>0.25076</v>
      </c>
      <c r="C774" s="46" t="n">
        <v>0.109961</v>
      </c>
      <c r="D774" s="46" t="n">
        <v>0.307159</v>
      </c>
      <c r="E774" s="46" t="n">
        <v>0.169293</v>
      </c>
      <c r="F774" s="46" t="n">
        <v>0.009897</v>
      </c>
      <c r="G774" s="47" t="n">
        <f aca="false">A774*Scorecard!$C$12+B774*Scorecard!$C$13+C774*Scorecard!$C$14+D774*Scorecard!$C$15+E774*Scorecard!$C$16+F774*Scorecard!$C$17</f>
        <v>4.26285101905575</v>
      </c>
      <c r="H774" s="47" t="n">
        <f aca="false">A774*Scorecard!$D$12+B774*Scorecard!$D$13+C774*Scorecard!$D$14+D774*Scorecard!$D$15+E774*Scorecard!$D$16+F774*Scorecard!$D$17</f>
        <v>3.12179557257566</v>
      </c>
      <c r="I774" s="47" t="n">
        <f aca="false">A774*Scorecard!$E$12+B774*Scorecard!$E$13+C774*Scorecard!$E$14+D774*Scorecard!$E$15+E774*Scorecard!$E$16+F774*Scorecard!$E$17</f>
        <v>3.56577511080183</v>
      </c>
      <c r="J774" s="0" t="str">
        <f aca="false">IF(AND(G774&gt;=H774,G774&gt;=I774),"Distribution",IF(I774&gt;=H774,"Prof. services","Manufacturing"))</f>
        <v>Distribution</v>
      </c>
      <c r="L774" s="46" t="n">
        <v>0.16218</v>
      </c>
      <c r="M774" s="46" t="n">
        <v>0.164684</v>
      </c>
      <c r="N774" s="46" t="n">
        <v>0.226302</v>
      </c>
      <c r="O774" s="46" t="n">
        <v>0.249776</v>
      </c>
      <c r="P774" s="46" t="n">
        <v>0.099965</v>
      </c>
      <c r="Q774" s="46" t="n">
        <v>0.097092</v>
      </c>
      <c r="R774" s="47" t="n">
        <f aca="false">L774*Scorecard!$C$12+M774*Scorecard!$C$13+N774*Scorecard!$C$14+O774*Scorecard!$C$15+P774*Scorecard!$C$16+Q774*Scorecard!$C$17</f>
        <v>3.92834568715605</v>
      </c>
      <c r="S774" s="47" t="n">
        <f aca="false">L774*Scorecard!$D$12+M774*Scorecard!$D$13+N774*Scorecard!$D$14+O774*Scorecard!$D$15+P774*Scorecard!$D$16+Q774*Scorecard!$D$17</f>
        <v>3.03676848212177</v>
      </c>
      <c r="T774" s="47" t="n">
        <f aca="false">L774*Scorecard!$E$12+M774*Scorecard!$E$13+N774*Scorecard!$E$14+O774*Scorecard!$E$15+P774*Scorecard!$E$16+Q774*Scorecard!$E$17</f>
        <v>4.00252721165189</v>
      </c>
      <c r="U774" s="0" t="str">
        <f aca="false">IF(AND(R774&gt;=S774,R774&gt;=T774),"Distribution",IF(T774&gt;=S774,"Prof. services","Manufacturing"))</f>
        <v>Prof. services</v>
      </c>
    </row>
    <row r="775" customFormat="false" ht="15" hidden="false" customHeight="false" outlineLevel="0" collapsed="false">
      <c r="A775" s="46" t="n">
        <v>0.062707</v>
      </c>
      <c r="B775" s="46" t="n">
        <v>0.318296</v>
      </c>
      <c r="C775" s="46" t="n">
        <v>0.022223</v>
      </c>
      <c r="D775" s="46" t="n">
        <v>0.053991</v>
      </c>
      <c r="E775" s="46" t="n">
        <v>0.310624</v>
      </c>
      <c r="F775" s="46" t="n">
        <v>0.232158</v>
      </c>
      <c r="G775" s="47" t="n">
        <f aca="false">A775*Scorecard!$C$12+B775*Scorecard!$C$13+C775*Scorecard!$C$14+D775*Scorecard!$C$15+E775*Scorecard!$C$16+F775*Scorecard!$C$17</f>
        <v>3.79509350573742</v>
      </c>
      <c r="H775" s="47" t="n">
        <f aca="false">A775*Scorecard!$D$12+B775*Scorecard!$D$13+C775*Scorecard!$D$14+D775*Scorecard!$D$15+E775*Scorecard!$D$16+F775*Scorecard!$D$17</f>
        <v>2.38146165413931</v>
      </c>
      <c r="I775" s="47" t="n">
        <f aca="false">A775*Scorecard!$E$12+B775*Scorecard!$E$13+C775*Scorecard!$E$14+D775*Scorecard!$E$15+E775*Scorecard!$E$16+F775*Scorecard!$E$17</f>
        <v>3.09516679892272</v>
      </c>
      <c r="J775" s="0" t="str">
        <f aca="false">IF(AND(G775&gt;=H775,G775&gt;=I775),"Distribution",IF(I775&gt;=H775,"Prof. services","Manufacturing"))</f>
        <v>Distribution</v>
      </c>
      <c r="L775" s="46" t="n">
        <v>0.223988</v>
      </c>
      <c r="M775" s="46" t="n">
        <v>0.219532</v>
      </c>
      <c r="N775" s="46" t="n">
        <v>0.290612</v>
      </c>
      <c r="O775" s="46" t="n">
        <v>0.107015</v>
      </c>
      <c r="P775" s="46" t="n">
        <v>0.128243</v>
      </c>
      <c r="Q775" s="46" t="n">
        <v>0.03061</v>
      </c>
      <c r="R775" s="47" t="n">
        <f aca="false">L775*Scorecard!$C$12+M775*Scorecard!$C$13+N775*Scorecard!$C$14+O775*Scorecard!$C$15+P775*Scorecard!$C$16+Q775*Scorecard!$C$17</f>
        <v>3.86214540571407</v>
      </c>
      <c r="S775" s="47" t="n">
        <f aca="false">L775*Scorecard!$D$12+M775*Scorecard!$D$13+N775*Scorecard!$D$14+O775*Scorecard!$D$15+P775*Scorecard!$D$16+Q775*Scorecard!$D$17</f>
        <v>2.93915472778542</v>
      </c>
      <c r="T775" s="47" t="n">
        <f aca="false">L775*Scorecard!$E$12+M775*Scorecard!$E$13+N775*Scorecard!$E$14+O775*Scorecard!$E$15+P775*Scorecard!$E$16+Q775*Scorecard!$E$17</f>
        <v>3.92197744212422</v>
      </c>
      <c r="U775" s="0" t="str">
        <f aca="false">IF(AND(R775&gt;=S775,R775&gt;=T775),"Distribution",IF(T775&gt;=S775,"Prof. services","Manufacturing"))</f>
        <v>Prof. services</v>
      </c>
    </row>
    <row r="776" customFormat="false" ht="15" hidden="false" customHeight="false" outlineLevel="0" collapsed="false">
      <c r="A776" s="46" t="n">
        <v>0.326376</v>
      </c>
      <c r="B776" s="46" t="n">
        <v>0.093148</v>
      </c>
      <c r="C776" s="46" t="n">
        <v>0.09867</v>
      </c>
      <c r="D776" s="46" t="n">
        <v>0.145321</v>
      </c>
      <c r="E776" s="46" t="n">
        <v>0.012018</v>
      </c>
      <c r="F776" s="46" t="n">
        <v>0.324467</v>
      </c>
      <c r="G776" s="47" t="n">
        <f aca="false">A776*Scorecard!$C$12+B776*Scorecard!$C$13+C776*Scorecard!$C$14+D776*Scorecard!$C$15+E776*Scorecard!$C$16+F776*Scorecard!$C$17</f>
        <v>3.00205354556198</v>
      </c>
      <c r="H776" s="47" t="n">
        <f aca="false">A776*Scorecard!$D$12+B776*Scorecard!$D$13+C776*Scorecard!$D$14+D776*Scorecard!$D$15+E776*Scorecard!$D$16+F776*Scorecard!$D$17</f>
        <v>2.76130709828265</v>
      </c>
      <c r="I776" s="47" t="n">
        <f aca="false">A776*Scorecard!$E$12+B776*Scorecard!$E$13+C776*Scorecard!$E$14+D776*Scorecard!$E$15+E776*Scorecard!$E$16+F776*Scorecard!$E$17</f>
        <v>4.4163909384026</v>
      </c>
      <c r="J776" s="0" t="str">
        <f aca="false">IF(AND(G776&gt;=H776,G776&gt;=I776),"Distribution",IF(I776&gt;=H776,"Prof. services","Manufacturing"))</f>
        <v>Prof. services</v>
      </c>
      <c r="L776" s="46" t="n">
        <v>0.182851</v>
      </c>
      <c r="M776" s="46" t="n">
        <v>0.149908</v>
      </c>
      <c r="N776" s="46" t="n">
        <v>0.258459</v>
      </c>
      <c r="O776" s="46" t="n">
        <v>0.058512</v>
      </c>
      <c r="P776" s="46" t="n">
        <v>0.24736</v>
      </c>
      <c r="Q776" s="46" t="n">
        <v>0.10291</v>
      </c>
      <c r="R776" s="47" t="n">
        <f aca="false">L776*Scorecard!$C$12+M776*Scorecard!$C$13+N776*Scorecard!$C$14+O776*Scorecard!$C$15+P776*Scorecard!$C$16+Q776*Scorecard!$C$17</f>
        <v>3.67346559236756</v>
      </c>
      <c r="S776" s="47" t="n">
        <f aca="false">L776*Scorecard!$D$12+M776*Scorecard!$D$13+N776*Scorecard!$D$14+O776*Scorecard!$D$15+P776*Scorecard!$D$16+Q776*Scorecard!$D$17</f>
        <v>2.8915940812602</v>
      </c>
      <c r="T776" s="47" t="n">
        <f aca="false">L776*Scorecard!$E$12+M776*Scorecard!$E$13+N776*Scorecard!$E$14+O776*Scorecard!$E$15+P776*Scorecard!$E$16+Q776*Scorecard!$E$17</f>
        <v>3.80893517585737</v>
      </c>
      <c r="U776" s="0" t="str">
        <f aca="false">IF(AND(R776&gt;=S776,R776&gt;=T776),"Distribution",IF(T776&gt;=S776,"Prof. services","Manufacturing"))</f>
        <v>Prof. services</v>
      </c>
    </row>
    <row r="777" customFormat="false" ht="15" hidden="false" customHeight="false" outlineLevel="0" collapsed="false">
      <c r="A777" s="46" t="n">
        <v>0.099716</v>
      </c>
      <c r="B777" s="46" t="n">
        <v>0.266287</v>
      </c>
      <c r="C777" s="46" t="n">
        <v>0.113886</v>
      </c>
      <c r="D777" s="46" t="n">
        <v>0.028319</v>
      </c>
      <c r="E777" s="46" t="n">
        <v>0.11154</v>
      </c>
      <c r="F777" s="46" t="n">
        <v>0.380252</v>
      </c>
      <c r="G777" s="47" t="n">
        <f aca="false">A777*Scorecard!$C$12+B777*Scorecard!$C$13+C777*Scorecard!$C$14+D777*Scorecard!$C$15+E777*Scorecard!$C$16+F777*Scorecard!$C$17</f>
        <v>3.35461177795321</v>
      </c>
      <c r="H777" s="47" t="n">
        <f aca="false">A777*Scorecard!$D$12+B777*Scorecard!$D$13+C777*Scorecard!$D$14+D777*Scorecard!$D$15+E777*Scorecard!$D$16+F777*Scorecard!$D$17</f>
        <v>2.16575522970106</v>
      </c>
      <c r="I777" s="47" t="n">
        <f aca="false">A777*Scorecard!$E$12+B777*Scorecard!$E$13+C777*Scorecard!$E$14+D777*Scorecard!$E$15+E777*Scorecard!$E$16+F777*Scorecard!$E$17</f>
        <v>3.72303085940777</v>
      </c>
      <c r="J777" s="0" t="str">
        <f aca="false">IF(AND(G777&gt;=H777,G777&gt;=I777),"Distribution",IF(I777&gt;=H777,"Prof. services","Manufacturing"))</f>
        <v>Prof. services</v>
      </c>
      <c r="L777" s="46" t="n">
        <v>0.067573</v>
      </c>
      <c r="M777" s="46" t="n">
        <v>0.288167</v>
      </c>
      <c r="N777" s="46" t="n">
        <v>0.169958</v>
      </c>
      <c r="O777" s="46" t="n">
        <v>0.14079</v>
      </c>
      <c r="P777" s="46" t="n">
        <v>0.129296</v>
      </c>
      <c r="Q777" s="46" t="n">
        <v>0.204216</v>
      </c>
      <c r="R777" s="47" t="n">
        <f aca="false">L777*Scorecard!$C$12+M777*Scorecard!$C$13+N777*Scorecard!$C$14+O777*Scorecard!$C$15+P777*Scorecard!$C$16+Q777*Scorecard!$C$17</f>
        <v>3.89889263634354</v>
      </c>
      <c r="S777" s="47" t="n">
        <f aca="false">L777*Scorecard!$D$12+M777*Scorecard!$D$13+N777*Scorecard!$D$14+O777*Scorecard!$D$15+P777*Scorecard!$D$16+Q777*Scorecard!$D$17</f>
        <v>2.5118550053649</v>
      </c>
      <c r="T777" s="47" t="n">
        <f aca="false">L777*Scorecard!$E$12+M777*Scorecard!$E$13+N777*Scorecard!$E$14+O777*Scorecard!$E$15+P777*Scorecard!$E$16+Q777*Scorecard!$E$17</f>
        <v>3.60676831528857</v>
      </c>
      <c r="U777" s="0" t="str">
        <f aca="false">IF(AND(R777&gt;=S777,R777&gt;=T777),"Distribution",IF(T777&gt;=S777,"Prof. services","Manufacturing"))</f>
        <v>Distribution</v>
      </c>
    </row>
    <row r="778" customFormat="false" ht="15" hidden="false" customHeight="false" outlineLevel="0" collapsed="false">
      <c r="A778" s="46" t="n">
        <v>0.058281</v>
      </c>
      <c r="B778" s="46" t="n">
        <v>0.757461</v>
      </c>
      <c r="C778" s="46" t="n">
        <v>0.103758</v>
      </c>
      <c r="D778" s="46" t="n">
        <v>0.014236</v>
      </c>
      <c r="E778" s="46" t="n">
        <v>0.016447</v>
      </c>
      <c r="F778" s="46" t="n">
        <v>0.049817</v>
      </c>
      <c r="G778" s="47" t="n">
        <f aca="false">A778*Scorecard!$C$12+B778*Scorecard!$C$13+C778*Scorecard!$C$14+D778*Scorecard!$C$15+E778*Scorecard!$C$16+F778*Scorecard!$C$17</f>
        <v>4.56715636885647</v>
      </c>
      <c r="H778" s="47" t="n">
        <f aca="false">A778*Scorecard!$D$12+B778*Scorecard!$D$13+C778*Scorecard!$D$14+D778*Scorecard!$D$15+E778*Scorecard!$D$16+F778*Scorecard!$D$17</f>
        <v>1.84878399380329</v>
      </c>
      <c r="I778" s="47" t="n">
        <f aca="false">A778*Scorecard!$E$12+B778*Scorecard!$E$13+C778*Scorecard!$E$14+D778*Scorecard!$E$15+E778*Scorecard!$E$16+F778*Scorecard!$E$17</f>
        <v>2.74118769427083</v>
      </c>
      <c r="J778" s="0" t="str">
        <f aca="false">IF(AND(G778&gt;=H778,G778&gt;=I778),"Distribution",IF(I778&gt;=H778,"Prof. services","Manufacturing"))</f>
        <v>Distribution</v>
      </c>
      <c r="L778" s="46" t="n">
        <v>0.127148</v>
      </c>
      <c r="M778" s="46" t="n">
        <v>0.272153</v>
      </c>
      <c r="N778" s="46" t="n">
        <v>0.281757</v>
      </c>
      <c r="O778" s="46" t="n">
        <v>0.166045</v>
      </c>
      <c r="P778" s="46" t="n">
        <v>0.130034</v>
      </c>
      <c r="Q778" s="46" t="n">
        <v>0.022863</v>
      </c>
      <c r="R778" s="47" t="n">
        <f aca="false">L778*Scorecard!$C$12+M778*Scorecard!$C$13+N778*Scorecard!$C$14+O778*Scorecard!$C$15+P778*Scorecard!$C$16+Q778*Scorecard!$C$17</f>
        <v>4.16360378674631</v>
      </c>
      <c r="S778" s="47" t="n">
        <f aca="false">L778*Scorecard!$D$12+M778*Scorecard!$D$13+N778*Scorecard!$D$14+O778*Scorecard!$D$15+P778*Scorecard!$D$16+Q778*Scorecard!$D$17</f>
        <v>2.87675598952952</v>
      </c>
      <c r="T778" s="47" t="n">
        <f aca="false">L778*Scorecard!$E$12+M778*Scorecard!$E$13+N778*Scorecard!$E$14+O778*Scorecard!$E$15+P778*Scorecard!$E$16+Q778*Scorecard!$E$17</f>
        <v>3.72041607863952</v>
      </c>
      <c r="U778" s="0" t="str">
        <f aca="false">IF(AND(R778&gt;=S778,R778&gt;=T778),"Distribution",IF(T778&gt;=S778,"Prof. services","Manufacturing"))</f>
        <v>Distribution</v>
      </c>
    </row>
    <row r="779" customFormat="false" ht="15" hidden="false" customHeight="false" outlineLevel="0" collapsed="false">
      <c r="A779" s="46" t="n">
        <v>0.182934</v>
      </c>
      <c r="B779" s="46" t="n">
        <v>0.20558</v>
      </c>
      <c r="C779" s="46" t="n">
        <v>0.192518</v>
      </c>
      <c r="D779" s="46" t="n">
        <v>0.082717</v>
      </c>
      <c r="E779" s="46" t="n">
        <v>0.134871</v>
      </c>
      <c r="F779" s="46" t="n">
        <v>0.201379</v>
      </c>
      <c r="G779" s="47" t="n">
        <f aca="false">A779*Scorecard!$C$12+B779*Scorecard!$C$13+C779*Scorecard!$C$14+D779*Scorecard!$C$15+E779*Scorecard!$C$16+F779*Scorecard!$C$17</f>
        <v>3.5562511911839</v>
      </c>
      <c r="H779" s="47" t="n">
        <f aca="false">A779*Scorecard!$D$12+B779*Scorecard!$D$13+C779*Scorecard!$D$14+D779*Scorecard!$D$15+E779*Scorecard!$D$16+F779*Scorecard!$D$17</f>
        <v>2.65090299469886</v>
      </c>
      <c r="I779" s="47" t="n">
        <f aca="false">A779*Scorecard!$E$12+B779*Scorecard!$E$13+C779*Scorecard!$E$14+D779*Scorecard!$E$15+E779*Scorecard!$E$16+F779*Scorecard!$E$17</f>
        <v>3.87934392180634</v>
      </c>
      <c r="J779" s="0" t="str">
        <f aca="false">IF(AND(G779&gt;=H779,G779&gt;=I779),"Distribution",IF(I779&gt;=H779,"Prof. services","Manufacturing"))</f>
        <v>Prof. services</v>
      </c>
      <c r="L779" s="46" t="n">
        <v>0.175364</v>
      </c>
      <c r="M779" s="46" t="n">
        <v>0.229423</v>
      </c>
      <c r="N779" s="46" t="n">
        <v>0.188386</v>
      </c>
      <c r="O779" s="46" t="n">
        <v>0.083262</v>
      </c>
      <c r="P779" s="46" t="n">
        <v>0.132202</v>
      </c>
      <c r="Q779" s="46" t="n">
        <v>0.191364</v>
      </c>
      <c r="R779" s="47" t="n">
        <f aca="false">L779*Scorecard!$C$12+M779*Scorecard!$C$13+N779*Scorecard!$C$14+O779*Scorecard!$C$15+P779*Scorecard!$C$16+Q779*Scorecard!$C$17</f>
        <v>3.61430329913943</v>
      </c>
      <c r="S779" s="47" t="n">
        <f aca="false">L779*Scorecard!$D$12+M779*Scorecard!$D$13+N779*Scorecard!$D$14+O779*Scorecard!$D$15+P779*Scorecard!$D$16+Q779*Scorecard!$D$17</f>
        <v>2.62488399533299</v>
      </c>
      <c r="T779" s="47" t="n">
        <f aca="false">L779*Scorecard!$E$12+M779*Scorecard!$E$13+N779*Scorecard!$E$14+O779*Scorecard!$E$15+P779*Scorecard!$E$16+Q779*Scorecard!$E$17</f>
        <v>3.82246056154344</v>
      </c>
      <c r="U779" s="0" t="str">
        <f aca="false">IF(AND(R779&gt;=S779,R779&gt;=T779),"Distribution",IF(T779&gt;=S779,"Prof. services","Manufacturing"))</f>
        <v>Prof. services</v>
      </c>
    </row>
    <row r="780" customFormat="false" ht="15" hidden="false" customHeight="false" outlineLevel="0" collapsed="false">
      <c r="A780" s="46" t="n">
        <v>0.174721</v>
      </c>
      <c r="B780" s="46" t="n">
        <v>0.137327</v>
      </c>
      <c r="C780" s="46" t="n">
        <v>0.063034</v>
      </c>
      <c r="D780" s="46" t="n">
        <v>0.110535</v>
      </c>
      <c r="E780" s="46" t="n">
        <v>0.334256</v>
      </c>
      <c r="F780" s="46" t="n">
        <v>0.180128</v>
      </c>
      <c r="G780" s="47" t="n">
        <f aca="false">A780*Scorecard!$C$12+B780*Scorecard!$C$13+C780*Scorecard!$C$14+D780*Scorecard!$C$15+E780*Scorecard!$C$16+F780*Scorecard!$C$17</f>
        <v>3.57310970830923</v>
      </c>
      <c r="H780" s="47" t="n">
        <f aca="false">A780*Scorecard!$D$12+B780*Scorecard!$D$13+C780*Scorecard!$D$14+D780*Scorecard!$D$15+E780*Scorecard!$D$16+F780*Scorecard!$D$17</f>
        <v>2.87847322409219</v>
      </c>
      <c r="I780" s="47" t="n">
        <f aca="false">A780*Scorecard!$E$12+B780*Scorecard!$E$13+C780*Scorecard!$E$14+D780*Scorecard!$E$15+E780*Scorecard!$E$16+F780*Scorecard!$E$17</f>
        <v>3.53130078384401</v>
      </c>
      <c r="J780" s="0" t="str">
        <f aca="false">IF(AND(G780&gt;=H780,G780&gt;=I780),"Distribution",IF(I780&gt;=H780,"Prof. services","Manufacturing"))</f>
        <v>Distribution</v>
      </c>
      <c r="L780" s="46" t="n">
        <v>0.17233</v>
      </c>
      <c r="M780" s="46" t="n">
        <v>0.250121</v>
      </c>
      <c r="N780" s="46" t="n">
        <v>0.264707</v>
      </c>
      <c r="O780" s="46" t="n">
        <v>0.080343</v>
      </c>
      <c r="P780" s="46" t="n">
        <v>0.144063</v>
      </c>
      <c r="Q780" s="46" t="n">
        <v>0.088435</v>
      </c>
      <c r="R780" s="47" t="n">
        <f aca="false">L780*Scorecard!$C$12+M780*Scorecard!$C$13+N780*Scorecard!$C$14+O780*Scorecard!$C$15+P780*Scorecard!$C$16+Q780*Scorecard!$C$17</f>
        <v>3.84339354240721</v>
      </c>
      <c r="S780" s="47" t="n">
        <f aca="false">L780*Scorecard!$D$12+M780*Scorecard!$D$13+N780*Scorecard!$D$14+O780*Scorecard!$D$15+P780*Scorecard!$D$16+Q780*Scorecard!$D$17</f>
        <v>2.74677416207693</v>
      </c>
      <c r="T780" s="47" t="n">
        <f aca="false">L780*Scorecard!$E$12+M780*Scorecard!$E$13+N780*Scorecard!$E$14+O780*Scorecard!$E$15+P780*Scorecard!$E$16+Q780*Scorecard!$E$17</f>
        <v>3.78520677949762</v>
      </c>
      <c r="U780" s="0" t="str">
        <f aca="false">IF(AND(R780&gt;=S780,R780&gt;=T780),"Distribution",IF(T780&gt;=S780,"Prof. services","Manufacturing"))</f>
        <v>Distribution</v>
      </c>
    </row>
    <row r="781" customFormat="false" ht="15" hidden="false" customHeight="false" outlineLevel="0" collapsed="false">
      <c r="A781" s="46" t="n">
        <v>0.041854</v>
      </c>
      <c r="B781" s="46" t="n">
        <v>0.050293</v>
      </c>
      <c r="C781" s="46" t="n">
        <v>0.29631</v>
      </c>
      <c r="D781" s="46" t="n">
        <v>0.448403</v>
      </c>
      <c r="E781" s="46" t="n">
        <v>0.067944</v>
      </c>
      <c r="F781" s="46" t="n">
        <v>0.095196</v>
      </c>
      <c r="G781" s="47" t="n">
        <f aca="false">A781*Scorecard!$C$12+B781*Scorecard!$C$13+C781*Scorecard!$C$14+D781*Scorecard!$C$15+E781*Scorecard!$C$16+F781*Scorecard!$C$17</f>
        <v>4.2329662031214</v>
      </c>
      <c r="H781" s="47" t="n">
        <f aca="false">A781*Scorecard!$D$12+B781*Scorecard!$D$13+C781*Scorecard!$D$14+D781*Scorecard!$D$15+E781*Scorecard!$D$16+F781*Scorecard!$D$17</f>
        <v>3.35110050457803</v>
      </c>
      <c r="I781" s="47" t="n">
        <f aca="false">A781*Scorecard!$E$12+B781*Scorecard!$E$13+C781*Scorecard!$E$14+D781*Scorecard!$E$15+E781*Scorecard!$E$16+F781*Scorecard!$E$17</f>
        <v>4.25178060687167</v>
      </c>
      <c r="J781" s="0" t="str">
        <f aca="false">IF(AND(G781&gt;=H781,G781&gt;=I781),"Distribution",IF(I781&gt;=H781,"Prof. services","Manufacturing"))</f>
        <v>Prof. services</v>
      </c>
      <c r="L781" s="46" t="n">
        <v>0.148259</v>
      </c>
      <c r="M781" s="46" t="n">
        <v>0.236829</v>
      </c>
      <c r="N781" s="46" t="n">
        <v>0.086926</v>
      </c>
      <c r="O781" s="46" t="n">
        <v>0.191981</v>
      </c>
      <c r="P781" s="46" t="n">
        <v>0.144203</v>
      </c>
      <c r="Q781" s="46" t="n">
        <v>0.191802</v>
      </c>
      <c r="R781" s="47" t="n">
        <f aca="false">L781*Scorecard!$C$12+M781*Scorecard!$C$13+N781*Scorecard!$C$14+O781*Scorecard!$C$15+P781*Scorecard!$C$16+Q781*Scorecard!$C$17</f>
        <v>3.778337685683</v>
      </c>
      <c r="S781" s="47" t="n">
        <f aca="false">L781*Scorecard!$D$12+M781*Scorecard!$D$13+N781*Scorecard!$D$14+O781*Scorecard!$D$15+P781*Scorecard!$D$16+Q781*Scorecard!$D$17</f>
        <v>2.72506131711004</v>
      </c>
      <c r="T781" s="47" t="n">
        <f aca="false">L781*Scorecard!$E$12+M781*Scorecard!$E$13+N781*Scorecard!$E$14+O781*Scorecard!$E$15+P781*Scorecard!$E$16+Q781*Scorecard!$E$17</f>
        <v>3.67806019644713</v>
      </c>
      <c r="U781" s="0" t="str">
        <f aca="false">IF(AND(R781&gt;=S781,R781&gt;=T781),"Distribution",IF(T781&gt;=S781,"Prof. services","Manufacturing"))</f>
        <v>Distribution</v>
      </c>
    </row>
    <row r="782" customFormat="false" ht="15" hidden="false" customHeight="false" outlineLevel="0" collapsed="false">
      <c r="A782" s="46" t="n">
        <v>0.000667</v>
      </c>
      <c r="B782" s="46" t="n">
        <v>0.016186</v>
      </c>
      <c r="C782" s="46" t="n">
        <v>0.170221</v>
      </c>
      <c r="D782" s="46" t="n">
        <v>0.568109</v>
      </c>
      <c r="E782" s="46" t="n">
        <v>0.130996</v>
      </c>
      <c r="F782" s="46" t="n">
        <v>0.113821</v>
      </c>
      <c r="G782" s="47" t="n">
        <f aca="false">A782*Scorecard!$C$12+B782*Scorecard!$C$13+C782*Scorecard!$C$14+D782*Scorecard!$C$15+E782*Scorecard!$C$16+F782*Scorecard!$C$17</f>
        <v>4.35545239048793</v>
      </c>
      <c r="H782" s="47" t="n">
        <f aca="false">A782*Scorecard!$D$12+B782*Scorecard!$D$13+C782*Scorecard!$D$14+D782*Scorecard!$D$15+E782*Scorecard!$D$16+F782*Scorecard!$D$17</f>
        <v>3.50674557437512</v>
      </c>
      <c r="I782" s="47" t="n">
        <f aca="false">A782*Scorecard!$E$12+B782*Scorecard!$E$13+C782*Scorecard!$E$14+D782*Scorecard!$E$15+E782*Scorecard!$E$16+F782*Scorecard!$E$17</f>
        <v>4.07234608664861</v>
      </c>
      <c r="J782" s="0" t="str">
        <f aca="false">IF(AND(G782&gt;=H782,G782&gt;=I782),"Distribution",IF(I782&gt;=H782,"Prof. services","Manufacturing"))</f>
        <v>Distribution</v>
      </c>
      <c r="L782" s="46" t="n">
        <v>0.088911</v>
      </c>
      <c r="M782" s="46" t="n">
        <v>0.067438</v>
      </c>
      <c r="N782" s="46" t="n">
        <v>0.59511</v>
      </c>
      <c r="O782" s="46" t="n">
        <v>0.078746</v>
      </c>
      <c r="P782" s="46" t="n">
        <v>0.10853</v>
      </c>
      <c r="Q782" s="46" t="n">
        <v>0.061266</v>
      </c>
      <c r="R782" s="47" t="n">
        <f aca="false">L782*Scorecard!$C$12+M782*Scorecard!$C$13+N782*Scorecard!$C$14+O782*Scorecard!$C$15+P782*Scorecard!$C$16+Q782*Scorecard!$C$17</f>
        <v>3.86361493204299</v>
      </c>
      <c r="S782" s="47" t="n">
        <f aca="false">L782*Scorecard!$D$12+M782*Scorecard!$D$13+N782*Scorecard!$D$14+O782*Scorecard!$D$15+P782*Scorecard!$D$16+Q782*Scorecard!$D$17</f>
        <v>2.99294578309805</v>
      </c>
      <c r="T782" s="47" t="n">
        <f aca="false">L782*Scorecard!$E$12+M782*Scorecard!$E$13+N782*Scorecard!$E$14+O782*Scorecard!$E$15+P782*Scorecard!$E$16+Q782*Scorecard!$E$17</f>
        <v>4.42021182042089</v>
      </c>
      <c r="U782" s="0" t="str">
        <f aca="false">IF(AND(R782&gt;=S782,R782&gt;=T782),"Distribution",IF(T782&gt;=S782,"Prof. services","Manufacturing"))</f>
        <v>Prof. services</v>
      </c>
    </row>
    <row r="783" customFormat="false" ht="15" hidden="false" customHeight="false" outlineLevel="0" collapsed="false">
      <c r="A783" s="46" t="n">
        <v>0.393429</v>
      </c>
      <c r="B783" s="46" t="n">
        <v>0.089566</v>
      </c>
      <c r="C783" s="46" t="n">
        <v>0.207788</v>
      </c>
      <c r="D783" s="46" t="n">
        <v>0.129194</v>
      </c>
      <c r="E783" s="46" t="n">
        <v>0.126207</v>
      </c>
      <c r="F783" s="46" t="n">
        <v>0.053816</v>
      </c>
      <c r="G783" s="47" t="n">
        <f aca="false">A783*Scorecard!$C$12+B783*Scorecard!$C$13+C783*Scorecard!$C$14+D783*Scorecard!$C$15+E783*Scorecard!$C$16+F783*Scorecard!$C$17</f>
        <v>3.40295018932123</v>
      </c>
      <c r="H783" s="47" t="n">
        <f aca="false">A783*Scorecard!$D$12+B783*Scorecard!$D$13+C783*Scorecard!$D$14+D783*Scorecard!$D$15+E783*Scorecard!$D$16+F783*Scorecard!$D$17</f>
        <v>3.23634570406091</v>
      </c>
      <c r="I783" s="47" t="n">
        <f aca="false">A783*Scorecard!$E$12+B783*Scorecard!$E$13+C783*Scorecard!$E$14+D783*Scorecard!$E$15+E783*Scorecard!$E$16+F783*Scorecard!$E$17</f>
        <v>4.27099318687369</v>
      </c>
      <c r="J783" s="0" t="str">
        <f aca="false">IF(AND(G783&gt;=H783,G783&gt;=I783),"Distribution",IF(I783&gt;=H783,"Prof. services","Manufacturing"))</f>
        <v>Prof. services</v>
      </c>
      <c r="L783" s="46" t="n">
        <v>0.123214</v>
      </c>
      <c r="M783" s="46" t="n">
        <v>0.255606</v>
      </c>
      <c r="N783" s="46" t="n">
        <v>0.183743</v>
      </c>
      <c r="O783" s="46" t="n">
        <v>0.102891</v>
      </c>
      <c r="P783" s="46" t="n">
        <v>0.31683</v>
      </c>
      <c r="Q783" s="46" t="n">
        <v>0.017715</v>
      </c>
      <c r="R783" s="47" t="n">
        <f aca="false">L783*Scorecard!$C$12+M783*Scorecard!$C$13+N783*Scorecard!$C$14+O783*Scorecard!$C$15+P783*Scorecard!$C$16+Q783*Scorecard!$C$17</f>
        <v>4.10127604284897</v>
      </c>
      <c r="S783" s="47" t="n">
        <f aca="false">L783*Scorecard!$D$12+M783*Scorecard!$D$13+N783*Scorecard!$D$14+O783*Scorecard!$D$15+P783*Scorecard!$D$16+Q783*Scorecard!$D$17</f>
        <v>2.8958691319372</v>
      </c>
      <c r="T783" s="47" t="n">
        <f aca="false">L783*Scorecard!$E$12+M783*Scorecard!$E$13+N783*Scorecard!$E$14+O783*Scorecard!$E$15+P783*Scorecard!$E$16+Q783*Scorecard!$E$17</f>
        <v>3.32523453989177</v>
      </c>
      <c r="U783" s="0" t="str">
        <f aca="false">IF(AND(R783&gt;=S783,R783&gt;=T783),"Distribution",IF(T783&gt;=S783,"Prof. services","Manufacturing"))</f>
        <v>Distribution</v>
      </c>
    </row>
    <row r="784" customFormat="false" ht="15" hidden="false" customHeight="false" outlineLevel="0" collapsed="false">
      <c r="A784" s="46" t="n">
        <v>0.090313</v>
      </c>
      <c r="B784" s="46" t="n">
        <v>0.111017</v>
      </c>
      <c r="C784" s="46" t="n">
        <v>0.29618</v>
      </c>
      <c r="D784" s="46" t="n">
        <v>0.469573</v>
      </c>
      <c r="E784" s="46" t="n">
        <v>0.014383</v>
      </c>
      <c r="F784" s="46" t="n">
        <v>0.018534</v>
      </c>
      <c r="G784" s="47" t="n">
        <f aca="false">A784*Scorecard!$C$12+B784*Scorecard!$C$13+C784*Scorecard!$C$14+D784*Scorecard!$C$15+E784*Scorecard!$C$16+F784*Scorecard!$C$17</f>
        <v>4.38095731204911</v>
      </c>
      <c r="H784" s="47" t="n">
        <f aca="false">A784*Scorecard!$D$12+B784*Scorecard!$D$13+C784*Scorecard!$D$14+D784*Scorecard!$D$15+E784*Scorecard!$D$16+F784*Scorecard!$D$17</f>
        <v>3.41360980275451</v>
      </c>
      <c r="I784" s="47" t="n">
        <f aca="false">A784*Scorecard!$E$12+B784*Scorecard!$E$13+C784*Scorecard!$E$14+D784*Scorecard!$E$15+E784*Scorecard!$E$16+F784*Scorecard!$E$17</f>
        <v>4.24062797661588</v>
      </c>
      <c r="J784" s="0" t="str">
        <f aca="false">IF(AND(G784&gt;=H784,G784&gt;=I784),"Distribution",IF(I784&gt;=H784,"Prof. services","Manufacturing"))</f>
        <v>Distribution</v>
      </c>
      <c r="L784" s="46" t="n">
        <v>0.322101</v>
      </c>
      <c r="M784" s="46" t="n">
        <v>0.210945</v>
      </c>
      <c r="N784" s="46" t="n">
        <v>0.158035</v>
      </c>
      <c r="O784" s="46" t="n">
        <v>0.116108</v>
      </c>
      <c r="P784" s="46" t="n">
        <v>0.134688</v>
      </c>
      <c r="Q784" s="46" t="n">
        <v>0.058123</v>
      </c>
      <c r="R784" s="47" t="n">
        <f aca="false">L784*Scorecard!$C$12+M784*Scorecard!$C$13+N784*Scorecard!$C$14+O784*Scorecard!$C$15+P784*Scorecard!$C$16+Q784*Scorecard!$C$17</f>
        <v>3.63102060652762</v>
      </c>
      <c r="S784" s="47" t="n">
        <f aca="false">L784*Scorecard!$D$12+M784*Scorecard!$D$13+N784*Scorecard!$D$14+O784*Scorecard!$D$15+P784*Scorecard!$D$16+Q784*Scorecard!$D$17</f>
        <v>2.98825754620023</v>
      </c>
      <c r="T784" s="47" t="n">
        <f aca="false">L784*Scorecard!$E$12+M784*Scorecard!$E$13+N784*Scorecard!$E$14+O784*Scorecard!$E$15+P784*Scorecard!$E$16+Q784*Scorecard!$E$17</f>
        <v>3.90812620020695</v>
      </c>
      <c r="U784" s="0" t="str">
        <f aca="false">IF(AND(R784&gt;=S784,R784&gt;=T784),"Distribution",IF(T784&gt;=S784,"Prof. services","Manufacturing"))</f>
        <v>Prof. services</v>
      </c>
    </row>
    <row r="785" customFormat="false" ht="15" hidden="false" customHeight="false" outlineLevel="0" collapsed="false">
      <c r="A785" s="46" t="n">
        <v>0.347488</v>
      </c>
      <c r="B785" s="46" t="n">
        <v>0.162157</v>
      </c>
      <c r="C785" s="46" t="n">
        <v>0.27676</v>
      </c>
      <c r="D785" s="46" t="n">
        <v>0.019772</v>
      </c>
      <c r="E785" s="46" t="n">
        <v>0.033185</v>
      </c>
      <c r="F785" s="46" t="n">
        <v>0.160638</v>
      </c>
      <c r="G785" s="47" t="n">
        <f aca="false">A785*Scorecard!$C$12+B785*Scorecard!$C$13+C785*Scorecard!$C$14+D785*Scorecard!$C$15+E785*Scorecard!$C$16+F785*Scorecard!$C$17</f>
        <v>3.2351696444844</v>
      </c>
      <c r="H785" s="47" t="n">
        <f aca="false">A785*Scorecard!$D$12+B785*Scorecard!$D$13+C785*Scorecard!$D$14+D785*Scorecard!$D$15+E785*Scorecard!$D$16+F785*Scorecard!$D$17</f>
        <v>2.77912843680801</v>
      </c>
      <c r="I785" s="47" t="n">
        <f aca="false">A785*Scorecard!$E$12+B785*Scorecard!$E$13+C785*Scorecard!$E$14+D785*Scorecard!$E$15+E785*Scorecard!$E$16+F785*Scorecard!$E$17</f>
        <v>4.34836380612581</v>
      </c>
      <c r="J785" s="0" t="str">
        <f aca="false">IF(AND(G785&gt;=H785,G785&gt;=I785),"Distribution",IF(I785&gt;=H785,"Prof. services","Manufacturing"))</f>
        <v>Prof. services</v>
      </c>
      <c r="L785" s="46" t="n">
        <v>0.25741</v>
      </c>
      <c r="M785" s="46" t="n">
        <v>0.155534</v>
      </c>
      <c r="N785" s="46" t="n">
        <v>0.242188</v>
      </c>
      <c r="O785" s="46" t="n">
        <v>0.100085</v>
      </c>
      <c r="P785" s="46" t="n">
        <v>0.148466</v>
      </c>
      <c r="Q785" s="46" t="n">
        <v>0.096318</v>
      </c>
      <c r="R785" s="47" t="n">
        <f aca="false">L785*Scorecard!$C$12+M785*Scorecard!$C$13+N785*Scorecard!$C$14+O785*Scorecard!$C$15+P785*Scorecard!$C$16+Q785*Scorecard!$C$17</f>
        <v>3.59964532908397</v>
      </c>
      <c r="S785" s="47" t="n">
        <f aca="false">L785*Scorecard!$D$12+M785*Scorecard!$D$13+N785*Scorecard!$D$14+O785*Scorecard!$D$15+P785*Scorecard!$D$16+Q785*Scorecard!$D$17</f>
        <v>2.95745227123921</v>
      </c>
      <c r="T785" s="47" t="n">
        <f aca="false">L785*Scorecard!$E$12+M785*Scorecard!$E$13+N785*Scorecard!$E$14+O785*Scorecard!$E$15+P785*Scorecard!$E$16+Q785*Scorecard!$E$17</f>
        <v>4.0250250093553</v>
      </c>
      <c r="U785" s="0" t="str">
        <f aca="false">IF(AND(R785&gt;=S785,R785&gt;=T785),"Distribution",IF(T785&gt;=S785,"Prof. services","Manufacturing"))</f>
        <v>Prof. services</v>
      </c>
    </row>
    <row r="786" customFormat="false" ht="15" hidden="false" customHeight="false" outlineLevel="0" collapsed="false">
      <c r="A786" s="46" t="n">
        <v>0.075369</v>
      </c>
      <c r="B786" s="46" t="n">
        <v>0.080486</v>
      </c>
      <c r="C786" s="46" t="n">
        <v>0.299788</v>
      </c>
      <c r="D786" s="46" t="n">
        <v>0.18118</v>
      </c>
      <c r="E786" s="46" t="n">
        <v>0.064159</v>
      </c>
      <c r="F786" s="46" t="n">
        <v>0.299017</v>
      </c>
      <c r="G786" s="47" t="n">
        <f aca="false">A786*Scorecard!$C$12+B786*Scorecard!$C$13+C786*Scorecard!$C$14+D786*Scorecard!$C$15+E786*Scorecard!$C$16+F786*Scorecard!$C$17</f>
        <v>3.52796272516503</v>
      </c>
      <c r="H786" s="47" t="n">
        <f aca="false">A786*Scorecard!$D$12+B786*Scorecard!$D$13+C786*Scorecard!$D$14+D786*Scorecard!$D$15+E786*Scorecard!$D$16+F786*Scorecard!$D$17</f>
        <v>2.71157453694305</v>
      </c>
      <c r="I786" s="47" t="n">
        <f aca="false">A786*Scorecard!$E$12+B786*Scorecard!$E$13+C786*Scorecard!$E$14+D786*Scorecard!$E$15+E786*Scorecard!$E$16+F786*Scorecard!$E$17</f>
        <v>4.29650479080784</v>
      </c>
      <c r="J786" s="0" t="str">
        <f aca="false">IF(AND(G786&gt;=H786,G786&gt;=I786),"Distribution",IF(I786&gt;=H786,"Prof. services","Manufacturing"))</f>
        <v>Prof. services</v>
      </c>
      <c r="L786" s="46" t="n">
        <v>0.136426</v>
      </c>
      <c r="M786" s="46" t="n">
        <v>0.227449</v>
      </c>
      <c r="N786" s="46" t="n">
        <v>0.23695</v>
      </c>
      <c r="O786" s="46" t="n">
        <v>0.141551</v>
      </c>
      <c r="P786" s="46" t="n">
        <v>0.16304</v>
      </c>
      <c r="Q786" s="46" t="n">
        <v>0.094585</v>
      </c>
      <c r="R786" s="47" t="n">
        <f aca="false">L786*Scorecard!$C$12+M786*Scorecard!$C$13+N786*Scorecard!$C$14+O786*Scorecard!$C$15+P786*Scorecard!$C$16+Q786*Scorecard!$C$17</f>
        <v>3.93426525443304</v>
      </c>
      <c r="S786" s="47" t="n">
        <f aca="false">L786*Scorecard!$D$12+M786*Scorecard!$D$13+N786*Scorecard!$D$14+O786*Scorecard!$D$15+P786*Scorecard!$D$16+Q786*Scorecard!$D$17</f>
        <v>2.82505209419829</v>
      </c>
      <c r="T786" s="47" t="n">
        <f aca="false">L786*Scorecard!$E$12+M786*Scorecard!$E$13+N786*Scorecard!$E$14+O786*Scorecard!$E$15+P786*Scorecard!$E$16+Q786*Scorecard!$E$17</f>
        <v>3.74556862736873</v>
      </c>
      <c r="U786" s="0" t="str">
        <f aca="false">IF(AND(R786&gt;=S786,R786&gt;=T786),"Distribution",IF(T786&gt;=S786,"Prof. services","Manufacturing"))</f>
        <v>Distribution</v>
      </c>
    </row>
    <row r="787" customFormat="false" ht="15" hidden="false" customHeight="false" outlineLevel="0" collapsed="false">
      <c r="A787" s="46" t="n">
        <v>0.080997</v>
      </c>
      <c r="B787" s="46" t="n">
        <v>0.188233</v>
      </c>
      <c r="C787" s="46" t="n">
        <v>0.182387</v>
      </c>
      <c r="D787" s="46" t="n">
        <v>0.060813</v>
      </c>
      <c r="E787" s="46" t="n">
        <v>0.147508</v>
      </c>
      <c r="F787" s="46" t="n">
        <v>0.340061</v>
      </c>
      <c r="G787" s="47" t="n">
        <f aca="false">A787*Scorecard!$C$12+B787*Scorecard!$C$13+C787*Scorecard!$C$14+D787*Scorecard!$C$15+E787*Scorecard!$C$16+F787*Scorecard!$C$17</f>
        <v>3.42312424490429</v>
      </c>
      <c r="H787" s="47" t="n">
        <f aca="false">A787*Scorecard!$D$12+B787*Scorecard!$D$13+C787*Scorecard!$D$14+D787*Scorecard!$D$15+E787*Scorecard!$D$16+F787*Scorecard!$D$17</f>
        <v>2.38043884816912</v>
      </c>
      <c r="I787" s="47" t="n">
        <f aca="false">A787*Scorecard!$E$12+B787*Scorecard!$E$13+C787*Scorecard!$E$14+D787*Scorecard!$E$15+E787*Scorecard!$E$16+F787*Scorecard!$E$17</f>
        <v>3.84449640113438</v>
      </c>
      <c r="J787" s="0" t="str">
        <f aca="false">IF(AND(G787&gt;=H787,G787&gt;=I787),"Distribution",IF(I787&gt;=H787,"Prof. services","Manufacturing"))</f>
        <v>Prof. services</v>
      </c>
      <c r="L787" s="46" t="n">
        <v>0.253708</v>
      </c>
      <c r="M787" s="46" t="n">
        <v>0.293076</v>
      </c>
      <c r="N787" s="46" t="n">
        <v>0.120629</v>
      </c>
      <c r="O787" s="46" t="n">
        <v>0.136222</v>
      </c>
      <c r="P787" s="46" t="n">
        <v>0.10689</v>
      </c>
      <c r="Q787" s="46" t="n">
        <v>0.089475</v>
      </c>
      <c r="R787" s="47" t="n">
        <f aca="false">L787*Scorecard!$C$12+M787*Scorecard!$C$13+N787*Scorecard!$C$14+O787*Scorecard!$C$15+P787*Scorecard!$C$16+Q787*Scorecard!$C$17</f>
        <v>3.79366998187808</v>
      </c>
      <c r="S787" s="47" t="n">
        <f aca="false">L787*Scorecard!$D$12+M787*Scorecard!$D$13+N787*Scorecard!$D$14+O787*Scorecard!$D$15+P787*Scorecard!$D$16+Q787*Scorecard!$D$17</f>
        <v>2.78679261365844</v>
      </c>
      <c r="T787" s="47" t="n">
        <f aca="false">L787*Scorecard!$E$12+M787*Scorecard!$E$13+N787*Scorecard!$E$14+O787*Scorecard!$E$15+P787*Scorecard!$E$16+Q787*Scorecard!$E$17</f>
        <v>3.71359023374663</v>
      </c>
      <c r="U787" s="0" t="str">
        <f aca="false">IF(AND(R787&gt;=S787,R787&gt;=T787),"Distribution",IF(T787&gt;=S787,"Prof. services","Manufacturing"))</f>
        <v>Distribution</v>
      </c>
    </row>
    <row r="788" customFormat="false" ht="15" hidden="false" customHeight="false" outlineLevel="0" collapsed="false">
      <c r="A788" s="46" t="n">
        <v>0.370864</v>
      </c>
      <c r="B788" s="46" t="n">
        <v>0.151567</v>
      </c>
      <c r="C788" s="46" t="n">
        <v>0.044454</v>
      </c>
      <c r="D788" s="46" t="n">
        <v>0.052245</v>
      </c>
      <c r="E788" s="46" t="n">
        <v>0.256483</v>
      </c>
      <c r="F788" s="46" t="n">
        <v>0.124387</v>
      </c>
      <c r="G788" s="47" t="n">
        <f aca="false">A788*Scorecard!$C$12+B788*Scorecard!$C$13+C788*Scorecard!$C$14+D788*Scorecard!$C$15+E788*Scorecard!$C$16+F788*Scorecard!$C$17</f>
        <v>3.28747751111999</v>
      </c>
      <c r="H788" s="47" t="n">
        <f aca="false">A788*Scorecard!$D$12+B788*Scorecard!$D$13+C788*Scorecard!$D$14+D788*Scorecard!$D$15+E788*Scorecard!$D$16+F788*Scorecard!$D$17</f>
        <v>2.97686629149712</v>
      </c>
      <c r="I788" s="47" t="n">
        <f aca="false">A788*Scorecard!$E$12+B788*Scorecard!$E$13+C788*Scorecard!$E$14+D788*Scorecard!$E$15+E788*Scorecard!$E$16+F788*Scorecard!$E$17</f>
        <v>3.7743365971586</v>
      </c>
      <c r="J788" s="0" t="str">
        <f aca="false">IF(AND(G788&gt;=H788,G788&gt;=I788),"Distribution",IF(I788&gt;=H788,"Prof. services","Manufacturing"))</f>
        <v>Prof. services</v>
      </c>
      <c r="L788" s="46" t="n">
        <v>0.223887</v>
      </c>
      <c r="M788" s="46" t="n">
        <v>0.160637</v>
      </c>
      <c r="N788" s="46" t="n">
        <v>0.284044</v>
      </c>
      <c r="O788" s="46" t="n">
        <v>0.089424</v>
      </c>
      <c r="P788" s="46" t="n">
        <v>0.195644</v>
      </c>
      <c r="Q788" s="46" t="n">
        <v>0.046363</v>
      </c>
      <c r="R788" s="47" t="n">
        <f aca="false">L788*Scorecard!$C$12+M788*Scorecard!$C$13+N788*Scorecard!$C$14+O788*Scorecard!$C$15+P788*Scorecard!$C$16+Q788*Scorecard!$C$17</f>
        <v>3.75433120715443</v>
      </c>
      <c r="S788" s="47" t="n">
        <f aca="false">L788*Scorecard!$D$12+M788*Scorecard!$D$13+N788*Scorecard!$D$14+O788*Scorecard!$D$15+P788*Scorecard!$D$16+Q788*Scorecard!$D$17</f>
        <v>3.00595995935534</v>
      </c>
      <c r="T788" s="47" t="n">
        <f aca="false">L788*Scorecard!$E$12+M788*Scorecard!$E$13+N788*Scorecard!$E$14+O788*Scorecard!$E$15+P788*Scorecard!$E$16+Q788*Scorecard!$E$17</f>
        <v>3.91842180670994</v>
      </c>
      <c r="U788" s="0" t="str">
        <f aca="false">IF(AND(R788&gt;=S788,R788&gt;=T788),"Distribution",IF(T788&gt;=S788,"Prof. services","Manufacturing"))</f>
        <v>Prof. services</v>
      </c>
    </row>
    <row r="789" customFormat="false" ht="15" hidden="false" customHeight="false" outlineLevel="0" collapsed="false">
      <c r="A789" s="46" t="n">
        <v>0.28398</v>
      </c>
      <c r="B789" s="46" t="n">
        <v>0.020741</v>
      </c>
      <c r="C789" s="46" t="n">
        <v>0.11041</v>
      </c>
      <c r="D789" s="46" t="n">
        <v>0.416052</v>
      </c>
      <c r="E789" s="46" t="n">
        <v>0.107347</v>
      </c>
      <c r="F789" s="46" t="n">
        <v>0.06147</v>
      </c>
      <c r="G789" s="47" t="n">
        <f aca="false">A789*Scorecard!$C$12+B789*Scorecard!$C$13+C789*Scorecard!$C$14+D789*Scorecard!$C$15+E789*Scorecard!$C$16+F789*Scorecard!$C$17</f>
        <v>3.80268495017002</v>
      </c>
      <c r="H789" s="47" t="n">
        <f aca="false">A789*Scorecard!$D$12+B789*Scorecard!$D$13+C789*Scorecard!$D$14+D789*Scorecard!$D$15+E789*Scorecard!$D$16+F789*Scorecard!$D$17</f>
        <v>3.58166670026725</v>
      </c>
      <c r="I789" s="47" t="n">
        <f aca="false">A789*Scorecard!$E$12+B789*Scorecard!$E$13+C789*Scorecard!$E$14+D789*Scorecard!$E$15+E789*Scorecard!$E$16+F789*Scorecard!$E$17</f>
        <v>4.27559017226912</v>
      </c>
      <c r="J789" s="0" t="str">
        <f aca="false">IF(AND(G789&gt;=H789,G789&gt;=I789),"Distribution",IF(I789&gt;=H789,"Prof. services","Manufacturing"))</f>
        <v>Prof. services</v>
      </c>
      <c r="L789" s="46" t="n">
        <v>0.247783</v>
      </c>
      <c r="M789" s="46" t="n">
        <v>0.100094</v>
      </c>
      <c r="N789" s="46" t="n">
        <v>0.183328</v>
      </c>
      <c r="O789" s="46" t="n">
        <v>0.077534</v>
      </c>
      <c r="P789" s="46" t="n">
        <v>0.226896</v>
      </c>
      <c r="Q789" s="46" t="n">
        <v>0.164365</v>
      </c>
      <c r="R789" s="47" t="n">
        <f aca="false">L789*Scorecard!$C$12+M789*Scorecard!$C$13+N789*Scorecard!$C$14+O789*Scorecard!$C$15+P789*Scorecard!$C$16+Q789*Scorecard!$C$17</f>
        <v>3.40288506637432</v>
      </c>
      <c r="S789" s="47" t="n">
        <f aca="false">L789*Scorecard!$D$12+M789*Scorecard!$D$13+N789*Scorecard!$D$14+O789*Scorecard!$D$15+P789*Scorecard!$D$16+Q789*Scorecard!$D$17</f>
        <v>2.93227258364851</v>
      </c>
      <c r="T789" s="47" t="n">
        <f aca="false">L789*Scorecard!$E$12+M789*Scorecard!$E$13+N789*Scorecard!$E$14+O789*Scorecard!$E$15+P789*Scorecard!$E$16+Q789*Scorecard!$E$17</f>
        <v>3.96012256546016</v>
      </c>
      <c r="U789" s="0" t="str">
        <f aca="false">IF(AND(R789&gt;=S789,R789&gt;=T789),"Distribution",IF(T789&gt;=S789,"Prof. services","Manufacturing"))</f>
        <v>Prof. services</v>
      </c>
    </row>
    <row r="790" customFormat="false" ht="15" hidden="false" customHeight="false" outlineLevel="0" collapsed="false">
      <c r="A790" s="46" t="n">
        <v>0.063484</v>
      </c>
      <c r="B790" s="46" t="n">
        <v>0.187104</v>
      </c>
      <c r="C790" s="46" t="n">
        <v>0.191397</v>
      </c>
      <c r="D790" s="46" t="n">
        <v>0.127162</v>
      </c>
      <c r="E790" s="46" t="n">
        <v>0.1021</v>
      </c>
      <c r="F790" s="46" t="n">
        <v>0.328754</v>
      </c>
      <c r="G790" s="47" t="n">
        <f aca="false">A790*Scorecard!$C$12+B790*Scorecard!$C$13+C790*Scorecard!$C$14+D790*Scorecard!$C$15+E790*Scorecard!$C$16+F790*Scorecard!$C$17</f>
        <v>3.54248989465664</v>
      </c>
      <c r="H790" s="47" t="n">
        <f aca="false">A790*Scorecard!$D$12+B790*Scorecard!$D$13+C790*Scorecard!$D$14+D790*Scorecard!$D$15+E790*Scorecard!$D$16+F790*Scorecard!$D$17</f>
        <v>2.44920411846476</v>
      </c>
      <c r="I790" s="47" t="n">
        <f aca="false">A790*Scorecard!$E$12+B790*Scorecard!$E$13+C790*Scorecard!$E$14+D790*Scorecard!$E$15+E790*Scorecard!$E$16+F790*Scorecard!$E$17</f>
        <v>3.91903399081652</v>
      </c>
      <c r="J790" s="0" t="str">
        <f aca="false">IF(AND(G790&gt;=H790,G790&gt;=I790),"Distribution",IF(I790&gt;=H790,"Prof. services","Manufacturing"))</f>
        <v>Prof. services</v>
      </c>
      <c r="L790" s="46" t="n">
        <v>0.195525</v>
      </c>
      <c r="M790" s="46" t="n">
        <v>0.193926</v>
      </c>
      <c r="N790" s="46" t="n">
        <v>0.226174</v>
      </c>
      <c r="O790" s="46" t="n">
        <v>0.159408</v>
      </c>
      <c r="P790" s="46" t="n">
        <v>0.185134</v>
      </c>
      <c r="Q790" s="46" t="n">
        <v>0.039833</v>
      </c>
      <c r="R790" s="47" t="n">
        <f aca="false">L790*Scorecard!$C$12+M790*Scorecard!$C$13+N790*Scorecard!$C$14+O790*Scorecard!$C$15+P790*Scorecard!$C$16+Q790*Scorecard!$C$17</f>
        <v>3.92172021162404</v>
      </c>
      <c r="S790" s="47" t="n">
        <f aca="false">L790*Scorecard!$D$12+M790*Scorecard!$D$13+N790*Scorecard!$D$14+O790*Scorecard!$D$15+P790*Scorecard!$D$16+Q790*Scorecard!$D$17</f>
        <v>3.02456963831534</v>
      </c>
      <c r="T790" s="47" t="n">
        <f aca="false">L790*Scorecard!$E$12+M790*Scorecard!$E$13+N790*Scorecard!$E$14+O790*Scorecard!$E$15+P790*Scorecard!$E$16+Q790*Scorecard!$E$17</f>
        <v>3.79549413193053</v>
      </c>
      <c r="U790" s="0" t="str">
        <f aca="false">IF(AND(R790&gt;=S790,R790&gt;=T790),"Distribution",IF(T790&gt;=S790,"Prof. services","Manufacturing"))</f>
        <v>Distribution</v>
      </c>
    </row>
    <row r="791" customFormat="false" ht="15" hidden="false" customHeight="false" outlineLevel="0" collapsed="false">
      <c r="A791" s="46" t="n">
        <v>0.217681</v>
      </c>
      <c r="B791" s="46" t="n">
        <v>0.062741</v>
      </c>
      <c r="C791" s="46" t="n">
        <v>0.252513</v>
      </c>
      <c r="D791" s="46" t="n">
        <v>0.279285</v>
      </c>
      <c r="E791" s="46" t="n">
        <v>0.126179</v>
      </c>
      <c r="F791" s="46" t="n">
        <v>0.061602</v>
      </c>
      <c r="G791" s="47" t="n">
        <f aca="false">A791*Scorecard!$C$12+B791*Scorecard!$C$13+C791*Scorecard!$C$14+D791*Scorecard!$C$15+E791*Scorecard!$C$16+F791*Scorecard!$C$17</f>
        <v>3.82699709565801</v>
      </c>
      <c r="H791" s="47" t="n">
        <f aca="false">A791*Scorecard!$D$12+B791*Scorecard!$D$13+C791*Scorecard!$D$14+D791*Scorecard!$D$15+E791*Scorecard!$D$16+F791*Scorecard!$D$17</f>
        <v>3.3225860962116</v>
      </c>
      <c r="I791" s="47" t="n">
        <f aca="false">A791*Scorecard!$E$12+B791*Scorecard!$E$13+C791*Scorecard!$E$14+D791*Scorecard!$E$15+E791*Scorecard!$E$16+F791*Scorecard!$E$17</f>
        <v>4.21885796164444</v>
      </c>
      <c r="J791" s="0" t="str">
        <f aca="false">IF(AND(G791&gt;=H791,G791&gt;=I791),"Distribution",IF(I791&gt;=H791,"Prof. services","Manufacturing"))</f>
        <v>Prof. services</v>
      </c>
      <c r="L791" s="46" t="n">
        <v>0.167782</v>
      </c>
      <c r="M791" s="46" t="n">
        <v>0.126568</v>
      </c>
      <c r="N791" s="46" t="n">
        <v>0.302283</v>
      </c>
      <c r="O791" s="46" t="n">
        <v>0.062269</v>
      </c>
      <c r="P791" s="46" t="n">
        <v>0.262143</v>
      </c>
      <c r="Q791" s="46" t="n">
        <v>0.078956</v>
      </c>
      <c r="R791" s="47" t="n">
        <f aca="false">L791*Scorecard!$C$12+M791*Scorecard!$C$13+N791*Scorecard!$C$14+O791*Scorecard!$C$15+P791*Scorecard!$C$16+Q791*Scorecard!$C$17</f>
        <v>3.7289190072661</v>
      </c>
      <c r="S791" s="47" t="n">
        <f aca="false">L791*Scorecard!$D$12+M791*Scorecard!$D$13+N791*Scorecard!$D$14+O791*Scorecard!$D$15+P791*Scorecard!$D$16+Q791*Scorecard!$D$17</f>
        <v>2.96188457887585</v>
      </c>
      <c r="T791" s="47" t="n">
        <f aca="false">L791*Scorecard!$E$12+M791*Scorecard!$E$13+N791*Scorecard!$E$14+O791*Scorecard!$E$15+P791*Scorecard!$E$16+Q791*Scorecard!$E$17</f>
        <v>3.84547161790803</v>
      </c>
      <c r="U791" s="0" t="str">
        <f aca="false">IF(AND(R791&gt;=S791,R791&gt;=T791),"Distribution",IF(T791&gt;=S791,"Prof. services","Manufacturing"))</f>
        <v>Prof. services</v>
      </c>
    </row>
    <row r="792" customFormat="false" ht="15" hidden="false" customHeight="false" outlineLevel="0" collapsed="false">
      <c r="A792" s="46" t="n">
        <v>0.118284</v>
      </c>
      <c r="B792" s="46" t="n">
        <v>0.047253</v>
      </c>
      <c r="C792" s="46" t="n">
        <v>0.279138</v>
      </c>
      <c r="D792" s="46" t="n">
        <v>0.098622</v>
      </c>
      <c r="E792" s="46" t="n">
        <v>0.229122</v>
      </c>
      <c r="F792" s="46" t="n">
        <v>0.227581</v>
      </c>
      <c r="G792" s="47" t="n">
        <f aca="false">A792*Scorecard!$C$12+B792*Scorecard!$C$13+C792*Scorecard!$C$14+D792*Scorecard!$C$15+E792*Scorecard!$C$16+F792*Scorecard!$C$17</f>
        <v>3.47780011315554</v>
      </c>
      <c r="H792" s="47" t="n">
        <f aca="false">A792*Scorecard!$D$12+B792*Scorecard!$D$13+C792*Scorecard!$D$14+D792*Scorecard!$D$15+E792*Scorecard!$D$16+F792*Scorecard!$D$17</f>
        <v>2.85637692542929</v>
      </c>
      <c r="I792" s="47" t="n">
        <f aca="false">A792*Scorecard!$E$12+B792*Scorecard!$E$13+C792*Scorecard!$E$14+D792*Scorecard!$E$15+E792*Scorecard!$E$16+F792*Scorecard!$E$17</f>
        <v>4.05690024366411</v>
      </c>
      <c r="J792" s="0" t="str">
        <f aca="false">IF(AND(G792&gt;=H792,G792&gt;=I792),"Distribution",IF(I792&gt;=H792,"Prof. services","Manufacturing"))</f>
        <v>Prof. services</v>
      </c>
      <c r="L792" s="46" t="n">
        <v>0.271931</v>
      </c>
      <c r="M792" s="46" t="n">
        <v>0.148772</v>
      </c>
      <c r="N792" s="46" t="n">
        <v>0.10184</v>
      </c>
      <c r="O792" s="46" t="n">
        <v>0.265153</v>
      </c>
      <c r="P792" s="46" t="n">
        <v>0.173665</v>
      </c>
      <c r="Q792" s="46" t="n">
        <v>0.038638</v>
      </c>
      <c r="R792" s="47" t="n">
        <f aca="false">L792*Scorecard!$C$12+M792*Scorecard!$C$13+N792*Scorecard!$C$14+O792*Scorecard!$C$15+P792*Scorecard!$C$16+Q792*Scorecard!$C$17</f>
        <v>3.84716532200044</v>
      </c>
      <c r="S792" s="47" t="n">
        <f aca="false">L792*Scorecard!$D$12+M792*Scorecard!$D$13+N792*Scorecard!$D$14+O792*Scorecard!$D$15+P792*Scorecard!$D$16+Q792*Scorecard!$D$17</f>
        <v>3.26319706065021</v>
      </c>
      <c r="T792" s="47" t="n">
        <f aca="false">L792*Scorecard!$E$12+M792*Scorecard!$E$13+N792*Scorecard!$E$14+O792*Scorecard!$E$15+P792*Scorecard!$E$16+Q792*Scorecard!$E$17</f>
        <v>3.86812375063542</v>
      </c>
      <c r="U792" s="0" t="str">
        <f aca="false">IF(AND(R792&gt;=S792,R792&gt;=T792),"Distribution",IF(T792&gt;=S792,"Prof. services","Manufacturing"))</f>
        <v>Prof. services</v>
      </c>
    </row>
    <row r="793" customFormat="false" ht="15" hidden="false" customHeight="false" outlineLevel="0" collapsed="false">
      <c r="A793" s="46" t="n">
        <v>0.014255</v>
      </c>
      <c r="B793" s="46" t="n">
        <v>0.470367</v>
      </c>
      <c r="C793" s="46" t="n">
        <v>0.045841</v>
      </c>
      <c r="D793" s="46" t="n">
        <v>0.075904</v>
      </c>
      <c r="E793" s="46" t="n">
        <v>0.191913</v>
      </c>
      <c r="F793" s="46" t="n">
        <v>0.20172</v>
      </c>
      <c r="G793" s="47" t="n">
        <f aca="false">A793*Scorecard!$C$12+B793*Scorecard!$C$13+C793*Scorecard!$C$14+D793*Scorecard!$C$15+E793*Scorecard!$C$16+F793*Scorecard!$C$17</f>
        <v>4.11717179670989</v>
      </c>
      <c r="H793" s="47" t="n">
        <f aca="false">A793*Scorecard!$D$12+B793*Scorecard!$D$13+C793*Scorecard!$D$14+D793*Scorecard!$D$15+E793*Scorecard!$D$16+F793*Scorecard!$D$17</f>
        <v>2.15265491333107</v>
      </c>
      <c r="I793" s="47" t="n">
        <f aca="false">A793*Scorecard!$E$12+B793*Scorecard!$E$13+C793*Scorecard!$E$14+D793*Scorecard!$E$15+E793*Scorecard!$E$16+F793*Scorecard!$E$17</f>
        <v>2.97134314102131</v>
      </c>
      <c r="J793" s="0" t="str">
        <f aca="false">IF(AND(G793&gt;=H793,G793&gt;=I793),"Distribution",IF(I793&gt;=H793,"Prof. services","Manufacturing"))</f>
        <v>Distribution</v>
      </c>
      <c r="L793" s="46" t="n">
        <v>0.216075</v>
      </c>
      <c r="M793" s="46" t="n">
        <v>0.20921</v>
      </c>
      <c r="N793" s="46" t="n">
        <v>0.273819</v>
      </c>
      <c r="O793" s="46" t="n">
        <v>0.099086</v>
      </c>
      <c r="P793" s="46" t="n">
        <v>0.087322</v>
      </c>
      <c r="Q793" s="46" t="n">
        <v>0.114488</v>
      </c>
      <c r="R793" s="47" t="n">
        <f aca="false">L793*Scorecard!$C$12+M793*Scorecard!$C$13+N793*Scorecard!$C$14+O793*Scorecard!$C$15+P793*Scorecard!$C$16+Q793*Scorecard!$C$17</f>
        <v>3.69038191856112</v>
      </c>
      <c r="S793" s="47" t="n">
        <f aca="false">L793*Scorecard!$D$12+M793*Scorecard!$D$13+N793*Scorecard!$D$14+O793*Scorecard!$D$15+P793*Scorecard!$D$16+Q793*Scorecard!$D$17</f>
        <v>2.80078487553205</v>
      </c>
      <c r="T793" s="47" t="n">
        <f aca="false">L793*Scorecard!$E$12+M793*Scorecard!$E$13+N793*Scorecard!$E$14+O793*Scorecard!$E$15+P793*Scorecard!$E$16+Q793*Scorecard!$E$17</f>
        <v>4.02547069314858</v>
      </c>
      <c r="U793" s="0" t="str">
        <f aca="false">IF(AND(R793&gt;=S793,R793&gt;=T793),"Distribution",IF(T793&gt;=S793,"Prof. services","Manufacturing"))</f>
        <v>Prof. services</v>
      </c>
    </row>
    <row r="794" customFormat="false" ht="15" hidden="false" customHeight="false" outlineLevel="0" collapsed="false">
      <c r="A794" s="46" t="n">
        <v>0.075105</v>
      </c>
      <c r="B794" s="46" t="n">
        <v>0.074412</v>
      </c>
      <c r="C794" s="46" t="n">
        <v>0.216525</v>
      </c>
      <c r="D794" s="46" t="n">
        <v>0.116487</v>
      </c>
      <c r="E794" s="46" t="n">
        <v>0.189683</v>
      </c>
      <c r="F794" s="46" t="n">
        <v>0.327788</v>
      </c>
      <c r="G794" s="47" t="n">
        <f aca="false">A794*Scorecard!$C$12+B794*Scorecard!$C$13+C794*Scorecard!$C$14+D794*Scorecard!$C$15+E794*Scorecard!$C$16+F794*Scorecard!$C$17</f>
        <v>3.40013292892992</v>
      </c>
      <c r="H794" s="47" t="n">
        <f aca="false">A794*Scorecard!$D$12+B794*Scorecard!$D$13+C794*Scorecard!$D$14+D794*Scorecard!$D$15+E794*Scorecard!$D$16+F794*Scorecard!$D$17</f>
        <v>2.64431379062527</v>
      </c>
      <c r="I794" s="47" t="n">
        <f aca="false">A794*Scorecard!$E$12+B794*Scorecard!$E$13+C794*Scorecard!$E$14+D794*Scorecard!$E$15+E794*Scorecard!$E$16+F794*Scorecard!$E$17</f>
        <v>4.01893615808371</v>
      </c>
      <c r="J794" s="0" t="str">
        <f aca="false">IF(AND(G794&gt;=H794,G794&gt;=I794),"Distribution",IF(I794&gt;=H794,"Prof. services","Manufacturing"))</f>
        <v>Prof. services</v>
      </c>
      <c r="L794" s="46" t="n">
        <v>0.120956</v>
      </c>
      <c r="M794" s="46" t="n">
        <v>0.327756</v>
      </c>
      <c r="N794" s="46" t="n">
        <v>0.254279</v>
      </c>
      <c r="O794" s="46" t="n">
        <v>0.193449</v>
      </c>
      <c r="P794" s="46" t="n">
        <v>0.041767</v>
      </c>
      <c r="Q794" s="46" t="n">
        <v>0.061793</v>
      </c>
      <c r="R794" s="47" t="n">
        <f aca="false">L794*Scorecard!$C$12+M794*Scorecard!$C$13+N794*Scorecard!$C$14+O794*Scorecard!$C$15+P794*Scorecard!$C$16+Q794*Scorecard!$C$17</f>
        <v>4.17989647505023</v>
      </c>
      <c r="S794" s="47" t="n">
        <f aca="false">L794*Scorecard!$D$12+M794*Scorecard!$D$13+N794*Scorecard!$D$14+O794*Scorecard!$D$15+P794*Scorecard!$D$16+Q794*Scorecard!$D$17</f>
        <v>2.73311232090985</v>
      </c>
      <c r="T794" s="47" t="n">
        <f aca="false">L794*Scorecard!$E$12+M794*Scorecard!$E$13+N794*Scorecard!$E$14+O794*Scorecard!$E$15+P794*Scorecard!$E$16+Q794*Scorecard!$E$17</f>
        <v>3.75353172883643</v>
      </c>
      <c r="U794" s="0" t="str">
        <f aca="false">IF(AND(R794&gt;=S794,R794&gt;=T794),"Distribution",IF(T794&gt;=S794,"Prof. services","Manufacturing"))</f>
        <v>Distribution</v>
      </c>
    </row>
    <row r="795" customFormat="false" ht="15" hidden="false" customHeight="false" outlineLevel="0" collapsed="false">
      <c r="A795" s="46" t="n">
        <v>0.148702</v>
      </c>
      <c r="B795" s="46" t="n">
        <v>0.159353</v>
      </c>
      <c r="C795" s="46" t="n">
        <v>0.118108</v>
      </c>
      <c r="D795" s="46" t="n">
        <v>0.085229</v>
      </c>
      <c r="E795" s="46" t="n">
        <v>0.454866</v>
      </c>
      <c r="F795" s="46" t="n">
        <v>0.033742</v>
      </c>
      <c r="G795" s="47" t="n">
        <f aca="false">A795*Scorecard!$C$12+B795*Scorecard!$C$13+C795*Scorecard!$C$14+D795*Scorecard!$C$15+E795*Scorecard!$C$16+F795*Scorecard!$C$17</f>
        <v>3.90943227936539</v>
      </c>
      <c r="H795" s="47" t="n">
        <f aca="false">A795*Scorecard!$D$12+B795*Scorecard!$D$13+C795*Scorecard!$D$14+D795*Scorecard!$D$15+E795*Scorecard!$D$16+F795*Scorecard!$D$17</f>
        <v>3.0587093936665</v>
      </c>
      <c r="I795" s="47" t="n">
        <f aca="false">A795*Scorecard!$E$12+B795*Scorecard!$E$13+C795*Scorecard!$E$14+D795*Scorecard!$E$15+E795*Scorecard!$E$16+F795*Scorecard!$E$17</f>
        <v>3.24067745192061</v>
      </c>
      <c r="J795" s="0" t="str">
        <f aca="false">IF(AND(G795&gt;=H795,G795&gt;=I795),"Distribution",IF(I795&gt;=H795,"Prof. services","Manufacturing"))</f>
        <v>Distribution</v>
      </c>
      <c r="L795" s="46" t="n">
        <v>0.158531</v>
      </c>
      <c r="M795" s="46" t="n">
        <v>0.111216</v>
      </c>
      <c r="N795" s="46" t="n">
        <v>0.228562</v>
      </c>
      <c r="O795" s="46" t="n">
        <v>0.162778</v>
      </c>
      <c r="P795" s="46" t="n">
        <v>0.187417</v>
      </c>
      <c r="Q795" s="46" t="n">
        <v>0.151496</v>
      </c>
      <c r="R795" s="47" t="n">
        <f aca="false">L795*Scorecard!$C$12+M795*Scorecard!$C$13+N795*Scorecard!$C$14+O795*Scorecard!$C$15+P795*Scorecard!$C$16+Q795*Scorecard!$C$17</f>
        <v>3.68564393919432</v>
      </c>
      <c r="S795" s="47" t="n">
        <f aca="false">L795*Scorecard!$D$12+M795*Scorecard!$D$13+N795*Scorecard!$D$14+O795*Scorecard!$D$15+P795*Scorecard!$D$16+Q795*Scorecard!$D$17</f>
        <v>2.96144891303264</v>
      </c>
      <c r="T795" s="47" t="n">
        <f aca="false">L795*Scorecard!$E$12+M795*Scorecard!$E$13+N795*Scorecard!$E$14+O795*Scorecard!$E$15+P795*Scorecard!$E$16+Q795*Scorecard!$E$17</f>
        <v>3.96859752881902</v>
      </c>
      <c r="U795" s="0" t="str">
        <f aca="false">IF(AND(R795&gt;=S795,R795&gt;=T795),"Distribution",IF(T795&gt;=S795,"Prof. services","Manufacturing"))</f>
        <v>Prof. services</v>
      </c>
    </row>
    <row r="796" customFormat="false" ht="15" hidden="false" customHeight="false" outlineLevel="0" collapsed="false">
      <c r="A796" s="46" t="n">
        <v>0.208105</v>
      </c>
      <c r="B796" s="46" t="n">
        <v>0.088088</v>
      </c>
      <c r="C796" s="46" t="n">
        <v>0.098479</v>
      </c>
      <c r="D796" s="46" t="n">
        <v>0.447337</v>
      </c>
      <c r="E796" s="46" t="n">
        <v>0.073304</v>
      </c>
      <c r="F796" s="46" t="n">
        <v>0.084687</v>
      </c>
      <c r="G796" s="47" t="n">
        <f aca="false">A796*Scorecard!$C$12+B796*Scorecard!$C$13+C796*Scorecard!$C$14+D796*Scorecard!$C$15+E796*Scorecard!$C$16+F796*Scorecard!$C$17</f>
        <v>3.99145903222105</v>
      </c>
      <c r="H796" s="47" t="n">
        <f aca="false">A796*Scorecard!$D$12+B796*Scorecard!$D$13+C796*Scorecard!$D$14+D796*Scorecard!$D$15+E796*Scorecard!$D$16+F796*Scorecard!$D$17</f>
        <v>3.42050319626652</v>
      </c>
      <c r="I796" s="47" t="n">
        <f aca="false">A796*Scorecard!$E$12+B796*Scorecard!$E$13+C796*Scorecard!$E$14+D796*Scorecard!$E$15+E796*Scorecard!$E$16+F796*Scorecard!$E$17</f>
        <v>4.13495000098015</v>
      </c>
      <c r="J796" s="0" t="str">
        <f aca="false">IF(AND(G796&gt;=H796,G796&gt;=I796),"Distribution",IF(I796&gt;=H796,"Prof. services","Manufacturing"))</f>
        <v>Prof. services</v>
      </c>
      <c r="L796" s="46" t="n">
        <v>0.193263</v>
      </c>
      <c r="M796" s="46" t="n">
        <v>0.346676</v>
      </c>
      <c r="N796" s="46" t="n">
        <v>0.128507</v>
      </c>
      <c r="O796" s="46" t="n">
        <v>0.08608</v>
      </c>
      <c r="P796" s="46" t="n">
        <v>0.124791</v>
      </c>
      <c r="Q796" s="46" t="n">
        <v>0.120682</v>
      </c>
      <c r="R796" s="47" t="n">
        <f aca="false">L796*Scorecard!$C$12+M796*Scorecard!$C$13+N796*Scorecard!$C$14+O796*Scorecard!$C$15+P796*Scorecard!$C$16+Q796*Scorecard!$C$17</f>
        <v>3.84351184388235</v>
      </c>
      <c r="S796" s="47" t="n">
        <f aca="false">L796*Scorecard!$D$12+M796*Scorecard!$D$13+N796*Scorecard!$D$14+O796*Scorecard!$D$15+P796*Scorecard!$D$16+Q796*Scorecard!$D$17</f>
        <v>2.56751907443934</v>
      </c>
      <c r="T796" s="47" t="n">
        <f aca="false">L796*Scorecard!$E$12+M796*Scorecard!$E$13+N796*Scorecard!$E$14+O796*Scorecard!$E$15+P796*Scorecard!$E$16+Q796*Scorecard!$E$17</f>
        <v>3.53802742523367</v>
      </c>
      <c r="U796" s="0" t="str">
        <f aca="false">IF(AND(R796&gt;=S796,R796&gt;=T796),"Distribution",IF(T796&gt;=S796,"Prof. services","Manufacturing"))</f>
        <v>Distribution</v>
      </c>
    </row>
    <row r="797" customFormat="false" ht="15" hidden="false" customHeight="false" outlineLevel="0" collapsed="false">
      <c r="A797" s="46" t="n">
        <v>0.092331</v>
      </c>
      <c r="B797" s="46" t="n">
        <v>0.194024</v>
      </c>
      <c r="C797" s="46" t="n">
        <v>0.077682</v>
      </c>
      <c r="D797" s="46" t="n">
        <v>0.288636</v>
      </c>
      <c r="E797" s="46" t="n">
        <v>0.144553</v>
      </c>
      <c r="F797" s="46" t="n">
        <v>0.202774</v>
      </c>
      <c r="G797" s="47" t="n">
        <f aca="false">A797*Scorecard!$C$12+B797*Scorecard!$C$13+C797*Scorecard!$C$14+D797*Scorecard!$C$15+E797*Scorecard!$C$16+F797*Scorecard!$C$17</f>
        <v>3.91091488327047</v>
      </c>
      <c r="H797" s="47" t="n">
        <f aca="false">A797*Scorecard!$D$12+B797*Scorecard!$D$13+C797*Scorecard!$D$14+D797*Scorecard!$D$15+E797*Scorecard!$D$16+F797*Scorecard!$D$17</f>
        <v>2.8479189951779</v>
      </c>
      <c r="I797" s="47" t="n">
        <f aca="false">A797*Scorecard!$E$12+B797*Scorecard!$E$13+C797*Scorecard!$E$14+D797*Scorecard!$E$15+E797*Scorecard!$E$16+F797*Scorecard!$E$17</f>
        <v>3.71393746446656</v>
      </c>
      <c r="J797" s="0" t="str">
        <f aca="false">IF(AND(G797&gt;=H797,G797&gt;=I797),"Distribution",IF(I797&gt;=H797,"Prof. services","Manufacturing"))</f>
        <v>Distribution</v>
      </c>
      <c r="L797" s="46" t="n">
        <v>0.114046</v>
      </c>
      <c r="M797" s="46" t="n">
        <v>0.17048</v>
      </c>
      <c r="N797" s="46" t="n">
        <v>0.187715</v>
      </c>
      <c r="O797" s="46" t="n">
        <v>0.183593</v>
      </c>
      <c r="P797" s="46" t="n">
        <v>0.138557</v>
      </c>
      <c r="Q797" s="46" t="n">
        <v>0.205607</v>
      </c>
      <c r="R797" s="47" t="n">
        <f aca="false">L797*Scorecard!$C$12+M797*Scorecard!$C$13+N797*Scorecard!$C$14+O797*Scorecard!$C$15+P797*Scorecard!$C$16+Q797*Scorecard!$C$17</f>
        <v>3.73756657359353</v>
      </c>
      <c r="S797" s="47" t="n">
        <f aca="false">L797*Scorecard!$D$12+M797*Scorecard!$D$13+N797*Scorecard!$D$14+O797*Scorecard!$D$15+P797*Scorecard!$D$16+Q797*Scorecard!$D$17</f>
        <v>2.76974613996994</v>
      </c>
      <c r="T797" s="47" t="n">
        <f aca="false">L797*Scorecard!$E$12+M797*Scorecard!$E$13+N797*Scorecard!$E$14+O797*Scorecard!$E$15+P797*Scorecard!$E$16+Q797*Scorecard!$E$17</f>
        <v>3.884007497229</v>
      </c>
      <c r="U797" s="0" t="str">
        <f aca="false">IF(AND(R797&gt;=S797,R797&gt;=T797),"Distribution",IF(T797&gt;=S797,"Prof. services","Manufacturing"))</f>
        <v>Prof. services</v>
      </c>
    </row>
    <row r="798" customFormat="false" ht="15" hidden="false" customHeight="false" outlineLevel="0" collapsed="false">
      <c r="A798" s="46" t="n">
        <v>0.249073</v>
      </c>
      <c r="B798" s="46" t="n">
        <v>0.440721</v>
      </c>
      <c r="C798" s="46" t="n">
        <v>0.019754</v>
      </c>
      <c r="D798" s="46" t="n">
        <v>0.20658</v>
      </c>
      <c r="E798" s="46" t="n">
        <v>0.00369</v>
      </c>
      <c r="F798" s="46" t="n">
        <v>0.080182</v>
      </c>
      <c r="G798" s="47" t="n">
        <f aca="false">A798*Scorecard!$C$12+B798*Scorecard!$C$13+C798*Scorecard!$C$14+D798*Scorecard!$C$15+E798*Scorecard!$C$16+F798*Scorecard!$C$17</f>
        <v>4.03860204797767</v>
      </c>
      <c r="H798" s="47" t="n">
        <f aca="false">A798*Scorecard!$D$12+B798*Scorecard!$D$13+C798*Scorecard!$D$14+D798*Scorecard!$D$15+E798*Scorecard!$D$16+F798*Scorecard!$D$17</f>
        <v>2.62310434605629</v>
      </c>
      <c r="I798" s="47" t="n">
        <f aca="false">A798*Scorecard!$E$12+B798*Scorecard!$E$13+C798*Scorecard!$E$14+D798*Scorecard!$E$15+E798*Scorecard!$E$16+F798*Scorecard!$E$17</f>
        <v>3.510059080959</v>
      </c>
      <c r="J798" s="0" t="str">
        <f aca="false">IF(AND(G798&gt;=H798,G798&gt;=I798),"Distribution",IF(I798&gt;=H798,"Prof. services","Manufacturing"))</f>
        <v>Distribution</v>
      </c>
      <c r="L798" s="46" t="n">
        <v>0.235388</v>
      </c>
      <c r="M798" s="46" t="n">
        <v>0.20476</v>
      </c>
      <c r="N798" s="46" t="n">
        <v>0.259667</v>
      </c>
      <c r="O798" s="46" t="n">
        <v>0.053837</v>
      </c>
      <c r="P798" s="46" t="n">
        <v>0.191338</v>
      </c>
      <c r="Q798" s="46" t="n">
        <v>0.055011</v>
      </c>
      <c r="R798" s="47" t="n">
        <f aca="false">L798*Scorecard!$C$12+M798*Scorecard!$C$13+N798*Scorecard!$C$14+O798*Scorecard!$C$15+P798*Scorecard!$C$16+Q798*Scorecard!$C$17</f>
        <v>3.72487724313903</v>
      </c>
      <c r="S798" s="47" t="n">
        <f aca="false">L798*Scorecard!$D$12+M798*Scorecard!$D$13+N798*Scorecard!$D$14+O798*Scorecard!$D$15+P798*Scorecard!$D$16+Q798*Scorecard!$D$17</f>
        <v>2.89172991262202</v>
      </c>
      <c r="T798" s="47" t="n">
        <f aca="false">L798*Scorecard!$E$12+M798*Scorecard!$E$13+N798*Scorecard!$E$14+O798*Scorecard!$E$15+P798*Scorecard!$E$16+Q798*Scorecard!$E$17</f>
        <v>3.82845773273876</v>
      </c>
      <c r="U798" s="0" t="str">
        <f aca="false">IF(AND(R798&gt;=S798,R798&gt;=T798),"Distribution",IF(T798&gt;=S798,"Prof. services","Manufacturing"))</f>
        <v>Prof. services</v>
      </c>
    </row>
    <row r="799" customFormat="false" ht="15" hidden="false" customHeight="false" outlineLevel="0" collapsed="false">
      <c r="A799" s="46" t="n">
        <v>0.330132</v>
      </c>
      <c r="B799" s="46" t="n">
        <v>0.091512</v>
      </c>
      <c r="C799" s="46" t="n">
        <v>0.276314</v>
      </c>
      <c r="D799" s="46" t="n">
        <v>0.138529</v>
      </c>
      <c r="E799" s="46" t="n">
        <v>0.067892</v>
      </c>
      <c r="F799" s="46" t="n">
        <v>0.095622</v>
      </c>
      <c r="G799" s="47" t="n">
        <f aca="false">A799*Scorecard!$C$12+B799*Scorecard!$C$13+C799*Scorecard!$C$14+D799*Scorecard!$C$15+E799*Scorecard!$C$16+F799*Scorecard!$C$17</f>
        <v>3.44455869199778</v>
      </c>
      <c r="H799" s="47" t="n">
        <f aca="false">A799*Scorecard!$D$12+B799*Scorecard!$D$13+C799*Scorecard!$D$14+D799*Scorecard!$D$15+E799*Scorecard!$D$16+F799*Scorecard!$D$17</f>
        <v>3.12027622758955</v>
      </c>
      <c r="I799" s="47" t="n">
        <f aca="false">A799*Scorecard!$E$12+B799*Scorecard!$E$13+C799*Scorecard!$E$14+D799*Scorecard!$E$15+E799*Scorecard!$E$16+F799*Scorecard!$E$17</f>
        <v>4.39220292942635</v>
      </c>
      <c r="J799" s="0" t="str">
        <f aca="false">IF(AND(G799&gt;=H799,G799&gt;=I799),"Distribution",IF(I799&gt;=H799,"Prof. services","Manufacturing"))</f>
        <v>Prof. services</v>
      </c>
      <c r="L799" s="46" t="n">
        <v>0.282466</v>
      </c>
      <c r="M799" s="46" t="n">
        <v>0.087935</v>
      </c>
      <c r="N799" s="46" t="n">
        <v>0.247027</v>
      </c>
      <c r="O799" s="46" t="n">
        <v>0.092749</v>
      </c>
      <c r="P799" s="46" t="n">
        <v>0.2594</v>
      </c>
      <c r="Q799" s="46" t="n">
        <v>0.030423</v>
      </c>
      <c r="R799" s="47" t="n">
        <f aca="false">L799*Scorecard!$C$12+M799*Scorecard!$C$13+N799*Scorecard!$C$14+O799*Scorecard!$C$15+P799*Scorecard!$C$16+Q799*Scorecard!$C$17</f>
        <v>3.61139517176113</v>
      </c>
      <c r="S799" s="47" t="n">
        <f aca="false">L799*Scorecard!$D$12+M799*Scorecard!$D$13+N799*Scorecard!$D$14+O799*Scorecard!$D$15+P799*Scorecard!$D$16+Q799*Scorecard!$D$17</f>
        <v>3.2027942671801</v>
      </c>
      <c r="T799" s="47" t="n">
        <f aca="false">L799*Scorecard!$E$12+M799*Scorecard!$E$13+N799*Scorecard!$E$14+O799*Scorecard!$E$15+P799*Scorecard!$E$16+Q799*Scorecard!$E$17</f>
        <v>3.96266243854949</v>
      </c>
      <c r="U799" s="0" t="str">
        <f aca="false">IF(AND(R799&gt;=S799,R799&gt;=T799),"Distribution",IF(T799&gt;=S799,"Prof. services","Manufacturing"))</f>
        <v>Prof. services</v>
      </c>
    </row>
    <row r="800" customFormat="false" ht="15" hidden="false" customHeight="false" outlineLevel="0" collapsed="false">
      <c r="A800" s="46" t="n">
        <v>0.111818</v>
      </c>
      <c r="B800" s="46" t="n">
        <v>0.173244</v>
      </c>
      <c r="C800" s="46" t="n">
        <v>0.071361</v>
      </c>
      <c r="D800" s="46" t="n">
        <v>0.078276</v>
      </c>
      <c r="E800" s="46" t="n">
        <v>0.525173</v>
      </c>
      <c r="F800" s="46" t="n">
        <v>0.040129</v>
      </c>
      <c r="G800" s="47" t="n">
        <f aca="false">A800*Scorecard!$C$12+B800*Scorecard!$C$13+C800*Scorecard!$C$14+D800*Scorecard!$C$15+E800*Scorecard!$C$16+F800*Scorecard!$C$17</f>
        <v>3.96999200536697</v>
      </c>
      <c r="H800" s="47" t="n">
        <f aca="false">A800*Scorecard!$D$12+B800*Scorecard!$D$13+C800*Scorecard!$D$14+D800*Scorecard!$D$15+E800*Scorecard!$D$16+F800*Scorecard!$D$17</f>
        <v>3.01930437095406</v>
      </c>
      <c r="I800" s="47" t="n">
        <f aca="false">A800*Scorecard!$E$12+B800*Scorecard!$E$13+C800*Scorecard!$E$14+D800*Scorecard!$E$15+E800*Scorecard!$E$16+F800*Scorecard!$E$17</f>
        <v>3.01587077347959</v>
      </c>
      <c r="J800" s="0" t="str">
        <f aca="false">IF(AND(G800&gt;=H800,G800&gt;=I800),"Distribution",IF(I800&gt;=H800,"Prof. services","Manufacturing"))</f>
        <v>Distribution</v>
      </c>
      <c r="L800" s="46" t="n">
        <v>0.206743</v>
      </c>
      <c r="M800" s="46" t="n">
        <v>0.270767</v>
      </c>
      <c r="N800" s="46" t="n">
        <v>0.234526</v>
      </c>
      <c r="O800" s="46" t="n">
        <v>0.175148</v>
      </c>
      <c r="P800" s="46" t="n">
        <v>0.07544</v>
      </c>
      <c r="Q800" s="46" t="n">
        <v>0.037376</v>
      </c>
      <c r="R800" s="47" t="n">
        <f aca="false">L800*Scorecard!$C$12+M800*Scorecard!$C$13+N800*Scorecard!$C$14+O800*Scorecard!$C$15+P800*Scorecard!$C$16+Q800*Scorecard!$C$17</f>
        <v>3.99902265164448</v>
      </c>
      <c r="S800" s="47" t="n">
        <f aca="false">L800*Scorecard!$D$12+M800*Scorecard!$D$13+N800*Scorecard!$D$14+O800*Scorecard!$D$15+P800*Scorecard!$D$16+Q800*Scorecard!$D$17</f>
        <v>2.90198328815596</v>
      </c>
      <c r="T800" s="47" t="n">
        <f aca="false">L800*Scorecard!$E$12+M800*Scorecard!$E$13+N800*Scorecard!$E$14+O800*Scorecard!$E$15+P800*Scorecard!$E$16+Q800*Scorecard!$E$17</f>
        <v>3.8551200386252</v>
      </c>
      <c r="U800" s="0" t="str">
        <f aca="false">IF(AND(R800&gt;=S800,R800&gt;=T800),"Distribution",IF(T800&gt;=S800,"Prof. services","Manufacturing"))</f>
        <v>Distribution</v>
      </c>
    </row>
    <row r="801" customFormat="false" ht="15" hidden="false" customHeight="false" outlineLevel="0" collapsed="false">
      <c r="A801" s="46" t="n">
        <v>0.16899</v>
      </c>
      <c r="B801" s="46" t="n">
        <v>0.258319</v>
      </c>
      <c r="C801" s="46" t="n">
        <v>0.289648</v>
      </c>
      <c r="D801" s="46" t="n">
        <v>0.116316</v>
      </c>
      <c r="E801" s="46" t="n">
        <v>0.139089</v>
      </c>
      <c r="F801" s="46" t="n">
        <v>0.027638</v>
      </c>
      <c r="G801" s="47" t="n">
        <f aca="false">A801*Scorecard!$C$12+B801*Scorecard!$C$13+C801*Scorecard!$C$14+D801*Scorecard!$C$15+E801*Scorecard!$C$16+F801*Scorecard!$C$17</f>
        <v>4.01517459003885</v>
      </c>
      <c r="H801" s="47" t="n">
        <f aca="false">A801*Scorecard!$D$12+B801*Scorecard!$D$13+C801*Scorecard!$D$14+D801*Scorecard!$D$15+E801*Scorecard!$D$16+F801*Scorecard!$D$17</f>
        <v>2.86344703997429</v>
      </c>
      <c r="I801" s="47" t="n">
        <f aca="false">A801*Scorecard!$E$12+B801*Scorecard!$E$13+C801*Scorecard!$E$14+D801*Scorecard!$E$15+E801*Scorecard!$E$16+F801*Scorecard!$E$17</f>
        <v>3.7752307510811</v>
      </c>
      <c r="J801" s="0" t="str">
        <f aca="false">IF(AND(G801&gt;=H801,G801&gt;=I801),"Distribution",IF(I801&gt;=H801,"Prof. services","Manufacturing"))</f>
        <v>Distribution</v>
      </c>
      <c r="L801" s="46" t="n">
        <v>0.263486</v>
      </c>
      <c r="M801" s="46" t="n">
        <v>0.246736</v>
      </c>
      <c r="N801" s="46" t="n">
        <v>0.147144</v>
      </c>
      <c r="O801" s="46" t="n">
        <v>0.09599</v>
      </c>
      <c r="P801" s="46" t="n">
        <v>0.161909</v>
      </c>
      <c r="Q801" s="46" t="n">
        <v>0.084735</v>
      </c>
      <c r="R801" s="47" t="n">
        <f aca="false">L801*Scorecard!$C$12+M801*Scorecard!$C$13+N801*Scorecard!$C$14+O801*Scorecard!$C$15+P801*Scorecard!$C$16+Q801*Scorecard!$C$17</f>
        <v>3.69897744243432</v>
      </c>
      <c r="S801" s="47" t="n">
        <f aca="false">L801*Scorecard!$D$12+M801*Scorecard!$D$13+N801*Scorecard!$D$14+O801*Scorecard!$D$15+P801*Scorecard!$D$16+Q801*Scorecard!$D$17</f>
        <v>2.84168334190647</v>
      </c>
      <c r="T801" s="47" t="n">
        <f aca="false">L801*Scorecard!$E$12+M801*Scorecard!$E$13+N801*Scorecard!$E$14+O801*Scorecard!$E$15+P801*Scorecard!$E$16+Q801*Scorecard!$E$17</f>
        <v>3.73612714315271</v>
      </c>
      <c r="U801" s="0" t="str">
        <f aca="false">IF(AND(R801&gt;=S801,R801&gt;=T801),"Distribution",IF(T801&gt;=S801,"Prof. services","Manufacturing"))</f>
        <v>Prof. services</v>
      </c>
    </row>
    <row r="802" customFormat="false" ht="15" hidden="false" customHeight="false" outlineLevel="0" collapsed="false">
      <c r="A802" s="46" t="n">
        <v>0.107724</v>
      </c>
      <c r="B802" s="46" t="n">
        <v>0.434988</v>
      </c>
      <c r="C802" s="46" t="n">
        <v>0.233046</v>
      </c>
      <c r="D802" s="46" t="n">
        <v>0.067939</v>
      </c>
      <c r="E802" s="46" t="n">
        <v>0.00785</v>
      </c>
      <c r="F802" s="46" t="n">
        <v>0.148452</v>
      </c>
      <c r="G802" s="47" t="n">
        <f aca="false">A802*Scorecard!$C$12+B802*Scorecard!$C$13+C802*Scorecard!$C$14+D802*Scorecard!$C$15+E802*Scorecard!$C$16+F802*Scorecard!$C$17</f>
        <v>4.01211426375137</v>
      </c>
      <c r="H802" s="47" t="n">
        <f aca="false">A802*Scorecard!$D$12+B802*Scorecard!$D$13+C802*Scorecard!$D$14+D802*Scorecard!$D$15+E802*Scorecard!$D$16+F802*Scorecard!$D$17</f>
        <v>2.27682377769796</v>
      </c>
      <c r="I802" s="47" t="n">
        <f aca="false">A802*Scorecard!$E$12+B802*Scorecard!$E$13+C802*Scorecard!$E$14+D802*Scorecard!$E$15+E802*Scorecard!$E$16+F802*Scorecard!$E$17</f>
        <v>3.59720008103402</v>
      </c>
      <c r="J802" s="0" t="str">
        <f aca="false">IF(AND(G802&gt;=H802,G802&gt;=I802),"Distribution",IF(I802&gt;=H802,"Prof. services","Manufacturing"))</f>
        <v>Distribution</v>
      </c>
      <c r="L802" s="46" t="n">
        <v>0.278458</v>
      </c>
      <c r="M802" s="46" t="n">
        <v>0.227374</v>
      </c>
      <c r="N802" s="46" t="n">
        <v>0.187917</v>
      </c>
      <c r="O802" s="46" t="n">
        <v>0.190813</v>
      </c>
      <c r="P802" s="46" t="n">
        <v>0.070495</v>
      </c>
      <c r="Q802" s="46" t="n">
        <v>0.044944</v>
      </c>
      <c r="R802" s="47" t="n">
        <f aca="false">L802*Scorecard!$C$12+M802*Scorecard!$C$13+N802*Scorecard!$C$14+O802*Scorecard!$C$15+P802*Scorecard!$C$16+Q802*Scorecard!$C$17</f>
        <v>3.82707462891909</v>
      </c>
      <c r="S802" s="47" t="n">
        <f aca="false">L802*Scorecard!$D$12+M802*Scorecard!$D$13+N802*Scorecard!$D$14+O802*Scorecard!$D$15+P802*Scorecard!$D$16+Q802*Scorecard!$D$17</f>
        <v>3.01962465948758</v>
      </c>
      <c r="T802" s="47" t="n">
        <f aca="false">L802*Scorecard!$E$12+M802*Scorecard!$E$13+N802*Scorecard!$E$14+O802*Scorecard!$E$15+P802*Scorecard!$E$16+Q802*Scorecard!$E$17</f>
        <v>3.97621386251375</v>
      </c>
      <c r="U802" s="0" t="str">
        <f aca="false">IF(AND(R802&gt;=S802,R802&gt;=T802),"Distribution",IF(T802&gt;=S802,"Prof. services","Manufacturing"))</f>
        <v>Prof. services</v>
      </c>
    </row>
    <row r="803" customFormat="false" ht="15" hidden="false" customHeight="false" outlineLevel="0" collapsed="false">
      <c r="A803" s="46" t="n">
        <v>0.041856</v>
      </c>
      <c r="B803" s="46" t="n">
        <v>0.005514</v>
      </c>
      <c r="C803" s="46" t="n">
        <v>0.424451</v>
      </c>
      <c r="D803" s="46" t="n">
        <v>0.386664</v>
      </c>
      <c r="E803" s="46" t="n">
        <v>0.081778</v>
      </c>
      <c r="F803" s="46" t="n">
        <v>0.059737</v>
      </c>
      <c r="G803" s="47" t="n">
        <f aca="false">A803*Scorecard!$C$12+B803*Scorecard!$C$13+C803*Scorecard!$C$14+D803*Scorecard!$C$15+E803*Scorecard!$C$16+F803*Scorecard!$C$17</f>
        <v>4.19736260309288</v>
      </c>
      <c r="H803" s="47" t="n">
        <f aca="false">A803*Scorecard!$D$12+B803*Scorecard!$D$13+C803*Scorecard!$D$14+D803*Scorecard!$D$15+E803*Scorecard!$D$16+F803*Scorecard!$D$17</f>
        <v>3.4046434189209</v>
      </c>
      <c r="I803" s="47" t="n">
        <f aca="false">A803*Scorecard!$E$12+B803*Scorecard!$E$13+C803*Scorecard!$E$14+D803*Scorecard!$E$15+E803*Scorecard!$E$16+F803*Scorecard!$E$17</f>
        <v>4.4129923715286</v>
      </c>
      <c r="J803" s="0" t="str">
        <f aca="false">IF(AND(G803&gt;=H803,G803&gt;=I803),"Distribution",IF(I803&gt;=H803,"Prof. services","Manufacturing"))</f>
        <v>Prof. services</v>
      </c>
      <c r="L803" s="46" t="n">
        <v>0.268336</v>
      </c>
      <c r="M803" s="46" t="n">
        <v>0.171801</v>
      </c>
      <c r="N803" s="46" t="n">
        <v>0.17622</v>
      </c>
      <c r="O803" s="46" t="n">
        <v>0.067281</v>
      </c>
      <c r="P803" s="46" t="n">
        <v>0.206233</v>
      </c>
      <c r="Q803" s="46" t="n">
        <v>0.110129</v>
      </c>
      <c r="R803" s="47" t="n">
        <f aca="false">L803*Scorecard!$C$12+M803*Scorecard!$C$13+N803*Scorecard!$C$14+O803*Scorecard!$C$15+P803*Scorecard!$C$16+Q803*Scorecard!$C$17</f>
        <v>3.53581537326862</v>
      </c>
      <c r="S803" s="47" t="n">
        <f aca="false">L803*Scorecard!$D$12+M803*Scorecard!$D$13+N803*Scorecard!$D$14+O803*Scorecard!$D$15+P803*Scorecard!$D$16+Q803*Scorecard!$D$17</f>
        <v>2.90081353602638</v>
      </c>
      <c r="T803" s="47" t="n">
        <f aca="false">L803*Scorecard!$E$12+M803*Scorecard!$E$13+N803*Scorecard!$E$14+O803*Scorecard!$E$15+P803*Scorecard!$E$16+Q803*Scorecard!$E$17</f>
        <v>3.84471252070395</v>
      </c>
      <c r="U803" s="0" t="str">
        <f aca="false">IF(AND(R803&gt;=S803,R803&gt;=T803),"Distribution",IF(T803&gt;=S803,"Prof. services","Manufacturing"))</f>
        <v>Prof. services</v>
      </c>
    </row>
    <row r="804" customFormat="false" ht="15" hidden="false" customHeight="false" outlineLevel="0" collapsed="false">
      <c r="A804" s="46" t="n">
        <v>0.146182</v>
      </c>
      <c r="B804" s="46" t="n">
        <v>0.074102</v>
      </c>
      <c r="C804" s="46" t="n">
        <v>0.075929</v>
      </c>
      <c r="D804" s="46" t="n">
        <v>0.073704</v>
      </c>
      <c r="E804" s="46" t="n">
        <v>0.163675</v>
      </c>
      <c r="F804" s="46" t="n">
        <v>0.466408</v>
      </c>
      <c r="G804" s="47" t="n">
        <f aca="false">A804*Scorecard!$C$12+B804*Scorecard!$C$13+C804*Scorecard!$C$14+D804*Scorecard!$C$15+E804*Scorecard!$C$16+F804*Scorecard!$C$17</f>
        <v>2.95186031530303</v>
      </c>
      <c r="H804" s="47" t="n">
        <f aca="false">A804*Scorecard!$D$12+B804*Scorecard!$D$13+C804*Scorecard!$D$14+D804*Scorecard!$D$15+E804*Scorecard!$D$16+F804*Scorecard!$D$17</f>
        <v>2.42560225061797</v>
      </c>
      <c r="I804" s="47" t="n">
        <f aca="false">A804*Scorecard!$E$12+B804*Scorecard!$E$13+C804*Scorecard!$E$14+D804*Scorecard!$E$15+E804*Scorecard!$E$16+F804*Scorecard!$E$17</f>
        <v>4.05563412782067</v>
      </c>
      <c r="J804" s="0" t="str">
        <f aca="false">IF(AND(G804&gt;=H804,G804&gt;=I804),"Distribution",IF(I804&gt;=H804,"Prof. services","Manufacturing"))</f>
        <v>Prof. services</v>
      </c>
      <c r="L804" s="46" t="n">
        <v>0.17135</v>
      </c>
      <c r="M804" s="46" t="n">
        <v>0.154732</v>
      </c>
      <c r="N804" s="46" t="n">
        <v>0.319574</v>
      </c>
      <c r="O804" s="46" t="n">
        <v>0.101448</v>
      </c>
      <c r="P804" s="46" t="n">
        <v>0.064013</v>
      </c>
      <c r="Q804" s="46" t="n">
        <v>0.188883</v>
      </c>
      <c r="R804" s="47" t="n">
        <f aca="false">L804*Scorecard!$C$12+M804*Scorecard!$C$13+N804*Scorecard!$C$14+O804*Scorecard!$C$15+P804*Scorecard!$C$16+Q804*Scorecard!$C$17</f>
        <v>3.56998155638296</v>
      </c>
      <c r="S804" s="47" t="n">
        <f aca="false">L804*Scorecard!$D$12+M804*Scorecard!$D$13+N804*Scorecard!$D$14+O804*Scorecard!$D$15+P804*Scorecard!$D$16+Q804*Scorecard!$D$17</f>
        <v>2.73638558793684</v>
      </c>
      <c r="T804" s="47" t="n">
        <f aca="false">L804*Scorecard!$E$12+M804*Scorecard!$E$13+N804*Scorecard!$E$14+O804*Scorecard!$E$15+P804*Scorecard!$E$16+Q804*Scorecard!$E$17</f>
        <v>4.20511241283977</v>
      </c>
      <c r="U804" s="0" t="str">
        <f aca="false">IF(AND(R804&gt;=S804,R804&gt;=T804),"Distribution",IF(T804&gt;=S804,"Prof. services","Manufacturing"))</f>
        <v>Prof. services</v>
      </c>
    </row>
    <row r="805" customFormat="false" ht="15" hidden="false" customHeight="false" outlineLevel="0" collapsed="false">
      <c r="A805" s="46" t="n">
        <v>0.117839</v>
      </c>
      <c r="B805" s="46" t="n">
        <v>0.548729</v>
      </c>
      <c r="C805" s="46" t="n">
        <v>0.030832</v>
      </c>
      <c r="D805" s="46" t="n">
        <v>0.146427</v>
      </c>
      <c r="E805" s="46" t="n">
        <v>0.01385</v>
      </c>
      <c r="F805" s="46" t="n">
        <v>0.142323</v>
      </c>
      <c r="G805" s="47" t="n">
        <f aca="false">A805*Scorecard!$C$12+B805*Scorecard!$C$13+C805*Scorecard!$C$14+D805*Scorecard!$C$15+E805*Scorecard!$C$16+F805*Scorecard!$C$17</f>
        <v>4.19839811950167</v>
      </c>
      <c r="H805" s="47" t="n">
        <f aca="false">A805*Scorecard!$D$12+B805*Scorecard!$D$13+C805*Scorecard!$D$14+D805*Scorecard!$D$15+E805*Scorecard!$D$16+F805*Scorecard!$D$17</f>
        <v>2.21483720342447</v>
      </c>
      <c r="I805" s="47" t="n">
        <f aca="false">A805*Scorecard!$E$12+B805*Scorecard!$E$13+C805*Scorecard!$E$14+D805*Scorecard!$E$15+E805*Scorecard!$E$16+F805*Scorecard!$E$17</f>
        <v>3.19159006453723</v>
      </c>
      <c r="J805" s="0" t="str">
        <f aca="false">IF(AND(G805&gt;=H805,G805&gt;=I805),"Distribution",IF(I805&gt;=H805,"Prof. services","Manufacturing"))</f>
        <v>Distribution</v>
      </c>
      <c r="L805" s="46" t="n">
        <v>0.260464</v>
      </c>
      <c r="M805" s="46" t="n">
        <v>0.114802</v>
      </c>
      <c r="N805" s="46" t="n">
        <v>0.34026</v>
      </c>
      <c r="O805" s="46" t="n">
        <v>0.107012</v>
      </c>
      <c r="P805" s="46" t="n">
        <v>0.080395</v>
      </c>
      <c r="Q805" s="46" t="n">
        <v>0.097067</v>
      </c>
      <c r="R805" s="47" t="n">
        <f aca="false">L805*Scorecard!$C$12+M805*Scorecard!$C$13+N805*Scorecard!$C$14+O805*Scorecard!$C$15+P805*Scorecard!$C$16+Q805*Scorecard!$C$17</f>
        <v>3.55884108553097</v>
      </c>
      <c r="S805" s="47" t="n">
        <f aca="false">L805*Scorecard!$D$12+M805*Scorecard!$D$13+N805*Scorecard!$D$14+O805*Scorecard!$D$15+P805*Scorecard!$D$16+Q805*Scorecard!$D$17</f>
        <v>3.00481054880839</v>
      </c>
      <c r="T805" s="47" t="n">
        <f aca="false">L805*Scorecard!$E$12+M805*Scorecard!$E$13+N805*Scorecard!$E$14+O805*Scorecard!$E$15+P805*Scorecard!$E$16+Q805*Scorecard!$E$17</f>
        <v>4.31750639938962</v>
      </c>
      <c r="U805" s="0" t="str">
        <f aca="false">IF(AND(R805&gt;=S805,R805&gt;=T805),"Distribution",IF(T805&gt;=S805,"Prof. services","Manufacturing"))</f>
        <v>Prof. services</v>
      </c>
    </row>
    <row r="806" customFormat="false" ht="15" hidden="false" customHeight="false" outlineLevel="0" collapsed="false">
      <c r="A806" s="46" t="n">
        <v>0.394423</v>
      </c>
      <c r="B806" s="46" t="n">
        <v>0.058784</v>
      </c>
      <c r="C806" s="46" t="n">
        <v>0.082065</v>
      </c>
      <c r="D806" s="46" t="n">
        <v>0.355472</v>
      </c>
      <c r="E806" s="46" t="n">
        <v>0.103029</v>
      </c>
      <c r="F806" s="46" t="n">
        <v>0.006226</v>
      </c>
      <c r="G806" s="47" t="n">
        <f aca="false">A806*Scorecard!$C$12+B806*Scorecard!$C$13+C806*Scorecard!$C$14+D806*Scorecard!$C$15+E806*Scorecard!$C$16+F806*Scorecard!$C$17</f>
        <v>3.69183297514582</v>
      </c>
      <c r="H806" s="47" t="n">
        <f aca="false">A806*Scorecard!$D$12+B806*Scorecard!$D$13+C806*Scorecard!$D$14+D806*Scorecard!$D$15+E806*Scorecard!$D$16+F806*Scorecard!$D$17</f>
        <v>3.60881086449031</v>
      </c>
      <c r="I806" s="47" t="n">
        <f aca="false">A806*Scorecard!$E$12+B806*Scorecard!$E$13+C806*Scorecard!$E$14+D806*Scorecard!$E$15+E806*Scorecard!$E$16+F806*Scorecard!$E$17</f>
        <v>4.2559640629143</v>
      </c>
      <c r="J806" s="0" t="str">
        <f aca="false">IF(AND(G806&gt;=H806,G806&gt;=I806),"Distribution",IF(I806&gt;=H806,"Prof. services","Manufacturing"))</f>
        <v>Prof. services</v>
      </c>
      <c r="L806" s="46" t="n">
        <v>0.124881</v>
      </c>
      <c r="M806" s="46" t="n">
        <v>0.148346</v>
      </c>
      <c r="N806" s="46" t="n">
        <v>0.253878</v>
      </c>
      <c r="O806" s="46" t="n">
        <v>0.173596</v>
      </c>
      <c r="P806" s="46" t="n">
        <v>0.252337</v>
      </c>
      <c r="Q806" s="46" t="n">
        <v>0.046962</v>
      </c>
      <c r="R806" s="47" t="n">
        <f aca="false">L806*Scorecard!$C$12+M806*Scorecard!$C$13+N806*Scorecard!$C$14+O806*Scorecard!$C$15+P806*Scorecard!$C$16+Q806*Scorecard!$C$17</f>
        <v>4.00323041907593</v>
      </c>
      <c r="S806" s="47" t="n">
        <f aca="false">L806*Scorecard!$D$12+M806*Scorecard!$D$13+N806*Scorecard!$D$14+O806*Scorecard!$D$15+P806*Scorecard!$D$16+Q806*Scorecard!$D$17</f>
        <v>3.07445359514628</v>
      </c>
      <c r="T806" s="47" t="n">
        <f aca="false">L806*Scorecard!$E$12+M806*Scorecard!$E$13+N806*Scorecard!$E$14+O806*Scorecard!$E$15+P806*Scorecard!$E$16+Q806*Scorecard!$E$17</f>
        <v>3.73193130825201</v>
      </c>
      <c r="U806" s="0" t="str">
        <f aca="false">IF(AND(R806&gt;=S806,R806&gt;=T806),"Distribution",IF(T806&gt;=S806,"Prof. services","Manufacturing"))</f>
        <v>Distribution</v>
      </c>
    </row>
    <row r="807" customFormat="false" ht="15" hidden="false" customHeight="false" outlineLevel="0" collapsed="false">
      <c r="A807" s="46" t="n">
        <v>0.21269</v>
      </c>
      <c r="B807" s="46" t="n">
        <v>0.202742</v>
      </c>
      <c r="C807" s="46" t="n">
        <v>0.048302</v>
      </c>
      <c r="D807" s="46" t="n">
        <v>0.460135</v>
      </c>
      <c r="E807" s="46" t="n">
        <v>0.055168</v>
      </c>
      <c r="F807" s="46" t="n">
        <v>0.020963</v>
      </c>
      <c r="G807" s="47" t="n">
        <f aca="false">A807*Scorecard!$C$12+B807*Scorecard!$C$13+C807*Scorecard!$C$14+D807*Scorecard!$C$15+E807*Scorecard!$C$16+F807*Scorecard!$C$17</f>
        <v>4.2381059668345</v>
      </c>
      <c r="H807" s="47" t="n">
        <f aca="false">A807*Scorecard!$D$12+B807*Scorecard!$D$13+C807*Scorecard!$D$14+D807*Scorecard!$D$15+E807*Scorecard!$D$16+F807*Scorecard!$D$17</f>
        <v>3.35579208841616</v>
      </c>
      <c r="I807" s="47" t="n">
        <f aca="false">A807*Scorecard!$E$12+B807*Scorecard!$E$13+C807*Scorecard!$E$14+D807*Scorecard!$E$15+E807*Scorecard!$E$16+F807*Scorecard!$E$17</f>
        <v>3.8747793370347</v>
      </c>
      <c r="J807" s="0" t="str">
        <f aca="false">IF(AND(G807&gt;=H807,G807&gt;=I807),"Distribution",IF(I807&gt;=H807,"Prof. services","Manufacturing"))</f>
        <v>Distribution</v>
      </c>
      <c r="L807" s="46" t="n">
        <v>0.387252</v>
      </c>
      <c r="M807" s="46" t="n">
        <v>0.157065</v>
      </c>
      <c r="N807" s="46" t="n">
        <v>0.193331</v>
      </c>
      <c r="O807" s="46" t="n">
        <v>0.109006</v>
      </c>
      <c r="P807" s="46" t="n">
        <v>0.068014</v>
      </c>
      <c r="Q807" s="46" t="n">
        <v>0.085332</v>
      </c>
      <c r="R807" s="47" t="n">
        <f aca="false">L807*Scorecard!$C$12+M807*Scorecard!$C$13+N807*Scorecard!$C$14+O807*Scorecard!$C$15+P807*Scorecard!$C$16+Q807*Scorecard!$C$17</f>
        <v>3.39834787741123</v>
      </c>
      <c r="S807" s="47" t="n">
        <f aca="false">L807*Scorecard!$D$12+M807*Scorecard!$D$13+N807*Scorecard!$D$14+O807*Scorecard!$D$15+P807*Scorecard!$D$16+Q807*Scorecard!$D$17</f>
        <v>3.04090723145471</v>
      </c>
      <c r="T807" s="47" t="n">
        <f aca="false">L807*Scorecard!$E$12+M807*Scorecard!$E$13+N807*Scorecard!$E$14+O807*Scorecard!$E$15+P807*Scorecard!$E$16+Q807*Scorecard!$E$17</f>
        <v>4.23319217909069</v>
      </c>
      <c r="U807" s="0" t="str">
        <f aca="false">IF(AND(R807&gt;=S807,R807&gt;=T807),"Distribution",IF(T807&gt;=S807,"Prof. services","Manufacturing"))</f>
        <v>Prof. services</v>
      </c>
    </row>
    <row r="808" customFormat="false" ht="15" hidden="false" customHeight="false" outlineLevel="0" collapsed="false">
      <c r="A808" s="46" t="n">
        <v>0.063867</v>
      </c>
      <c r="B808" s="46" t="n">
        <v>0.00475</v>
      </c>
      <c r="C808" s="46" t="n">
        <v>0.075809</v>
      </c>
      <c r="D808" s="46" t="n">
        <v>0.12129</v>
      </c>
      <c r="E808" s="46" t="n">
        <v>0.410977</v>
      </c>
      <c r="F808" s="46" t="n">
        <v>0.323307</v>
      </c>
      <c r="G808" s="47" t="n">
        <f aca="false">A808*Scorecard!$C$12+B808*Scorecard!$C$13+C808*Scorecard!$C$14+D808*Scorecard!$C$15+E808*Scorecard!$C$16+F808*Scorecard!$C$17</f>
        <v>3.36446448919469</v>
      </c>
      <c r="H808" s="47" t="n">
        <f aca="false">A808*Scorecard!$D$12+B808*Scorecard!$D$13+C808*Scorecard!$D$14+D808*Scorecard!$D$15+E808*Scorecard!$D$16+F808*Scorecard!$D$17</f>
        <v>2.82749965918214</v>
      </c>
      <c r="I808" s="47" t="n">
        <f aca="false">A808*Scorecard!$E$12+B808*Scorecard!$E$13+C808*Scorecard!$E$14+D808*Scorecard!$E$15+E808*Scorecard!$E$16+F808*Scorecard!$E$17</f>
        <v>3.62736372543006</v>
      </c>
      <c r="J808" s="0" t="str">
        <f aca="false">IF(AND(G808&gt;=H808,G808&gt;=I808),"Distribution",IF(I808&gt;=H808,"Prof. services","Manufacturing"))</f>
        <v>Prof. services</v>
      </c>
      <c r="L808" s="46" t="n">
        <v>0.233903</v>
      </c>
      <c r="M808" s="46" t="n">
        <v>0.163777</v>
      </c>
      <c r="N808" s="46" t="n">
        <v>0.122797</v>
      </c>
      <c r="O808" s="46" t="n">
        <v>0.20241</v>
      </c>
      <c r="P808" s="46" t="n">
        <v>0.206067</v>
      </c>
      <c r="Q808" s="46" t="n">
        <v>0.071045</v>
      </c>
      <c r="R808" s="47" t="n">
        <f aca="false">L808*Scorecard!$C$12+M808*Scorecard!$C$13+N808*Scorecard!$C$14+O808*Scorecard!$C$15+P808*Scorecard!$C$16+Q808*Scorecard!$C$17</f>
        <v>3.80306426431657</v>
      </c>
      <c r="S808" s="47" t="n">
        <f aca="false">L808*Scorecard!$D$12+M808*Scorecard!$D$13+N808*Scorecard!$D$14+O808*Scorecard!$D$15+P808*Scorecard!$D$16+Q808*Scorecard!$D$17</f>
        <v>3.10511145213932</v>
      </c>
      <c r="T808" s="47" t="n">
        <f aca="false">L808*Scorecard!$E$12+M808*Scorecard!$E$13+N808*Scorecard!$E$14+O808*Scorecard!$E$15+P808*Scorecard!$E$16+Q808*Scorecard!$E$17</f>
        <v>3.77481295651457</v>
      </c>
      <c r="U808" s="0" t="str">
        <f aca="false">IF(AND(R808&gt;=S808,R808&gt;=T808),"Distribution",IF(T808&gt;=S808,"Prof. services","Manufacturing"))</f>
        <v>Distribution</v>
      </c>
    </row>
    <row r="809" customFormat="false" ht="15" hidden="false" customHeight="false" outlineLevel="0" collapsed="false">
      <c r="A809" s="46" t="n">
        <v>0.117678</v>
      </c>
      <c r="B809" s="46" t="n">
        <v>0.008144</v>
      </c>
      <c r="C809" s="46" t="n">
        <v>0.105701</v>
      </c>
      <c r="D809" s="46" t="n">
        <v>0.164851</v>
      </c>
      <c r="E809" s="46" t="n">
        <v>0.261089</v>
      </c>
      <c r="F809" s="46" t="n">
        <v>0.342538</v>
      </c>
      <c r="G809" s="47" t="n">
        <f aca="false">A809*Scorecard!$C$12+B809*Scorecard!$C$13+C809*Scorecard!$C$14+D809*Scorecard!$C$15+E809*Scorecard!$C$16+F809*Scorecard!$C$17</f>
        <v>3.27610092179769</v>
      </c>
      <c r="H809" s="47" t="n">
        <f aca="false">A809*Scorecard!$D$12+B809*Scorecard!$D$13+C809*Scorecard!$D$14+D809*Scorecard!$D$15+E809*Scorecard!$D$16+F809*Scorecard!$D$17</f>
        <v>2.82957190446749</v>
      </c>
      <c r="I809" s="47" t="n">
        <f aca="false">A809*Scorecard!$E$12+B809*Scorecard!$E$13+C809*Scorecard!$E$14+D809*Scorecard!$E$15+E809*Scorecard!$E$16+F809*Scorecard!$E$17</f>
        <v>3.97128262150259</v>
      </c>
      <c r="J809" s="0" t="str">
        <f aca="false">IF(AND(G809&gt;=H809,G809&gt;=I809),"Distribution",IF(I809&gt;=H809,"Prof. services","Manufacturing"))</f>
        <v>Prof. services</v>
      </c>
      <c r="L809" s="46" t="n">
        <v>0.181786</v>
      </c>
      <c r="M809" s="46" t="n">
        <v>0.229435</v>
      </c>
      <c r="N809" s="46" t="n">
        <v>0.205815</v>
      </c>
      <c r="O809" s="46" t="n">
        <v>0.134542</v>
      </c>
      <c r="P809" s="46" t="n">
        <v>0.154329</v>
      </c>
      <c r="Q809" s="46" t="n">
        <v>0.094092</v>
      </c>
      <c r="R809" s="47" t="n">
        <f aca="false">L809*Scorecard!$C$12+M809*Scorecard!$C$13+N809*Scorecard!$C$14+O809*Scorecard!$C$15+P809*Scorecard!$C$16+Q809*Scorecard!$C$17</f>
        <v>3.84857160755549</v>
      </c>
      <c r="S809" s="47" t="n">
        <f aca="false">L809*Scorecard!$D$12+M809*Scorecard!$D$13+N809*Scorecard!$D$14+O809*Scorecard!$D$15+P809*Scorecard!$D$16+Q809*Scorecard!$D$17</f>
        <v>2.84174953574118</v>
      </c>
      <c r="T809" s="47" t="n">
        <f aca="false">L809*Scorecard!$E$12+M809*Scorecard!$E$13+N809*Scorecard!$E$14+O809*Scorecard!$E$15+P809*Scorecard!$E$16+Q809*Scorecard!$E$17</f>
        <v>3.76918229506846</v>
      </c>
      <c r="U809" s="0" t="str">
        <f aca="false">IF(AND(R809&gt;=S809,R809&gt;=T809),"Distribution",IF(T809&gt;=S809,"Prof. services","Manufacturing"))</f>
        <v>Distribution</v>
      </c>
    </row>
    <row r="810" customFormat="false" ht="15" hidden="false" customHeight="false" outlineLevel="0" collapsed="false">
      <c r="A810" s="46" t="n">
        <v>0.136536</v>
      </c>
      <c r="B810" s="46" t="n">
        <v>0.019446</v>
      </c>
      <c r="C810" s="46" t="n">
        <v>0.459225</v>
      </c>
      <c r="D810" s="46" t="n">
        <v>0.04672</v>
      </c>
      <c r="E810" s="46" t="n">
        <v>0.265033</v>
      </c>
      <c r="F810" s="46" t="n">
        <v>0.073041</v>
      </c>
      <c r="G810" s="47" t="n">
        <f aca="false">A810*Scorecard!$C$12+B810*Scorecard!$C$13+C810*Scorecard!$C$14+D810*Scorecard!$C$15+E810*Scorecard!$C$16+F810*Scorecard!$C$17</f>
        <v>3.67432125286434</v>
      </c>
      <c r="H810" s="47" t="n">
        <f aca="false">A810*Scorecard!$D$12+B810*Scorecard!$D$13+C810*Scorecard!$D$14+D810*Scorecard!$D$15+E810*Scorecard!$D$16+F810*Scorecard!$D$17</f>
        <v>3.09387107033877</v>
      </c>
      <c r="I810" s="47" t="n">
        <f aca="false">A810*Scorecard!$E$12+B810*Scorecard!$E$13+C810*Scorecard!$E$14+D810*Scorecard!$E$15+E810*Scorecard!$E$16+F810*Scorecard!$E$17</f>
        <v>4.16175838919864</v>
      </c>
      <c r="J810" s="0" t="str">
        <f aca="false">IF(AND(G810&gt;=H810,G810&gt;=I810),"Distribution",IF(I810&gt;=H810,"Prof. services","Manufacturing"))</f>
        <v>Prof. services</v>
      </c>
      <c r="L810" s="46" t="n">
        <v>0.232241</v>
      </c>
      <c r="M810" s="46" t="n">
        <v>0.135238</v>
      </c>
      <c r="N810" s="46" t="n">
        <v>0.149366</v>
      </c>
      <c r="O810" s="46" t="n">
        <v>0.211188</v>
      </c>
      <c r="P810" s="46" t="n">
        <v>0.133244</v>
      </c>
      <c r="Q810" s="46" t="n">
        <v>0.138722</v>
      </c>
      <c r="R810" s="47" t="n">
        <f aca="false">L810*Scorecard!$C$12+M810*Scorecard!$C$13+N810*Scorecard!$C$14+O810*Scorecard!$C$15+P810*Scorecard!$C$16+Q810*Scorecard!$C$17</f>
        <v>3.6509408880183</v>
      </c>
      <c r="S810" s="47" t="n">
        <f aca="false">L810*Scorecard!$D$12+M810*Scorecard!$D$13+N810*Scorecard!$D$14+O810*Scorecard!$D$15+P810*Scorecard!$D$16+Q810*Scorecard!$D$17</f>
        <v>3.03122265674581</v>
      </c>
      <c r="T810" s="47" t="n">
        <f aca="false">L810*Scorecard!$E$12+M810*Scorecard!$E$13+N810*Scorecard!$E$14+O810*Scorecard!$E$15+P810*Scorecard!$E$16+Q810*Scorecard!$E$17</f>
        <v>4.00989807577252</v>
      </c>
      <c r="U810" s="0" t="str">
        <f aca="false">IF(AND(R810&gt;=S810,R810&gt;=T810),"Distribution",IF(T810&gt;=S810,"Prof. services","Manufacturing"))</f>
        <v>Prof. services</v>
      </c>
    </row>
    <row r="811" customFormat="false" ht="15" hidden="false" customHeight="false" outlineLevel="0" collapsed="false">
      <c r="A811" s="46" t="n">
        <v>0.041676</v>
      </c>
      <c r="B811" s="46" t="n">
        <v>0.373942</v>
      </c>
      <c r="C811" s="46" t="n">
        <v>0.128652</v>
      </c>
      <c r="D811" s="46" t="n">
        <v>0.288358</v>
      </c>
      <c r="E811" s="46" t="n">
        <v>0.06551</v>
      </c>
      <c r="F811" s="46" t="n">
        <v>0.101863</v>
      </c>
      <c r="G811" s="47" t="n">
        <f aca="false">A811*Scorecard!$C$12+B811*Scorecard!$C$13+C811*Scorecard!$C$14+D811*Scorecard!$C$15+E811*Scorecard!$C$16+F811*Scorecard!$C$17</f>
        <v>4.38356060565986</v>
      </c>
      <c r="H811" s="47" t="n">
        <f aca="false">A811*Scorecard!$D$12+B811*Scorecard!$D$13+C811*Scorecard!$D$14+D811*Scorecard!$D$15+E811*Scorecard!$D$16+F811*Scorecard!$D$17</f>
        <v>2.66910161322791</v>
      </c>
      <c r="I811" s="47" t="n">
        <f aca="false">A811*Scorecard!$E$12+B811*Scorecard!$E$13+C811*Scorecard!$E$14+D811*Scorecard!$E$15+E811*Scorecard!$E$16+F811*Scorecard!$E$17</f>
        <v>3.45804171635852</v>
      </c>
      <c r="J811" s="0" t="str">
        <f aca="false">IF(AND(G811&gt;=H811,G811&gt;=I811),"Distribution",IF(I811&gt;=H811,"Prof. services","Manufacturing"))</f>
        <v>Distribution</v>
      </c>
      <c r="L811" s="46" t="n">
        <v>0.181414</v>
      </c>
      <c r="M811" s="46" t="n">
        <v>0.224981</v>
      </c>
      <c r="N811" s="46" t="n">
        <v>0.288558</v>
      </c>
      <c r="O811" s="46" t="n">
        <v>0.063487</v>
      </c>
      <c r="P811" s="46" t="n">
        <v>0.145099</v>
      </c>
      <c r="Q811" s="46" t="n">
        <v>0.096461</v>
      </c>
      <c r="R811" s="47" t="n">
        <f aca="false">L811*Scorecard!$C$12+M811*Scorecard!$C$13+N811*Scorecard!$C$14+O811*Scorecard!$C$15+P811*Scorecard!$C$16+Q811*Scorecard!$C$17</f>
        <v>3.76899821286057</v>
      </c>
      <c r="S811" s="47" t="n">
        <f aca="false">L811*Scorecard!$D$12+M811*Scorecard!$D$13+N811*Scorecard!$D$14+O811*Scorecard!$D$15+P811*Scorecard!$D$16+Q811*Scorecard!$D$17</f>
        <v>2.75930591369015</v>
      </c>
      <c r="T811" s="47" t="n">
        <f aca="false">L811*Scorecard!$E$12+M811*Scorecard!$E$13+N811*Scorecard!$E$14+O811*Scorecard!$E$15+P811*Scorecard!$E$16+Q811*Scorecard!$E$17</f>
        <v>3.86481814108528</v>
      </c>
      <c r="U811" s="0" t="str">
        <f aca="false">IF(AND(R811&gt;=S811,R811&gt;=T811),"Distribution",IF(T811&gt;=S811,"Prof. services","Manufacturing"))</f>
        <v>Prof. services</v>
      </c>
    </row>
    <row r="812" customFormat="false" ht="15" hidden="false" customHeight="false" outlineLevel="0" collapsed="false">
      <c r="A812" s="46" t="n">
        <v>0.139161</v>
      </c>
      <c r="B812" s="46" t="n">
        <v>0.314819</v>
      </c>
      <c r="C812" s="46" t="n">
        <v>0.109103</v>
      </c>
      <c r="D812" s="46" t="n">
        <v>0.140552</v>
      </c>
      <c r="E812" s="46" t="n">
        <v>0.136032</v>
      </c>
      <c r="F812" s="46" t="n">
        <v>0.160333</v>
      </c>
      <c r="G812" s="47" t="n">
        <f aca="false">A812*Scorecard!$C$12+B812*Scorecard!$C$13+C812*Scorecard!$C$14+D812*Scorecard!$C$15+E812*Scorecard!$C$16+F812*Scorecard!$C$17</f>
        <v>3.88421321542929</v>
      </c>
      <c r="H812" s="47" t="n">
        <f aca="false">A812*Scorecard!$D$12+B812*Scorecard!$D$13+C812*Scorecard!$D$14+D812*Scorecard!$D$15+E812*Scorecard!$D$16+F812*Scorecard!$D$17</f>
        <v>2.58693200057306</v>
      </c>
      <c r="I812" s="47" t="n">
        <f aca="false">A812*Scorecard!$E$12+B812*Scorecard!$E$13+C812*Scorecard!$E$14+D812*Scorecard!$E$15+E812*Scorecard!$E$16+F812*Scorecard!$E$17</f>
        <v>3.53430593129927</v>
      </c>
      <c r="J812" s="0" t="str">
        <f aca="false">IF(AND(G812&gt;=H812,G812&gt;=I812),"Distribution",IF(I812&gt;=H812,"Prof. services","Manufacturing"))</f>
        <v>Distribution</v>
      </c>
      <c r="L812" s="46" t="n">
        <v>0.225758</v>
      </c>
      <c r="M812" s="46" t="n">
        <v>0.188356</v>
      </c>
      <c r="N812" s="46" t="n">
        <v>0.230739</v>
      </c>
      <c r="O812" s="46" t="n">
        <v>0.157494</v>
      </c>
      <c r="P812" s="46" t="n">
        <v>0.132764</v>
      </c>
      <c r="Q812" s="46" t="n">
        <v>0.064889</v>
      </c>
      <c r="R812" s="47" t="n">
        <f aca="false">L812*Scorecard!$C$12+M812*Scorecard!$C$13+N812*Scorecard!$C$14+O812*Scorecard!$C$15+P812*Scorecard!$C$16+Q812*Scorecard!$C$17</f>
        <v>3.80970438047216</v>
      </c>
      <c r="S812" s="47" t="n">
        <f aca="false">L812*Scorecard!$D$12+M812*Scorecard!$D$13+N812*Scorecard!$D$14+O812*Scorecard!$D$15+P812*Scorecard!$D$16+Q812*Scorecard!$D$17</f>
        <v>2.9956442072298</v>
      </c>
      <c r="T812" s="47" t="n">
        <f aca="false">L812*Scorecard!$E$12+M812*Scorecard!$E$13+N812*Scorecard!$E$14+O812*Scorecard!$E$15+P812*Scorecard!$E$16+Q812*Scorecard!$E$17</f>
        <v>3.94023638082521</v>
      </c>
      <c r="U812" s="0" t="str">
        <f aca="false">IF(AND(R812&gt;=S812,R812&gt;=T812),"Distribution",IF(T812&gt;=S812,"Prof. services","Manufacturing"))</f>
        <v>Prof. services</v>
      </c>
    </row>
    <row r="813" customFormat="false" ht="15" hidden="false" customHeight="false" outlineLevel="0" collapsed="false">
      <c r="A813" s="46" t="n">
        <v>0.026464</v>
      </c>
      <c r="B813" s="46" t="n">
        <v>0.108182</v>
      </c>
      <c r="C813" s="46" t="n">
        <v>0.010476</v>
      </c>
      <c r="D813" s="46" t="n">
        <v>0.008608</v>
      </c>
      <c r="E813" s="46" t="n">
        <v>0.824815</v>
      </c>
      <c r="F813" s="46" t="n">
        <v>0.021455</v>
      </c>
      <c r="G813" s="47" t="n">
        <f aca="false">A813*Scorecard!$C$12+B813*Scorecard!$C$13+C813*Scorecard!$C$14+D813*Scorecard!$C$15+E813*Scorecard!$C$16+F813*Scorecard!$C$17</f>
        <v>4.02624442259772</v>
      </c>
      <c r="H813" s="47" t="n">
        <f aca="false">A813*Scorecard!$D$12+B813*Scorecard!$D$13+C813*Scorecard!$D$14+D813*Scorecard!$D$15+E813*Scorecard!$D$16+F813*Scorecard!$D$17</f>
        <v>3.10782018005737</v>
      </c>
      <c r="I813" s="47" t="n">
        <f aca="false">A813*Scorecard!$E$12+B813*Scorecard!$E$13+C813*Scorecard!$E$14+D813*Scorecard!$E$15+E813*Scorecard!$E$16+F813*Scorecard!$E$17</f>
        <v>2.47148368330068</v>
      </c>
      <c r="J813" s="0" t="str">
        <f aca="false">IF(AND(G813&gt;=H813,G813&gt;=I813),"Distribution",IF(I813&gt;=H813,"Prof. services","Manufacturing"))</f>
        <v>Distribution</v>
      </c>
      <c r="L813" s="46" t="n">
        <v>0.156913</v>
      </c>
      <c r="M813" s="46" t="n">
        <v>0.246228</v>
      </c>
      <c r="N813" s="46" t="n">
        <v>0.114937</v>
      </c>
      <c r="O813" s="46" t="n">
        <v>0.249471</v>
      </c>
      <c r="P813" s="46" t="n">
        <v>0.116686</v>
      </c>
      <c r="Q813" s="46" t="n">
        <v>0.115766</v>
      </c>
      <c r="R813" s="47" t="n">
        <f aca="false">L813*Scorecard!$C$12+M813*Scorecard!$C$13+N813*Scorecard!$C$14+O813*Scorecard!$C$15+P813*Scorecard!$C$16+Q813*Scorecard!$C$17</f>
        <v>3.98172536226857</v>
      </c>
      <c r="S813" s="47" t="n">
        <f aca="false">L813*Scorecard!$D$12+M813*Scorecard!$D$13+N813*Scorecard!$D$14+O813*Scorecard!$D$15+P813*Scorecard!$D$16+Q813*Scorecard!$D$17</f>
        <v>2.88810724893085</v>
      </c>
      <c r="T813" s="47" t="n">
        <f aca="false">L813*Scorecard!$E$12+M813*Scorecard!$E$13+N813*Scorecard!$E$14+O813*Scorecard!$E$15+P813*Scorecard!$E$16+Q813*Scorecard!$E$17</f>
        <v>3.71437891443371</v>
      </c>
      <c r="U813" s="0" t="str">
        <f aca="false">IF(AND(R813&gt;=S813,R813&gt;=T813),"Distribution",IF(T813&gt;=S813,"Prof. services","Manufacturing"))</f>
        <v>Distribution</v>
      </c>
    </row>
    <row r="814" customFormat="false" ht="15" hidden="false" customHeight="false" outlineLevel="0" collapsed="false">
      <c r="A814" s="46" t="n">
        <v>0.192849</v>
      </c>
      <c r="B814" s="46" t="n">
        <v>0.081668</v>
      </c>
      <c r="C814" s="46" t="n">
        <v>0.045444</v>
      </c>
      <c r="D814" s="46" t="n">
        <v>0.286233</v>
      </c>
      <c r="E814" s="46" t="n">
        <v>0.033902</v>
      </c>
      <c r="F814" s="46" t="n">
        <v>0.359904</v>
      </c>
      <c r="G814" s="47" t="n">
        <f aca="false">A814*Scorecard!$C$12+B814*Scorecard!$C$13+C814*Scorecard!$C$14+D814*Scorecard!$C$15+E814*Scorecard!$C$16+F814*Scorecard!$C$17</f>
        <v>3.30096204978639</v>
      </c>
      <c r="H814" s="47" t="n">
        <f aca="false">A814*Scorecard!$D$12+B814*Scorecard!$D$13+C814*Scorecard!$D$14+D814*Scorecard!$D$15+E814*Scorecard!$D$16+F814*Scorecard!$D$17</f>
        <v>2.80760216802061</v>
      </c>
      <c r="I814" s="47" t="n">
        <f aca="false">A814*Scorecard!$E$12+B814*Scorecard!$E$13+C814*Scorecard!$E$14+D814*Scorecard!$E$15+E814*Scorecard!$E$16+F814*Scorecard!$E$17</f>
        <v>4.25553995435533</v>
      </c>
      <c r="J814" s="0" t="str">
        <f aca="false">IF(AND(G814&gt;=H814,G814&gt;=I814),"Distribution",IF(I814&gt;=H814,"Prof. services","Manufacturing"))</f>
        <v>Prof. services</v>
      </c>
      <c r="L814" s="46" t="n">
        <v>0.267462</v>
      </c>
      <c r="M814" s="46" t="n">
        <v>0.283564</v>
      </c>
      <c r="N814" s="46" t="n">
        <v>0.155602</v>
      </c>
      <c r="O814" s="46" t="n">
        <v>0.1323</v>
      </c>
      <c r="P814" s="46" t="n">
        <v>0.067346</v>
      </c>
      <c r="Q814" s="46" t="n">
        <v>0.093726</v>
      </c>
      <c r="R814" s="47" t="n">
        <f aca="false">L814*Scorecard!$C$12+M814*Scorecard!$C$13+N814*Scorecard!$C$14+O814*Scorecard!$C$15+P814*Scorecard!$C$16+Q814*Scorecard!$C$17</f>
        <v>3.74697658573271</v>
      </c>
      <c r="S814" s="47" t="n">
        <f aca="false">L814*Scorecard!$D$12+M814*Scorecard!$D$13+N814*Scorecard!$D$14+O814*Scorecard!$D$15+P814*Scorecard!$D$16+Q814*Scorecard!$D$17</f>
        <v>2.78605723440721</v>
      </c>
      <c r="T814" s="47" t="n">
        <f aca="false">L814*Scorecard!$E$12+M814*Scorecard!$E$13+N814*Scorecard!$E$14+O814*Scorecard!$E$15+P814*Scorecard!$E$16+Q814*Scorecard!$E$17</f>
        <v>3.84754634865896</v>
      </c>
      <c r="U814" s="0" t="str">
        <f aca="false">IF(AND(R814&gt;=S814,R814&gt;=T814),"Distribution",IF(T814&gt;=S814,"Prof. services","Manufacturing"))</f>
        <v>Prof. services</v>
      </c>
    </row>
    <row r="815" customFormat="false" ht="15" hidden="false" customHeight="false" outlineLevel="0" collapsed="false">
      <c r="A815" s="46" t="n">
        <v>0.180842</v>
      </c>
      <c r="B815" s="46" t="n">
        <v>0.023352</v>
      </c>
      <c r="C815" s="46" t="n">
        <v>0.149747</v>
      </c>
      <c r="D815" s="46" t="n">
        <v>0.403895</v>
      </c>
      <c r="E815" s="46" t="n">
        <v>0.167421</v>
      </c>
      <c r="F815" s="46" t="n">
        <v>0.074744</v>
      </c>
      <c r="G815" s="47" t="n">
        <f aca="false">A815*Scorecard!$C$12+B815*Scorecard!$C$13+C815*Scorecard!$C$14+D815*Scorecard!$C$15+E815*Scorecard!$C$16+F815*Scorecard!$C$17</f>
        <v>3.95224482101784</v>
      </c>
      <c r="H815" s="47" t="n">
        <f aca="false">A815*Scorecard!$D$12+B815*Scorecard!$D$13+C815*Scorecard!$D$14+D815*Scorecard!$D$15+E815*Scorecard!$D$16+F815*Scorecard!$D$17</f>
        <v>3.49566309824117</v>
      </c>
      <c r="I815" s="47" t="n">
        <f aca="false">A815*Scorecard!$E$12+B815*Scorecard!$E$13+C815*Scorecard!$E$14+D815*Scorecard!$E$15+E815*Scorecard!$E$16+F815*Scorecard!$E$17</f>
        <v>4.11141459149448</v>
      </c>
      <c r="J815" s="0" t="str">
        <f aca="false">IF(AND(G815&gt;=H815,G815&gt;=I815),"Distribution",IF(I815&gt;=H815,"Prof. services","Manufacturing"))</f>
        <v>Prof. services</v>
      </c>
      <c r="L815" s="46" t="n">
        <v>0.251351</v>
      </c>
      <c r="M815" s="46" t="n">
        <v>0.179849</v>
      </c>
      <c r="N815" s="46" t="n">
        <v>0.284163</v>
      </c>
      <c r="O815" s="46" t="n">
        <v>0.118407</v>
      </c>
      <c r="P815" s="46" t="n">
        <v>0.100707</v>
      </c>
      <c r="Q815" s="46" t="n">
        <v>0.065523</v>
      </c>
      <c r="R815" s="47" t="n">
        <f aca="false">L815*Scorecard!$C$12+M815*Scorecard!$C$13+N815*Scorecard!$C$14+O815*Scorecard!$C$15+P815*Scorecard!$C$16+Q815*Scorecard!$C$17</f>
        <v>3.71477461549118</v>
      </c>
      <c r="S815" s="47" t="n">
        <f aca="false">L815*Scorecard!$D$12+M815*Scorecard!$D$13+N815*Scorecard!$D$14+O815*Scorecard!$D$15+P815*Scorecard!$D$16+Q815*Scorecard!$D$17</f>
        <v>2.96843327581336</v>
      </c>
      <c r="T815" s="47" t="n">
        <f aca="false">L815*Scorecard!$E$12+M815*Scorecard!$E$13+N815*Scorecard!$E$14+O815*Scorecard!$E$15+P815*Scorecard!$E$16+Q815*Scorecard!$E$17</f>
        <v>4.08253975978849</v>
      </c>
      <c r="U815" s="0" t="str">
        <f aca="false">IF(AND(R815&gt;=S815,R815&gt;=T815),"Distribution",IF(T815&gt;=S815,"Prof. services","Manufacturing"))</f>
        <v>Prof. services</v>
      </c>
    </row>
    <row r="816" customFormat="false" ht="15" hidden="false" customHeight="false" outlineLevel="0" collapsed="false">
      <c r="A816" s="46" t="n">
        <v>0.056202</v>
      </c>
      <c r="B816" s="46" t="n">
        <v>0.02465</v>
      </c>
      <c r="C816" s="46" t="n">
        <v>0.280939</v>
      </c>
      <c r="D816" s="46" t="n">
        <v>0.098382</v>
      </c>
      <c r="E816" s="46" t="n">
        <v>0.121739</v>
      </c>
      <c r="F816" s="46" t="n">
        <v>0.418088</v>
      </c>
      <c r="G816" s="47" t="n">
        <f aca="false">A816*Scorecard!$C$12+B816*Scorecard!$C$13+C816*Scorecard!$C$14+D816*Scorecard!$C$15+E816*Scorecard!$C$16+F816*Scorecard!$C$17</f>
        <v>3.18569159850502</v>
      </c>
      <c r="H816" s="47" t="n">
        <f aca="false">A816*Scorecard!$D$12+B816*Scorecard!$D$13+C816*Scorecard!$D$14+D816*Scorecard!$D$15+E816*Scorecard!$D$16+F816*Scorecard!$D$17</f>
        <v>2.52746319995781</v>
      </c>
      <c r="I816" s="47" t="n">
        <f aca="false">A816*Scorecard!$E$12+B816*Scorecard!$E$13+C816*Scorecard!$E$14+D816*Scorecard!$E$15+E816*Scorecard!$E$16+F816*Scorecard!$E$17</f>
        <v>4.31319892900697</v>
      </c>
      <c r="J816" s="0" t="str">
        <f aca="false">IF(AND(G816&gt;=H816,G816&gt;=I816),"Distribution",IF(I816&gt;=H816,"Prof. services","Manufacturing"))</f>
        <v>Prof. services</v>
      </c>
      <c r="L816" s="46" t="n">
        <v>0.176969</v>
      </c>
      <c r="M816" s="46" t="n">
        <v>0.244832</v>
      </c>
      <c r="N816" s="46" t="n">
        <v>0.281125</v>
      </c>
      <c r="O816" s="46" t="n">
        <v>0.129006</v>
      </c>
      <c r="P816" s="46" t="n">
        <v>0.146136</v>
      </c>
      <c r="Q816" s="46" t="n">
        <v>0.021932</v>
      </c>
      <c r="R816" s="47" t="n">
        <f aca="false">L816*Scorecard!$C$12+M816*Scorecard!$C$13+N816*Scorecard!$C$14+O816*Scorecard!$C$15+P816*Scorecard!$C$16+Q816*Scorecard!$C$17</f>
        <v>4.01142727625058</v>
      </c>
      <c r="S816" s="47" t="n">
        <f aca="false">L816*Scorecard!$D$12+M816*Scorecard!$D$13+N816*Scorecard!$D$14+O816*Scorecard!$D$15+P816*Scorecard!$D$16+Q816*Scorecard!$D$17</f>
        <v>2.91456004150456</v>
      </c>
      <c r="T816" s="47" t="n">
        <f aca="false">L816*Scorecard!$E$12+M816*Scorecard!$E$13+N816*Scorecard!$E$14+O816*Scorecard!$E$15+P816*Scorecard!$E$16+Q816*Scorecard!$E$17</f>
        <v>3.7874673593597</v>
      </c>
      <c r="U816" s="0" t="str">
        <f aca="false">IF(AND(R816&gt;=S816,R816&gt;=T816),"Distribution",IF(T816&gt;=S816,"Prof. services","Manufacturing"))</f>
        <v>Distribution</v>
      </c>
    </row>
    <row r="817" customFormat="false" ht="15" hidden="false" customHeight="false" outlineLevel="0" collapsed="false">
      <c r="A817" s="46" t="n">
        <v>0.02946</v>
      </c>
      <c r="B817" s="46" t="n">
        <v>0.021984</v>
      </c>
      <c r="C817" s="46" t="n">
        <v>0.029663</v>
      </c>
      <c r="D817" s="46" t="n">
        <v>0.322847</v>
      </c>
      <c r="E817" s="46" t="n">
        <v>0.190075</v>
      </c>
      <c r="F817" s="46" t="n">
        <v>0.405971</v>
      </c>
      <c r="G817" s="47" t="n">
        <f aca="false">A817*Scorecard!$C$12+B817*Scorecard!$C$13+C817*Scorecard!$C$14+D817*Scorecard!$C$15+E817*Scorecard!$C$16+F817*Scorecard!$C$17</f>
        <v>3.47986057987185</v>
      </c>
      <c r="H817" s="47" t="n">
        <f aca="false">A817*Scorecard!$D$12+B817*Scorecard!$D$13+C817*Scorecard!$D$14+D817*Scorecard!$D$15+E817*Scorecard!$D$16+F817*Scorecard!$D$17</f>
        <v>2.81460456260679</v>
      </c>
      <c r="I817" s="47" t="n">
        <f aca="false">A817*Scorecard!$E$12+B817*Scorecard!$E$13+C817*Scorecard!$E$14+D817*Scorecard!$E$15+E817*Scorecard!$E$16+F817*Scorecard!$E$17</f>
        <v>3.95706642058231</v>
      </c>
      <c r="J817" s="0" t="str">
        <f aca="false">IF(AND(G817&gt;=H817,G817&gt;=I817),"Distribution",IF(I817&gt;=H817,"Prof. services","Manufacturing"))</f>
        <v>Prof. services</v>
      </c>
      <c r="L817" s="46" t="n">
        <v>0.089545</v>
      </c>
      <c r="M817" s="46" t="n">
        <v>0.107436</v>
      </c>
      <c r="N817" s="46" t="n">
        <v>0.259845</v>
      </c>
      <c r="O817" s="46" t="n">
        <v>0.204355</v>
      </c>
      <c r="P817" s="46" t="n">
        <v>0.298029</v>
      </c>
      <c r="Q817" s="46" t="n">
        <v>0.040789</v>
      </c>
      <c r="R817" s="47" t="n">
        <f aca="false">L817*Scorecard!$C$12+M817*Scorecard!$C$13+N817*Scorecard!$C$14+O817*Scorecard!$C$15+P817*Scorecard!$C$16+Q817*Scorecard!$C$17</f>
        <v>4.06902672300153</v>
      </c>
      <c r="S817" s="47" t="n">
        <f aca="false">L817*Scorecard!$D$12+M817*Scorecard!$D$13+N817*Scorecard!$D$14+O817*Scorecard!$D$15+P817*Scorecard!$D$16+Q817*Scorecard!$D$17</f>
        <v>3.17261347738432</v>
      </c>
      <c r="T817" s="47" t="n">
        <f aca="false">L817*Scorecard!$E$12+M817*Scorecard!$E$13+N817*Scorecard!$E$14+O817*Scorecard!$E$15+P817*Scorecard!$E$16+Q817*Scorecard!$E$17</f>
        <v>3.70509662848044</v>
      </c>
      <c r="U817" s="0" t="str">
        <f aca="false">IF(AND(R817&gt;=S817,R817&gt;=T817),"Distribution",IF(T817&gt;=S817,"Prof. services","Manufacturing"))</f>
        <v>Distribution</v>
      </c>
    </row>
    <row r="818" customFormat="false" ht="15" hidden="false" customHeight="false" outlineLevel="0" collapsed="false">
      <c r="A818" s="46" t="n">
        <v>0.02417</v>
      </c>
      <c r="B818" s="46" t="n">
        <v>0.064297</v>
      </c>
      <c r="C818" s="46" t="n">
        <v>0.039875</v>
      </c>
      <c r="D818" s="46" t="n">
        <v>0.285874</v>
      </c>
      <c r="E818" s="46" t="n">
        <v>0.050397</v>
      </c>
      <c r="F818" s="46" t="n">
        <v>0.535388</v>
      </c>
      <c r="G818" s="47" t="n">
        <f aca="false">A818*Scorecard!$C$12+B818*Scorecard!$C$13+C818*Scorecard!$C$14+D818*Scorecard!$C$15+E818*Scorecard!$C$16+F818*Scorecard!$C$17</f>
        <v>3.23589265531238</v>
      </c>
      <c r="H818" s="47" t="n">
        <f aca="false">A818*Scorecard!$D$12+B818*Scorecard!$D$13+C818*Scorecard!$D$14+D818*Scorecard!$D$15+E818*Scorecard!$D$16+F818*Scorecard!$D$17</f>
        <v>2.46411505961024</v>
      </c>
      <c r="I818" s="47" t="n">
        <f aca="false">A818*Scorecard!$E$12+B818*Scorecard!$E$13+C818*Scorecard!$E$14+D818*Scorecard!$E$15+E818*Scorecard!$E$16+F818*Scorecard!$E$17</f>
        <v>4.17406820324189</v>
      </c>
      <c r="J818" s="0" t="str">
        <f aca="false">IF(AND(G818&gt;=H818,G818&gt;=I818),"Distribution",IF(I818&gt;=H818,"Prof. services","Manufacturing"))</f>
        <v>Prof. services</v>
      </c>
      <c r="L818" s="46" t="n">
        <v>0.287161</v>
      </c>
      <c r="M818" s="46" t="n">
        <v>0.138757</v>
      </c>
      <c r="N818" s="46" t="n">
        <v>0.160392</v>
      </c>
      <c r="O818" s="46" t="n">
        <v>0.189401</v>
      </c>
      <c r="P818" s="46" t="n">
        <v>0.142943</v>
      </c>
      <c r="Q818" s="46" t="n">
        <v>0.081346</v>
      </c>
      <c r="R818" s="47" t="n">
        <f aca="false">L818*Scorecard!$C$12+M818*Scorecard!$C$13+N818*Scorecard!$C$14+O818*Scorecard!$C$15+P818*Scorecard!$C$16+Q818*Scorecard!$C$17</f>
        <v>3.64857210480588</v>
      </c>
      <c r="S818" s="47" t="n">
        <f aca="false">L818*Scorecard!$D$12+M818*Scorecard!$D$13+N818*Scorecard!$D$14+O818*Scorecard!$D$15+P818*Scorecard!$D$16+Q818*Scorecard!$D$17</f>
        <v>3.12629645650595</v>
      </c>
      <c r="T818" s="47" t="n">
        <f aca="false">L818*Scorecard!$E$12+M818*Scorecard!$E$13+N818*Scorecard!$E$14+O818*Scorecard!$E$15+P818*Scorecard!$E$16+Q818*Scorecard!$E$17</f>
        <v>4.02081941308433</v>
      </c>
      <c r="U818" s="0" t="str">
        <f aca="false">IF(AND(R818&gt;=S818,R818&gt;=T818),"Distribution",IF(T818&gt;=S818,"Prof. services","Manufacturing"))</f>
        <v>Prof. services</v>
      </c>
    </row>
    <row r="819" customFormat="false" ht="15" hidden="false" customHeight="false" outlineLevel="0" collapsed="false">
      <c r="A819" s="46" t="n">
        <v>0.090127</v>
      </c>
      <c r="B819" s="46" t="n">
        <v>0.458889</v>
      </c>
      <c r="C819" s="46" t="n">
        <v>0.091479</v>
      </c>
      <c r="D819" s="46" t="n">
        <v>0.02595</v>
      </c>
      <c r="E819" s="46" t="n">
        <v>0.251015</v>
      </c>
      <c r="F819" s="46" t="n">
        <v>0.08254</v>
      </c>
      <c r="G819" s="47" t="n">
        <f aca="false">A819*Scorecard!$C$12+B819*Scorecard!$C$13+C819*Scorecard!$C$14+D819*Scorecard!$C$15+E819*Scorecard!$C$16+F819*Scorecard!$C$17</f>
        <v>4.15752911470165</v>
      </c>
      <c r="H819" s="47" t="n">
        <f aca="false">A819*Scorecard!$D$12+B819*Scorecard!$D$13+C819*Scorecard!$D$14+D819*Scorecard!$D$15+E819*Scorecard!$D$16+F819*Scorecard!$D$17</f>
        <v>2.36064245152905</v>
      </c>
      <c r="I819" s="47" t="n">
        <f aca="false">A819*Scorecard!$E$12+B819*Scorecard!$E$13+C819*Scorecard!$E$14+D819*Scorecard!$E$15+E819*Scorecard!$E$16+F819*Scorecard!$E$17</f>
        <v>2.94808983774749</v>
      </c>
      <c r="J819" s="0" t="str">
        <f aca="false">IF(AND(G819&gt;=H819,G819&gt;=I819),"Distribution",IF(I819&gt;=H819,"Prof. services","Manufacturing"))</f>
        <v>Distribution</v>
      </c>
      <c r="L819" s="46" t="n">
        <v>0.13004</v>
      </c>
      <c r="M819" s="46" t="n">
        <v>0.293326</v>
      </c>
      <c r="N819" s="46" t="n">
        <v>0.257157</v>
      </c>
      <c r="O819" s="46" t="n">
        <v>0.073215</v>
      </c>
      <c r="P819" s="46" t="n">
        <v>0.198557</v>
      </c>
      <c r="Q819" s="46" t="n">
        <v>0.047705</v>
      </c>
      <c r="R819" s="47" t="n">
        <f aca="false">L819*Scorecard!$C$12+M819*Scorecard!$C$13+N819*Scorecard!$C$14+O819*Scorecard!$C$15+P819*Scorecard!$C$16+Q819*Scorecard!$C$17</f>
        <v>4.03705714550359</v>
      </c>
      <c r="S819" s="47" t="n">
        <f aca="false">L819*Scorecard!$D$12+M819*Scorecard!$D$13+N819*Scorecard!$D$14+O819*Scorecard!$D$15+P819*Scorecard!$D$16+Q819*Scorecard!$D$17</f>
        <v>2.72499975121077</v>
      </c>
      <c r="T819" s="47" t="n">
        <f aca="false">L819*Scorecard!$E$12+M819*Scorecard!$E$13+N819*Scorecard!$E$14+O819*Scorecard!$E$15+P819*Scorecard!$E$16+Q819*Scorecard!$E$17</f>
        <v>3.54197790865201</v>
      </c>
      <c r="U819" s="0" t="str">
        <f aca="false">IF(AND(R819&gt;=S819,R819&gt;=T819),"Distribution",IF(T819&gt;=S819,"Prof. services","Manufacturing"))</f>
        <v>Distribution</v>
      </c>
    </row>
    <row r="820" customFormat="false" ht="15" hidden="false" customHeight="false" outlineLevel="0" collapsed="false">
      <c r="A820" s="46" t="n">
        <v>0.017645</v>
      </c>
      <c r="B820" s="46" t="n">
        <v>0.045842</v>
      </c>
      <c r="C820" s="46" t="n">
        <v>0.055824</v>
      </c>
      <c r="D820" s="46" t="n">
        <v>0.723802</v>
      </c>
      <c r="E820" s="46" t="n">
        <v>0.137268</v>
      </c>
      <c r="F820" s="46" t="n">
        <v>0.019619</v>
      </c>
      <c r="G820" s="47" t="n">
        <f aca="false">A820*Scorecard!$C$12+B820*Scorecard!$C$13+C820*Scorecard!$C$14+D820*Scorecard!$C$15+E820*Scorecard!$C$16+F820*Scorecard!$C$17</f>
        <v>4.6986447483652</v>
      </c>
      <c r="H820" s="47" t="n">
        <f aca="false">A820*Scorecard!$D$12+B820*Scorecard!$D$13+C820*Scorecard!$D$14+D820*Scorecard!$D$15+E820*Scorecard!$D$16+F820*Scorecard!$D$17</f>
        <v>3.79707695577237</v>
      </c>
      <c r="I820" s="47" t="n">
        <f aca="false">A820*Scorecard!$E$12+B820*Scorecard!$E$13+C820*Scorecard!$E$14+D820*Scorecard!$E$15+E820*Scorecard!$E$16+F820*Scorecard!$E$17</f>
        <v>3.88730114729731</v>
      </c>
      <c r="J820" s="0" t="str">
        <f aca="false">IF(AND(G820&gt;=H820,G820&gt;=I820),"Distribution",IF(I820&gt;=H820,"Prof. services","Manufacturing"))</f>
        <v>Distribution</v>
      </c>
      <c r="L820" s="46" t="n">
        <v>0.123021</v>
      </c>
      <c r="M820" s="46" t="n">
        <v>0.184175</v>
      </c>
      <c r="N820" s="46" t="n">
        <v>0.270565</v>
      </c>
      <c r="O820" s="46" t="n">
        <v>0.111384</v>
      </c>
      <c r="P820" s="46" t="n">
        <v>0.23246</v>
      </c>
      <c r="Q820" s="46" t="n">
        <v>0.078395</v>
      </c>
      <c r="R820" s="47" t="n">
        <f aca="false">L820*Scorecard!$C$12+M820*Scorecard!$C$13+N820*Scorecard!$C$14+O820*Scorecard!$C$15+P820*Scorecard!$C$16+Q820*Scorecard!$C$17</f>
        <v>3.91732944560133</v>
      </c>
      <c r="S820" s="47" t="n">
        <f aca="false">L820*Scorecard!$D$12+M820*Scorecard!$D$13+N820*Scorecard!$D$14+O820*Scorecard!$D$15+P820*Scorecard!$D$16+Q820*Scorecard!$D$17</f>
        <v>2.89365123332785</v>
      </c>
      <c r="T820" s="47" t="n">
        <f aca="false">L820*Scorecard!$E$12+M820*Scorecard!$E$13+N820*Scorecard!$E$14+O820*Scorecard!$E$15+P820*Scorecard!$E$16+Q820*Scorecard!$E$17</f>
        <v>3.71819308843738</v>
      </c>
      <c r="U820" s="0" t="str">
        <f aca="false">IF(AND(R820&gt;=S820,R820&gt;=T820),"Distribution",IF(T820&gt;=S820,"Prof. services","Manufacturing"))</f>
        <v>Distribution</v>
      </c>
    </row>
    <row r="821" customFormat="false" ht="15" hidden="false" customHeight="false" outlineLevel="0" collapsed="false">
      <c r="A821" s="46" t="n">
        <v>0.162416</v>
      </c>
      <c r="B821" s="46" t="n">
        <v>0.360005</v>
      </c>
      <c r="C821" s="46" t="n">
        <v>0.141884</v>
      </c>
      <c r="D821" s="46" t="n">
        <v>0.195548</v>
      </c>
      <c r="E821" s="46" t="n">
        <v>0.096259</v>
      </c>
      <c r="F821" s="46" t="n">
        <v>0.043888</v>
      </c>
      <c r="G821" s="47" t="n">
        <f aca="false">A821*Scorecard!$C$12+B821*Scorecard!$C$13+C821*Scorecard!$C$14+D821*Scorecard!$C$15+E821*Scorecard!$C$16+F821*Scorecard!$C$17</f>
        <v>4.17542588379046</v>
      </c>
      <c r="H821" s="47" t="n">
        <f aca="false">A821*Scorecard!$D$12+B821*Scorecard!$D$13+C821*Scorecard!$D$14+D821*Scorecard!$D$15+E821*Scorecard!$D$16+F821*Scorecard!$D$17</f>
        <v>2.75954426001965</v>
      </c>
      <c r="I821" s="47" t="n">
        <f aca="false">A821*Scorecard!$E$12+B821*Scorecard!$E$13+C821*Scorecard!$E$14+D821*Scorecard!$E$15+E821*Scorecard!$E$16+F821*Scorecard!$E$17</f>
        <v>3.52268287372702</v>
      </c>
      <c r="J821" s="0" t="str">
        <f aca="false">IF(AND(G821&gt;=H821,G821&gt;=I821),"Distribution",IF(I821&gt;=H821,"Prof. services","Manufacturing"))</f>
        <v>Distribution</v>
      </c>
      <c r="L821" s="46" t="n">
        <v>0.223475</v>
      </c>
      <c r="M821" s="46" t="n">
        <v>0.124292</v>
      </c>
      <c r="N821" s="46" t="n">
        <v>0.193347</v>
      </c>
      <c r="O821" s="46" t="n">
        <v>0.090759</v>
      </c>
      <c r="P821" s="46" t="n">
        <v>0.124318</v>
      </c>
      <c r="Q821" s="46" t="n">
        <v>0.243809</v>
      </c>
      <c r="R821" s="47" t="n">
        <f aca="false">L821*Scorecard!$C$12+M821*Scorecard!$C$13+N821*Scorecard!$C$14+O821*Scorecard!$C$15+P821*Scorecard!$C$16+Q821*Scorecard!$C$17</f>
        <v>3.32517481302995</v>
      </c>
      <c r="S821" s="47" t="n">
        <f aca="false">L821*Scorecard!$D$12+M821*Scorecard!$D$13+N821*Scorecard!$D$14+O821*Scorecard!$D$15+P821*Scorecard!$D$16+Q821*Scorecard!$D$17</f>
        <v>2.74184584862183</v>
      </c>
      <c r="T821" s="47" t="n">
        <f aca="false">L821*Scorecard!$E$12+M821*Scorecard!$E$13+N821*Scorecard!$E$14+O821*Scorecard!$E$15+P821*Scorecard!$E$16+Q821*Scorecard!$E$17</f>
        <v>4.11330378966243</v>
      </c>
      <c r="U821" s="0" t="str">
        <f aca="false">IF(AND(R821&gt;=S821,R821&gt;=T821),"Distribution",IF(T821&gt;=S821,"Prof. services","Manufacturing"))</f>
        <v>Prof. services</v>
      </c>
    </row>
    <row r="822" customFormat="false" ht="15" hidden="false" customHeight="false" outlineLevel="0" collapsed="false">
      <c r="A822" s="46" t="n">
        <v>0.318041</v>
      </c>
      <c r="B822" s="46" t="n">
        <v>0.055486</v>
      </c>
      <c r="C822" s="46" t="n">
        <v>0.114187</v>
      </c>
      <c r="D822" s="46" t="n">
        <v>0.045364</v>
      </c>
      <c r="E822" s="46" t="n">
        <v>0.368639</v>
      </c>
      <c r="F822" s="46" t="n">
        <v>0.098283</v>
      </c>
      <c r="G822" s="47" t="n">
        <f aca="false">A822*Scorecard!$C$12+B822*Scorecard!$C$13+C822*Scorecard!$C$14+D822*Scorecard!$C$15+E822*Scorecard!$C$16+F822*Scorecard!$C$17</f>
        <v>3.33180566442716</v>
      </c>
      <c r="H822" s="47" t="n">
        <f aca="false">A822*Scorecard!$D$12+B822*Scorecard!$D$13+C822*Scorecard!$D$14+D822*Scorecard!$D$15+E822*Scorecard!$D$16+F822*Scorecard!$D$17</f>
        <v>3.1547674865829</v>
      </c>
      <c r="I822" s="47" t="n">
        <f aca="false">A822*Scorecard!$E$12+B822*Scorecard!$E$13+C822*Scorecard!$E$14+D822*Scorecard!$E$15+E822*Scorecard!$E$16+F822*Scorecard!$E$17</f>
        <v>3.77034701413009</v>
      </c>
      <c r="J822" s="0" t="str">
        <f aca="false">IF(AND(G822&gt;=H822,G822&gt;=I822),"Distribution",IF(I822&gt;=H822,"Prof. services","Manufacturing"))</f>
        <v>Prof. services</v>
      </c>
      <c r="L822" s="46" t="n">
        <v>0.18137</v>
      </c>
      <c r="M822" s="46" t="n">
        <v>0.124588</v>
      </c>
      <c r="N822" s="46" t="n">
        <v>0.22409</v>
      </c>
      <c r="O822" s="46" t="n">
        <v>0.166138</v>
      </c>
      <c r="P822" s="46" t="n">
        <v>0.165626</v>
      </c>
      <c r="Q822" s="46" t="n">
        <v>0.138188</v>
      </c>
      <c r="R822" s="47" t="n">
        <f aca="false">L822*Scorecard!$C$12+M822*Scorecard!$C$13+N822*Scorecard!$C$14+O822*Scorecard!$C$15+P822*Scorecard!$C$16+Q822*Scorecard!$C$17</f>
        <v>3.68788141348805</v>
      </c>
      <c r="S822" s="47" t="n">
        <f aca="false">L822*Scorecard!$D$12+M822*Scorecard!$D$13+N822*Scorecard!$D$14+O822*Scorecard!$D$15+P822*Scorecard!$D$16+Q822*Scorecard!$D$17</f>
        <v>2.97305180184486</v>
      </c>
      <c r="T822" s="47" t="n">
        <f aca="false">L822*Scorecard!$E$12+M822*Scorecard!$E$13+N822*Scorecard!$E$14+O822*Scorecard!$E$15+P822*Scorecard!$E$16+Q822*Scorecard!$E$17</f>
        <v>3.9920999160436</v>
      </c>
      <c r="U822" s="0" t="str">
        <f aca="false">IF(AND(R822&gt;=S822,R822&gt;=T822),"Distribution",IF(T822&gt;=S822,"Prof. services","Manufacturing"))</f>
        <v>Prof. services</v>
      </c>
    </row>
    <row r="823" customFormat="false" ht="15" hidden="false" customHeight="false" outlineLevel="0" collapsed="false">
      <c r="A823" s="46" t="n">
        <v>0.026537</v>
      </c>
      <c r="B823" s="46" t="n">
        <v>0.174696</v>
      </c>
      <c r="C823" s="46" t="n">
        <v>0.216894</v>
      </c>
      <c r="D823" s="46" t="n">
        <v>0.021618</v>
      </c>
      <c r="E823" s="46" t="n">
        <v>0.394667</v>
      </c>
      <c r="F823" s="46" t="n">
        <v>0.165588</v>
      </c>
      <c r="G823" s="47" t="n">
        <f aca="false">A823*Scorecard!$C$12+B823*Scorecard!$C$13+C823*Scorecard!$C$14+D823*Scorecard!$C$15+E823*Scorecard!$C$16+F823*Scorecard!$C$17</f>
        <v>3.81737102155667</v>
      </c>
      <c r="H823" s="47" t="n">
        <f aca="false">A823*Scorecard!$D$12+B823*Scorecard!$D$13+C823*Scorecard!$D$14+D823*Scorecard!$D$15+E823*Scorecard!$D$16+F823*Scorecard!$D$17</f>
        <v>2.66350949793203</v>
      </c>
      <c r="I823" s="47" t="n">
        <f aca="false">A823*Scorecard!$E$12+B823*Scorecard!$E$13+C823*Scorecard!$E$14+D823*Scorecard!$E$15+E823*Scorecard!$E$16+F823*Scorecard!$E$17</f>
        <v>3.34433676150978</v>
      </c>
      <c r="J823" s="0" t="str">
        <f aca="false">IF(AND(G823&gt;=H823,G823&gt;=I823),"Distribution",IF(I823&gt;=H823,"Prof. services","Manufacturing"))</f>
        <v>Distribution</v>
      </c>
      <c r="L823" s="46" t="n">
        <v>0.162584</v>
      </c>
      <c r="M823" s="46" t="n">
        <v>0.257165</v>
      </c>
      <c r="N823" s="46" t="n">
        <v>0.19637</v>
      </c>
      <c r="O823" s="46" t="n">
        <v>0.072842</v>
      </c>
      <c r="P823" s="46" t="n">
        <v>0.209038</v>
      </c>
      <c r="Q823" s="46" t="n">
        <v>0.102001</v>
      </c>
      <c r="R823" s="47" t="n">
        <f aca="false">L823*Scorecard!$C$12+M823*Scorecard!$C$13+N823*Scorecard!$C$14+O823*Scorecard!$C$15+P823*Scorecard!$C$16+Q823*Scorecard!$C$17</f>
        <v>3.83335148139462</v>
      </c>
      <c r="S823" s="47" t="n">
        <f aca="false">L823*Scorecard!$D$12+M823*Scorecard!$D$13+N823*Scorecard!$D$14+O823*Scorecard!$D$15+P823*Scorecard!$D$16+Q823*Scorecard!$D$17</f>
        <v>2.72239225969244</v>
      </c>
      <c r="T823" s="47" t="n">
        <f aca="false">L823*Scorecard!$E$12+M823*Scorecard!$E$13+N823*Scorecard!$E$14+O823*Scorecard!$E$15+P823*Scorecard!$E$16+Q823*Scorecard!$E$17</f>
        <v>3.59117648318076</v>
      </c>
      <c r="U823" s="0" t="str">
        <f aca="false">IF(AND(R823&gt;=S823,R823&gt;=T823),"Distribution",IF(T823&gt;=S823,"Prof. services","Manufacturing"))</f>
        <v>Distribution</v>
      </c>
    </row>
    <row r="824" customFormat="false" ht="15" hidden="false" customHeight="false" outlineLevel="0" collapsed="false">
      <c r="A824" s="46" t="n">
        <v>0.019706</v>
      </c>
      <c r="B824" s="46" t="n">
        <v>0.315371</v>
      </c>
      <c r="C824" s="46" t="n">
        <v>0.163994</v>
      </c>
      <c r="D824" s="46" t="n">
        <v>0.115701</v>
      </c>
      <c r="E824" s="46" t="n">
        <v>0.005027</v>
      </c>
      <c r="F824" s="46" t="n">
        <v>0.380202</v>
      </c>
      <c r="G824" s="47" t="n">
        <f aca="false">A824*Scorecard!$C$12+B824*Scorecard!$C$13+C824*Scorecard!$C$14+D824*Scorecard!$C$15+E824*Scorecard!$C$16+F824*Scorecard!$C$17</f>
        <v>3.63520091897334</v>
      </c>
      <c r="H824" s="47" t="n">
        <f aca="false">A824*Scorecard!$D$12+B824*Scorecard!$D$13+C824*Scorecard!$D$14+D824*Scorecard!$D$15+E824*Scorecard!$D$16+F824*Scorecard!$D$17</f>
        <v>2.10496018556972</v>
      </c>
      <c r="I824" s="47" t="n">
        <f aca="false">A824*Scorecard!$E$12+B824*Scorecard!$E$13+C824*Scorecard!$E$14+D824*Scorecard!$E$15+E824*Scorecard!$E$16+F824*Scorecard!$E$17</f>
        <v>3.79290846968185</v>
      </c>
      <c r="J824" s="0" t="str">
        <f aca="false">IF(AND(G824&gt;=H824,G824&gt;=I824),"Distribution",IF(I824&gt;=H824,"Prof. services","Manufacturing"))</f>
        <v>Prof. services</v>
      </c>
      <c r="L824" s="46" t="n">
        <v>0.200341</v>
      </c>
      <c r="M824" s="46" t="n">
        <v>0.092942</v>
      </c>
      <c r="N824" s="46" t="n">
        <v>0.221665</v>
      </c>
      <c r="O824" s="46" t="n">
        <v>0.297442</v>
      </c>
      <c r="P824" s="46" t="n">
        <v>0.059159</v>
      </c>
      <c r="Q824" s="46" t="n">
        <v>0.12845</v>
      </c>
      <c r="R824" s="47" t="n">
        <f aca="false">L824*Scorecard!$C$12+M824*Scorecard!$C$13+N824*Scorecard!$C$14+O824*Scorecard!$C$15+P824*Scorecard!$C$16+Q824*Scorecard!$C$17</f>
        <v>3.77286334294321</v>
      </c>
      <c r="S824" s="47" t="n">
        <f aca="false">L824*Scorecard!$D$12+M824*Scorecard!$D$13+N824*Scorecard!$D$14+O824*Scorecard!$D$15+P824*Scorecard!$D$16+Q824*Scorecard!$D$17</f>
        <v>3.16420170495101</v>
      </c>
      <c r="T824" s="47" t="n">
        <f aca="false">L824*Scorecard!$E$12+M824*Scorecard!$E$13+N824*Scorecard!$E$14+O824*Scorecard!$E$15+P824*Scorecard!$E$16+Q824*Scorecard!$E$17</f>
        <v>4.26212109229925</v>
      </c>
      <c r="U824" s="0" t="str">
        <f aca="false">IF(AND(R824&gt;=S824,R824&gt;=T824),"Distribution",IF(T824&gt;=S824,"Prof. services","Manufacturing"))</f>
        <v>Prof. services</v>
      </c>
    </row>
    <row r="825" customFormat="false" ht="15" hidden="false" customHeight="false" outlineLevel="0" collapsed="false">
      <c r="A825" s="46" t="n">
        <v>0.099092</v>
      </c>
      <c r="B825" s="46" t="n">
        <v>0.083109</v>
      </c>
      <c r="C825" s="46" t="n">
        <v>0.011</v>
      </c>
      <c r="D825" s="46" t="n">
        <v>0.063284</v>
      </c>
      <c r="E825" s="46" t="n">
        <v>0.374552</v>
      </c>
      <c r="F825" s="46" t="n">
        <v>0.368963</v>
      </c>
      <c r="G825" s="47" t="n">
        <f aca="false">A825*Scorecard!$C$12+B825*Scorecard!$C$13+C825*Scorecard!$C$14+D825*Scorecard!$C$15+E825*Scorecard!$C$16+F825*Scorecard!$C$17</f>
        <v>3.23009998685206</v>
      </c>
      <c r="H825" s="47" t="n">
        <f aca="false">A825*Scorecard!$D$12+B825*Scorecard!$D$13+C825*Scorecard!$D$14+D825*Scorecard!$D$15+E825*Scorecard!$D$16+F825*Scorecard!$D$17</f>
        <v>2.58537468271304</v>
      </c>
      <c r="I825" s="47" t="n">
        <f aca="false">A825*Scorecard!$E$12+B825*Scorecard!$E$13+C825*Scorecard!$E$14+D825*Scorecard!$E$15+E825*Scorecard!$E$16+F825*Scorecard!$E$17</f>
        <v>3.52482751532912</v>
      </c>
      <c r="J825" s="0" t="str">
        <f aca="false">IF(AND(G825&gt;=H825,G825&gt;=I825),"Distribution",IF(I825&gt;=H825,"Prof. services","Manufacturing"))</f>
        <v>Prof. services</v>
      </c>
      <c r="L825" s="46" t="n">
        <v>0.178818</v>
      </c>
      <c r="M825" s="46" t="n">
        <v>0.165329</v>
      </c>
      <c r="N825" s="46" t="n">
        <v>0.23453</v>
      </c>
      <c r="O825" s="46" t="n">
        <v>0.171887</v>
      </c>
      <c r="P825" s="46" t="n">
        <v>0.214292</v>
      </c>
      <c r="Q825" s="46" t="n">
        <v>0.035145</v>
      </c>
      <c r="R825" s="47" t="n">
        <f aca="false">L825*Scorecard!$C$12+M825*Scorecard!$C$13+N825*Scorecard!$C$14+O825*Scorecard!$C$15+P825*Scorecard!$C$16+Q825*Scorecard!$C$17</f>
        <v>3.94505504988204</v>
      </c>
      <c r="S825" s="47" t="n">
        <f aca="false">L825*Scorecard!$D$12+M825*Scorecard!$D$13+N825*Scorecard!$D$14+O825*Scorecard!$D$15+P825*Scorecard!$D$16+Q825*Scorecard!$D$17</f>
        <v>3.08765853715144</v>
      </c>
      <c r="T825" s="47" t="n">
        <f aca="false">L825*Scorecard!$E$12+M825*Scorecard!$E$13+N825*Scorecard!$E$14+O825*Scorecard!$E$15+P825*Scorecard!$E$16+Q825*Scorecard!$E$17</f>
        <v>3.79189057398849</v>
      </c>
      <c r="U825" s="0" t="str">
        <f aca="false">IF(AND(R825&gt;=S825,R825&gt;=T825),"Distribution",IF(T825&gt;=S825,"Prof. services","Manufacturing"))</f>
        <v>Distribution</v>
      </c>
    </row>
    <row r="826" customFormat="false" ht="15" hidden="false" customHeight="false" outlineLevel="0" collapsed="false">
      <c r="A826" s="46" t="n">
        <v>0.024487</v>
      </c>
      <c r="B826" s="46" t="n">
        <v>0.135451</v>
      </c>
      <c r="C826" s="46" t="n">
        <v>0.333574</v>
      </c>
      <c r="D826" s="46" t="n">
        <v>0.17884</v>
      </c>
      <c r="E826" s="46" t="n">
        <v>0.06832</v>
      </c>
      <c r="F826" s="46" t="n">
        <v>0.259328</v>
      </c>
      <c r="G826" s="47" t="n">
        <f aca="false">A826*Scorecard!$C$12+B826*Scorecard!$C$13+C826*Scorecard!$C$14+D826*Scorecard!$C$15+E826*Scorecard!$C$16+F826*Scorecard!$C$17</f>
        <v>3.75155805079165</v>
      </c>
      <c r="H826" s="47" t="n">
        <f aca="false">A826*Scorecard!$D$12+B826*Scorecard!$D$13+C826*Scorecard!$D$14+D826*Scorecard!$D$15+E826*Scorecard!$D$16+F826*Scorecard!$D$17</f>
        <v>2.65367652431699</v>
      </c>
      <c r="I826" s="47" t="n">
        <f aca="false">A826*Scorecard!$E$12+B826*Scorecard!$E$13+C826*Scorecard!$E$14+D826*Scorecard!$E$15+E826*Scorecard!$E$16+F826*Scorecard!$E$17</f>
        <v>4.14915760374426</v>
      </c>
      <c r="J826" s="0" t="str">
        <f aca="false">IF(AND(G826&gt;=H826,G826&gt;=I826),"Distribution",IF(I826&gt;=H826,"Prof. services","Manufacturing"))</f>
        <v>Prof. services</v>
      </c>
      <c r="L826" s="46" t="n">
        <v>0.329055</v>
      </c>
      <c r="M826" s="46" t="n">
        <v>0.229693</v>
      </c>
      <c r="N826" s="46" t="n">
        <v>0.093879</v>
      </c>
      <c r="O826" s="46" t="n">
        <v>0.118005</v>
      </c>
      <c r="P826" s="46" t="n">
        <v>0.159492</v>
      </c>
      <c r="Q826" s="46" t="n">
        <v>0.069876</v>
      </c>
      <c r="R826" s="47" t="n">
        <f aca="false">L826*Scorecard!$C$12+M826*Scorecard!$C$13+N826*Scorecard!$C$14+O826*Scorecard!$C$15+P826*Scorecard!$C$16+Q826*Scorecard!$C$17</f>
        <v>3.61564230735684</v>
      </c>
      <c r="S826" s="47" t="n">
        <f aca="false">L826*Scorecard!$D$12+M826*Scorecard!$D$13+N826*Scorecard!$D$14+O826*Scorecard!$D$15+P826*Scorecard!$D$16+Q826*Scorecard!$D$17</f>
        <v>2.95754476408977</v>
      </c>
      <c r="T826" s="47" t="n">
        <f aca="false">L826*Scorecard!$E$12+M826*Scorecard!$E$13+N826*Scorecard!$E$14+O826*Scorecard!$E$15+P826*Scorecard!$E$16+Q826*Scorecard!$E$17</f>
        <v>3.78060850218608</v>
      </c>
      <c r="U826" s="0" t="str">
        <f aca="false">IF(AND(R826&gt;=S826,R826&gt;=T826),"Distribution",IF(T826&gt;=S826,"Prof. services","Manufacturing"))</f>
        <v>Prof. services</v>
      </c>
    </row>
    <row r="827" customFormat="false" ht="15" hidden="false" customHeight="false" outlineLevel="0" collapsed="false">
      <c r="A827" s="46" t="n">
        <v>0.159973</v>
      </c>
      <c r="B827" s="46" t="n">
        <v>0.173592</v>
      </c>
      <c r="C827" s="46" t="n">
        <v>0.042367</v>
      </c>
      <c r="D827" s="46" t="n">
        <v>0.126609</v>
      </c>
      <c r="E827" s="46" t="n">
        <v>0.33644</v>
      </c>
      <c r="F827" s="46" t="n">
        <v>0.161019</v>
      </c>
      <c r="G827" s="47" t="n">
        <f aca="false">A827*Scorecard!$C$12+B827*Scorecard!$C$13+C827*Scorecard!$C$14+D827*Scorecard!$C$15+E827*Scorecard!$C$16+F827*Scorecard!$C$17</f>
        <v>3.69020931863001</v>
      </c>
      <c r="H827" s="47" t="n">
        <f aca="false">A827*Scorecard!$D$12+B827*Scorecard!$D$13+C827*Scorecard!$D$14+D827*Scorecard!$D$15+E827*Scorecard!$D$16+F827*Scorecard!$D$17</f>
        <v>2.8622940332564</v>
      </c>
      <c r="I827" s="47" t="n">
        <f aca="false">A827*Scorecard!$E$12+B827*Scorecard!$E$13+C827*Scorecard!$E$14+D827*Scorecard!$E$15+E827*Scorecard!$E$16+F827*Scorecard!$E$17</f>
        <v>3.41730701000159</v>
      </c>
      <c r="J827" s="0" t="str">
        <f aca="false">IF(AND(G827&gt;=H827,G827&gt;=I827),"Distribution",IF(I827&gt;=H827,"Prof. services","Manufacturing"))</f>
        <v>Distribution</v>
      </c>
      <c r="L827" s="46" t="n">
        <v>0.12501</v>
      </c>
      <c r="M827" s="46" t="n">
        <v>0.103732</v>
      </c>
      <c r="N827" s="46" t="n">
        <v>0.263952</v>
      </c>
      <c r="O827" s="46" t="n">
        <v>0.311189</v>
      </c>
      <c r="P827" s="46" t="n">
        <v>0.13191</v>
      </c>
      <c r="Q827" s="46" t="n">
        <v>0.064206</v>
      </c>
      <c r="R827" s="47" t="n">
        <f aca="false">L827*Scorecard!$C$12+M827*Scorecard!$C$13+N827*Scorecard!$C$14+O827*Scorecard!$C$15+P827*Scorecard!$C$16+Q827*Scorecard!$C$17</f>
        <v>4.06148521723627</v>
      </c>
      <c r="S827" s="47" t="n">
        <f aca="false">L827*Scorecard!$D$12+M827*Scorecard!$D$13+N827*Scorecard!$D$14+O827*Scorecard!$D$15+P827*Scorecard!$D$16+Q827*Scorecard!$D$17</f>
        <v>3.2347764989591</v>
      </c>
      <c r="T827" s="47" t="n">
        <f aca="false">L827*Scorecard!$E$12+M827*Scorecard!$E$13+N827*Scorecard!$E$14+O827*Scorecard!$E$15+P827*Scorecard!$E$16+Q827*Scorecard!$E$17</f>
        <v>4.05772185977404</v>
      </c>
      <c r="U827" s="0" t="str">
        <f aca="false">IF(AND(R827&gt;=S827,R827&gt;=T827),"Distribution",IF(T827&gt;=S827,"Prof. services","Manufacturing"))</f>
        <v>Distribution</v>
      </c>
    </row>
    <row r="828" customFormat="false" ht="15" hidden="false" customHeight="false" outlineLevel="0" collapsed="false">
      <c r="A828" s="46" t="n">
        <v>0.210198</v>
      </c>
      <c r="B828" s="46" t="n">
        <v>0.099275</v>
      </c>
      <c r="C828" s="46" t="n">
        <v>0.354563</v>
      </c>
      <c r="D828" s="46" t="n">
        <v>0.025995</v>
      </c>
      <c r="E828" s="46" t="n">
        <v>0.266414</v>
      </c>
      <c r="F828" s="46" t="n">
        <v>0.043554</v>
      </c>
      <c r="G828" s="47" t="n">
        <f aca="false">A828*Scorecard!$C$12+B828*Scorecard!$C$13+C828*Scorecard!$C$14+D828*Scorecard!$C$15+E828*Scorecard!$C$16+F828*Scorecard!$C$17</f>
        <v>3.65979860237284</v>
      </c>
      <c r="H828" s="47" t="n">
        <f aca="false">A828*Scorecard!$D$12+B828*Scorecard!$D$13+C828*Scorecard!$D$14+D828*Scorecard!$D$15+E828*Scorecard!$D$16+F828*Scorecard!$D$17</f>
        <v>3.04339766586452</v>
      </c>
      <c r="I828" s="47" t="n">
        <f aca="false">A828*Scorecard!$E$12+B828*Scorecard!$E$13+C828*Scorecard!$E$14+D828*Scorecard!$E$15+E828*Scorecard!$E$16+F828*Scorecard!$E$17</f>
        <v>3.96057775985601</v>
      </c>
      <c r="J828" s="0" t="str">
        <f aca="false">IF(AND(G828&gt;=H828,G828&gt;=I828),"Distribution",IF(I828&gt;=H828,"Prof. services","Manufacturing"))</f>
        <v>Prof. services</v>
      </c>
      <c r="L828" s="46" t="n">
        <v>0.13198</v>
      </c>
      <c r="M828" s="46" t="n">
        <v>0.336872</v>
      </c>
      <c r="N828" s="46" t="n">
        <v>0.254442</v>
      </c>
      <c r="O828" s="46" t="n">
        <v>0.093678</v>
      </c>
      <c r="P828" s="46" t="n">
        <v>0.094016</v>
      </c>
      <c r="Q828" s="46" t="n">
        <v>0.089013</v>
      </c>
      <c r="R828" s="47" t="n">
        <f aca="false">L828*Scorecard!$C$12+M828*Scorecard!$C$13+N828*Scorecard!$C$14+O828*Scorecard!$C$15+P828*Scorecard!$C$16+Q828*Scorecard!$C$17</f>
        <v>4.01496211783731</v>
      </c>
      <c r="S828" s="47" t="n">
        <f aca="false">L828*Scorecard!$D$12+M828*Scorecard!$D$13+N828*Scorecard!$D$14+O828*Scorecard!$D$15+P828*Scorecard!$D$16+Q828*Scorecard!$D$17</f>
        <v>2.58780139458565</v>
      </c>
      <c r="T828" s="47" t="n">
        <f aca="false">L828*Scorecard!$E$12+M828*Scorecard!$E$13+N828*Scorecard!$E$14+O828*Scorecard!$E$15+P828*Scorecard!$E$16+Q828*Scorecard!$E$17</f>
        <v>3.65777976185218</v>
      </c>
      <c r="U828" s="0" t="str">
        <f aca="false">IF(AND(R828&gt;=S828,R828&gt;=T828),"Distribution",IF(T828&gt;=S828,"Prof. services","Manufacturing"))</f>
        <v>Distribution</v>
      </c>
    </row>
    <row r="829" customFormat="false" ht="15" hidden="false" customHeight="false" outlineLevel="0" collapsed="false">
      <c r="A829" s="46" t="n">
        <v>0.049507</v>
      </c>
      <c r="B829" s="46" t="n">
        <v>0.378056</v>
      </c>
      <c r="C829" s="46" t="n">
        <v>0.0898</v>
      </c>
      <c r="D829" s="46" t="n">
        <v>0.100043</v>
      </c>
      <c r="E829" s="46" t="n">
        <v>0.178859</v>
      </c>
      <c r="F829" s="46" t="n">
        <v>0.203734</v>
      </c>
      <c r="G829" s="47" t="n">
        <f aca="false">A829*Scorecard!$C$12+B829*Scorecard!$C$13+C829*Scorecard!$C$14+D829*Scorecard!$C$15+E829*Scorecard!$C$16+F829*Scorecard!$C$17</f>
        <v>3.98151369398221</v>
      </c>
      <c r="H829" s="47" t="n">
        <f aca="false">A829*Scorecard!$D$12+B829*Scorecard!$D$13+C829*Scorecard!$D$14+D829*Scorecard!$D$15+E829*Scorecard!$D$16+F829*Scorecard!$D$17</f>
        <v>2.33506855179365</v>
      </c>
      <c r="I829" s="47" t="n">
        <f aca="false">A829*Scorecard!$E$12+B829*Scorecard!$E$13+C829*Scorecard!$E$14+D829*Scorecard!$E$15+E829*Scorecard!$E$16+F829*Scorecard!$E$17</f>
        <v>3.25041262643489</v>
      </c>
      <c r="J829" s="0" t="str">
        <f aca="false">IF(AND(G829&gt;=H829,G829&gt;=I829),"Distribution",IF(I829&gt;=H829,"Prof. services","Manufacturing"))</f>
        <v>Distribution</v>
      </c>
      <c r="L829" s="46" t="n">
        <v>0.192714</v>
      </c>
      <c r="M829" s="46" t="n">
        <v>0.240605</v>
      </c>
      <c r="N829" s="46" t="n">
        <v>0.182368</v>
      </c>
      <c r="O829" s="46" t="n">
        <v>0.190711</v>
      </c>
      <c r="P829" s="46" t="n">
        <v>0.109711</v>
      </c>
      <c r="Q829" s="46" t="n">
        <v>0.083892</v>
      </c>
      <c r="R829" s="47" t="n">
        <f aca="false">L829*Scorecard!$C$12+M829*Scorecard!$C$13+N829*Scorecard!$C$14+O829*Scorecard!$C$15+P829*Scorecard!$C$16+Q829*Scorecard!$C$17</f>
        <v>3.91664805171162</v>
      </c>
      <c r="S829" s="47" t="n">
        <f aca="false">L829*Scorecard!$D$12+M829*Scorecard!$D$13+N829*Scorecard!$D$14+O829*Scorecard!$D$15+P829*Scorecard!$D$16+Q829*Scorecard!$D$17</f>
        <v>2.89765870423591</v>
      </c>
      <c r="T829" s="47" t="n">
        <f aca="false">L829*Scorecard!$E$12+M829*Scorecard!$E$13+N829*Scorecard!$E$14+O829*Scorecard!$E$15+P829*Scorecard!$E$16+Q829*Scorecard!$E$17</f>
        <v>3.81420222454296</v>
      </c>
      <c r="U829" s="0" t="str">
        <f aca="false">IF(AND(R829&gt;=S829,R829&gt;=T829),"Distribution",IF(T829&gt;=S829,"Prof. services","Manufacturing"))</f>
        <v>Distribution</v>
      </c>
    </row>
    <row r="830" customFormat="false" ht="15" hidden="false" customHeight="false" outlineLevel="0" collapsed="false">
      <c r="A830" s="46" t="n">
        <v>0.244605</v>
      </c>
      <c r="B830" s="46" t="n">
        <v>0.193909</v>
      </c>
      <c r="C830" s="46" t="n">
        <v>0.001862</v>
      </c>
      <c r="D830" s="46" t="n">
        <v>0.040444</v>
      </c>
      <c r="E830" s="46" t="n">
        <v>0.077107</v>
      </c>
      <c r="F830" s="46" t="n">
        <v>0.442074</v>
      </c>
      <c r="G830" s="47" t="n">
        <f aca="false">A830*Scorecard!$C$12+B830*Scorecard!$C$13+C830*Scorecard!$C$14+D830*Scorecard!$C$15+E830*Scorecard!$C$16+F830*Scorecard!$C$17</f>
        <v>2.90991651169568</v>
      </c>
      <c r="H830" s="47" t="n">
        <f aca="false">A830*Scorecard!$D$12+B830*Scorecard!$D$13+C830*Scorecard!$D$14+D830*Scorecard!$D$15+E830*Scorecard!$D$16+F830*Scorecard!$D$17</f>
        <v>2.27992977769832</v>
      </c>
      <c r="I830" s="47" t="n">
        <f aca="false">A830*Scorecard!$E$12+B830*Scorecard!$E$13+C830*Scorecard!$E$14+D830*Scorecard!$E$15+E830*Scorecard!$E$16+F830*Scorecard!$E$17</f>
        <v>3.98194030446767</v>
      </c>
      <c r="J830" s="0" t="str">
        <f aca="false">IF(AND(G830&gt;=H830,G830&gt;=I830),"Distribution",IF(I830&gt;=H830,"Prof. services","Manufacturing"))</f>
        <v>Prof. services</v>
      </c>
      <c r="L830" s="46" t="n">
        <v>0.287456</v>
      </c>
      <c r="M830" s="46" t="n">
        <v>0.235711</v>
      </c>
      <c r="N830" s="46" t="n">
        <v>0.173894</v>
      </c>
      <c r="O830" s="46" t="n">
        <v>0.147735</v>
      </c>
      <c r="P830" s="46" t="n">
        <v>0.123979</v>
      </c>
      <c r="Q830" s="46" t="n">
        <v>0.031226</v>
      </c>
      <c r="R830" s="47" t="n">
        <f aca="false">L830*Scorecard!$C$12+M830*Scorecard!$C$13+N830*Scorecard!$C$14+O830*Scorecard!$C$15+P830*Scorecard!$C$16+Q830*Scorecard!$C$17</f>
        <v>3.80357310059889</v>
      </c>
      <c r="S830" s="47" t="n">
        <f aca="false">L830*Scorecard!$D$12+M830*Scorecard!$D$13+N830*Scorecard!$D$14+O830*Scorecard!$D$15+P830*Scorecard!$D$16+Q830*Scorecard!$D$17</f>
        <v>3.00159055943247</v>
      </c>
      <c r="T830" s="47" t="n">
        <f aca="false">L830*Scorecard!$E$12+M830*Scorecard!$E$13+N830*Scorecard!$E$14+O830*Scorecard!$E$15+P830*Scorecard!$E$16+Q830*Scorecard!$E$17</f>
        <v>3.85248354761138</v>
      </c>
      <c r="U830" s="0" t="str">
        <f aca="false">IF(AND(R830&gt;=S830,R830&gt;=T830),"Distribution",IF(T830&gt;=S830,"Prof. services","Manufacturing"))</f>
        <v>Prof. services</v>
      </c>
    </row>
    <row r="831" customFormat="false" ht="15" hidden="false" customHeight="false" outlineLevel="0" collapsed="false">
      <c r="A831" s="46" t="n">
        <v>0.288494</v>
      </c>
      <c r="B831" s="46" t="n">
        <v>0.073806</v>
      </c>
      <c r="C831" s="46" t="n">
        <v>0.052296</v>
      </c>
      <c r="D831" s="46" t="n">
        <v>0.365131</v>
      </c>
      <c r="E831" s="46" t="n">
        <v>0.080077</v>
      </c>
      <c r="F831" s="46" t="n">
        <v>0.140196</v>
      </c>
      <c r="G831" s="47" t="n">
        <f aca="false">A831*Scorecard!$C$12+B831*Scorecard!$C$13+C831*Scorecard!$C$14+D831*Scorecard!$C$15+E831*Scorecard!$C$16+F831*Scorecard!$C$17</f>
        <v>3.63925168579601</v>
      </c>
      <c r="H831" s="47" t="n">
        <f aca="false">A831*Scorecard!$D$12+B831*Scorecard!$D$13+C831*Scorecard!$D$14+D831*Scorecard!$D$15+E831*Scorecard!$D$16+F831*Scorecard!$D$17</f>
        <v>3.31887050082914</v>
      </c>
      <c r="I831" s="47" t="n">
        <f aca="false">A831*Scorecard!$E$12+B831*Scorecard!$E$13+C831*Scorecard!$E$14+D831*Scorecard!$E$15+E831*Scorecard!$E$16+F831*Scorecard!$E$17</f>
        <v>4.19891846120023</v>
      </c>
      <c r="J831" s="0" t="str">
        <f aca="false">IF(AND(G831&gt;=H831,G831&gt;=I831),"Distribution",IF(I831&gt;=H831,"Prof. services","Manufacturing"))</f>
        <v>Prof. services</v>
      </c>
      <c r="L831" s="46" t="n">
        <v>0.049086</v>
      </c>
      <c r="M831" s="46" t="n">
        <v>0.322864</v>
      </c>
      <c r="N831" s="46" t="n">
        <v>0.117351</v>
      </c>
      <c r="O831" s="46" t="n">
        <v>0.104311</v>
      </c>
      <c r="P831" s="46" t="n">
        <v>0.367234</v>
      </c>
      <c r="Q831" s="46" t="n">
        <v>0.039155</v>
      </c>
      <c r="R831" s="47" t="n">
        <f aca="false">L831*Scorecard!$C$12+M831*Scorecard!$C$13+N831*Scorecard!$C$14+O831*Scorecard!$C$15+P831*Scorecard!$C$16+Q831*Scorecard!$C$17</f>
        <v>4.26051349998608</v>
      </c>
      <c r="S831" s="47" t="n">
        <f aca="false">L831*Scorecard!$D$12+M831*Scorecard!$D$13+N831*Scorecard!$D$14+O831*Scorecard!$D$15+P831*Scorecard!$D$16+Q831*Scorecard!$D$17</f>
        <v>2.73224074246977</v>
      </c>
      <c r="T831" s="47" t="n">
        <f aca="false">L831*Scorecard!$E$12+M831*Scorecard!$E$13+N831*Scorecard!$E$14+O831*Scorecard!$E$15+P831*Scorecard!$E$16+Q831*Scorecard!$E$17</f>
        <v>2.98552064310928</v>
      </c>
      <c r="U831" s="0" t="str">
        <f aca="false">IF(AND(R831&gt;=S831,R831&gt;=T831),"Distribution",IF(T831&gt;=S831,"Prof. services","Manufacturing"))</f>
        <v>Distribution</v>
      </c>
    </row>
    <row r="832" customFormat="false" ht="15" hidden="false" customHeight="false" outlineLevel="0" collapsed="false">
      <c r="A832" s="46" t="n">
        <v>0.141927</v>
      </c>
      <c r="B832" s="46" t="n">
        <v>0.078355</v>
      </c>
      <c r="C832" s="46" t="n">
        <v>0.097343</v>
      </c>
      <c r="D832" s="46" t="n">
        <v>0.178425</v>
      </c>
      <c r="E832" s="46" t="n">
        <v>0.405589</v>
      </c>
      <c r="F832" s="46" t="n">
        <v>0.09836</v>
      </c>
      <c r="G832" s="47" t="n">
        <f aca="false">A832*Scorecard!$C$12+B832*Scorecard!$C$13+C832*Scorecard!$C$14+D832*Scorecard!$C$15+E832*Scorecard!$C$16+F832*Scorecard!$C$17</f>
        <v>3.80458537598345</v>
      </c>
      <c r="H832" s="47" t="n">
        <f aca="false">A832*Scorecard!$D$12+B832*Scorecard!$D$13+C832*Scorecard!$D$14+D832*Scorecard!$D$15+E832*Scorecard!$D$16+F832*Scorecard!$D$17</f>
        <v>3.17034419489232</v>
      </c>
      <c r="I832" s="47" t="n">
        <f aca="false">A832*Scorecard!$E$12+B832*Scorecard!$E$13+C832*Scorecard!$E$14+D832*Scorecard!$E$15+E832*Scorecard!$E$16+F832*Scorecard!$E$17</f>
        <v>3.49478404409857</v>
      </c>
      <c r="J832" s="0" t="str">
        <f aca="false">IF(AND(G832&gt;=H832,G832&gt;=I832),"Distribution",IF(I832&gt;=H832,"Prof. services","Manufacturing"))</f>
        <v>Distribution</v>
      </c>
      <c r="L832" s="46" t="n">
        <v>0.130246</v>
      </c>
      <c r="M832" s="46" t="n">
        <v>0.231722</v>
      </c>
      <c r="N832" s="46" t="n">
        <v>0.280302</v>
      </c>
      <c r="O832" s="46" t="n">
        <v>0.126157</v>
      </c>
      <c r="P832" s="46" t="n">
        <v>0.17599</v>
      </c>
      <c r="Q832" s="46" t="n">
        <v>0.055585</v>
      </c>
      <c r="R832" s="47" t="n">
        <f aca="false">L832*Scorecard!$C$12+M832*Scorecard!$C$13+N832*Scorecard!$C$14+O832*Scorecard!$C$15+P832*Scorecard!$C$16+Q832*Scorecard!$C$17</f>
        <v>4.01227234256583</v>
      </c>
      <c r="S832" s="47" t="n">
        <f aca="false">L832*Scorecard!$D$12+M832*Scorecard!$D$13+N832*Scorecard!$D$14+O832*Scorecard!$D$15+P832*Scorecard!$D$16+Q832*Scorecard!$D$17</f>
        <v>2.85955505780166</v>
      </c>
      <c r="T832" s="47" t="n">
        <f aca="false">L832*Scorecard!$E$12+M832*Scorecard!$E$13+N832*Scorecard!$E$14+O832*Scorecard!$E$15+P832*Scorecard!$E$16+Q832*Scorecard!$E$17</f>
        <v>3.73112059520728</v>
      </c>
      <c r="U832" s="0" t="str">
        <f aca="false">IF(AND(R832&gt;=S832,R832&gt;=T832),"Distribution",IF(T832&gt;=S832,"Prof. services","Manufacturing"))</f>
        <v>Distribution</v>
      </c>
    </row>
    <row r="833" customFormat="false" ht="15" hidden="false" customHeight="false" outlineLevel="0" collapsed="false">
      <c r="A833" s="46" t="n">
        <v>0.22292</v>
      </c>
      <c r="B833" s="46" t="n">
        <v>0.023581</v>
      </c>
      <c r="C833" s="46" t="n">
        <v>0.055068</v>
      </c>
      <c r="D833" s="46" t="n">
        <v>0.003903</v>
      </c>
      <c r="E833" s="46" t="n">
        <v>0.05772</v>
      </c>
      <c r="F833" s="46" t="n">
        <v>0.636808</v>
      </c>
      <c r="G833" s="47" t="n">
        <f aca="false">A833*Scorecard!$C$12+B833*Scorecard!$C$13+C833*Scorecard!$C$14+D833*Scorecard!$C$15+E833*Scorecard!$C$16+F833*Scorecard!$C$17</f>
        <v>2.35260882094479</v>
      </c>
      <c r="H833" s="47" t="n">
        <f aca="false">A833*Scorecard!$D$12+B833*Scorecard!$D$13+C833*Scorecard!$D$14+D833*Scorecard!$D$15+E833*Scorecard!$D$16+F833*Scorecard!$D$17</f>
        <v>2.18040074103775</v>
      </c>
      <c r="I833" s="47" t="n">
        <f aca="false">A833*Scorecard!$E$12+B833*Scorecard!$E$13+C833*Scorecard!$E$14+D833*Scorecard!$E$15+E833*Scorecard!$E$16+F833*Scorecard!$E$17</f>
        <v>4.45660429257732</v>
      </c>
      <c r="J833" s="0" t="str">
        <f aca="false">IF(AND(G833&gt;=H833,G833&gt;=I833),"Distribution",IF(I833&gt;=H833,"Prof. services","Manufacturing"))</f>
        <v>Prof. services</v>
      </c>
      <c r="L833" s="46" t="n">
        <v>0.060052</v>
      </c>
      <c r="M833" s="46" t="n">
        <v>0.330699</v>
      </c>
      <c r="N833" s="46" t="n">
        <v>0.208108</v>
      </c>
      <c r="O833" s="46" t="n">
        <v>0.130692</v>
      </c>
      <c r="P833" s="46" t="n">
        <v>0.125027</v>
      </c>
      <c r="Q833" s="46" t="n">
        <v>0.145422</v>
      </c>
      <c r="R833" s="47" t="n">
        <f aca="false">L833*Scorecard!$C$12+M833*Scorecard!$C$13+N833*Scorecard!$C$14+O833*Scorecard!$C$15+P833*Scorecard!$C$16+Q833*Scorecard!$C$17</f>
        <v>4.06245254360029</v>
      </c>
      <c r="S833" s="47" t="n">
        <f aca="false">L833*Scorecard!$D$12+M833*Scorecard!$D$13+N833*Scorecard!$D$14+O833*Scorecard!$D$15+P833*Scorecard!$D$16+Q833*Scorecard!$D$17</f>
        <v>2.51812453803543</v>
      </c>
      <c r="T833" s="47" t="n">
        <f aca="false">L833*Scorecard!$E$12+M833*Scorecard!$E$13+N833*Scorecard!$E$14+O833*Scorecard!$E$15+P833*Scorecard!$E$16+Q833*Scorecard!$E$17</f>
        <v>3.53368564073063</v>
      </c>
      <c r="U833" s="0" t="str">
        <f aca="false">IF(AND(R833&gt;=S833,R833&gt;=T833),"Distribution",IF(T833&gt;=S833,"Prof. services","Manufacturing"))</f>
        <v>Distribution</v>
      </c>
    </row>
    <row r="834" customFormat="false" ht="15" hidden="false" customHeight="false" outlineLevel="0" collapsed="false">
      <c r="A834" s="46" t="n">
        <v>0.268721</v>
      </c>
      <c r="B834" s="46" t="n">
        <v>0.306392</v>
      </c>
      <c r="C834" s="46" t="n">
        <v>0.006039</v>
      </c>
      <c r="D834" s="46" t="n">
        <v>0.224067</v>
      </c>
      <c r="E834" s="46" t="n">
        <v>0.064481</v>
      </c>
      <c r="F834" s="46" t="n">
        <v>0.1303</v>
      </c>
      <c r="G834" s="47" t="n">
        <f aca="false">A834*Scorecard!$C$12+B834*Scorecard!$C$13+C834*Scorecard!$C$14+D834*Scorecard!$C$15+E834*Scorecard!$C$16+F834*Scorecard!$C$17</f>
        <v>3.78615736777815</v>
      </c>
      <c r="H834" s="47" t="n">
        <f aca="false">A834*Scorecard!$D$12+B834*Scorecard!$D$13+C834*Scorecard!$D$14+D834*Scorecard!$D$15+E834*Scorecard!$D$16+F834*Scorecard!$D$17</f>
        <v>2.80304125010828</v>
      </c>
      <c r="I834" s="47" t="n">
        <f aca="false">A834*Scorecard!$E$12+B834*Scorecard!$E$13+C834*Scorecard!$E$14+D834*Scorecard!$E$15+E834*Scorecard!$E$16+F834*Scorecard!$E$17</f>
        <v>3.69454834215379</v>
      </c>
      <c r="J834" s="0" t="str">
        <f aca="false">IF(AND(G834&gt;=H834,G834&gt;=I834),"Distribution",IF(I834&gt;=H834,"Prof. services","Manufacturing"))</f>
        <v>Distribution</v>
      </c>
      <c r="L834" s="46" t="n">
        <v>0.272108</v>
      </c>
      <c r="M834" s="46" t="n">
        <v>0.207643</v>
      </c>
      <c r="N834" s="46" t="n">
        <v>0.248225</v>
      </c>
      <c r="O834" s="46" t="n">
        <v>0.086359</v>
      </c>
      <c r="P834" s="46" t="n">
        <v>0.13752</v>
      </c>
      <c r="Q834" s="46" t="n">
        <v>0.048144</v>
      </c>
      <c r="R834" s="47" t="n">
        <f aca="false">L834*Scorecard!$C$12+M834*Scorecard!$C$13+N834*Scorecard!$C$14+O834*Scorecard!$C$15+P834*Scorecard!$C$16+Q834*Scorecard!$C$17</f>
        <v>3.70791171947625</v>
      </c>
      <c r="S834" s="47" t="n">
        <f aca="false">L834*Scorecard!$D$12+M834*Scorecard!$D$13+N834*Scorecard!$D$14+O834*Scorecard!$D$15+P834*Scorecard!$D$16+Q834*Scorecard!$D$17</f>
        <v>2.94166185834445</v>
      </c>
      <c r="T834" s="47" t="n">
        <f aca="false">L834*Scorecard!$E$12+M834*Scorecard!$E$13+N834*Scorecard!$E$14+O834*Scorecard!$E$15+P834*Scorecard!$E$16+Q834*Scorecard!$E$17</f>
        <v>3.93992077426499</v>
      </c>
      <c r="U834" s="0" t="str">
        <f aca="false">IF(AND(R834&gt;=S834,R834&gt;=T834),"Distribution",IF(T834&gt;=S834,"Prof. services","Manufacturing"))</f>
        <v>Prof. services</v>
      </c>
    </row>
    <row r="835" customFormat="false" ht="15" hidden="false" customHeight="false" outlineLevel="0" collapsed="false">
      <c r="A835" s="46" t="n">
        <v>0.240225</v>
      </c>
      <c r="B835" s="46" t="n">
        <v>0.090583</v>
      </c>
      <c r="C835" s="46" t="n">
        <v>0.013885</v>
      </c>
      <c r="D835" s="46" t="n">
        <v>0.05464</v>
      </c>
      <c r="E835" s="46" t="n">
        <v>0.346153</v>
      </c>
      <c r="F835" s="46" t="n">
        <v>0.254514</v>
      </c>
      <c r="G835" s="47" t="n">
        <f aca="false">A835*Scorecard!$C$12+B835*Scorecard!$C$13+C835*Scorecard!$C$14+D835*Scorecard!$C$15+E835*Scorecard!$C$16+F835*Scorecard!$C$17</f>
        <v>3.20378657415872</v>
      </c>
      <c r="H835" s="47" t="n">
        <f aca="false">A835*Scorecard!$D$12+B835*Scorecard!$D$13+C835*Scorecard!$D$14+D835*Scorecard!$D$15+E835*Scorecard!$D$16+F835*Scorecard!$D$17</f>
        <v>2.81958198008967</v>
      </c>
      <c r="I835" s="47" t="n">
        <f aca="false">A835*Scorecard!$E$12+B835*Scorecard!$E$13+C835*Scorecard!$E$14+D835*Scorecard!$E$15+E835*Scorecard!$E$16+F835*Scorecard!$E$17</f>
        <v>3.64351597168176</v>
      </c>
      <c r="J835" s="0" t="str">
        <f aca="false">IF(AND(G835&gt;=H835,G835&gt;=I835),"Distribution",IF(I835&gt;=H835,"Prof. services","Manufacturing"))</f>
        <v>Prof. services</v>
      </c>
      <c r="L835" s="46" t="n">
        <v>0.134822</v>
      </c>
      <c r="M835" s="46" t="n">
        <v>0.248461</v>
      </c>
      <c r="N835" s="46" t="n">
        <v>0.221114</v>
      </c>
      <c r="O835" s="46" t="n">
        <v>0.126665</v>
      </c>
      <c r="P835" s="46" t="n">
        <v>0.139797</v>
      </c>
      <c r="Q835" s="46" t="n">
        <v>0.129141</v>
      </c>
      <c r="R835" s="47" t="n">
        <f aca="false">L835*Scorecard!$C$12+M835*Scorecard!$C$13+N835*Scorecard!$C$14+O835*Scorecard!$C$15+P835*Scorecard!$C$16+Q835*Scorecard!$C$17</f>
        <v>3.87416247730764</v>
      </c>
      <c r="S835" s="47" t="n">
        <f aca="false">L835*Scorecard!$D$12+M835*Scorecard!$D$13+N835*Scorecard!$D$14+O835*Scorecard!$D$15+P835*Scorecard!$D$16+Q835*Scorecard!$D$17</f>
        <v>2.71563620612725</v>
      </c>
      <c r="T835" s="47" t="n">
        <f aca="false">L835*Scorecard!$E$12+M835*Scorecard!$E$13+N835*Scorecard!$E$14+O835*Scorecard!$E$15+P835*Scorecard!$E$16+Q835*Scorecard!$E$17</f>
        <v>3.74228817007327</v>
      </c>
      <c r="U835" s="0" t="str">
        <f aca="false">IF(AND(R835&gt;=S835,R835&gt;=T835),"Distribution",IF(T835&gt;=S835,"Prof. services","Manufacturing"))</f>
        <v>Distribution</v>
      </c>
    </row>
    <row r="836" customFormat="false" ht="15" hidden="false" customHeight="false" outlineLevel="0" collapsed="false">
      <c r="A836" s="46" t="n">
        <v>0.736823</v>
      </c>
      <c r="B836" s="46" t="n">
        <v>0.063922</v>
      </c>
      <c r="C836" s="46" t="n">
        <v>0.078704</v>
      </c>
      <c r="D836" s="46" t="n">
        <v>0.047952</v>
      </c>
      <c r="E836" s="46" t="n">
        <v>0.0669</v>
      </c>
      <c r="F836" s="46" t="n">
        <v>0.005698</v>
      </c>
      <c r="G836" s="47" t="n">
        <f aca="false">A836*Scorecard!$C$12+B836*Scorecard!$C$13+C836*Scorecard!$C$14+D836*Scorecard!$C$15+E836*Scorecard!$C$16+F836*Scorecard!$C$17</f>
        <v>2.77418209219003</v>
      </c>
      <c r="H836" s="47" t="n">
        <f aca="false">A836*Scorecard!$D$12+B836*Scorecard!$D$13+C836*Scorecard!$D$14+D836*Scorecard!$D$15+E836*Scorecard!$D$16+F836*Scorecard!$D$17</f>
        <v>3.46002189753847</v>
      </c>
      <c r="I836" s="47" t="n">
        <f aca="false">A836*Scorecard!$E$12+B836*Scorecard!$E$13+C836*Scorecard!$E$14+D836*Scorecard!$E$15+E836*Scorecard!$E$16+F836*Scorecard!$E$17</f>
        <v>4.59485010832841</v>
      </c>
      <c r="J836" s="0" t="str">
        <f aca="false">IF(AND(G836&gt;=H836,G836&gt;=I836),"Distribution",IF(I836&gt;=H836,"Prof. services","Manufacturing"))</f>
        <v>Prof. services</v>
      </c>
      <c r="L836" s="46" t="n">
        <v>0.349921</v>
      </c>
      <c r="M836" s="46" t="n">
        <v>0.326826</v>
      </c>
      <c r="N836" s="46" t="n">
        <v>0.1214</v>
      </c>
      <c r="O836" s="46" t="n">
        <v>0.051725</v>
      </c>
      <c r="P836" s="46" t="n">
        <v>0.128939</v>
      </c>
      <c r="Q836" s="46" t="n">
        <v>0.02119</v>
      </c>
      <c r="R836" s="47" t="n">
        <f aca="false">L836*Scorecard!$C$12+M836*Scorecard!$C$13+N836*Scorecard!$C$14+O836*Scorecard!$C$15+P836*Scorecard!$C$16+Q836*Scorecard!$C$17</f>
        <v>3.70631220978746</v>
      </c>
      <c r="S836" s="47" t="n">
        <f aca="false">L836*Scorecard!$D$12+M836*Scorecard!$D$13+N836*Scorecard!$D$14+O836*Scorecard!$D$15+P836*Scorecard!$D$16+Q836*Scorecard!$D$17</f>
        <v>2.81165016229729</v>
      </c>
      <c r="T836" s="47" t="n">
        <f aca="false">L836*Scorecard!$E$12+M836*Scorecard!$E$13+N836*Scorecard!$E$14+O836*Scorecard!$E$15+P836*Scorecard!$E$16+Q836*Scorecard!$E$17</f>
        <v>3.66251949671156</v>
      </c>
      <c r="U836" s="0" t="str">
        <f aca="false">IF(AND(R836&gt;=S836,R836&gt;=T836),"Distribution",IF(T836&gt;=S836,"Prof. services","Manufacturing"))</f>
        <v>Distribution</v>
      </c>
    </row>
    <row r="837" customFormat="false" ht="15" hidden="false" customHeight="false" outlineLevel="0" collapsed="false">
      <c r="A837" s="46" t="n">
        <v>0.313303</v>
      </c>
      <c r="B837" s="46" t="n">
        <v>0.202934</v>
      </c>
      <c r="C837" s="46" t="n">
        <v>0.264223</v>
      </c>
      <c r="D837" s="46" t="n">
        <v>0.113633</v>
      </c>
      <c r="E837" s="46" t="n">
        <v>0.000589</v>
      </c>
      <c r="F837" s="46" t="n">
        <v>0.105318</v>
      </c>
      <c r="G837" s="47" t="n">
        <f aca="false">A837*Scorecard!$C$12+B837*Scorecard!$C$13+C837*Scorecard!$C$14+D837*Scorecard!$C$15+E837*Scorecard!$C$16+F837*Scorecard!$C$17</f>
        <v>3.54198113199563</v>
      </c>
      <c r="H837" s="47" t="n">
        <f aca="false">A837*Scorecard!$D$12+B837*Scorecard!$D$13+C837*Scorecard!$D$14+D837*Scorecard!$D$15+E837*Scorecard!$D$16+F837*Scorecard!$D$17</f>
        <v>2.87611323406385</v>
      </c>
      <c r="I837" s="47" t="n">
        <f aca="false">A837*Scorecard!$E$12+B837*Scorecard!$E$13+C837*Scorecard!$E$14+D837*Scorecard!$E$15+E837*Scorecard!$E$16+F837*Scorecard!$E$17</f>
        <v>4.26723119243023</v>
      </c>
      <c r="J837" s="0" t="str">
        <f aca="false">IF(AND(G837&gt;=H837,G837&gt;=I837),"Distribution",IF(I837&gt;=H837,"Prof. services","Manufacturing"))</f>
        <v>Prof. services</v>
      </c>
      <c r="L837" s="46" t="n">
        <v>0.415212</v>
      </c>
      <c r="M837" s="46" t="n">
        <v>0.205962</v>
      </c>
      <c r="N837" s="46" t="n">
        <v>0.128824</v>
      </c>
      <c r="O837" s="46" t="n">
        <v>0.146892</v>
      </c>
      <c r="P837" s="46" t="n">
        <v>0.058784</v>
      </c>
      <c r="Q837" s="46" t="n">
        <v>0.044325</v>
      </c>
      <c r="R837" s="47" t="n">
        <f aca="false">L837*Scorecard!$C$12+M837*Scorecard!$C$13+N837*Scorecard!$C$14+O837*Scorecard!$C$15+P837*Scorecard!$C$16+Q837*Scorecard!$C$17</f>
        <v>3.51681247867454</v>
      </c>
      <c r="S837" s="47" t="n">
        <f aca="false">L837*Scorecard!$D$12+M837*Scorecard!$D$13+N837*Scorecard!$D$14+O837*Scorecard!$D$15+P837*Scorecard!$D$16+Q837*Scorecard!$D$17</f>
        <v>3.08827091518353</v>
      </c>
      <c r="T837" s="47" t="n">
        <f aca="false">L837*Scorecard!$E$12+M837*Scorecard!$E$13+N837*Scorecard!$E$14+O837*Scorecard!$E$15+P837*Scorecard!$E$16+Q837*Scorecard!$E$17</f>
        <v>4.10602788968841</v>
      </c>
      <c r="U837" s="0" t="str">
        <f aca="false">IF(AND(R837&gt;=S837,R837&gt;=T837),"Distribution",IF(T837&gt;=S837,"Prof. services","Manufacturing"))</f>
        <v>Prof. services</v>
      </c>
    </row>
    <row r="838" customFormat="false" ht="15" hidden="false" customHeight="false" outlineLevel="0" collapsed="false">
      <c r="A838" s="46" t="n">
        <v>0.011126</v>
      </c>
      <c r="B838" s="46" t="n">
        <v>0.335776</v>
      </c>
      <c r="C838" s="46" t="n">
        <v>0.005518</v>
      </c>
      <c r="D838" s="46" t="n">
        <v>0.065741</v>
      </c>
      <c r="E838" s="46" t="n">
        <v>0.315509</v>
      </c>
      <c r="F838" s="46" t="n">
        <v>0.266331</v>
      </c>
      <c r="G838" s="47" t="n">
        <f aca="false">A838*Scorecard!$C$12+B838*Scorecard!$C$13+C838*Scorecard!$C$14+D838*Scorecard!$C$15+E838*Scorecard!$C$16+F838*Scorecard!$C$17</f>
        <v>3.84883204133246</v>
      </c>
      <c r="H838" s="47" t="n">
        <f aca="false">A838*Scorecard!$D$12+B838*Scorecard!$D$13+C838*Scorecard!$D$14+D838*Scorecard!$D$15+E838*Scorecard!$D$16+F838*Scorecard!$D$17</f>
        <v>2.28512947540544</v>
      </c>
      <c r="I838" s="47" t="n">
        <f aca="false">A838*Scorecard!$E$12+B838*Scorecard!$E$13+C838*Scorecard!$E$14+D838*Scorecard!$E$15+E838*Scorecard!$E$16+F838*Scorecard!$E$17</f>
        <v>3.00497665758302</v>
      </c>
      <c r="J838" s="0" t="str">
        <f aca="false">IF(AND(G838&gt;=H838,G838&gt;=I838),"Distribution",IF(I838&gt;=H838,"Prof. services","Manufacturing"))</f>
        <v>Distribution</v>
      </c>
      <c r="L838" s="46" t="n">
        <v>0.169373</v>
      </c>
      <c r="M838" s="46" t="n">
        <v>0.157677</v>
      </c>
      <c r="N838" s="46" t="n">
        <v>0.168788</v>
      </c>
      <c r="O838" s="46" t="n">
        <v>0.180076</v>
      </c>
      <c r="P838" s="46" t="n">
        <v>0.22517</v>
      </c>
      <c r="Q838" s="46" t="n">
        <v>0.098915</v>
      </c>
      <c r="R838" s="47" t="n">
        <f aca="false">L838*Scorecard!$C$12+M838*Scorecard!$C$13+N838*Scorecard!$C$14+O838*Scorecard!$C$15+P838*Scorecard!$C$16+Q838*Scorecard!$C$17</f>
        <v>3.8350451845769</v>
      </c>
      <c r="S838" s="47" t="n">
        <f aca="false">L838*Scorecard!$D$12+M838*Scorecard!$D$13+N838*Scorecard!$D$14+O838*Scorecard!$D$15+P838*Scorecard!$D$16+Q838*Scorecard!$D$17</f>
        <v>3.01035024226842</v>
      </c>
      <c r="T838" s="47" t="n">
        <f aca="false">L838*Scorecard!$E$12+M838*Scorecard!$E$13+N838*Scorecard!$E$14+O838*Scorecard!$E$15+P838*Scorecard!$E$16+Q838*Scorecard!$E$17</f>
        <v>3.7461464687181</v>
      </c>
      <c r="U838" s="0" t="str">
        <f aca="false">IF(AND(R838&gt;=S838,R838&gt;=T838),"Distribution",IF(T838&gt;=S838,"Prof. services","Manufacturing"))</f>
        <v>Distribution</v>
      </c>
    </row>
    <row r="839" customFormat="false" ht="15" hidden="false" customHeight="false" outlineLevel="0" collapsed="false">
      <c r="A839" s="46" t="n">
        <v>0.203811</v>
      </c>
      <c r="B839" s="46" t="n">
        <v>0.118512</v>
      </c>
      <c r="C839" s="46" t="n">
        <v>0.026123</v>
      </c>
      <c r="D839" s="46" t="n">
        <v>0.180621</v>
      </c>
      <c r="E839" s="46" t="n">
        <v>0.233866</v>
      </c>
      <c r="F839" s="46" t="n">
        <v>0.237066</v>
      </c>
      <c r="G839" s="47" t="n">
        <f aca="false">A839*Scorecard!$C$12+B839*Scorecard!$C$13+C839*Scorecard!$C$14+D839*Scorecard!$C$15+E839*Scorecard!$C$16+F839*Scorecard!$C$17</f>
        <v>3.45813429345765</v>
      </c>
      <c r="H839" s="47" t="n">
        <f aca="false">A839*Scorecard!$D$12+B839*Scorecard!$D$13+C839*Scorecard!$D$14+D839*Scorecard!$D$15+E839*Scorecard!$D$16+F839*Scorecard!$D$17</f>
        <v>2.88818805528737</v>
      </c>
      <c r="I839" s="47" t="n">
        <f aca="false">A839*Scorecard!$E$12+B839*Scorecard!$E$13+C839*Scorecard!$E$14+D839*Scorecard!$E$15+E839*Scorecard!$E$16+F839*Scorecard!$E$17</f>
        <v>3.76604846142781</v>
      </c>
      <c r="J839" s="0" t="str">
        <f aca="false">IF(AND(G839&gt;=H839,G839&gt;=I839),"Distribution",IF(I839&gt;=H839,"Prof. services","Manufacturing"))</f>
        <v>Prof. services</v>
      </c>
      <c r="L839" s="46" t="n">
        <v>0.245531</v>
      </c>
      <c r="M839" s="46" t="n">
        <v>0.131986</v>
      </c>
      <c r="N839" s="46" t="n">
        <v>0.259273</v>
      </c>
      <c r="O839" s="46" t="n">
        <v>0.12824</v>
      </c>
      <c r="P839" s="46" t="n">
        <v>0.179076</v>
      </c>
      <c r="Q839" s="46" t="n">
        <v>0.055893</v>
      </c>
      <c r="R839" s="47" t="n">
        <f aca="false">L839*Scorecard!$C$12+M839*Scorecard!$C$13+N839*Scorecard!$C$14+O839*Scorecard!$C$15+P839*Scorecard!$C$16+Q839*Scorecard!$C$17</f>
        <v>3.70647669849002</v>
      </c>
      <c r="S839" s="47" t="n">
        <f aca="false">L839*Scorecard!$D$12+M839*Scorecard!$D$13+N839*Scorecard!$D$14+O839*Scorecard!$D$15+P839*Scorecard!$D$16+Q839*Scorecard!$D$17</f>
        <v>3.08837942494511</v>
      </c>
      <c r="T839" s="47" t="n">
        <f aca="false">L839*Scorecard!$E$12+M839*Scorecard!$E$13+N839*Scorecard!$E$14+O839*Scorecard!$E$15+P839*Scorecard!$E$16+Q839*Scorecard!$E$17</f>
        <v>4.00778070229758</v>
      </c>
      <c r="U839" s="0" t="str">
        <f aca="false">IF(AND(R839&gt;=S839,R839&gt;=T839),"Distribution",IF(T839&gt;=S839,"Prof. services","Manufacturing"))</f>
        <v>Prof. services</v>
      </c>
    </row>
    <row r="840" customFormat="false" ht="15" hidden="false" customHeight="false" outlineLevel="0" collapsed="false">
      <c r="A840" s="46" t="n">
        <v>0.232013</v>
      </c>
      <c r="B840" s="46" t="n">
        <v>0.153572</v>
      </c>
      <c r="C840" s="46" t="n">
        <v>0.326889</v>
      </c>
      <c r="D840" s="46" t="n">
        <v>0.22752</v>
      </c>
      <c r="E840" s="46" t="n">
        <v>0.010062</v>
      </c>
      <c r="F840" s="46" t="n">
        <v>0.049944</v>
      </c>
      <c r="G840" s="47" t="n">
        <f aca="false">A840*Scorecard!$C$12+B840*Scorecard!$C$13+C840*Scorecard!$C$14+D840*Scorecard!$C$15+E840*Scorecard!$C$16+F840*Scorecard!$C$17</f>
        <v>3.8635772912698</v>
      </c>
      <c r="H840" s="47" t="n">
        <f aca="false">A840*Scorecard!$D$12+B840*Scorecard!$D$13+C840*Scorecard!$D$14+D840*Scorecard!$D$15+E840*Scorecard!$D$16+F840*Scorecard!$D$17</f>
        <v>3.11456860990815</v>
      </c>
      <c r="I840" s="47" t="n">
        <f aca="false">A840*Scorecard!$E$12+B840*Scorecard!$E$13+C840*Scorecard!$E$14+D840*Scorecard!$E$15+E840*Scorecard!$E$16+F840*Scorecard!$E$17</f>
        <v>4.31640463586606</v>
      </c>
      <c r="J840" s="0" t="str">
        <f aca="false">IF(AND(G840&gt;=H840,G840&gt;=I840),"Distribution",IF(I840&gt;=H840,"Prof. services","Manufacturing"))</f>
        <v>Prof. services</v>
      </c>
      <c r="L840" s="46" t="n">
        <v>0.143421</v>
      </c>
      <c r="M840" s="46" t="n">
        <v>0.299509</v>
      </c>
      <c r="N840" s="46" t="n">
        <v>0.142976</v>
      </c>
      <c r="O840" s="46" t="n">
        <v>0.156579</v>
      </c>
      <c r="P840" s="46" t="n">
        <v>0.165744</v>
      </c>
      <c r="Q840" s="46" t="n">
        <v>0.09177</v>
      </c>
      <c r="R840" s="47" t="n">
        <f aca="false">L840*Scorecard!$C$12+M840*Scorecard!$C$13+N840*Scorecard!$C$14+O840*Scorecard!$C$15+P840*Scorecard!$C$16+Q840*Scorecard!$C$17</f>
        <v>4.01438415467757</v>
      </c>
      <c r="S840" s="47" t="n">
        <f aca="false">L840*Scorecard!$D$12+M840*Scorecard!$D$13+N840*Scorecard!$D$14+O840*Scorecard!$D$15+P840*Scorecard!$D$16+Q840*Scorecard!$D$17</f>
        <v>2.74402529543239</v>
      </c>
      <c r="T840" s="47" t="n">
        <f aca="false">L840*Scorecard!$E$12+M840*Scorecard!$E$13+N840*Scorecard!$E$14+O840*Scorecard!$E$15+P840*Scorecard!$E$16+Q840*Scorecard!$E$17</f>
        <v>3.51997887158399</v>
      </c>
      <c r="U840" s="0" t="str">
        <f aca="false">IF(AND(R840&gt;=S840,R840&gt;=T840),"Distribution",IF(T840&gt;=S840,"Prof. services","Manufacturing"))</f>
        <v>Distribution</v>
      </c>
    </row>
    <row r="841" customFormat="false" ht="15" hidden="false" customHeight="false" outlineLevel="0" collapsed="false">
      <c r="A841" s="46" t="n">
        <v>0.112183</v>
      </c>
      <c r="B841" s="46" t="n">
        <v>0.527423</v>
      </c>
      <c r="C841" s="46" t="n">
        <v>0.217883</v>
      </c>
      <c r="D841" s="46" t="n">
        <v>0.014279</v>
      </c>
      <c r="E841" s="46" t="n">
        <v>0.029364</v>
      </c>
      <c r="F841" s="46" t="n">
        <v>0.098867</v>
      </c>
      <c r="G841" s="47" t="n">
        <f aca="false">A841*Scorecard!$C$12+B841*Scorecard!$C$13+C841*Scorecard!$C$14+D841*Scorecard!$C$15+E841*Scorecard!$C$16+F841*Scorecard!$C$17</f>
        <v>4.14203300016171</v>
      </c>
      <c r="H841" s="47" t="n">
        <f aca="false">A841*Scorecard!$D$12+B841*Scorecard!$D$13+C841*Scorecard!$D$14+D841*Scorecard!$D$15+E841*Scorecard!$D$16+F841*Scorecard!$D$17</f>
        <v>2.16045385330461</v>
      </c>
      <c r="I841" s="47" t="n">
        <f aca="false">A841*Scorecard!$E$12+B841*Scorecard!$E$13+C841*Scorecard!$E$14+D841*Scorecard!$E$15+E841*Scorecard!$E$16+F841*Scorecard!$E$17</f>
        <v>3.34367082390913</v>
      </c>
      <c r="J841" s="0" t="str">
        <f aca="false">IF(AND(G841&gt;=H841,G841&gt;=I841),"Distribution",IF(I841&gt;=H841,"Prof. services","Manufacturing"))</f>
        <v>Distribution</v>
      </c>
      <c r="L841" s="46" t="n">
        <v>0.293216</v>
      </c>
      <c r="M841" s="46" t="n">
        <v>0.17329</v>
      </c>
      <c r="N841" s="46" t="n">
        <v>0.149661</v>
      </c>
      <c r="O841" s="46" t="n">
        <v>0.091631</v>
      </c>
      <c r="P841" s="46" t="n">
        <v>0.189764</v>
      </c>
      <c r="Q841" s="46" t="n">
        <v>0.102438</v>
      </c>
      <c r="R841" s="47" t="n">
        <f aca="false">L841*Scorecard!$C$12+M841*Scorecard!$C$13+N841*Scorecard!$C$14+O841*Scorecard!$C$15+P841*Scorecard!$C$16+Q841*Scorecard!$C$17</f>
        <v>3.53225201845571</v>
      </c>
      <c r="S841" s="47" t="n">
        <f aca="false">L841*Scorecard!$D$12+M841*Scorecard!$D$13+N841*Scorecard!$D$14+O841*Scorecard!$D$15+P841*Scorecard!$D$16+Q841*Scorecard!$D$17</f>
        <v>2.94924840065036</v>
      </c>
      <c r="T841" s="47" t="n">
        <f aca="false">L841*Scorecard!$E$12+M841*Scorecard!$E$13+N841*Scorecard!$E$14+O841*Scorecard!$E$15+P841*Scorecard!$E$16+Q841*Scorecard!$E$17</f>
        <v>3.86783968891678</v>
      </c>
      <c r="U841" s="0" t="str">
        <f aca="false">IF(AND(R841&gt;=S841,R841&gt;=T841),"Distribution",IF(T841&gt;=S841,"Prof. services","Manufacturing"))</f>
        <v>Prof. services</v>
      </c>
    </row>
    <row r="842" customFormat="false" ht="15" hidden="false" customHeight="false" outlineLevel="0" collapsed="false">
      <c r="A842" s="46" t="n">
        <v>0.043813</v>
      </c>
      <c r="B842" s="46" t="n">
        <v>0.031309</v>
      </c>
      <c r="C842" s="46" t="n">
        <v>0.05596</v>
      </c>
      <c r="D842" s="46" t="n">
        <v>0.191487</v>
      </c>
      <c r="E842" s="46" t="n">
        <v>0.217413</v>
      </c>
      <c r="F842" s="46" t="n">
        <v>0.460018</v>
      </c>
      <c r="G842" s="47" t="n">
        <f aca="false">A842*Scorecard!$C$12+B842*Scorecard!$C$13+C842*Scorecard!$C$14+D842*Scorecard!$C$15+E842*Scorecard!$C$16+F842*Scorecard!$C$17</f>
        <v>3.22389597518416</v>
      </c>
      <c r="H842" s="47" t="n">
        <f aca="false">A842*Scorecard!$D$12+B842*Scorecard!$D$13+C842*Scorecard!$D$14+D842*Scorecard!$D$15+E842*Scorecard!$D$16+F842*Scorecard!$D$17</f>
        <v>2.58606300076536</v>
      </c>
      <c r="I842" s="47" t="n">
        <f aca="false">A842*Scorecard!$E$12+B842*Scorecard!$E$13+C842*Scorecard!$E$14+D842*Scorecard!$E$15+E842*Scorecard!$E$16+F842*Scorecard!$E$17</f>
        <v>3.94012921027063</v>
      </c>
      <c r="J842" s="0" t="str">
        <f aca="false">IF(AND(G842&gt;=H842,G842&gt;=I842),"Distribution",IF(I842&gt;=H842,"Prof. services","Manufacturing"))</f>
        <v>Prof. services</v>
      </c>
      <c r="L842" s="46" t="n">
        <v>0.233431</v>
      </c>
      <c r="M842" s="46" t="n">
        <v>0.120166</v>
      </c>
      <c r="N842" s="46" t="n">
        <v>0.152102</v>
      </c>
      <c r="O842" s="46" t="n">
        <v>0.227211</v>
      </c>
      <c r="P842" s="46" t="n">
        <v>0.16411</v>
      </c>
      <c r="Q842" s="46" t="n">
        <v>0.10298</v>
      </c>
      <c r="R842" s="47" t="n">
        <f aca="false">L842*Scorecard!$C$12+M842*Scorecard!$C$13+N842*Scorecard!$C$14+O842*Scorecard!$C$15+P842*Scorecard!$C$16+Q842*Scorecard!$C$17</f>
        <v>3.72123787104774</v>
      </c>
      <c r="S842" s="47" t="n">
        <f aca="false">L842*Scorecard!$D$12+M842*Scorecard!$D$13+N842*Scorecard!$D$14+O842*Scorecard!$D$15+P842*Scorecard!$D$16+Q842*Scorecard!$D$17</f>
        <v>3.13708536362539</v>
      </c>
      <c r="T842" s="47" t="n">
        <f aca="false">L842*Scorecard!$E$12+M842*Scorecard!$E$13+N842*Scorecard!$E$14+O842*Scorecard!$E$15+P842*Scorecard!$E$16+Q842*Scorecard!$E$17</f>
        <v>3.97541213644868</v>
      </c>
      <c r="U842" s="0" t="str">
        <f aca="false">IF(AND(R842&gt;=S842,R842&gt;=T842),"Distribution",IF(T842&gt;=S842,"Prof. services","Manufacturing"))</f>
        <v>Prof. services</v>
      </c>
    </row>
    <row r="843" customFormat="false" ht="15" hidden="false" customHeight="false" outlineLevel="0" collapsed="false">
      <c r="A843" s="46" t="n">
        <v>0.336326</v>
      </c>
      <c r="B843" s="46" t="n">
        <v>0.166955</v>
      </c>
      <c r="C843" s="46" t="n">
        <v>0.223691</v>
      </c>
      <c r="D843" s="46" t="n">
        <v>0.018177</v>
      </c>
      <c r="E843" s="46" t="n">
        <v>0.163498</v>
      </c>
      <c r="F843" s="46" t="n">
        <v>0.091354</v>
      </c>
      <c r="G843" s="47" t="n">
        <f aca="false">A843*Scorecard!$C$12+B843*Scorecard!$C$13+C843*Scorecard!$C$14+D843*Scorecard!$C$15+E843*Scorecard!$C$16+F843*Scorecard!$C$17</f>
        <v>3.39703640366534</v>
      </c>
      <c r="H843" s="47" t="n">
        <f aca="false">A843*Scorecard!$D$12+B843*Scorecard!$D$13+C843*Scorecard!$D$14+D843*Scorecard!$D$15+E843*Scorecard!$D$16+F843*Scorecard!$D$17</f>
        <v>2.91007380960368</v>
      </c>
      <c r="I843" s="47" t="n">
        <f aca="false">A843*Scorecard!$E$12+B843*Scorecard!$E$13+C843*Scorecard!$E$14+D843*Scorecard!$E$15+E843*Scorecard!$E$16+F843*Scorecard!$E$17</f>
        <v>4.023045647924</v>
      </c>
      <c r="J843" s="0" t="str">
        <f aca="false">IF(AND(G843&gt;=H843,G843&gt;=I843),"Distribution",IF(I843&gt;=H843,"Prof. services","Manufacturing"))</f>
        <v>Prof. services</v>
      </c>
      <c r="L843" s="46" t="n">
        <v>0.167041</v>
      </c>
      <c r="M843" s="46" t="n">
        <v>0.131246</v>
      </c>
      <c r="N843" s="46" t="n">
        <v>0.292027</v>
      </c>
      <c r="O843" s="46" t="n">
        <v>0.247846</v>
      </c>
      <c r="P843" s="46" t="n">
        <v>0.139714</v>
      </c>
      <c r="Q843" s="46" t="n">
        <v>0.022126</v>
      </c>
      <c r="R843" s="47" t="n">
        <f aca="false">L843*Scorecard!$C$12+M843*Scorecard!$C$13+N843*Scorecard!$C$14+O843*Scorecard!$C$15+P843*Scorecard!$C$16+Q843*Scorecard!$C$17</f>
        <v>4.03416381783348</v>
      </c>
      <c r="S843" s="47" t="n">
        <f aca="false">L843*Scorecard!$D$12+M843*Scorecard!$D$13+N843*Scorecard!$D$14+O843*Scorecard!$D$15+P843*Scorecard!$D$16+Q843*Scorecard!$D$17</f>
        <v>3.21363733528629</v>
      </c>
      <c r="T843" s="47" t="n">
        <f aca="false">L843*Scorecard!$E$12+M843*Scorecard!$E$13+N843*Scorecard!$E$14+O843*Scorecard!$E$15+P843*Scorecard!$E$16+Q843*Scorecard!$E$17</f>
        <v>4.0317850416447</v>
      </c>
      <c r="U843" s="0" t="str">
        <f aca="false">IF(AND(R843&gt;=S843,R843&gt;=T843),"Distribution",IF(T843&gt;=S843,"Prof. services","Manufacturing"))</f>
        <v>Distribution</v>
      </c>
    </row>
    <row r="844" customFormat="false" ht="15" hidden="false" customHeight="false" outlineLevel="0" collapsed="false">
      <c r="A844" s="46" t="n">
        <v>0.04079</v>
      </c>
      <c r="B844" s="46" t="n">
        <v>0.147853</v>
      </c>
      <c r="C844" s="46" t="n">
        <v>0.043866</v>
      </c>
      <c r="D844" s="46" t="n">
        <v>0.021794</v>
      </c>
      <c r="E844" s="46" t="n">
        <v>0.295235</v>
      </c>
      <c r="F844" s="46" t="n">
        <v>0.450461</v>
      </c>
      <c r="G844" s="47" t="n">
        <f aca="false">A844*Scorecard!$C$12+B844*Scorecard!$C$13+C844*Scorecard!$C$14+D844*Scorecard!$C$15+E844*Scorecard!$C$16+F844*Scorecard!$C$17</f>
        <v>3.19529841829507</v>
      </c>
      <c r="H844" s="47" t="n">
        <f aca="false">A844*Scorecard!$D$12+B844*Scorecard!$D$13+C844*Scorecard!$D$14+D844*Scorecard!$D$15+E844*Scorecard!$D$16+F844*Scorecard!$D$17</f>
        <v>2.25296294528157</v>
      </c>
      <c r="I844" s="47" t="n">
        <f aca="false">A844*Scorecard!$E$12+B844*Scorecard!$E$13+C844*Scorecard!$E$14+D844*Scorecard!$E$15+E844*Scorecard!$E$16+F844*Scorecard!$E$17</f>
        <v>3.54408954121646</v>
      </c>
      <c r="J844" s="0" t="str">
        <f aca="false">IF(AND(G844&gt;=H844,G844&gt;=I844),"Distribution",IF(I844&gt;=H844,"Prof. services","Manufacturing"))</f>
        <v>Prof. services</v>
      </c>
      <c r="L844" s="46" t="n">
        <v>0.173308</v>
      </c>
      <c r="M844" s="46" t="n">
        <v>0.319848</v>
      </c>
      <c r="N844" s="46" t="n">
        <v>0.137457</v>
      </c>
      <c r="O844" s="46" t="n">
        <v>0.107308</v>
      </c>
      <c r="P844" s="46" t="n">
        <v>0.19834</v>
      </c>
      <c r="Q844" s="46" t="n">
        <v>0.063739</v>
      </c>
      <c r="R844" s="47" t="n">
        <f aca="false">L844*Scorecard!$C$12+M844*Scorecard!$C$13+N844*Scorecard!$C$14+O844*Scorecard!$C$15+P844*Scorecard!$C$16+Q844*Scorecard!$C$17</f>
        <v>3.98772112845998</v>
      </c>
      <c r="S844" s="47" t="n">
        <f aca="false">L844*Scorecard!$D$12+M844*Scorecard!$D$13+N844*Scorecard!$D$14+O844*Scorecard!$D$15+P844*Scorecard!$D$16+Q844*Scorecard!$D$17</f>
        <v>2.72911494007929</v>
      </c>
      <c r="T844" s="47" t="n">
        <f aca="false">L844*Scorecard!$E$12+M844*Scorecard!$E$13+N844*Scorecard!$E$14+O844*Scorecard!$E$15+P844*Scorecard!$E$16+Q844*Scorecard!$E$17</f>
        <v>3.42977525356217</v>
      </c>
      <c r="U844" s="0" t="str">
        <f aca="false">IF(AND(R844&gt;=S844,R844&gt;=T844),"Distribution",IF(T844&gt;=S844,"Prof. services","Manufacturing"))</f>
        <v>Distribution</v>
      </c>
    </row>
    <row r="845" customFormat="false" ht="15" hidden="false" customHeight="false" outlineLevel="0" collapsed="false">
      <c r="A845" s="46" t="n">
        <v>0.139542</v>
      </c>
      <c r="B845" s="46" t="n">
        <v>0.001088</v>
      </c>
      <c r="C845" s="46" t="n">
        <v>0.109786</v>
      </c>
      <c r="D845" s="46" t="n">
        <v>0.012101</v>
      </c>
      <c r="E845" s="46" t="n">
        <v>0.260848</v>
      </c>
      <c r="F845" s="46" t="n">
        <v>0.476635</v>
      </c>
      <c r="G845" s="47" t="n">
        <f aca="false">A845*Scorecard!$C$12+B845*Scorecard!$C$13+C845*Scorecard!$C$14+D845*Scorecard!$C$15+E845*Scorecard!$C$16+F845*Scorecard!$C$17</f>
        <v>2.80874140999586</v>
      </c>
      <c r="H845" s="47" t="n">
        <f aca="false">A845*Scorecard!$D$12+B845*Scorecard!$D$13+C845*Scorecard!$D$14+D845*Scorecard!$D$15+E845*Scorecard!$D$16+F845*Scorecard!$D$17</f>
        <v>2.47654669557515</v>
      </c>
      <c r="I845" s="47" t="n">
        <f aca="false">A845*Scorecard!$E$12+B845*Scorecard!$E$13+C845*Scorecard!$E$14+D845*Scorecard!$E$15+E845*Scorecard!$E$16+F845*Scorecard!$E$17</f>
        <v>4.05284409229462</v>
      </c>
      <c r="J845" s="0" t="str">
        <f aca="false">IF(AND(G845&gt;=H845,G845&gt;=I845),"Distribution",IF(I845&gt;=H845,"Prof. services","Manufacturing"))</f>
        <v>Prof. services</v>
      </c>
      <c r="L845" s="46" t="n">
        <v>0.179895</v>
      </c>
      <c r="M845" s="46" t="n">
        <v>0.066369</v>
      </c>
      <c r="N845" s="46" t="n">
        <v>0.306209</v>
      </c>
      <c r="O845" s="46" t="n">
        <v>0.186053</v>
      </c>
      <c r="P845" s="46" t="n">
        <v>0.216042</v>
      </c>
      <c r="Q845" s="46" t="n">
        <v>0.045431</v>
      </c>
      <c r="R845" s="47" t="n">
        <f aca="false">L845*Scorecard!$C$12+M845*Scorecard!$C$13+N845*Scorecard!$C$14+O845*Scorecard!$C$15+P845*Scorecard!$C$16+Q845*Scorecard!$C$17</f>
        <v>3.83774243452298</v>
      </c>
      <c r="S845" s="47" t="n">
        <f aca="false">L845*Scorecard!$D$12+M845*Scorecard!$D$13+N845*Scorecard!$D$14+O845*Scorecard!$D$15+P845*Scorecard!$D$16+Q845*Scorecard!$D$17</f>
        <v>3.23845658509481</v>
      </c>
      <c r="T845" s="47" t="n">
        <f aca="false">L845*Scorecard!$E$12+M845*Scorecard!$E$13+N845*Scorecard!$E$14+O845*Scorecard!$E$15+P845*Scorecard!$E$16+Q845*Scorecard!$E$17</f>
        <v>4.05479783603422</v>
      </c>
      <c r="U845" s="0" t="str">
        <f aca="false">IF(AND(R845&gt;=S845,R845&gt;=T845),"Distribution",IF(T845&gt;=S845,"Prof. services","Manufacturing"))</f>
        <v>Prof. services</v>
      </c>
    </row>
    <row r="846" customFormat="false" ht="15" hidden="false" customHeight="false" outlineLevel="0" collapsed="false">
      <c r="A846" s="46" t="n">
        <v>0.166204</v>
      </c>
      <c r="B846" s="46" t="n">
        <v>0.050983</v>
      </c>
      <c r="C846" s="46" t="n">
        <v>0.513165</v>
      </c>
      <c r="D846" s="46" t="n">
        <v>0.212168</v>
      </c>
      <c r="E846" s="46" t="n">
        <v>0.015272</v>
      </c>
      <c r="F846" s="46" t="n">
        <v>0.042208</v>
      </c>
      <c r="G846" s="47" t="n">
        <f aca="false">A846*Scorecard!$C$12+B846*Scorecard!$C$13+C846*Scorecard!$C$14+D846*Scorecard!$C$15+E846*Scorecard!$C$16+F846*Scorecard!$C$17</f>
        <v>3.87956542976991</v>
      </c>
      <c r="H846" s="47" t="n">
        <f aca="false">A846*Scorecard!$D$12+B846*Scorecard!$D$13+C846*Scorecard!$D$14+D846*Scorecard!$D$15+E846*Scorecard!$D$16+F846*Scorecard!$D$17</f>
        <v>3.22065339087853</v>
      </c>
      <c r="I846" s="47" t="n">
        <f aca="false">A846*Scorecard!$E$12+B846*Scorecard!$E$13+C846*Scorecard!$E$14+D846*Scorecard!$E$15+E846*Scorecard!$E$16+F846*Scorecard!$E$17</f>
        <v>4.61421553189737</v>
      </c>
      <c r="J846" s="0" t="str">
        <f aca="false">IF(AND(G846&gt;=H846,G846&gt;=I846),"Distribution",IF(I846&gt;=H846,"Prof. services","Manufacturing"))</f>
        <v>Prof. services</v>
      </c>
      <c r="L846" s="46" t="n">
        <v>0.267765</v>
      </c>
      <c r="M846" s="46" t="n">
        <v>0.138919</v>
      </c>
      <c r="N846" s="46" t="n">
        <v>0.229171</v>
      </c>
      <c r="O846" s="46" t="n">
        <v>0.124873</v>
      </c>
      <c r="P846" s="46" t="n">
        <v>0.152609</v>
      </c>
      <c r="Q846" s="46" t="n">
        <v>0.086663</v>
      </c>
      <c r="R846" s="47" t="n">
        <f aca="false">L846*Scorecard!$C$12+M846*Scorecard!$C$13+N846*Scorecard!$C$14+O846*Scorecard!$C$15+P846*Scorecard!$C$16+Q846*Scorecard!$C$17</f>
        <v>3.60848518141163</v>
      </c>
      <c r="S846" s="47" t="n">
        <f aca="false">L846*Scorecard!$D$12+M846*Scorecard!$D$13+N846*Scorecard!$D$14+O846*Scorecard!$D$15+P846*Scorecard!$D$16+Q846*Scorecard!$D$17</f>
        <v>3.03378751459565</v>
      </c>
      <c r="T846" s="47" t="n">
        <f aca="false">L846*Scorecard!$E$12+M846*Scorecard!$E$13+N846*Scorecard!$E$14+O846*Scorecard!$E$15+P846*Scorecard!$E$16+Q846*Scorecard!$E$17</f>
        <v>4.04585736132763</v>
      </c>
      <c r="U846" s="0" t="str">
        <f aca="false">IF(AND(R846&gt;=S846,R846&gt;=T846),"Distribution",IF(T846&gt;=S846,"Prof. services","Manufacturing"))</f>
        <v>Prof. services</v>
      </c>
    </row>
    <row r="847" customFormat="false" ht="15" hidden="false" customHeight="false" outlineLevel="0" collapsed="false">
      <c r="A847" s="46" t="n">
        <v>0.409971</v>
      </c>
      <c r="B847" s="46" t="n">
        <v>0.070648</v>
      </c>
      <c r="C847" s="46" t="n">
        <v>0.221627</v>
      </c>
      <c r="D847" s="46" t="n">
        <v>0.149162</v>
      </c>
      <c r="E847" s="46" t="n">
        <v>0.108839</v>
      </c>
      <c r="F847" s="46" t="n">
        <v>0.039752</v>
      </c>
      <c r="G847" s="47" t="n">
        <f aca="false">A847*Scorecard!$C$12+B847*Scorecard!$C$13+C847*Scorecard!$C$14+D847*Scorecard!$C$15+E847*Scorecard!$C$16+F847*Scorecard!$C$17</f>
        <v>3.40234835341628</v>
      </c>
      <c r="H847" s="47" t="n">
        <f aca="false">A847*Scorecard!$D$12+B847*Scorecard!$D$13+C847*Scorecard!$D$14+D847*Scorecard!$D$15+E847*Scorecard!$D$16+F847*Scorecard!$D$17</f>
        <v>3.31408790822569</v>
      </c>
      <c r="I847" s="47" t="n">
        <f aca="false">A847*Scorecard!$E$12+B847*Scorecard!$E$13+C847*Scorecard!$E$14+D847*Scorecard!$E$15+E847*Scorecard!$E$16+F847*Scorecard!$E$17</f>
        <v>4.36204417218221</v>
      </c>
      <c r="J847" s="0" t="str">
        <f aca="false">IF(AND(G847&gt;=H847,G847&gt;=I847),"Distribution",IF(I847&gt;=H847,"Prof. services","Manufacturing"))</f>
        <v>Prof. services</v>
      </c>
      <c r="L847" s="46" t="n">
        <v>0.157869</v>
      </c>
      <c r="M847" s="46" t="n">
        <v>0.093902</v>
      </c>
      <c r="N847" s="46" t="n">
        <v>0.318005</v>
      </c>
      <c r="O847" s="46" t="n">
        <v>0.032108</v>
      </c>
      <c r="P847" s="46" t="n">
        <v>0.215938</v>
      </c>
      <c r="Q847" s="46" t="n">
        <v>0.182179</v>
      </c>
      <c r="R847" s="47" t="n">
        <f aca="false">L847*Scorecard!$C$12+M847*Scorecard!$C$13+N847*Scorecard!$C$14+O847*Scorecard!$C$15+P847*Scorecard!$C$16+Q847*Scorecard!$C$17</f>
        <v>3.47748954863508</v>
      </c>
      <c r="S847" s="47" t="n">
        <f aca="false">L847*Scorecard!$D$12+M847*Scorecard!$D$13+N847*Scorecard!$D$14+O847*Scorecard!$D$15+P847*Scorecard!$D$16+Q847*Scorecard!$D$17</f>
        <v>2.79921650523407</v>
      </c>
      <c r="T847" s="47" t="n">
        <f aca="false">L847*Scorecard!$E$12+M847*Scorecard!$E$13+N847*Scorecard!$E$14+O847*Scorecard!$E$15+P847*Scorecard!$E$16+Q847*Scorecard!$E$17</f>
        <v>4.03621866436087</v>
      </c>
      <c r="U847" s="0" t="str">
        <f aca="false">IF(AND(R847&gt;=S847,R847&gt;=T847),"Distribution",IF(T847&gt;=S847,"Prof. services","Manufacturing"))</f>
        <v>Prof. services</v>
      </c>
    </row>
    <row r="848" customFormat="false" ht="15" hidden="false" customHeight="false" outlineLevel="0" collapsed="false">
      <c r="A848" s="46" t="n">
        <v>0.172735</v>
      </c>
      <c r="B848" s="46" t="n">
        <v>0.140967</v>
      </c>
      <c r="C848" s="46" t="n">
        <v>0.300562</v>
      </c>
      <c r="D848" s="46" t="n">
        <v>0.04008</v>
      </c>
      <c r="E848" s="46" t="n">
        <v>0.006775</v>
      </c>
      <c r="F848" s="46" t="n">
        <v>0.338882</v>
      </c>
      <c r="G848" s="47" t="n">
        <f aca="false">A848*Scorecard!$C$12+B848*Scorecard!$C$13+C848*Scorecard!$C$14+D848*Scorecard!$C$15+E848*Scorecard!$C$16+F848*Scorecard!$C$17</f>
        <v>3.19236153663152</v>
      </c>
      <c r="H848" s="47" t="n">
        <f aca="false">A848*Scorecard!$D$12+B848*Scorecard!$D$13+C848*Scorecard!$D$14+D848*Scorecard!$D$15+E848*Scorecard!$D$16+F848*Scorecard!$D$17</f>
        <v>2.44284478368432</v>
      </c>
      <c r="I848" s="47" t="n">
        <f aca="false">A848*Scorecard!$E$12+B848*Scorecard!$E$13+C848*Scorecard!$E$14+D848*Scorecard!$E$15+E848*Scorecard!$E$16+F848*Scorecard!$E$17</f>
        <v>4.3736319238092</v>
      </c>
      <c r="J848" s="0" t="str">
        <f aca="false">IF(AND(G848&gt;=H848,G848&gt;=I848),"Distribution",IF(I848&gt;=H848,"Prof. services","Manufacturing"))</f>
        <v>Prof. services</v>
      </c>
      <c r="L848" s="46" t="n">
        <v>0.123934</v>
      </c>
      <c r="M848" s="46" t="n">
        <v>0.191987</v>
      </c>
      <c r="N848" s="46" t="n">
        <v>0.117768</v>
      </c>
      <c r="O848" s="46" t="n">
        <v>0.123061</v>
      </c>
      <c r="P848" s="46" t="n">
        <v>0.274976</v>
      </c>
      <c r="Q848" s="46" t="n">
        <v>0.168274</v>
      </c>
      <c r="R848" s="47" t="n">
        <f aca="false">L848*Scorecard!$C$12+M848*Scorecard!$C$13+N848*Scorecard!$C$14+O848*Scorecard!$C$15+P848*Scorecard!$C$16+Q848*Scorecard!$C$17</f>
        <v>3.75541703258107</v>
      </c>
      <c r="S848" s="47" t="n">
        <f aca="false">L848*Scorecard!$D$12+M848*Scorecard!$D$13+N848*Scorecard!$D$14+O848*Scorecard!$D$15+P848*Scorecard!$D$16+Q848*Scorecard!$D$17</f>
        <v>2.77539976302301</v>
      </c>
      <c r="T848" s="47" t="n">
        <f aca="false">L848*Scorecard!$E$12+M848*Scorecard!$E$13+N848*Scorecard!$E$14+O848*Scorecard!$E$15+P848*Scorecard!$E$16+Q848*Scorecard!$E$17</f>
        <v>3.52765281403997</v>
      </c>
      <c r="U848" s="0" t="str">
        <f aca="false">IF(AND(R848&gt;=S848,R848&gt;=T848),"Distribution",IF(T848&gt;=S848,"Prof. services","Manufacturing"))</f>
        <v>Distribution</v>
      </c>
    </row>
    <row r="849" customFormat="false" ht="15" hidden="false" customHeight="false" outlineLevel="0" collapsed="false">
      <c r="A849" s="46" t="n">
        <v>0.10458</v>
      </c>
      <c r="B849" s="46" t="n">
        <v>0.000454</v>
      </c>
      <c r="C849" s="46" t="n">
        <v>0.504315</v>
      </c>
      <c r="D849" s="46" t="n">
        <v>0.238854</v>
      </c>
      <c r="E849" s="46" t="n">
        <v>0.048433</v>
      </c>
      <c r="F849" s="46" t="n">
        <v>0.103364</v>
      </c>
      <c r="G849" s="47" t="n">
        <f aca="false">A849*Scorecard!$C$12+B849*Scorecard!$C$13+C849*Scorecard!$C$14+D849*Scorecard!$C$15+E849*Scorecard!$C$16+F849*Scorecard!$C$17</f>
        <v>3.84433450858786</v>
      </c>
      <c r="H849" s="47" t="n">
        <f aca="false">A849*Scorecard!$D$12+B849*Scorecard!$D$13+C849*Scorecard!$D$14+D849*Scorecard!$D$15+E849*Scorecard!$D$16+F849*Scorecard!$D$17</f>
        <v>3.20600432525783</v>
      </c>
      <c r="I849" s="47" t="n">
        <f aca="false">A849*Scorecard!$E$12+B849*Scorecard!$E$13+C849*Scorecard!$E$14+D849*Scorecard!$E$15+E849*Scorecard!$E$16+F849*Scorecard!$E$17</f>
        <v>4.61820220758951</v>
      </c>
      <c r="J849" s="0" t="str">
        <f aca="false">IF(AND(G849&gt;=H849,G849&gt;=I849),"Distribution",IF(I849&gt;=H849,"Prof. services","Manufacturing"))</f>
        <v>Prof. services</v>
      </c>
      <c r="L849" s="46" t="n">
        <v>0.349228</v>
      </c>
      <c r="M849" s="46" t="n">
        <v>0.226129</v>
      </c>
      <c r="N849" s="46" t="n">
        <v>0.083721</v>
      </c>
      <c r="O849" s="46" t="n">
        <v>0.102321</v>
      </c>
      <c r="P849" s="46" t="n">
        <v>0.176329</v>
      </c>
      <c r="Q849" s="46" t="n">
        <v>0.062272</v>
      </c>
      <c r="R849" s="47" t="n">
        <f aca="false">L849*Scorecard!$C$12+M849*Scorecard!$C$13+N849*Scorecard!$C$14+O849*Scorecard!$C$15+P849*Scorecard!$C$16+Q849*Scorecard!$C$17</f>
        <v>3.57529061967032</v>
      </c>
      <c r="S849" s="47" t="n">
        <f aca="false">L849*Scorecard!$D$12+M849*Scorecard!$D$13+N849*Scorecard!$D$14+O849*Scorecard!$D$15+P849*Scorecard!$D$16+Q849*Scorecard!$D$17</f>
        <v>2.97508148041988</v>
      </c>
      <c r="T849" s="47" t="n">
        <f aca="false">L849*Scorecard!$E$12+M849*Scorecard!$E$13+N849*Scorecard!$E$14+O849*Scorecard!$E$15+P849*Scorecard!$E$16+Q849*Scorecard!$E$17</f>
        <v>3.76287052425805</v>
      </c>
      <c r="U849" s="0" t="str">
        <f aca="false">IF(AND(R849&gt;=S849,R849&gt;=T849),"Distribution",IF(T849&gt;=S849,"Prof. services","Manufacturing"))</f>
        <v>Prof. services</v>
      </c>
    </row>
    <row r="850" customFormat="false" ht="15" hidden="false" customHeight="false" outlineLevel="0" collapsed="false">
      <c r="A850" s="46" t="n">
        <v>0.164884</v>
      </c>
      <c r="B850" s="46" t="n">
        <v>0.140979</v>
      </c>
      <c r="C850" s="46" t="n">
        <v>0.280046</v>
      </c>
      <c r="D850" s="46" t="n">
        <v>0.177968</v>
      </c>
      <c r="E850" s="46" t="n">
        <v>0.196896</v>
      </c>
      <c r="F850" s="46" t="n">
        <v>0.039227</v>
      </c>
      <c r="G850" s="47" t="n">
        <f aca="false">A850*Scorecard!$C$12+B850*Scorecard!$C$13+C850*Scorecard!$C$14+D850*Scorecard!$C$15+E850*Scorecard!$C$16+F850*Scorecard!$C$17</f>
        <v>3.94369944859439</v>
      </c>
      <c r="H850" s="47" t="n">
        <f aca="false">A850*Scorecard!$D$12+B850*Scorecard!$D$13+C850*Scorecard!$D$14+D850*Scorecard!$D$15+E850*Scorecard!$D$16+F850*Scorecard!$D$17</f>
        <v>3.11011879474026</v>
      </c>
      <c r="I850" s="47" t="n">
        <f aca="false">A850*Scorecard!$E$12+B850*Scorecard!$E$13+C850*Scorecard!$E$14+D850*Scorecard!$E$15+E850*Scorecard!$E$16+F850*Scorecard!$E$17</f>
        <v>3.901171418354</v>
      </c>
      <c r="J850" s="0" t="str">
        <f aca="false">IF(AND(G850&gt;=H850,G850&gt;=I850),"Distribution",IF(I850&gt;=H850,"Prof. services","Manufacturing"))</f>
        <v>Distribution</v>
      </c>
      <c r="L850" s="46" t="n">
        <v>0.216982</v>
      </c>
      <c r="M850" s="46" t="n">
        <v>0.283333</v>
      </c>
      <c r="N850" s="46" t="n">
        <v>0.173093</v>
      </c>
      <c r="O850" s="46" t="n">
        <v>0.05252</v>
      </c>
      <c r="P850" s="46" t="n">
        <v>0.198767</v>
      </c>
      <c r="Q850" s="46" t="n">
        <v>0.075304</v>
      </c>
      <c r="R850" s="47" t="n">
        <f aca="false">L850*Scorecard!$C$12+M850*Scorecard!$C$13+N850*Scorecard!$C$14+O850*Scorecard!$C$15+P850*Scorecard!$C$16+Q850*Scorecard!$C$17</f>
        <v>3.79467030562642</v>
      </c>
      <c r="S850" s="47" t="n">
        <f aca="false">L850*Scorecard!$D$12+M850*Scorecard!$D$13+N850*Scorecard!$D$14+O850*Scorecard!$D$15+P850*Scorecard!$D$16+Q850*Scorecard!$D$17</f>
        <v>2.73213983611846</v>
      </c>
      <c r="T850" s="47" t="n">
        <f aca="false">L850*Scorecard!$E$12+M850*Scorecard!$E$13+N850*Scorecard!$E$14+O850*Scorecard!$E$15+P850*Scorecard!$E$16+Q850*Scorecard!$E$17</f>
        <v>3.57364789318607</v>
      </c>
      <c r="U850" s="0" t="str">
        <f aca="false">IF(AND(R850&gt;=S850,R850&gt;=T850),"Distribution",IF(T850&gt;=S850,"Prof. services","Manufacturing"))</f>
        <v>Distribution</v>
      </c>
    </row>
    <row r="851" customFormat="false" ht="15" hidden="false" customHeight="false" outlineLevel="0" collapsed="false">
      <c r="A851" s="46" t="n">
        <v>0.307737</v>
      </c>
      <c r="B851" s="46" t="n">
        <v>0.06229</v>
      </c>
      <c r="C851" s="46" t="n">
        <v>0.007163</v>
      </c>
      <c r="D851" s="46" t="n">
        <v>0.008925</v>
      </c>
      <c r="E851" s="46" t="n">
        <v>0.083375</v>
      </c>
      <c r="F851" s="46" t="n">
        <v>0.530508</v>
      </c>
      <c r="G851" s="47" t="n">
        <f aca="false">A851*Scorecard!$C$12+B851*Scorecard!$C$13+C851*Scorecard!$C$14+D851*Scorecard!$C$15+E851*Scorecard!$C$16+F851*Scorecard!$C$17</f>
        <v>2.45626001137218</v>
      </c>
      <c r="H851" s="47" t="n">
        <f aca="false">A851*Scorecard!$D$12+B851*Scorecard!$D$13+C851*Scorecard!$D$14+D851*Scorecard!$D$15+E851*Scorecard!$D$16+F851*Scorecard!$D$17</f>
        <v>2.35213358449886</v>
      </c>
      <c r="I851" s="47" t="n">
        <f aca="false">A851*Scorecard!$E$12+B851*Scorecard!$E$13+C851*Scorecard!$E$14+D851*Scorecard!$E$15+E851*Scorecard!$E$16+F851*Scorecard!$E$17</f>
        <v>4.3258220029117</v>
      </c>
      <c r="J851" s="0" t="str">
        <f aca="false">IF(AND(G851&gt;=H851,G851&gt;=I851),"Distribution",IF(I851&gt;=H851,"Prof. services","Manufacturing"))</f>
        <v>Prof. services</v>
      </c>
      <c r="L851" s="46" t="n">
        <v>0.212063</v>
      </c>
      <c r="M851" s="46" t="n">
        <v>0.267472</v>
      </c>
      <c r="N851" s="46" t="n">
        <v>0.125058</v>
      </c>
      <c r="O851" s="46" t="n">
        <v>0.128657</v>
      </c>
      <c r="P851" s="46" t="n">
        <v>0.150128</v>
      </c>
      <c r="Q851" s="46" t="n">
        <v>0.116622</v>
      </c>
      <c r="R851" s="47" t="n">
        <f aca="false">L851*Scorecard!$C$12+M851*Scorecard!$C$13+N851*Scorecard!$C$14+O851*Scorecard!$C$15+P851*Scorecard!$C$16+Q851*Scorecard!$C$17</f>
        <v>3.78116857577613</v>
      </c>
      <c r="S851" s="47" t="n">
        <f aca="false">L851*Scorecard!$D$12+M851*Scorecard!$D$13+N851*Scorecard!$D$14+O851*Scorecard!$D$15+P851*Scorecard!$D$16+Q851*Scorecard!$D$17</f>
        <v>2.76265031463202</v>
      </c>
      <c r="T851" s="47" t="n">
        <f aca="false">L851*Scorecard!$E$12+M851*Scorecard!$E$13+N851*Scorecard!$E$14+O851*Scorecard!$E$15+P851*Scorecard!$E$16+Q851*Scorecard!$E$17</f>
        <v>3.66466544967067</v>
      </c>
      <c r="U851" s="0" t="str">
        <f aca="false">IF(AND(R851&gt;=S851,R851&gt;=T851),"Distribution",IF(T851&gt;=S851,"Prof. services","Manufacturing"))</f>
        <v>Distribution</v>
      </c>
    </row>
    <row r="852" customFormat="false" ht="15" hidden="false" customHeight="false" outlineLevel="0" collapsed="false">
      <c r="A852" s="46" t="n">
        <v>0.089448</v>
      </c>
      <c r="B852" s="46" t="n">
        <v>0.029692</v>
      </c>
      <c r="C852" s="46" t="n">
        <v>0.605119</v>
      </c>
      <c r="D852" s="46" t="n">
        <v>0.135106</v>
      </c>
      <c r="E852" s="46" t="n">
        <v>0.039129</v>
      </c>
      <c r="F852" s="46" t="n">
        <v>0.101505</v>
      </c>
      <c r="G852" s="47" t="n">
        <f aca="false">A852*Scorecard!$C$12+B852*Scorecard!$C$13+C852*Scorecard!$C$14+D852*Scorecard!$C$15+E852*Scorecard!$C$16+F852*Scorecard!$C$17</f>
        <v>3.80077632438484</v>
      </c>
      <c r="H852" s="47" t="n">
        <f aca="false">A852*Scorecard!$D$12+B852*Scorecard!$D$13+C852*Scorecard!$D$14+D852*Scorecard!$D$15+E852*Scorecard!$D$16+F852*Scorecard!$D$17</f>
        <v>3.03170380983584</v>
      </c>
      <c r="I852" s="47" t="n">
        <f aca="false">A852*Scorecard!$E$12+B852*Scorecard!$E$13+C852*Scorecard!$E$14+D852*Scorecard!$E$15+E852*Scorecard!$E$16+F852*Scorecard!$E$17</f>
        <v>4.64658283499794</v>
      </c>
      <c r="J852" s="0" t="str">
        <f aca="false">IF(AND(G852&gt;=H852,G852&gt;=I852),"Distribution",IF(I852&gt;=H852,"Prof. services","Manufacturing"))</f>
        <v>Prof. services</v>
      </c>
      <c r="L852" s="46" t="n">
        <v>0.255066</v>
      </c>
      <c r="M852" s="46" t="n">
        <v>0.274973</v>
      </c>
      <c r="N852" s="46" t="n">
        <v>0.170477</v>
      </c>
      <c r="O852" s="46" t="n">
        <v>0.060903</v>
      </c>
      <c r="P852" s="46" t="n">
        <v>0.143174</v>
      </c>
      <c r="Q852" s="46" t="n">
        <v>0.095406</v>
      </c>
      <c r="R852" s="47" t="n">
        <f aca="false">L852*Scorecard!$C$12+M852*Scorecard!$C$13+N852*Scorecard!$C$14+O852*Scorecard!$C$15+P852*Scorecard!$C$16+Q852*Scorecard!$C$17</f>
        <v>3.68593756251168</v>
      </c>
      <c r="S852" s="47" t="n">
        <f aca="false">L852*Scorecard!$D$12+M852*Scorecard!$D$13+N852*Scorecard!$D$14+O852*Scorecard!$D$15+P852*Scorecard!$D$16+Q852*Scorecard!$D$17</f>
        <v>2.73086506916942</v>
      </c>
      <c r="T852" s="47" t="n">
        <f aca="false">L852*Scorecard!$E$12+M852*Scorecard!$E$13+N852*Scorecard!$E$14+O852*Scorecard!$E$15+P852*Scorecard!$E$16+Q852*Scorecard!$E$17</f>
        <v>3.72887754128268</v>
      </c>
      <c r="U852" s="0" t="str">
        <f aca="false">IF(AND(R852&gt;=S852,R852&gt;=T852),"Distribution",IF(T852&gt;=S852,"Prof. services","Manufacturing"))</f>
        <v>Prof. services</v>
      </c>
    </row>
    <row r="853" customFormat="false" ht="15" hidden="false" customHeight="false" outlineLevel="0" collapsed="false">
      <c r="A853" s="46" t="n">
        <v>0.092121</v>
      </c>
      <c r="B853" s="46" t="n">
        <v>0.160734</v>
      </c>
      <c r="C853" s="46" t="n">
        <v>0.122818</v>
      </c>
      <c r="D853" s="46" t="n">
        <v>0.354476</v>
      </c>
      <c r="E853" s="46" t="n">
        <v>0.212284</v>
      </c>
      <c r="F853" s="46" t="n">
        <v>0.057568</v>
      </c>
      <c r="G853" s="47" t="n">
        <f aca="false">A853*Scorecard!$C$12+B853*Scorecard!$C$13+C853*Scorecard!$C$14+D853*Scorecard!$C$15+E853*Scorecard!$C$16+F853*Scorecard!$C$17</f>
        <v>4.23425888626527</v>
      </c>
      <c r="H853" s="47" t="n">
        <f aca="false">A853*Scorecard!$D$12+B853*Scorecard!$D$13+C853*Scorecard!$D$14+D853*Scorecard!$D$15+E853*Scorecard!$D$16+F853*Scorecard!$D$17</f>
        <v>3.21435673189554</v>
      </c>
      <c r="I853" s="47" t="n">
        <f aca="false">A853*Scorecard!$E$12+B853*Scorecard!$E$13+C853*Scorecard!$E$14+D853*Scorecard!$E$15+E853*Scorecard!$E$16+F853*Scorecard!$E$17</f>
        <v>3.64662279286116</v>
      </c>
      <c r="J853" s="0" t="str">
        <f aca="false">IF(AND(G853&gt;=H853,G853&gt;=I853),"Distribution",IF(I853&gt;=H853,"Prof. services","Manufacturing"))</f>
        <v>Distribution</v>
      </c>
      <c r="L853" s="46" t="n">
        <v>0.110161</v>
      </c>
      <c r="M853" s="46" t="n">
        <v>0.192049</v>
      </c>
      <c r="N853" s="46" t="n">
        <v>0.271651</v>
      </c>
      <c r="O853" s="46" t="n">
        <v>0.144731</v>
      </c>
      <c r="P853" s="46" t="n">
        <v>0.197558</v>
      </c>
      <c r="Q853" s="46" t="n">
        <v>0.083851</v>
      </c>
      <c r="R853" s="47" t="n">
        <f aca="false">L853*Scorecard!$C$12+M853*Scorecard!$C$13+N853*Scorecard!$C$14+O853*Scorecard!$C$15+P853*Scorecard!$C$16+Q853*Scorecard!$C$17</f>
        <v>3.97079062899739</v>
      </c>
      <c r="S853" s="47" t="n">
        <f aca="false">L853*Scorecard!$D$12+M853*Scorecard!$D$13+N853*Scorecard!$D$14+O853*Scorecard!$D$15+P853*Scorecard!$D$16+Q853*Scorecard!$D$17</f>
        <v>2.89212654311338</v>
      </c>
      <c r="T853" s="47" t="n">
        <f aca="false">L853*Scorecard!$E$12+M853*Scorecard!$E$13+N853*Scorecard!$E$14+O853*Scorecard!$E$15+P853*Scorecard!$E$16+Q853*Scorecard!$E$17</f>
        <v>3.75802529685211</v>
      </c>
      <c r="U853" s="0" t="str">
        <f aca="false">IF(AND(R853&gt;=S853,R853&gt;=T853),"Distribution",IF(T853&gt;=S853,"Prof. services","Manufacturing"))</f>
        <v>Distribution</v>
      </c>
    </row>
    <row r="854" customFormat="false" ht="15" hidden="false" customHeight="false" outlineLevel="0" collapsed="false">
      <c r="A854" s="46" t="n">
        <v>0.451541</v>
      </c>
      <c r="B854" s="46" t="n">
        <v>0.057196</v>
      </c>
      <c r="C854" s="46" t="n">
        <v>0.092167</v>
      </c>
      <c r="D854" s="46" t="n">
        <v>0.008818</v>
      </c>
      <c r="E854" s="46" t="n">
        <v>0.235764</v>
      </c>
      <c r="F854" s="46" t="n">
        <v>0.154514</v>
      </c>
      <c r="G854" s="47" t="n">
        <f aca="false">A854*Scorecard!$C$12+B854*Scorecard!$C$13+C854*Scorecard!$C$14+D854*Scorecard!$C$15+E854*Scorecard!$C$16+F854*Scorecard!$C$17</f>
        <v>2.94420576058779</v>
      </c>
      <c r="H854" s="47" t="n">
        <f aca="false">A854*Scorecard!$D$12+B854*Scorecard!$D$13+C854*Scorecard!$D$14+D854*Scorecard!$D$15+E854*Scorecard!$D$16+F854*Scorecard!$D$17</f>
        <v>3.06943875101516</v>
      </c>
      <c r="I854" s="47" t="n">
        <f aca="false">A854*Scorecard!$E$12+B854*Scorecard!$E$13+C854*Scorecard!$E$14+D854*Scorecard!$E$15+E854*Scorecard!$E$16+F854*Scorecard!$E$17</f>
        <v>4.12219601936989</v>
      </c>
      <c r="J854" s="0" t="str">
        <f aca="false">IF(AND(G854&gt;=H854,G854&gt;=I854),"Distribution",IF(I854&gt;=H854,"Prof. services","Manufacturing"))</f>
        <v>Prof. services</v>
      </c>
      <c r="L854" s="46" t="n">
        <v>0.249496</v>
      </c>
      <c r="M854" s="46" t="n">
        <v>0.126018</v>
      </c>
      <c r="N854" s="46" t="n">
        <v>0.193113</v>
      </c>
      <c r="O854" s="46" t="n">
        <v>0.144912</v>
      </c>
      <c r="P854" s="46" t="n">
        <v>0.213604</v>
      </c>
      <c r="Q854" s="46" t="n">
        <v>0.072857</v>
      </c>
      <c r="R854" s="47" t="n">
        <f aca="false">L854*Scorecard!$C$12+M854*Scorecard!$C$13+N854*Scorecard!$C$14+O854*Scorecard!$C$15+P854*Scorecard!$C$16+Q854*Scorecard!$C$17</f>
        <v>3.67611964194528</v>
      </c>
      <c r="S854" s="47" t="n">
        <f aca="false">L854*Scorecard!$D$12+M854*Scorecard!$D$13+N854*Scorecard!$D$14+O854*Scorecard!$D$15+P854*Scorecard!$D$16+Q854*Scorecard!$D$17</f>
        <v>3.10532300900579</v>
      </c>
      <c r="T854" s="47" t="n">
        <f aca="false">L854*Scorecard!$E$12+M854*Scorecard!$E$13+N854*Scorecard!$E$14+O854*Scorecard!$E$15+P854*Scorecard!$E$16+Q854*Scorecard!$E$17</f>
        <v>3.91045458824386</v>
      </c>
      <c r="U854" s="0" t="str">
        <f aca="false">IF(AND(R854&gt;=S854,R854&gt;=T854),"Distribution",IF(T854&gt;=S854,"Prof. services","Manufacturing"))</f>
        <v>Prof. services</v>
      </c>
    </row>
    <row r="855" customFormat="false" ht="15" hidden="false" customHeight="false" outlineLevel="0" collapsed="false">
      <c r="A855" s="46" t="n">
        <v>0.136317</v>
      </c>
      <c r="B855" s="46" t="n">
        <v>0.336113</v>
      </c>
      <c r="C855" s="46" t="n">
        <v>0.050213</v>
      </c>
      <c r="D855" s="46" t="n">
        <v>0.142929</v>
      </c>
      <c r="E855" s="46" t="n">
        <v>0.108766</v>
      </c>
      <c r="F855" s="46" t="n">
        <v>0.225662</v>
      </c>
      <c r="G855" s="47" t="n">
        <f aca="false">A855*Scorecard!$C$12+B855*Scorecard!$C$13+C855*Scorecard!$C$14+D855*Scorecard!$C$15+E855*Scorecard!$C$16+F855*Scorecard!$C$17</f>
        <v>3.78234545598749</v>
      </c>
      <c r="H855" s="47" t="n">
        <f aca="false">A855*Scorecard!$D$12+B855*Scorecard!$D$13+C855*Scorecard!$D$14+D855*Scorecard!$D$15+E855*Scorecard!$D$16+F855*Scorecard!$D$17</f>
        <v>2.44876060880057</v>
      </c>
      <c r="I855" s="47" t="n">
        <f aca="false">A855*Scorecard!$E$12+B855*Scorecard!$E$13+C855*Scorecard!$E$14+D855*Scorecard!$E$15+E855*Scorecard!$E$16+F855*Scorecard!$E$17</f>
        <v>3.51113109366087</v>
      </c>
      <c r="J855" s="0" t="str">
        <f aca="false">IF(AND(G855&gt;=H855,G855&gt;=I855),"Distribution",IF(I855&gt;=H855,"Prof. services","Manufacturing"))</f>
        <v>Distribution</v>
      </c>
      <c r="L855" s="46" t="n">
        <v>0.307845</v>
      </c>
      <c r="M855" s="46" t="n">
        <v>0.302902</v>
      </c>
      <c r="N855" s="46" t="n">
        <v>0.109731</v>
      </c>
      <c r="O855" s="46" t="n">
        <v>0.118141</v>
      </c>
      <c r="P855" s="46" t="n">
        <v>0.060555</v>
      </c>
      <c r="Q855" s="46" t="n">
        <v>0.100826</v>
      </c>
      <c r="R855" s="47" t="n">
        <f aca="false">L855*Scorecard!$C$12+M855*Scorecard!$C$13+N855*Scorecard!$C$14+O855*Scorecard!$C$15+P855*Scorecard!$C$16+Q855*Scorecard!$C$17</f>
        <v>3.665265609832</v>
      </c>
      <c r="S855" s="47" t="n">
        <f aca="false">L855*Scorecard!$D$12+M855*Scorecard!$D$13+N855*Scorecard!$D$14+O855*Scorecard!$D$15+P855*Scorecard!$D$16+Q855*Scorecard!$D$17</f>
        <v>2.75440110208166</v>
      </c>
      <c r="T855" s="47" t="n">
        <f aca="false">L855*Scorecard!$E$12+M855*Scorecard!$E$13+N855*Scorecard!$E$14+O855*Scorecard!$E$15+P855*Scorecard!$E$16+Q855*Scorecard!$E$17</f>
        <v>3.81833293305915</v>
      </c>
      <c r="U855" s="0" t="str">
        <f aca="false">IF(AND(R855&gt;=S855,R855&gt;=T855),"Distribution",IF(T855&gt;=S855,"Prof. services","Manufacturing"))</f>
        <v>Prof. services</v>
      </c>
    </row>
    <row r="856" customFormat="false" ht="15" hidden="false" customHeight="false" outlineLevel="0" collapsed="false">
      <c r="A856" s="46" t="n">
        <v>0.45629</v>
      </c>
      <c r="B856" s="46" t="n">
        <v>0.336953</v>
      </c>
      <c r="C856" s="46" t="n">
        <v>0.103186</v>
      </c>
      <c r="D856" s="46" t="n">
        <v>0.034572</v>
      </c>
      <c r="E856" s="46" t="n">
        <v>0.01844</v>
      </c>
      <c r="F856" s="46" t="n">
        <v>0.05056</v>
      </c>
      <c r="G856" s="47" t="n">
        <f aca="false">A856*Scorecard!$C$12+B856*Scorecard!$C$13+C856*Scorecard!$C$14+D856*Scorecard!$C$15+E856*Scorecard!$C$16+F856*Scorecard!$C$17</f>
        <v>3.44908049286245</v>
      </c>
      <c r="H856" s="47" t="n">
        <f aca="false">A856*Scorecard!$D$12+B856*Scorecard!$D$13+C856*Scorecard!$D$14+D856*Scorecard!$D$15+E856*Scorecard!$D$16+F856*Scorecard!$D$17</f>
        <v>2.76596643847342</v>
      </c>
      <c r="I856" s="47" t="n">
        <f aca="false">A856*Scorecard!$E$12+B856*Scorecard!$E$13+C856*Scorecard!$E$14+D856*Scorecard!$E$15+E856*Scorecard!$E$16+F856*Scorecard!$E$17</f>
        <v>3.92771543849215</v>
      </c>
      <c r="J856" s="0" t="str">
        <f aca="false">IF(AND(G856&gt;=H856,G856&gt;=I856),"Distribution",IF(I856&gt;=H856,"Prof. services","Manufacturing"))</f>
        <v>Prof. services</v>
      </c>
      <c r="L856" s="46" t="n">
        <v>0.131785</v>
      </c>
      <c r="M856" s="46" t="n">
        <v>0.171471</v>
      </c>
      <c r="N856" s="46" t="n">
        <v>0.146629</v>
      </c>
      <c r="O856" s="46" t="n">
        <v>0.372671</v>
      </c>
      <c r="P856" s="46" t="n">
        <v>0.111527</v>
      </c>
      <c r="Q856" s="46" t="n">
        <v>0.065917</v>
      </c>
      <c r="R856" s="47" t="n">
        <f aca="false">L856*Scorecard!$C$12+M856*Scorecard!$C$13+N856*Scorecard!$C$14+O856*Scorecard!$C$15+P856*Scorecard!$C$16+Q856*Scorecard!$C$17</f>
        <v>4.1750931206182</v>
      </c>
      <c r="S856" s="47" t="n">
        <f aca="false">L856*Scorecard!$D$12+M856*Scorecard!$D$13+N856*Scorecard!$D$14+O856*Scorecard!$D$15+P856*Scorecard!$D$16+Q856*Scorecard!$D$17</f>
        <v>3.19939160577961</v>
      </c>
      <c r="T856" s="47" t="n">
        <f aca="false">L856*Scorecard!$E$12+M856*Scorecard!$E$13+N856*Scorecard!$E$14+O856*Scorecard!$E$15+P856*Scorecard!$E$16+Q856*Scorecard!$E$17</f>
        <v>3.86504442889255</v>
      </c>
      <c r="U856" s="0" t="str">
        <f aca="false">IF(AND(R856&gt;=S856,R856&gt;=T856),"Distribution",IF(T856&gt;=S856,"Prof. services","Manufacturing"))</f>
        <v>Distribution</v>
      </c>
    </row>
    <row r="857" customFormat="false" ht="15" hidden="false" customHeight="false" outlineLevel="0" collapsed="false">
      <c r="A857" s="46" t="n">
        <v>0.111199</v>
      </c>
      <c r="B857" s="46" t="n">
        <v>0.590381</v>
      </c>
      <c r="C857" s="46" t="n">
        <v>0.098359</v>
      </c>
      <c r="D857" s="46" t="n">
        <v>0.005693</v>
      </c>
      <c r="E857" s="46" t="n">
        <v>0.092063</v>
      </c>
      <c r="F857" s="46" t="n">
        <v>0.102305</v>
      </c>
      <c r="G857" s="47" t="n">
        <f aca="false">A857*Scorecard!$C$12+B857*Scorecard!$C$13+C857*Scorecard!$C$14+D857*Scorecard!$C$15+E857*Scorecard!$C$16+F857*Scorecard!$C$17</f>
        <v>4.19130421419451</v>
      </c>
      <c r="H857" s="47" t="n">
        <f aca="false">A857*Scorecard!$D$12+B857*Scorecard!$D$13+C857*Scorecard!$D$14+D857*Scorecard!$D$15+E857*Scorecard!$D$16+F857*Scorecard!$D$17</f>
        <v>2.07110994835751</v>
      </c>
      <c r="I857" s="47" t="n">
        <f aca="false">A857*Scorecard!$E$12+B857*Scorecard!$E$13+C857*Scorecard!$E$14+D857*Scorecard!$E$15+E857*Scorecard!$E$16+F857*Scorecard!$E$17</f>
        <v>3.00089519965859</v>
      </c>
      <c r="J857" s="0" t="str">
        <f aca="false">IF(AND(G857&gt;=H857,G857&gt;=I857),"Distribution",IF(I857&gt;=H857,"Prof. services","Manufacturing"))</f>
        <v>Distribution</v>
      </c>
      <c r="L857" s="46" t="n">
        <v>0.187024</v>
      </c>
      <c r="M857" s="46" t="n">
        <v>0.198114</v>
      </c>
      <c r="N857" s="46" t="n">
        <v>0.141707</v>
      </c>
      <c r="O857" s="46" t="n">
        <v>0.157456</v>
      </c>
      <c r="P857" s="46" t="n">
        <v>0.266757</v>
      </c>
      <c r="Q857" s="46" t="n">
        <v>0.048942</v>
      </c>
      <c r="R857" s="47" t="n">
        <f aca="false">L857*Scorecard!$C$12+M857*Scorecard!$C$13+N857*Scorecard!$C$14+O857*Scorecard!$C$15+P857*Scorecard!$C$16+Q857*Scorecard!$C$17</f>
        <v>3.92104013285653</v>
      </c>
      <c r="S857" s="47" t="n">
        <f aca="false">L857*Scorecard!$D$12+M857*Scorecard!$D$13+N857*Scorecard!$D$14+O857*Scorecard!$D$15+P857*Scorecard!$D$16+Q857*Scorecard!$D$17</f>
        <v>3.02395256547257</v>
      </c>
      <c r="T857" s="47" t="n">
        <f aca="false">L857*Scorecard!$E$12+M857*Scorecard!$E$13+N857*Scorecard!$E$14+O857*Scorecard!$E$15+P857*Scorecard!$E$16+Q857*Scorecard!$E$17</f>
        <v>3.56286699476606</v>
      </c>
      <c r="U857" s="0" t="str">
        <f aca="false">IF(AND(R857&gt;=S857,R857&gt;=T857),"Distribution",IF(T857&gt;=S857,"Prof. services","Manufacturing"))</f>
        <v>Distribution</v>
      </c>
    </row>
    <row r="858" customFormat="false" ht="15" hidden="false" customHeight="false" outlineLevel="0" collapsed="false">
      <c r="A858" s="46" t="n">
        <v>0.074269</v>
      </c>
      <c r="B858" s="46" t="n">
        <v>0.208547</v>
      </c>
      <c r="C858" s="46" t="n">
        <v>0.139206</v>
      </c>
      <c r="D858" s="46" t="n">
        <v>0.019385</v>
      </c>
      <c r="E858" s="46" t="n">
        <v>0.171802</v>
      </c>
      <c r="F858" s="46" t="n">
        <v>0.386791</v>
      </c>
      <c r="G858" s="47" t="n">
        <f aca="false">A858*Scorecard!$C$12+B858*Scorecard!$C$13+C858*Scorecard!$C$14+D858*Scorecard!$C$15+E858*Scorecard!$C$16+F858*Scorecard!$C$17</f>
        <v>3.32066474085209</v>
      </c>
      <c r="H858" s="47" t="n">
        <f aca="false">A858*Scorecard!$D$12+B858*Scorecard!$D$13+C858*Scorecard!$D$14+D858*Scorecard!$D$15+E858*Scorecard!$D$16+F858*Scorecard!$D$17</f>
        <v>2.23555056059031</v>
      </c>
      <c r="I858" s="47" t="n">
        <f aca="false">A858*Scorecard!$E$12+B858*Scorecard!$E$13+C858*Scorecard!$E$14+D858*Scorecard!$E$15+E858*Scorecard!$E$16+F858*Scorecard!$E$17</f>
        <v>3.73256695620262</v>
      </c>
      <c r="J858" s="0" t="str">
        <f aca="false">IF(AND(G858&gt;=H858,G858&gt;=I858),"Distribution",IF(I858&gt;=H858,"Prof. services","Manufacturing"))</f>
        <v>Prof. services</v>
      </c>
      <c r="L858" s="46" t="n">
        <v>0.080132</v>
      </c>
      <c r="M858" s="46" t="n">
        <v>0.315661</v>
      </c>
      <c r="N858" s="46" t="n">
        <v>0.159021</v>
      </c>
      <c r="O858" s="46" t="n">
        <v>0.159648</v>
      </c>
      <c r="P858" s="46" t="n">
        <v>0.197278</v>
      </c>
      <c r="Q858" s="46" t="n">
        <v>0.08826</v>
      </c>
      <c r="R858" s="47" t="n">
        <f aca="false">L858*Scorecard!$C$12+M858*Scorecard!$C$13+N858*Scorecard!$C$14+O858*Scorecard!$C$15+P858*Scorecard!$C$16+Q858*Scorecard!$C$17</f>
        <v>4.15455025724003</v>
      </c>
      <c r="S858" s="47" t="n">
        <f aca="false">L858*Scorecard!$D$12+M858*Scorecard!$D$13+N858*Scorecard!$D$14+O858*Scorecard!$D$15+P858*Scorecard!$D$16+Q858*Scorecard!$D$17</f>
        <v>2.69730775591591</v>
      </c>
      <c r="T858" s="47" t="n">
        <f aca="false">L858*Scorecard!$E$12+M858*Scorecard!$E$13+N858*Scorecard!$E$14+O858*Scorecard!$E$15+P858*Scorecard!$E$16+Q858*Scorecard!$E$17</f>
        <v>3.38863636936655</v>
      </c>
      <c r="U858" s="0" t="str">
        <f aca="false">IF(AND(R858&gt;=S858,R858&gt;=T858),"Distribution",IF(T858&gt;=S858,"Prof. services","Manufacturing"))</f>
        <v>Distribution</v>
      </c>
    </row>
    <row r="859" customFormat="false" ht="15" hidden="false" customHeight="false" outlineLevel="0" collapsed="false">
      <c r="A859" s="46" t="n">
        <v>0.197798</v>
      </c>
      <c r="B859" s="46" t="n">
        <v>0.013853</v>
      </c>
      <c r="C859" s="46" t="n">
        <v>0.469815</v>
      </c>
      <c r="D859" s="46" t="n">
        <v>0.150331</v>
      </c>
      <c r="E859" s="46" t="n">
        <v>0.121238</v>
      </c>
      <c r="F859" s="46" t="n">
        <v>0.046965</v>
      </c>
      <c r="G859" s="47" t="n">
        <f aca="false">A859*Scorecard!$C$12+B859*Scorecard!$C$13+C859*Scorecard!$C$14+D859*Scorecard!$C$15+E859*Scorecard!$C$16+F859*Scorecard!$C$17</f>
        <v>3.71421477920885</v>
      </c>
      <c r="H859" s="47" t="n">
        <f aca="false">A859*Scorecard!$D$12+B859*Scorecard!$D$13+C859*Scorecard!$D$14+D859*Scorecard!$D$15+E859*Scorecard!$D$16+F859*Scorecard!$D$17</f>
        <v>3.25385642452986</v>
      </c>
      <c r="I859" s="47" t="n">
        <f aca="false">A859*Scorecard!$E$12+B859*Scorecard!$E$13+C859*Scorecard!$E$14+D859*Scorecard!$E$15+E859*Scorecard!$E$16+F859*Scorecard!$E$17</f>
        <v>4.48772051133229</v>
      </c>
      <c r="J859" s="0" t="str">
        <f aca="false">IF(AND(G859&gt;=H859,G859&gt;=I859),"Distribution",IF(I859&gt;=H859,"Prof. services","Manufacturing"))</f>
        <v>Prof. services</v>
      </c>
      <c r="L859" s="46" t="n">
        <v>0.172462</v>
      </c>
      <c r="M859" s="46" t="n">
        <v>0.121849</v>
      </c>
      <c r="N859" s="46" t="n">
        <v>0.282306</v>
      </c>
      <c r="O859" s="46" t="n">
        <v>0.144949</v>
      </c>
      <c r="P859" s="46" t="n">
        <v>0.048071</v>
      </c>
      <c r="Q859" s="46" t="n">
        <v>0.230363</v>
      </c>
      <c r="R859" s="47" t="n">
        <f aca="false">L859*Scorecard!$C$12+M859*Scorecard!$C$13+N859*Scorecard!$C$14+O859*Scorecard!$C$15+P859*Scorecard!$C$16+Q859*Scorecard!$C$17</f>
        <v>3.49563794052476</v>
      </c>
      <c r="S859" s="47" t="n">
        <f aca="false">L859*Scorecard!$D$12+M859*Scorecard!$D$13+N859*Scorecard!$D$14+O859*Scorecard!$D$15+P859*Scorecard!$D$16+Q859*Scorecard!$D$17</f>
        <v>2.76930211636699</v>
      </c>
      <c r="T859" s="47" t="n">
        <f aca="false">L859*Scorecard!$E$12+M859*Scorecard!$E$13+N859*Scorecard!$E$14+O859*Scorecard!$E$15+P859*Scorecard!$E$16+Q859*Scorecard!$E$17</f>
        <v>4.28508031810555</v>
      </c>
      <c r="U859" s="0" t="str">
        <f aca="false">IF(AND(R859&gt;=S859,R859&gt;=T859),"Distribution",IF(T859&gt;=S859,"Prof. services","Manufacturing"))</f>
        <v>Prof. services</v>
      </c>
    </row>
    <row r="860" customFormat="false" ht="15" hidden="false" customHeight="false" outlineLevel="0" collapsed="false">
      <c r="A860" s="46" t="n">
        <v>0.448051</v>
      </c>
      <c r="B860" s="46" t="n">
        <v>0.30679</v>
      </c>
      <c r="C860" s="46" t="n">
        <v>0.008564</v>
      </c>
      <c r="D860" s="46" t="n">
        <v>0.026641</v>
      </c>
      <c r="E860" s="46" t="n">
        <v>0.013054</v>
      </c>
      <c r="F860" s="46" t="n">
        <v>0.196901</v>
      </c>
      <c r="G860" s="47" t="n">
        <f aca="false">A860*Scorecard!$C$12+B860*Scorecard!$C$13+C860*Scorecard!$C$14+D860*Scorecard!$C$15+E860*Scorecard!$C$16+F860*Scorecard!$C$17</f>
        <v>3.13313481035858</v>
      </c>
      <c r="H860" s="47" t="n">
        <f aca="false">A860*Scorecard!$D$12+B860*Scorecard!$D$13+C860*Scorecard!$D$14+D860*Scorecard!$D$15+E860*Scorecard!$D$16+F860*Scorecard!$D$17</f>
        <v>2.57531081270666</v>
      </c>
      <c r="I860" s="47" t="n">
        <f aca="false">A860*Scorecard!$E$12+B860*Scorecard!$E$13+C860*Scorecard!$E$14+D860*Scorecard!$E$15+E860*Scorecard!$E$16+F860*Scorecard!$E$17</f>
        <v>3.96227339365162</v>
      </c>
      <c r="J860" s="0" t="str">
        <f aca="false">IF(AND(G860&gt;=H860,G860&gt;=I860),"Distribution",IF(I860&gt;=H860,"Prof. services","Manufacturing"))</f>
        <v>Prof. services</v>
      </c>
      <c r="L860" s="46" t="n">
        <v>0.132051</v>
      </c>
      <c r="M860" s="46" t="n">
        <v>0.330496</v>
      </c>
      <c r="N860" s="46" t="n">
        <v>0.238103</v>
      </c>
      <c r="O860" s="46" t="n">
        <v>0.063789</v>
      </c>
      <c r="P860" s="46" t="n">
        <v>0.152086</v>
      </c>
      <c r="Q860" s="46" t="n">
        <v>0.083475</v>
      </c>
      <c r="R860" s="47" t="n">
        <f aca="false">L860*Scorecard!$C$12+M860*Scorecard!$C$13+N860*Scorecard!$C$14+O860*Scorecard!$C$15+P860*Scorecard!$C$16+Q860*Scorecard!$C$17</f>
        <v>3.98964131682478</v>
      </c>
      <c r="S860" s="47" t="n">
        <f aca="false">L860*Scorecard!$D$12+M860*Scorecard!$D$13+N860*Scorecard!$D$14+O860*Scorecard!$D$15+P860*Scorecard!$D$16+Q860*Scorecard!$D$17</f>
        <v>2.5904786117771</v>
      </c>
      <c r="T860" s="47" t="n">
        <f aca="false">L860*Scorecard!$E$12+M860*Scorecard!$E$13+N860*Scorecard!$E$14+O860*Scorecard!$E$15+P860*Scorecard!$E$16+Q860*Scorecard!$E$17</f>
        <v>3.5490090832351</v>
      </c>
      <c r="U860" s="0" t="str">
        <f aca="false">IF(AND(R860&gt;=S860,R860&gt;=T860),"Distribution",IF(T860&gt;=S860,"Prof. services","Manufacturing"))</f>
        <v>Distribution</v>
      </c>
    </row>
    <row r="861" customFormat="false" ht="15" hidden="false" customHeight="false" outlineLevel="0" collapsed="false">
      <c r="A861" s="46" t="n">
        <v>0.422653</v>
      </c>
      <c r="B861" s="46" t="n">
        <v>0.18236</v>
      </c>
      <c r="C861" s="46" t="n">
        <v>0.062445</v>
      </c>
      <c r="D861" s="46" t="n">
        <v>0.26786</v>
      </c>
      <c r="E861" s="46" t="n">
        <v>0.04087</v>
      </c>
      <c r="F861" s="46" t="n">
        <v>0.023812</v>
      </c>
      <c r="G861" s="47" t="n">
        <f aca="false">A861*Scorecard!$C$12+B861*Scorecard!$C$13+C861*Scorecard!$C$14+D861*Scorecard!$C$15+E861*Scorecard!$C$16+F861*Scorecard!$C$17</f>
        <v>3.64181457255867</v>
      </c>
      <c r="H861" s="47" t="n">
        <f aca="false">A861*Scorecard!$D$12+B861*Scorecard!$D$13+C861*Scorecard!$D$14+D861*Scorecard!$D$15+E861*Scorecard!$D$16+F861*Scorecard!$D$17</f>
        <v>3.29345141497104</v>
      </c>
      <c r="I861" s="47" t="n">
        <f aca="false">A861*Scorecard!$E$12+B861*Scorecard!$E$13+C861*Scorecard!$E$14+D861*Scorecard!$E$15+E861*Scorecard!$E$16+F861*Scorecard!$E$17</f>
        <v>4.1308137628471</v>
      </c>
      <c r="J861" s="0" t="str">
        <f aca="false">IF(AND(G861&gt;=H861,G861&gt;=I861),"Distribution",IF(I861&gt;=H861,"Prof. services","Manufacturing"))</f>
        <v>Prof. services</v>
      </c>
      <c r="L861" s="46" t="n">
        <v>0.099946</v>
      </c>
      <c r="M861" s="46" t="n">
        <v>0.235532</v>
      </c>
      <c r="N861" s="46" t="n">
        <v>0.278345</v>
      </c>
      <c r="O861" s="46" t="n">
        <v>0.140675</v>
      </c>
      <c r="P861" s="46" t="n">
        <v>0.120485</v>
      </c>
      <c r="Q861" s="46" t="n">
        <v>0.125017</v>
      </c>
      <c r="R861" s="47" t="n">
        <f aca="false">L861*Scorecard!$C$12+M861*Scorecard!$C$13+N861*Scorecard!$C$14+O861*Scorecard!$C$15+P861*Scorecard!$C$16+Q861*Scorecard!$C$17</f>
        <v>3.94626877467319</v>
      </c>
      <c r="S861" s="47" t="n">
        <f aca="false">L861*Scorecard!$D$12+M861*Scorecard!$D$13+N861*Scorecard!$D$14+O861*Scorecard!$D$15+P861*Scorecard!$D$16+Q861*Scorecard!$D$17</f>
        <v>2.72797257172969</v>
      </c>
      <c r="T861" s="47" t="n">
        <f aca="false">L861*Scorecard!$E$12+M861*Scorecard!$E$13+N861*Scorecard!$E$14+O861*Scorecard!$E$15+P861*Scorecard!$E$16+Q861*Scorecard!$E$17</f>
        <v>3.82131649270938</v>
      </c>
      <c r="U861" s="0" t="str">
        <f aca="false">IF(AND(R861&gt;=S861,R861&gt;=T861),"Distribution",IF(T861&gt;=S861,"Prof. services","Manufacturing"))</f>
        <v>Distribution</v>
      </c>
    </row>
    <row r="862" customFormat="false" ht="15" hidden="false" customHeight="false" outlineLevel="0" collapsed="false">
      <c r="A862" s="46" t="n">
        <v>0.141656</v>
      </c>
      <c r="B862" s="46" t="n">
        <v>0.057398</v>
      </c>
      <c r="C862" s="46" t="n">
        <v>0.073144</v>
      </c>
      <c r="D862" s="46" t="n">
        <v>0.154683</v>
      </c>
      <c r="E862" s="46" t="n">
        <v>0.206253</v>
      </c>
      <c r="F862" s="46" t="n">
        <v>0.366865</v>
      </c>
      <c r="G862" s="47" t="n">
        <f aca="false">A862*Scorecard!$C$12+B862*Scorecard!$C$13+C862*Scorecard!$C$14+D862*Scorecard!$C$15+E862*Scorecard!$C$16+F862*Scorecard!$C$17</f>
        <v>3.22336417984817</v>
      </c>
      <c r="H862" s="47" t="n">
        <f aca="false">A862*Scorecard!$D$12+B862*Scorecard!$D$13+C862*Scorecard!$D$14+D862*Scorecard!$D$15+E862*Scorecard!$D$16+F862*Scorecard!$D$17</f>
        <v>2.7049341348616</v>
      </c>
      <c r="I862" s="47" t="n">
        <f aca="false">A862*Scorecard!$E$12+B862*Scorecard!$E$13+C862*Scorecard!$E$14+D862*Scorecard!$E$15+E862*Scorecard!$E$16+F862*Scorecard!$E$17</f>
        <v>3.97220359312485</v>
      </c>
      <c r="J862" s="0" t="str">
        <f aca="false">IF(AND(G862&gt;=H862,G862&gt;=I862),"Distribution",IF(I862&gt;=H862,"Prof. services","Manufacturing"))</f>
        <v>Prof. services</v>
      </c>
      <c r="L862" s="46" t="n">
        <v>0.083886</v>
      </c>
      <c r="M862" s="46" t="n">
        <v>0.266418</v>
      </c>
      <c r="N862" s="46" t="n">
        <v>0.27485</v>
      </c>
      <c r="O862" s="46" t="n">
        <v>0.237272</v>
      </c>
      <c r="P862" s="46" t="n">
        <v>0.10346</v>
      </c>
      <c r="Q862" s="46" t="n">
        <v>0.034113</v>
      </c>
      <c r="R862" s="47" t="n">
        <f aca="false">L862*Scorecard!$C$12+M862*Scorecard!$C$13+N862*Scorecard!$C$14+O862*Scorecard!$C$15+P862*Scorecard!$C$16+Q862*Scorecard!$C$17</f>
        <v>4.28446400370435</v>
      </c>
      <c r="S862" s="47" t="n">
        <f aca="false">L862*Scorecard!$D$12+M862*Scorecard!$D$13+N862*Scorecard!$D$14+O862*Scorecard!$D$15+P862*Scorecard!$D$16+Q862*Scorecard!$D$17</f>
        <v>2.91350687106623</v>
      </c>
      <c r="T862" s="47" t="n">
        <f aca="false">L862*Scorecard!$E$12+M862*Scorecard!$E$13+N862*Scorecard!$E$14+O862*Scorecard!$E$15+P862*Scorecard!$E$16+Q862*Scorecard!$E$17</f>
        <v>3.74260365435196</v>
      </c>
      <c r="U862" s="0" t="str">
        <f aca="false">IF(AND(R862&gt;=S862,R862&gt;=T862),"Distribution",IF(T862&gt;=S862,"Prof. services","Manufacturing"))</f>
        <v>Distribution</v>
      </c>
    </row>
    <row r="863" customFormat="false" ht="15" hidden="false" customHeight="false" outlineLevel="0" collapsed="false">
      <c r="A863" s="46" t="n">
        <v>0.17324</v>
      </c>
      <c r="B863" s="46" t="n">
        <v>0.400982</v>
      </c>
      <c r="C863" s="46" t="n">
        <v>0.011566</v>
      </c>
      <c r="D863" s="46" t="n">
        <v>0.07692</v>
      </c>
      <c r="E863" s="46" t="n">
        <v>0.057604</v>
      </c>
      <c r="F863" s="46" t="n">
        <v>0.279687</v>
      </c>
      <c r="G863" s="47" t="n">
        <f aca="false">A863*Scorecard!$C$12+B863*Scorecard!$C$13+C863*Scorecard!$C$14+D863*Scorecard!$C$15+E863*Scorecard!$C$16+F863*Scorecard!$C$17</f>
        <v>3.60668952942973</v>
      </c>
      <c r="H863" s="47" t="n">
        <f aca="false">A863*Scorecard!$D$12+B863*Scorecard!$D$13+C863*Scorecard!$D$14+D863*Scorecard!$D$15+E863*Scorecard!$D$16+F863*Scorecard!$D$17</f>
        <v>2.20127232596549</v>
      </c>
      <c r="I863" s="47" t="n">
        <f aca="false">A863*Scorecard!$E$12+B863*Scorecard!$E$13+C863*Scorecard!$E$14+D863*Scorecard!$E$15+E863*Scorecard!$E$16+F863*Scorecard!$E$17</f>
        <v>3.48918535174802</v>
      </c>
      <c r="J863" s="0" t="str">
        <f aca="false">IF(AND(G863&gt;=H863,G863&gt;=I863),"Distribution",IF(I863&gt;=H863,"Prof. services","Manufacturing"))</f>
        <v>Distribution</v>
      </c>
      <c r="L863" s="46" t="n">
        <v>0.12384</v>
      </c>
      <c r="M863" s="46" t="n">
        <v>0.235404</v>
      </c>
      <c r="N863" s="46" t="n">
        <v>0.165328</v>
      </c>
      <c r="O863" s="46" t="n">
        <v>0.0832</v>
      </c>
      <c r="P863" s="46" t="n">
        <v>0.318422</v>
      </c>
      <c r="Q863" s="46" t="n">
        <v>0.073805</v>
      </c>
      <c r="R863" s="47" t="n">
        <f aca="false">L863*Scorecard!$C$12+M863*Scorecard!$C$13+N863*Scorecard!$C$14+O863*Scorecard!$C$15+P863*Scorecard!$C$16+Q863*Scorecard!$C$17</f>
        <v>3.9480762339216</v>
      </c>
      <c r="S863" s="47" t="n">
        <f aca="false">L863*Scorecard!$D$12+M863*Scorecard!$D$13+N863*Scorecard!$D$14+O863*Scorecard!$D$15+P863*Scorecard!$D$16+Q863*Scorecard!$D$17</f>
        <v>2.82020643231861</v>
      </c>
      <c r="T863" s="47" t="n">
        <f aca="false">L863*Scorecard!$E$12+M863*Scorecard!$E$13+N863*Scorecard!$E$14+O863*Scorecard!$E$15+P863*Scorecard!$E$16+Q863*Scorecard!$E$17</f>
        <v>3.36749633097188</v>
      </c>
      <c r="U863" s="0" t="str">
        <f aca="false">IF(AND(R863&gt;=S863,R863&gt;=T863),"Distribution",IF(T863&gt;=S863,"Prof. services","Manufacturing"))</f>
        <v>Distribution</v>
      </c>
    </row>
    <row r="864" customFormat="false" ht="15" hidden="false" customHeight="false" outlineLevel="0" collapsed="false">
      <c r="A864" s="46" t="n">
        <v>0.015818</v>
      </c>
      <c r="B864" s="46" t="n">
        <v>0.531028</v>
      </c>
      <c r="C864" s="46" t="n">
        <v>0.096447</v>
      </c>
      <c r="D864" s="46" t="n">
        <v>0.230474</v>
      </c>
      <c r="E864" s="46" t="n">
        <v>0.009768</v>
      </c>
      <c r="F864" s="46" t="n">
        <v>0.116465</v>
      </c>
      <c r="G864" s="47" t="n">
        <f aca="false">A864*Scorecard!$C$12+B864*Scorecard!$C$13+C864*Scorecard!$C$14+D864*Scorecard!$C$15+E864*Scorecard!$C$16+F864*Scorecard!$C$17</f>
        <v>4.50009937441999</v>
      </c>
      <c r="H864" s="47" t="n">
        <f aca="false">A864*Scorecard!$D$12+B864*Scorecard!$D$13+C864*Scorecard!$D$14+D864*Scorecard!$D$15+E864*Scorecard!$D$16+F864*Scorecard!$D$17</f>
        <v>2.30873916616962</v>
      </c>
      <c r="I864" s="47" t="n">
        <f aca="false">A864*Scorecard!$E$12+B864*Scorecard!$E$13+C864*Scorecard!$E$14+D864*Scorecard!$E$15+E864*Scorecard!$E$16+F864*Scorecard!$E$17</f>
        <v>3.19605114754845</v>
      </c>
      <c r="J864" s="0" t="str">
        <f aca="false">IF(AND(G864&gt;=H864,G864&gt;=I864),"Distribution",IF(I864&gt;=H864,"Prof. services","Manufacturing"))</f>
        <v>Distribution</v>
      </c>
      <c r="L864" s="46" t="n">
        <v>0.178694</v>
      </c>
      <c r="M864" s="46" t="n">
        <v>0.292038</v>
      </c>
      <c r="N864" s="46" t="n">
        <v>0.18954</v>
      </c>
      <c r="O864" s="46" t="n">
        <v>0.168046</v>
      </c>
      <c r="P864" s="46" t="n">
        <v>0.085322</v>
      </c>
      <c r="Q864" s="46" t="n">
        <v>0.086359</v>
      </c>
      <c r="R864" s="47" t="n">
        <f aca="false">L864*Scorecard!$C$12+M864*Scorecard!$C$13+N864*Scorecard!$C$14+O864*Scorecard!$C$15+P864*Scorecard!$C$16+Q864*Scorecard!$C$17</f>
        <v>3.96571025165041</v>
      </c>
      <c r="S864" s="47" t="n">
        <f aca="false">L864*Scorecard!$D$12+M864*Scorecard!$D$13+N864*Scorecard!$D$14+O864*Scorecard!$D$15+P864*Scorecard!$D$16+Q864*Scorecard!$D$17</f>
        <v>2.77312266636928</v>
      </c>
      <c r="T864" s="47" t="n">
        <f aca="false">L864*Scorecard!$E$12+M864*Scorecard!$E$13+N864*Scorecard!$E$14+O864*Scorecard!$E$15+P864*Scorecard!$E$16+Q864*Scorecard!$E$17</f>
        <v>3.74904140505372</v>
      </c>
      <c r="U864" s="0" t="str">
        <f aca="false">IF(AND(R864&gt;=S864,R864&gt;=T864),"Distribution",IF(T864&gt;=S864,"Prof. services","Manufacturing"))</f>
        <v>Distribution</v>
      </c>
    </row>
    <row r="865" customFormat="false" ht="15" hidden="false" customHeight="false" outlineLevel="0" collapsed="false">
      <c r="A865" s="46" t="n">
        <v>0.174978</v>
      </c>
      <c r="B865" s="46" t="n">
        <v>0.106922</v>
      </c>
      <c r="C865" s="46" t="n">
        <v>0.089666</v>
      </c>
      <c r="D865" s="46" t="n">
        <v>0.153108</v>
      </c>
      <c r="E865" s="46" t="n">
        <v>0.364536</v>
      </c>
      <c r="F865" s="46" t="n">
        <v>0.11079</v>
      </c>
      <c r="G865" s="47" t="n">
        <f aca="false">A865*Scorecard!$C$12+B865*Scorecard!$C$13+C865*Scorecard!$C$14+D865*Scorecard!$C$15+E865*Scorecard!$C$16+F865*Scorecard!$C$17</f>
        <v>3.72348710464417</v>
      </c>
      <c r="H865" s="47" t="n">
        <f aca="false">A865*Scorecard!$D$12+B865*Scorecard!$D$13+C865*Scorecard!$D$14+D865*Scorecard!$D$15+E865*Scorecard!$D$16+F865*Scorecard!$D$17</f>
        <v>3.08766254243083</v>
      </c>
      <c r="I865" s="47" t="n">
        <f aca="false">A865*Scorecard!$E$12+B865*Scorecard!$E$13+C865*Scorecard!$E$14+D865*Scorecard!$E$15+E865*Scorecard!$E$16+F865*Scorecard!$E$17</f>
        <v>3.53706402220496</v>
      </c>
      <c r="J865" s="0" t="str">
        <f aca="false">IF(AND(G865&gt;=H865,G865&gt;=I865),"Distribution",IF(I865&gt;=H865,"Prof. services","Manufacturing"))</f>
        <v>Distribution</v>
      </c>
      <c r="L865" s="46" t="n">
        <v>0.311718</v>
      </c>
      <c r="M865" s="46" t="n">
        <v>0.19379</v>
      </c>
      <c r="N865" s="46" t="n">
        <v>0.18228</v>
      </c>
      <c r="O865" s="46" t="n">
        <v>0.106836</v>
      </c>
      <c r="P865" s="46" t="n">
        <v>0.060345</v>
      </c>
      <c r="Q865" s="46" t="n">
        <v>0.14503</v>
      </c>
      <c r="R865" s="47" t="n">
        <f aca="false">L865*Scorecard!$C$12+M865*Scorecard!$C$13+N865*Scorecard!$C$14+O865*Scorecard!$C$15+P865*Scorecard!$C$16+Q865*Scorecard!$C$17</f>
        <v>3.44946515459926</v>
      </c>
      <c r="S865" s="47" t="n">
        <f aca="false">L865*Scorecard!$D$12+M865*Scorecard!$D$13+N865*Scorecard!$D$14+O865*Scorecard!$D$15+P865*Scorecard!$D$16+Q865*Scorecard!$D$17</f>
        <v>2.84127060569795</v>
      </c>
      <c r="T865" s="47" t="n">
        <f aca="false">L865*Scorecard!$E$12+M865*Scorecard!$E$13+N865*Scorecard!$E$14+O865*Scorecard!$E$15+P865*Scorecard!$E$16+Q865*Scorecard!$E$17</f>
        <v>4.11999677414337</v>
      </c>
      <c r="U865" s="0" t="str">
        <f aca="false">IF(AND(R865&gt;=S865,R865&gt;=T865),"Distribution",IF(T865&gt;=S865,"Prof. services","Manufacturing"))</f>
        <v>Prof. services</v>
      </c>
    </row>
    <row r="866" customFormat="false" ht="15" hidden="false" customHeight="false" outlineLevel="0" collapsed="false">
      <c r="A866" s="46" t="n">
        <v>0.450827</v>
      </c>
      <c r="B866" s="46" t="n">
        <v>0.106118</v>
      </c>
      <c r="C866" s="46" t="n">
        <v>0.133731</v>
      </c>
      <c r="D866" s="46" t="n">
        <v>0.224179</v>
      </c>
      <c r="E866" s="46" t="n">
        <v>0.042922</v>
      </c>
      <c r="F866" s="46" t="n">
        <v>0.042222</v>
      </c>
      <c r="G866" s="47" t="n">
        <f aca="false">A866*Scorecard!$C$12+B866*Scorecard!$C$13+C866*Scorecard!$C$14+D866*Scorecard!$C$15+E866*Scorecard!$C$16+F866*Scorecard!$C$17</f>
        <v>3.43435397077013</v>
      </c>
      <c r="H866" s="47" t="n">
        <f aca="false">A866*Scorecard!$D$12+B866*Scorecard!$D$13+C866*Scorecard!$D$14+D866*Scorecard!$D$15+E866*Scorecard!$D$16+F866*Scorecard!$D$17</f>
        <v>3.34900019449668</v>
      </c>
      <c r="I866" s="47" t="n">
        <f aca="false">A866*Scorecard!$E$12+B866*Scorecard!$E$13+C866*Scorecard!$E$14+D866*Scorecard!$E$15+E866*Scorecard!$E$16+F866*Scorecard!$E$17</f>
        <v>4.37188480789745</v>
      </c>
      <c r="J866" s="0" t="str">
        <f aca="false">IF(AND(G866&gt;=H866,G866&gt;=I866),"Distribution",IF(I866&gt;=H866,"Prof. services","Manufacturing"))</f>
        <v>Prof. services</v>
      </c>
      <c r="L866" s="46" t="n">
        <v>0.221906</v>
      </c>
      <c r="M866" s="46" t="n">
        <v>0.169287</v>
      </c>
      <c r="N866" s="46" t="n">
        <v>0.121524</v>
      </c>
      <c r="O866" s="46" t="n">
        <v>0.193597</v>
      </c>
      <c r="P866" s="46" t="n">
        <v>0.091116</v>
      </c>
      <c r="Q866" s="46" t="n">
        <v>0.202571</v>
      </c>
      <c r="R866" s="47" t="n">
        <f aca="false">L866*Scorecard!$C$12+M866*Scorecard!$C$13+N866*Scorecard!$C$14+O866*Scorecard!$C$15+P866*Scorecard!$C$16+Q866*Scorecard!$C$17</f>
        <v>3.55831203540541</v>
      </c>
      <c r="S866" s="47" t="n">
        <f aca="false">L866*Scorecard!$D$12+M866*Scorecard!$D$13+N866*Scorecard!$D$14+O866*Scorecard!$D$15+P866*Scorecard!$D$16+Q866*Scorecard!$D$17</f>
        <v>2.84311403234006</v>
      </c>
      <c r="T866" s="47" t="n">
        <f aca="false">L866*Scorecard!$E$12+M866*Scorecard!$E$13+N866*Scorecard!$E$14+O866*Scorecard!$E$15+P866*Scorecard!$E$16+Q866*Scorecard!$E$17</f>
        <v>4.00711816549337</v>
      </c>
      <c r="U866" s="0" t="str">
        <f aca="false">IF(AND(R866&gt;=S866,R866&gt;=T866),"Distribution",IF(T866&gt;=S866,"Prof. services","Manufacturing"))</f>
        <v>Prof. services</v>
      </c>
    </row>
    <row r="867" customFormat="false" ht="15" hidden="false" customHeight="false" outlineLevel="0" collapsed="false">
      <c r="A867" s="46" t="n">
        <v>0.381865</v>
      </c>
      <c r="B867" s="46" t="n">
        <v>0.126989</v>
      </c>
      <c r="C867" s="46" t="n">
        <v>0.157236</v>
      </c>
      <c r="D867" s="46" t="n">
        <v>0.109517</v>
      </c>
      <c r="E867" s="46" t="n">
        <v>0.089935</v>
      </c>
      <c r="F867" s="46" t="n">
        <v>0.134459</v>
      </c>
      <c r="G867" s="47" t="n">
        <f aca="false">A867*Scorecard!$C$12+B867*Scorecard!$C$13+C867*Scorecard!$C$14+D867*Scorecard!$C$15+E867*Scorecard!$C$16+F867*Scorecard!$C$17</f>
        <v>3.28022955423507</v>
      </c>
      <c r="H867" s="47" t="n">
        <f aca="false">A867*Scorecard!$D$12+B867*Scorecard!$D$13+C867*Scorecard!$D$14+D867*Scorecard!$D$15+E867*Scorecard!$D$16+F867*Scorecard!$D$17</f>
        <v>3.01670404460074</v>
      </c>
      <c r="I867" s="47" t="n">
        <f aca="false">A867*Scorecard!$E$12+B867*Scorecard!$E$13+C867*Scorecard!$E$14+D867*Scorecard!$E$15+E867*Scorecard!$E$16+F867*Scorecard!$E$17</f>
        <v>4.23623671024567</v>
      </c>
      <c r="J867" s="0" t="str">
        <f aca="false">IF(AND(G867&gt;=H867,G867&gt;=I867),"Distribution",IF(I867&gt;=H867,"Prof. services","Manufacturing"))</f>
        <v>Prof. services</v>
      </c>
      <c r="L867" s="46" t="n">
        <v>0.145106</v>
      </c>
      <c r="M867" s="46" t="n">
        <v>0.197941</v>
      </c>
      <c r="N867" s="46" t="n">
        <v>0.22327</v>
      </c>
      <c r="O867" s="46" t="n">
        <v>0.158693</v>
      </c>
      <c r="P867" s="46" t="n">
        <v>0.212222</v>
      </c>
      <c r="Q867" s="46" t="n">
        <v>0.062768</v>
      </c>
      <c r="R867" s="47" t="n">
        <f aca="false">L867*Scorecard!$C$12+M867*Scorecard!$C$13+N867*Scorecard!$C$14+O867*Scorecard!$C$15+P867*Scorecard!$C$16+Q867*Scorecard!$C$17</f>
        <v>3.96990513064783</v>
      </c>
      <c r="S867" s="47" t="n">
        <f aca="false">L867*Scorecard!$D$12+M867*Scorecard!$D$13+N867*Scorecard!$D$14+O867*Scorecard!$D$15+P867*Scorecard!$D$16+Q867*Scorecard!$D$17</f>
        <v>2.95903801225804</v>
      </c>
      <c r="T867" s="47" t="n">
        <f aca="false">L867*Scorecard!$E$12+M867*Scorecard!$E$13+N867*Scorecard!$E$14+O867*Scorecard!$E$15+P867*Scorecard!$E$16+Q867*Scorecard!$E$17</f>
        <v>3.70084414246315</v>
      </c>
      <c r="U867" s="0" t="str">
        <f aca="false">IF(AND(R867&gt;=S867,R867&gt;=T867),"Distribution",IF(T867&gt;=S867,"Prof. services","Manufacturing"))</f>
        <v>Distribution</v>
      </c>
    </row>
    <row r="868" customFormat="false" ht="15" hidden="false" customHeight="false" outlineLevel="0" collapsed="false">
      <c r="A868" s="46" t="n">
        <v>0.124579</v>
      </c>
      <c r="B868" s="46" t="n">
        <v>0.048467</v>
      </c>
      <c r="C868" s="46" t="n">
        <v>0.250967</v>
      </c>
      <c r="D868" s="46" t="n">
        <v>0.130924</v>
      </c>
      <c r="E868" s="46" t="n">
        <v>0.031322</v>
      </c>
      <c r="F868" s="46" t="n">
        <v>0.41374</v>
      </c>
      <c r="G868" s="47" t="n">
        <f aca="false">A868*Scorecard!$C$12+B868*Scorecard!$C$13+C868*Scorecard!$C$14+D868*Scorecard!$C$15+E868*Scorecard!$C$16+F868*Scorecard!$C$17</f>
        <v>3.12766302338274</v>
      </c>
      <c r="H868" s="47" t="n">
        <f aca="false">A868*Scorecard!$D$12+B868*Scorecard!$D$13+C868*Scorecard!$D$14+D868*Scorecard!$D$15+E868*Scorecard!$D$16+F868*Scorecard!$D$17</f>
        <v>2.55093215738008</v>
      </c>
      <c r="I868" s="47" t="n">
        <f aca="false">A868*Scorecard!$E$12+B868*Scorecard!$E$13+C868*Scorecard!$E$14+D868*Scorecard!$E$15+E868*Scorecard!$E$16+F868*Scorecard!$E$17</f>
        <v>4.4607905365362</v>
      </c>
      <c r="J868" s="0" t="str">
        <f aca="false">IF(AND(G868&gt;=H868,G868&gt;=I868),"Distribution",IF(I868&gt;=H868,"Prof. services","Manufacturing"))</f>
        <v>Prof. services</v>
      </c>
      <c r="L868" s="46" t="n">
        <v>0.149785</v>
      </c>
      <c r="M868" s="46" t="n">
        <v>0.189156</v>
      </c>
      <c r="N868" s="46" t="n">
        <v>0.270489</v>
      </c>
      <c r="O868" s="46" t="n">
        <v>0.159672</v>
      </c>
      <c r="P868" s="46" t="n">
        <v>0.173899</v>
      </c>
      <c r="Q868" s="46" t="n">
        <v>0.057</v>
      </c>
      <c r="R868" s="47" t="n">
        <f aca="false">L868*Scorecard!$C$12+M868*Scorecard!$C$13+N868*Scorecard!$C$14+O868*Scorecard!$C$15+P868*Scorecard!$C$16+Q868*Scorecard!$C$17</f>
        <v>3.96521686392076</v>
      </c>
      <c r="S868" s="47" t="n">
        <f aca="false">L868*Scorecard!$D$12+M868*Scorecard!$D$13+N868*Scorecard!$D$14+O868*Scorecard!$D$15+P868*Scorecard!$D$16+Q868*Scorecard!$D$17</f>
        <v>2.97232902128268</v>
      </c>
      <c r="T868" s="47" t="n">
        <f aca="false">L868*Scorecard!$E$12+M868*Scorecard!$E$13+N868*Scorecard!$E$14+O868*Scorecard!$E$15+P868*Scorecard!$E$16+Q868*Scorecard!$E$17</f>
        <v>3.83037150959768</v>
      </c>
      <c r="U868" s="0" t="str">
        <f aca="false">IF(AND(R868&gt;=S868,R868&gt;=T868),"Distribution",IF(T868&gt;=S868,"Prof. services","Manufacturing"))</f>
        <v>Distribution</v>
      </c>
    </row>
    <row r="869" customFormat="false" ht="15" hidden="false" customHeight="false" outlineLevel="0" collapsed="false">
      <c r="A869" s="46" t="n">
        <v>0.237128</v>
      </c>
      <c r="B869" s="46" t="n">
        <v>0.055777</v>
      </c>
      <c r="C869" s="46" t="n">
        <v>0.12524</v>
      </c>
      <c r="D869" s="46" t="n">
        <v>0.173988</v>
      </c>
      <c r="E869" s="46" t="n">
        <v>0.105556</v>
      </c>
      <c r="F869" s="46" t="n">
        <v>0.30231</v>
      </c>
      <c r="G869" s="47" t="n">
        <f aca="false">A869*Scorecard!$C$12+B869*Scorecard!$C$13+C869*Scorecard!$C$14+D869*Scorecard!$C$15+E869*Scorecard!$C$16+F869*Scorecard!$C$17</f>
        <v>3.19830721832494</v>
      </c>
      <c r="H869" s="47" t="n">
        <f aca="false">A869*Scorecard!$D$12+B869*Scorecard!$D$13+C869*Scorecard!$D$14+D869*Scorecard!$D$15+E869*Scorecard!$D$16+F869*Scorecard!$D$17</f>
        <v>2.85604629498966</v>
      </c>
      <c r="I869" s="47" t="n">
        <f aca="false">A869*Scorecard!$E$12+B869*Scorecard!$E$13+C869*Scorecard!$E$14+D869*Scorecard!$E$15+E869*Scorecard!$E$16+F869*Scorecard!$E$17</f>
        <v>4.26153090234341</v>
      </c>
      <c r="J869" s="0" t="str">
        <f aca="false">IF(AND(G869&gt;=H869,G869&gt;=I869),"Distribution",IF(I869&gt;=H869,"Prof. services","Manufacturing"))</f>
        <v>Prof. services</v>
      </c>
      <c r="L869" s="46" t="n">
        <v>0.204514</v>
      </c>
      <c r="M869" s="46" t="n">
        <v>0.29642</v>
      </c>
      <c r="N869" s="46" t="n">
        <v>0.171153</v>
      </c>
      <c r="O869" s="46" t="n">
        <v>0.154423</v>
      </c>
      <c r="P869" s="46" t="n">
        <v>0.052554</v>
      </c>
      <c r="Q869" s="46" t="n">
        <v>0.120936</v>
      </c>
      <c r="R869" s="47" t="n">
        <f aca="false">L869*Scorecard!$C$12+M869*Scorecard!$C$13+N869*Scorecard!$C$14+O869*Scorecard!$C$15+P869*Scorecard!$C$16+Q869*Scorecard!$C$17</f>
        <v>3.84084288343218</v>
      </c>
      <c r="S869" s="47" t="n">
        <f aca="false">L869*Scorecard!$D$12+M869*Scorecard!$D$13+N869*Scorecard!$D$14+O869*Scorecard!$D$15+P869*Scorecard!$D$16+Q869*Scorecard!$D$17</f>
        <v>2.7050449397724</v>
      </c>
      <c r="T869" s="47" t="n">
        <f aca="false">L869*Scorecard!$E$12+M869*Scorecard!$E$13+N869*Scorecard!$E$14+O869*Scorecard!$E$15+P869*Scorecard!$E$16+Q869*Scorecard!$E$17</f>
        <v>3.81792573977993</v>
      </c>
      <c r="U869" s="0" t="str">
        <f aca="false">IF(AND(R869&gt;=S869,R869&gt;=T869),"Distribution",IF(T869&gt;=S869,"Prof. services","Manufacturing"))</f>
        <v>Distribution</v>
      </c>
    </row>
    <row r="870" customFormat="false" ht="15" hidden="false" customHeight="false" outlineLevel="0" collapsed="false">
      <c r="A870" s="46" t="n">
        <v>0.183287</v>
      </c>
      <c r="B870" s="46" t="n">
        <v>0.098001</v>
      </c>
      <c r="C870" s="46" t="n">
        <v>0.220072</v>
      </c>
      <c r="D870" s="46" t="n">
        <v>0.438017</v>
      </c>
      <c r="E870" s="46" t="n">
        <v>0.016814</v>
      </c>
      <c r="F870" s="46" t="n">
        <v>0.043809</v>
      </c>
      <c r="G870" s="47" t="n">
        <f aca="false">A870*Scorecard!$C$12+B870*Scorecard!$C$13+C870*Scorecard!$C$14+D870*Scorecard!$C$15+E870*Scorecard!$C$16+F870*Scorecard!$C$17</f>
        <v>4.11848078614977</v>
      </c>
      <c r="H870" s="47" t="n">
        <f aca="false">A870*Scorecard!$D$12+B870*Scorecard!$D$13+C870*Scorecard!$D$14+D870*Scorecard!$D$15+E870*Scorecard!$D$16+F870*Scorecard!$D$17</f>
        <v>3.42092804110652</v>
      </c>
      <c r="I870" s="47" t="n">
        <f aca="false">A870*Scorecard!$E$12+B870*Scorecard!$E$13+C870*Scorecard!$E$14+D870*Scorecard!$E$15+E870*Scorecard!$E$16+F870*Scorecard!$E$17</f>
        <v>4.28531379412638</v>
      </c>
      <c r="J870" s="0" t="str">
        <f aca="false">IF(AND(G870&gt;=H870,G870&gt;=I870),"Distribution",IF(I870&gt;=H870,"Prof. services","Manufacturing"))</f>
        <v>Prof. services</v>
      </c>
      <c r="L870" s="46" t="n">
        <v>0.226624</v>
      </c>
      <c r="M870" s="46" t="n">
        <v>0.264169</v>
      </c>
      <c r="N870" s="46" t="n">
        <v>0.181477</v>
      </c>
      <c r="O870" s="46" t="n">
        <v>0.054083</v>
      </c>
      <c r="P870" s="46" t="n">
        <v>0.212843</v>
      </c>
      <c r="Q870" s="46" t="n">
        <v>0.060803</v>
      </c>
      <c r="R870" s="47" t="n">
        <f aca="false">L870*Scorecard!$C$12+M870*Scorecard!$C$13+N870*Scorecard!$C$14+O870*Scorecard!$C$15+P870*Scorecard!$C$16+Q870*Scorecard!$C$17</f>
        <v>3.78871556812216</v>
      </c>
      <c r="S870" s="47" t="n">
        <f aca="false">L870*Scorecard!$D$12+M870*Scorecard!$D$13+N870*Scorecard!$D$14+O870*Scorecard!$D$15+P870*Scorecard!$D$16+Q870*Scorecard!$D$17</f>
        <v>2.79552694569476</v>
      </c>
      <c r="T870" s="47" t="n">
        <f aca="false">L870*Scorecard!$E$12+M870*Scorecard!$E$13+N870*Scorecard!$E$14+O870*Scorecard!$E$15+P870*Scorecard!$E$16+Q870*Scorecard!$E$17</f>
        <v>3.59716365710753</v>
      </c>
      <c r="U870" s="0" t="str">
        <f aca="false">IF(AND(R870&gt;=S870,R870&gt;=T870),"Distribution",IF(T870&gt;=S870,"Prof. services","Manufacturing"))</f>
        <v>Distribution</v>
      </c>
    </row>
    <row r="871" customFormat="false" ht="15" hidden="false" customHeight="false" outlineLevel="0" collapsed="false">
      <c r="A871" s="46" t="n">
        <v>0.140683</v>
      </c>
      <c r="B871" s="46" t="n">
        <v>0.186211</v>
      </c>
      <c r="C871" s="46" t="n">
        <v>0.053749</v>
      </c>
      <c r="D871" s="46" t="n">
        <v>0.02941</v>
      </c>
      <c r="E871" s="46" t="n">
        <v>0.541679</v>
      </c>
      <c r="F871" s="46" t="n">
        <v>0.048268</v>
      </c>
      <c r="G871" s="47" t="n">
        <f aca="false">A871*Scorecard!$C$12+B871*Scorecard!$C$13+C871*Scorecard!$C$14+D871*Scorecard!$C$15+E871*Scorecard!$C$16+F871*Scorecard!$C$17</f>
        <v>3.8658535937241</v>
      </c>
      <c r="H871" s="47" t="n">
        <f aca="false">A871*Scorecard!$D$12+B871*Scorecard!$D$13+C871*Scorecard!$D$14+D871*Scorecard!$D$15+E871*Scorecard!$D$16+F871*Scorecard!$D$17</f>
        <v>2.955628832583</v>
      </c>
      <c r="I871" s="47" t="n">
        <f aca="false">A871*Scorecard!$E$12+B871*Scorecard!$E$13+C871*Scorecard!$E$14+D871*Scorecard!$E$15+E871*Scorecard!$E$16+F871*Scorecard!$E$17</f>
        <v>2.97133911811337</v>
      </c>
      <c r="J871" s="0" t="str">
        <f aca="false">IF(AND(G871&gt;=H871,G871&gt;=I871),"Distribution",IF(I871&gt;=H871,"Prof. services","Manufacturing"))</f>
        <v>Distribution</v>
      </c>
      <c r="L871" s="46" t="n">
        <v>0.095879</v>
      </c>
      <c r="M871" s="46" t="n">
        <v>0.205265</v>
      </c>
      <c r="N871" s="46" t="n">
        <v>0.366983</v>
      </c>
      <c r="O871" s="46" t="n">
        <v>0.090657</v>
      </c>
      <c r="P871" s="46" t="n">
        <v>0.100174</v>
      </c>
      <c r="Q871" s="46" t="n">
        <v>0.141042</v>
      </c>
      <c r="R871" s="47" t="n">
        <f aca="false">L871*Scorecard!$C$12+M871*Scorecard!$C$13+N871*Scorecard!$C$14+O871*Scorecard!$C$15+P871*Scorecard!$C$16+Q871*Scorecard!$C$17</f>
        <v>3.84125443267255</v>
      </c>
      <c r="S871" s="47" t="n">
        <f aca="false">L871*Scorecard!$D$12+M871*Scorecard!$D$13+N871*Scorecard!$D$14+O871*Scorecard!$D$15+P871*Scorecard!$D$16+Q871*Scorecard!$D$17</f>
        <v>2.68200621648459</v>
      </c>
      <c r="T871" s="47" t="n">
        <f aca="false">L871*Scorecard!$E$12+M871*Scorecard!$E$13+N871*Scorecard!$E$14+O871*Scorecard!$E$15+P871*Scorecard!$E$16+Q871*Scorecard!$E$17</f>
        <v>3.99631160064409</v>
      </c>
      <c r="U871" s="0" t="str">
        <f aca="false">IF(AND(R871&gt;=S871,R871&gt;=T871),"Distribution",IF(T871&gt;=S871,"Prof. services","Manufacturing"))</f>
        <v>Prof. services</v>
      </c>
    </row>
    <row r="872" customFormat="false" ht="15" hidden="false" customHeight="false" outlineLevel="0" collapsed="false">
      <c r="A872" s="46" t="n">
        <v>0.049304</v>
      </c>
      <c r="B872" s="46" t="n">
        <v>0.317787</v>
      </c>
      <c r="C872" s="46" t="n">
        <v>0.290421</v>
      </c>
      <c r="D872" s="46" t="n">
        <v>0.043752</v>
      </c>
      <c r="E872" s="46" t="n">
        <v>0.284757</v>
      </c>
      <c r="F872" s="46" t="n">
        <v>0.013979</v>
      </c>
      <c r="G872" s="47" t="n">
        <f aca="false">A872*Scorecard!$C$12+B872*Scorecard!$C$13+C872*Scorecard!$C$14+D872*Scorecard!$C$15+E872*Scorecard!$C$16+F872*Scorecard!$C$17</f>
        <v>4.24483309687718</v>
      </c>
      <c r="H872" s="47" t="n">
        <f aca="false">A872*Scorecard!$D$12+B872*Scorecard!$D$13+C872*Scorecard!$D$14+D872*Scorecard!$D$15+E872*Scorecard!$D$16+F872*Scorecard!$D$17</f>
        <v>2.68016840377182</v>
      </c>
      <c r="I872" s="47" t="n">
        <f aca="false">A872*Scorecard!$E$12+B872*Scorecard!$E$13+C872*Scorecard!$E$14+D872*Scorecard!$E$15+E872*Scorecard!$E$16+F872*Scorecard!$E$17</f>
        <v>3.28326231473918</v>
      </c>
      <c r="J872" s="0" t="str">
        <f aca="false">IF(AND(G872&gt;=H872,G872&gt;=I872),"Distribution",IF(I872&gt;=H872,"Prof. services","Manufacturing"))</f>
        <v>Distribution</v>
      </c>
      <c r="L872" s="46" t="n">
        <v>0.190926</v>
      </c>
      <c r="M872" s="46" t="n">
        <v>0.279846</v>
      </c>
      <c r="N872" s="46" t="n">
        <v>0.186617</v>
      </c>
      <c r="O872" s="46" t="n">
        <v>0.123824</v>
      </c>
      <c r="P872" s="46" t="n">
        <v>0.100913</v>
      </c>
      <c r="Q872" s="46" t="n">
        <v>0.117874</v>
      </c>
      <c r="R872" s="47" t="n">
        <f aca="false">L872*Scorecard!$C$12+M872*Scorecard!$C$13+N872*Scorecard!$C$14+O872*Scorecard!$C$15+P872*Scorecard!$C$16+Q872*Scorecard!$C$17</f>
        <v>3.82425247721023</v>
      </c>
      <c r="S872" s="47" t="n">
        <f aca="false">L872*Scorecard!$D$12+M872*Scorecard!$D$13+N872*Scorecard!$D$14+O872*Scorecard!$D$15+P872*Scorecard!$D$16+Q872*Scorecard!$D$17</f>
        <v>2.70623701059434</v>
      </c>
      <c r="T872" s="47" t="n">
        <f aca="false">L872*Scorecard!$E$12+M872*Scorecard!$E$13+N872*Scorecard!$E$14+O872*Scorecard!$E$15+P872*Scorecard!$E$16+Q872*Scorecard!$E$17</f>
        <v>3.76373678460116</v>
      </c>
      <c r="U872" s="0" t="str">
        <f aca="false">IF(AND(R872&gt;=S872,R872&gt;=T872),"Distribution",IF(T872&gt;=S872,"Prof. services","Manufacturing"))</f>
        <v>Distribution</v>
      </c>
    </row>
    <row r="873" customFormat="false" ht="15" hidden="false" customHeight="false" outlineLevel="0" collapsed="false">
      <c r="A873" s="46" t="n">
        <v>0.225496</v>
      </c>
      <c r="B873" s="46" t="n">
        <v>0.075873</v>
      </c>
      <c r="C873" s="46" t="n">
        <v>0.099858</v>
      </c>
      <c r="D873" s="46" t="n">
        <v>0.088211</v>
      </c>
      <c r="E873" s="46" t="n">
        <v>0.172741</v>
      </c>
      <c r="F873" s="46" t="n">
        <v>0.337821</v>
      </c>
      <c r="G873" s="47" t="n">
        <f aca="false">A873*Scorecard!$C$12+B873*Scorecard!$C$13+C873*Scorecard!$C$14+D873*Scorecard!$C$15+E873*Scorecard!$C$16+F873*Scorecard!$C$17</f>
        <v>3.08254598420853</v>
      </c>
      <c r="H873" s="47" t="n">
        <f aca="false">A873*Scorecard!$D$12+B873*Scorecard!$D$13+C873*Scorecard!$D$14+D873*Scorecard!$D$15+E873*Scorecard!$D$16+F873*Scorecard!$D$17</f>
        <v>2.68803116457071</v>
      </c>
      <c r="I873" s="47" t="n">
        <f aca="false">A873*Scorecard!$E$12+B873*Scorecard!$E$13+C873*Scorecard!$E$14+D873*Scorecard!$E$15+E873*Scorecard!$E$16+F873*Scorecard!$E$17</f>
        <v>4.07853270976807</v>
      </c>
      <c r="J873" s="0" t="str">
        <f aca="false">IF(AND(G873&gt;=H873,G873&gt;=I873),"Distribution",IF(I873&gt;=H873,"Prof. services","Manufacturing"))</f>
        <v>Prof. services</v>
      </c>
      <c r="L873" s="46" t="n">
        <v>0.104165</v>
      </c>
      <c r="M873" s="46" t="n">
        <v>0.120959</v>
      </c>
      <c r="N873" s="46" t="n">
        <v>0.231487</v>
      </c>
      <c r="O873" s="46" t="n">
        <v>0.275665</v>
      </c>
      <c r="P873" s="46" t="n">
        <v>0.134721</v>
      </c>
      <c r="Q873" s="46" t="n">
        <v>0.133003</v>
      </c>
      <c r="R873" s="47" t="n">
        <f aca="false">L873*Scorecard!$C$12+M873*Scorecard!$C$13+N873*Scorecard!$C$14+O873*Scorecard!$C$15+P873*Scorecard!$C$16+Q873*Scorecard!$C$17</f>
        <v>3.94311951450616</v>
      </c>
      <c r="S873" s="47" t="n">
        <f aca="false">L873*Scorecard!$D$12+M873*Scorecard!$D$13+N873*Scorecard!$D$14+O873*Scorecard!$D$15+P873*Scorecard!$D$16+Q873*Scorecard!$D$17</f>
        <v>3.05177004705824</v>
      </c>
      <c r="T873" s="47" t="n">
        <f aca="false">L873*Scorecard!$E$12+M873*Scorecard!$E$13+N873*Scorecard!$E$14+O873*Scorecard!$E$15+P873*Scorecard!$E$16+Q873*Scorecard!$E$17</f>
        <v>3.99598876052354</v>
      </c>
      <c r="U873" s="0" t="str">
        <f aca="false">IF(AND(R873&gt;=S873,R873&gt;=T873),"Distribution",IF(T873&gt;=S873,"Prof. services","Manufacturing"))</f>
        <v>Prof. services</v>
      </c>
    </row>
    <row r="874" customFormat="false" ht="15" hidden="false" customHeight="false" outlineLevel="0" collapsed="false">
      <c r="A874" s="46" t="n">
        <v>0.201372</v>
      </c>
      <c r="B874" s="46" t="n">
        <v>0.067635</v>
      </c>
      <c r="C874" s="46" t="n">
        <v>0.037032</v>
      </c>
      <c r="D874" s="46" t="n">
        <v>0.359001</v>
      </c>
      <c r="E874" s="46" t="n">
        <v>0.123584</v>
      </c>
      <c r="F874" s="46" t="n">
        <v>0.211376</v>
      </c>
      <c r="G874" s="47" t="n">
        <f aca="false">A874*Scorecard!$C$12+B874*Scorecard!$C$13+C874*Scorecard!$C$14+D874*Scorecard!$C$15+E874*Scorecard!$C$16+F874*Scorecard!$C$17</f>
        <v>3.64141152824015</v>
      </c>
      <c r="H874" s="47" t="n">
        <f aca="false">A874*Scorecard!$D$12+B874*Scorecard!$D$13+C874*Scorecard!$D$14+D874*Scorecard!$D$15+E874*Scorecard!$D$16+F874*Scorecard!$D$17</f>
        <v>3.17122082215773</v>
      </c>
      <c r="I874" s="47" t="n">
        <f aca="false">A874*Scorecard!$E$12+B874*Scorecard!$E$13+C874*Scorecard!$E$14+D874*Scorecard!$E$15+E874*Scorecard!$E$16+F874*Scorecard!$E$17</f>
        <v>4.07017904936794</v>
      </c>
      <c r="J874" s="0" t="str">
        <f aca="false">IF(AND(G874&gt;=H874,G874&gt;=I874),"Distribution",IF(I874&gt;=H874,"Prof. services","Manufacturing"))</f>
        <v>Prof. services</v>
      </c>
      <c r="L874" s="46" t="n">
        <v>0.183882</v>
      </c>
      <c r="M874" s="46" t="n">
        <v>0.194345</v>
      </c>
      <c r="N874" s="46" t="n">
        <v>0.234236</v>
      </c>
      <c r="O874" s="46" t="n">
        <v>0.110678</v>
      </c>
      <c r="P874" s="46" t="n">
        <v>0.126772</v>
      </c>
      <c r="Q874" s="46" t="n">
        <v>0.150086</v>
      </c>
      <c r="R874" s="47" t="n">
        <f aca="false">L874*Scorecard!$C$12+M874*Scorecard!$C$13+N874*Scorecard!$C$14+O874*Scorecard!$C$15+P874*Scorecard!$C$16+Q874*Scorecard!$C$17</f>
        <v>3.6738567776645</v>
      </c>
      <c r="S874" s="47" t="n">
        <f aca="false">L874*Scorecard!$D$12+M874*Scorecard!$D$13+N874*Scorecard!$D$14+O874*Scorecard!$D$15+P874*Scorecard!$D$16+Q874*Scorecard!$D$17</f>
        <v>2.77500159109351</v>
      </c>
      <c r="T874" s="47" t="n">
        <f aca="false">L874*Scorecard!$E$12+M874*Scorecard!$E$13+N874*Scorecard!$E$14+O874*Scorecard!$E$15+P874*Scorecard!$E$16+Q874*Scorecard!$E$17</f>
        <v>3.93552266799485</v>
      </c>
      <c r="U874" s="0" t="str">
        <f aca="false">IF(AND(R874&gt;=S874,R874&gt;=T874),"Distribution",IF(T874&gt;=S874,"Prof. services","Manufacturing"))</f>
        <v>Prof. services</v>
      </c>
    </row>
    <row r="875" customFormat="false" ht="15" hidden="false" customHeight="false" outlineLevel="0" collapsed="false">
      <c r="A875" s="46" t="n">
        <v>0.138838</v>
      </c>
      <c r="B875" s="46" t="n">
        <v>0.079748</v>
      </c>
      <c r="C875" s="46" t="n">
        <v>0.053188</v>
      </c>
      <c r="D875" s="46" t="n">
        <v>0.072191</v>
      </c>
      <c r="E875" s="46" t="n">
        <v>0.017707</v>
      </c>
      <c r="F875" s="46" t="n">
        <v>0.638329</v>
      </c>
      <c r="G875" s="47" t="n">
        <f aca="false">A875*Scorecard!$C$12+B875*Scorecard!$C$13+C875*Scorecard!$C$14+D875*Scorecard!$C$15+E875*Scorecard!$C$16+F875*Scorecard!$C$17</f>
        <v>2.62537462003559</v>
      </c>
      <c r="H875" s="47" t="n">
        <f aca="false">A875*Scorecard!$D$12+B875*Scorecard!$D$13+C875*Scorecard!$D$14+D875*Scorecard!$D$15+E875*Scorecard!$D$16+F875*Scorecard!$D$17</f>
        <v>2.10399050992366</v>
      </c>
      <c r="I875" s="47" t="n">
        <f aca="false">A875*Scorecard!$E$12+B875*Scorecard!$E$13+C875*Scorecard!$E$14+D875*Scorecard!$E$15+E875*Scorecard!$E$16+F875*Scorecard!$E$17</f>
        <v>4.34395576176032</v>
      </c>
      <c r="J875" s="0" t="str">
        <f aca="false">IF(AND(G875&gt;=H875,G875&gt;=I875),"Distribution",IF(I875&gt;=H875,"Prof. services","Manufacturing"))</f>
        <v>Prof. services</v>
      </c>
      <c r="L875" s="46" t="n">
        <v>0.230152</v>
      </c>
      <c r="M875" s="46" t="n">
        <v>0.214378</v>
      </c>
      <c r="N875" s="46" t="n">
        <v>0.210029</v>
      </c>
      <c r="O875" s="46" t="n">
        <v>0.096936</v>
      </c>
      <c r="P875" s="46" t="n">
        <v>0.180789</v>
      </c>
      <c r="Q875" s="46" t="n">
        <v>0.067715</v>
      </c>
      <c r="R875" s="47" t="n">
        <f aca="false">L875*Scorecard!$C$12+M875*Scorecard!$C$13+N875*Scorecard!$C$14+O875*Scorecard!$C$15+P875*Scorecard!$C$16+Q875*Scorecard!$C$17</f>
        <v>3.76160311780946</v>
      </c>
      <c r="S875" s="47" t="n">
        <f aca="false">L875*Scorecard!$D$12+M875*Scorecard!$D$13+N875*Scorecard!$D$14+O875*Scorecard!$D$15+P875*Scorecard!$D$16+Q875*Scorecard!$D$17</f>
        <v>2.90114948437873</v>
      </c>
      <c r="T875" s="47" t="n">
        <f aca="false">L875*Scorecard!$E$12+M875*Scorecard!$E$13+N875*Scorecard!$E$14+O875*Scorecard!$E$15+P875*Scorecard!$E$16+Q875*Scorecard!$E$17</f>
        <v>3.78654298636557</v>
      </c>
      <c r="U875" s="0" t="str">
        <f aca="false">IF(AND(R875&gt;=S875,R875&gt;=T875),"Distribution",IF(T875&gt;=S875,"Prof. services","Manufacturing"))</f>
        <v>Prof. services</v>
      </c>
    </row>
    <row r="876" customFormat="false" ht="15" hidden="false" customHeight="false" outlineLevel="0" collapsed="false">
      <c r="A876" s="46" t="n">
        <v>0.042071</v>
      </c>
      <c r="B876" s="46" t="n">
        <v>0.178231</v>
      </c>
      <c r="C876" s="46" t="n">
        <v>0.099531</v>
      </c>
      <c r="D876" s="46" t="n">
        <v>0.368405</v>
      </c>
      <c r="E876" s="46" t="n">
        <v>0.310813</v>
      </c>
      <c r="F876" s="46" t="n">
        <v>0.000948</v>
      </c>
      <c r="G876" s="47" t="n">
        <f aca="false">A876*Scorecard!$C$12+B876*Scorecard!$C$13+C876*Scorecard!$C$14+D876*Scorecard!$C$15+E876*Scorecard!$C$16+F876*Scorecard!$C$17</f>
        <v>4.46900760002677</v>
      </c>
      <c r="H876" s="47" t="n">
        <f aca="false">A876*Scorecard!$D$12+B876*Scorecard!$D$13+C876*Scorecard!$D$14+D876*Scorecard!$D$15+E876*Scorecard!$D$16+F876*Scorecard!$D$17</f>
        <v>3.28892500353212</v>
      </c>
      <c r="I876" s="47" t="n">
        <f aca="false">A876*Scorecard!$E$12+B876*Scorecard!$E$13+C876*Scorecard!$E$14+D876*Scorecard!$E$15+E876*Scorecard!$E$16+F876*Scorecard!$E$17</f>
        <v>3.35022152944698</v>
      </c>
      <c r="J876" s="0" t="str">
        <f aca="false">IF(AND(G876&gt;=H876,G876&gt;=I876),"Distribution",IF(I876&gt;=H876,"Prof. services","Manufacturing"))</f>
        <v>Distribution</v>
      </c>
      <c r="L876" s="46" t="n">
        <v>0.111343</v>
      </c>
      <c r="M876" s="46" t="n">
        <v>0.139789</v>
      </c>
      <c r="N876" s="46" t="n">
        <v>0.219384</v>
      </c>
      <c r="O876" s="46" t="n">
        <v>0.229599</v>
      </c>
      <c r="P876" s="46" t="n">
        <v>0.25825</v>
      </c>
      <c r="Q876" s="46" t="n">
        <v>0.041635</v>
      </c>
      <c r="R876" s="47" t="n">
        <f aca="false">L876*Scorecard!$C$12+M876*Scorecard!$C$13+N876*Scorecard!$C$14+O876*Scorecard!$C$15+P876*Scorecard!$C$16+Q876*Scorecard!$C$17</f>
        <v>4.08569901214093</v>
      </c>
      <c r="S876" s="47" t="n">
        <f aca="false">L876*Scorecard!$D$12+M876*Scorecard!$D$13+N876*Scorecard!$D$14+O876*Scorecard!$D$15+P876*Scorecard!$D$16+Q876*Scorecard!$D$17</f>
        <v>3.1531480351783</v>
      </c>
      <c r="T876" s="47" t="n">
        <f aca="false">L876*Scorecard!$E$12+M876*Scorecard!$E$13+N876*Scorecard!$E$14+O876*Scorecard!$E$15+P876*Scorecard!$E$16+Q876*Scorecard!$E$17</f>
        <v>3.69662087746695</v>
      </c>
      <c r="U876" s="0" t="str">
        <f aca="false">IF(AND(R876&gt;=S876,R876&gt;=T876),"Distribution",IF(T876&gt;=S876,"Prof. services","Manufacturing"))</f>
        <v>Distribution</v>
      </c>
    </row>
    <row r="877" customFormat="false" ht="15" hidden="false" customHeight="false" outlineLevel="0" collapsed="false">
      <c r="A877" s="46" t="n">
        <v>0.02969</v>
      </c>
      <c r="B877" s="46" t="n">
        <v>0.129063</v>
      </c>
      <c r="C877" s="46" t="n">
        <v>0.067324</v>
      </c>
      <c r="D877" s="46" t="n">
        <v>0.35329</v>
      </c>
      <c r="E877" s="46" t="n">
        <v>0.311402</v>
      </c>
      <c r="F877" s="46" t="n">
        <v>0.109231</v>
      </c>
      <c r="G877" s="47" t="n">
        <f aca="false">A877*Scorecard!$C$12+B877*Scorecard!$C$13+C877*Scorecard!$C$14+D877*Scorecard!$C$15+E877*Scorecard!$C$16+F877*Scorecard!$C$17</f>
        <v>4.21044857659183</v>
      </c>
      <c r="H877" s="47" t="n">
        <f aca="false">A877*Scorecard!$D$12+B877*Scorecard!$D$13+C877*Scorecard!$D$14+D877*Scorecard!$D$15+E877*Scorecard!$D$16+F877*Scorecard!$D$17</f>
        <v>3.1748250990857</v>
      </c>
      <c r="I877" s="47" t="n">
        <f aca="false">A877*Scorecard!$E$12+B877*Scorecard!$E$13+C877*Scorecard!$E$14+D877*Scorecard!$E$15+E877*Scorecard!$E$16+F877*Scorecard!$E$17</f>
        <v>3.44853572436992</v>
      </c>
      <c r="J877" s="0" t="str">
        <f aca="false">IF(AND(G877&gt;=H877,G877&gt;=I877),"Distribution",IF(I877&gt;=H877,"Prof. services","Manufacturing"))</f>
        <v>Distribution</v>
      </c>
      <c r="L877" s="46" t="n">
        <v>0.182441</v>
      </c>
      <c r="M877" s="46" t="n">
        <v>0.291455</v>
      </c>
      <c r="N877" s="46" t="n">
        <v>0.215078</v>
      </c>
      <c r="O877" s="46" t="n">
        <v>0.116229</v>
      </c>
      <c r="P877" s="46" t="n">
        <v>0.120832</v>
      </c>
      <c r="Q877" s="46" t="n">
        <v>0.073965</v>
      </c>
      <c r="R877" s="47" t="n">
        <f aca="false">L877*Scorecard!$C$12+M877*Scorecard!$C$13+N877*Scorecard!$C$14+O877*Scorecard!$C$15+P877*Scorecard!$C$16+Q877*Scorecard!$C$17</f>
        <v>3.93135759821455</v>
      </c>
      <c r="S877" s="47" t="n">
        <f aca="false">L877*Scorecard!$D$12+M877*Scorecard!$D$13+N877*Scorecard!$D$14+O877*Scorecard!$D$15+P877*Scorecard!$D$16+Q877*Scorecard!$D$17</f>
        <v>2.74691800148472</v>
      </c>
      <c r="T877" s="47" t="n">
        <f aca="false">L877*Scorecard!$E$12+M877*Scorecard!$E$13+N877*Scorecard!$E$14+O877*Scorecard!$E$15+P877*Scorecard!$E$16+Q877*Scorecard!$E$17</f>
        <v>3.70553983813937</v>
      </c>
      <c r="U877" s="0" t="str">
        <f aca="false">IF(AND(R877&gt;=S877,R877&gt;=T877),"Distribution",IF(T877&gt;=S877,"Prof. services","Manufacturing"))</f>
        <v>Distribution</v>
      </c>
    </row>
    <row r="878" customFormat="false" ht="15" hidden="false" customHeight="false" outlineLevel="0" collapsed="false">
      <c r="A878" s="46" t="n">
        <v>0.025823</v>
      </c>
      <c r="B878" s="46" t="n">
        <v>0.151374</v>
      </c>
      <c r="C878" s="46" t="n">
        <v>0.180527</v>
      </c>
      <c r="D878" s="46" t="n">
        <v>0.259915</v>
      </c>
      <c r="E878" s="46" t="n">
        <v>0.367178</v>
      </c>
      <c r="F878" s="46" t="n">
        <v>0.015183</v>
      </c>
      <c r="G878" s="47" t="n">
        <f aca="false">A878*Scorecard!$C$12+B878*Scorecard!$C$13+C878*Scorecard!$C$14+D878*Scorecard!$C$15+E878*Scorecard!$C$16+F878*Scorecard!$C$17</f>
        <v>4.334441231739</v>
      </c>
      <c r="H878" s="47" t="n">
        <f aca="false">A878*Scorecard!$D$12+B878*Scorecard!$D$13+C878*Scorecard!$D$14+D878*Scorecard!$D$15+E878*Scorecard!$D$16+F878*Scorecard!$D$17</f>
        <v>3.19035115496747</v>
      </c>
      <c r="I878" s="47" t="n">
        <f aca="false">A878*Scorecard!$E$12+B878*Scorecard!$E$13+C878*Scorecard!$E$14+D878*Scorecard!$E$15+E878*Scorecard!$E$16+F878*Scorecard!$E$17</f>
        <v>3.36071769567402</v>
      </c>
      <c r="J878" s="0" t="str">
        <f aca="false">IF(AND(G878&gt;=H878,G878&gt;=I878),"Distribution",IF(I878&gt;=H878,"Prof. services","Manufacturing"))</f>
        <v>Distribution</v>
      </c>
      <c r="L878" s="46" t="n">
        <v>0.164625</v>
      </c>
      <c r="M878" s="46" t="n">
        <v>0.30167</v>
      </c>
      <c r="N878" s="46" t="n">
        <v>0.134282</v>
      </c>
      <c r="O878" s="46" t="n">
        <v>0.163879</v>
      </c>
      <c r="P878" s="46" t="n">
        <v>0.060767</v>
      </c>
      <c r="Q878" s="46" t="n">
        <v>0.174777</v>
      </c>
      <c r="R878" s="47" t="n">
        <f aca="false">L878*Scorecard!$C$12+M878*Scorecard!$C$13+N878*Scorecard!$C$14+O878*Scorecard!$C$15+P878*Scorecard!$C$16+Q878*Scorecard!$C$17</f>
        <v>3.81966765228798</v>
      </c>
      <c r="S878" s="47" t="n">
        <f aca="false">L878*Scorecard!$D$12+M878*Scorecard!$D$13+N878*Scorecard!$D$14+O878*Scorecard!$D$15+P878*Scorecard!$D$16+Q878*Scorecard!$D$17</f>
        <v>2.60373885958691</v>
      </c>
      <c r="T878" s="47" t="n">
        <f aca="false">L878*Scorecard!$E$12+M878*Scorecard!$E$13+N878*Scorecard!$E$14+O878*Scorecard!$E$15+P878*Scorecard!$E$16+Q878*Scorecard!$E$17</f>
        <v>3.74610289844561</v>
      </c>
      <c r="U878" s="0" t="str">
        <f aca="false">IF(AND(R878&gt;=S878,R878&gt;=T878),"Distribution",IF(T878&gt;=S878,"Prof. services","Manufacturing"))</f>
        <v>Distribution</v>
      </c>
    </row>
    <row r="879" customFormat="false" ht="15" hidden="false" customHeight="false" outlineLevel="0" collapsed="false">
      <c r="A879" s="46" t="n">
        <v>0.597597</v>
      </c>
      <c r="B879" s="46" t="n">
        <v>0.025862</v>
      </c>
      <c r="C879" s="46" t="n">
        <v>0.02505</v>
      </c>
      <c r="D879" s="46" t="n">
        <v>0.044808</v>
      </c>
      <c r="E879" s="46" t="n">
        <v>0.261857</v>
      </c>
      <c r="F879" s="46" t="n">
        <v>0.044826</v>
      </c>
      <c r="G879" s="47" t="n">
        <f aca="false">A879*Scorecard!$C$12+B879*Scorecard!$C$13+C879*Scorecard!$C$14+D879*Scorecard!$C$15+E879*Scorecard!$C$16+F879*Scorecard!$C$17</f>
        <v>2.90533487768771</v>
      </c>
      <c r="H879" s="47" t="n">
        <f aca="false">A879*Scorecard!$D$12+B879*Scorecard!$D$13+C879*Scorecard!$D$14+D879*Scorecard!$D$15+E879*Scorecard!$D$16+F879*Scorecard!$D$17</f>
        <v>3.42784147360879</v>
      </c>
      <c r="I879" s="47" t="n">
        <f aca="false">A879*Scorecard!$E$12+B879*Scorecard!$E$13+C879*Scorecard!$E$14+D879*Scorecard!$E$15+E879*Scorecard!$E$16+F879*Scorecard!$E$17</f>
        <v>4.16747867407481</v>
      </c>
      <c r="J879" s="0" t="str">
        <f aca="false">IF(AND(G879&gt;=H879,G879&gt;=I879),"Distribution",IF(I879&gt;=H879,"Prof. services","Manufacturing"))</f>
        <v>Prof. services</v>
      </c>
      <c r="L879" s="46" t="n">
        <v>0.187872</v>
      </c>
      <c r="M879" s="46" t="n">
        <v>0.091244</v>
      </c>
      <c r="N879" s="46" t="n">
        <v>0.30821</v>
      </c>
      <c r="O879" s="46" t="n">
        <v>0.124133</v>
      </c>
      <c r="P879" s="46" t="n">
        <v>0.066207</v>
      </c>
      <c r="Q879" s="46" t="n">
        <v>0.222334</v>
      </c>
      <c r="R879" s="47" t="n">
        <f aca="false">L879*Scorecard!$C$12+M879*Scorecard!$C$13+N879*Scorecard!$C$14+O879*Scorecard!$C$15+P879*Scorecard!$C$16+Q879*Scorecard!$C$17</f>
        <v>3.43253672076323</v>
      </c>
      <c r="S879" s="47" t="n">
        <f aca="false">L879*Scorecard!$D$12+M879*Scorecard!$D$13+N879*Scorecard!$D$14+O879*Scorecard!$D$15+P879*Scorecard!$D$16+Q879*Scorecard!$D$17</f>
        <v>2.81941071819246</v>
      </c>
      <c r="T879" s="47" t="n">
        <f aca="false">L879*Scorecard!$E$12+M879*Scorecard!$E$13+N879*Scorecard!$E$14+O879*Scorecard!$E$15+P879*Scorecard!$E$16+Q879*Scorecard!$E$17</f>
        <v>4.34613938897998</v>
      </c>
      <c r="U879" s="0" t="str">
        <f aca="false">IF(AND(R879&gt;=S879,R879&gt;=T879),"Distribution",IF(T879&gt;=S879,"Prof. services","Manufacturing"))</f>
        <v>Prof. services</v>
      </c>
    </row>
    <row r="880" customFormat="false" ht="15" hidden="false" customHeight="false" outlineLevel="0" collapsed="false">
      <c r="A880" s="46" t="n">
        <v>0.177864</v>
      </c>
      <c r="B880" s="46" t="n">
        <v>0.205416</v>
      </c>
      <c r="C880" s="46" t="n">
        <v>0.03942</v>
      </c>
      <c r="D880" s="46" t="n">
        <v>0.11124</v>
      </c>
      <c r="E880" s="46" t="n">
        <v>0.070287</v>
      </c>
      <c r="F880" s="46" t="n">
        <v>0.395773</v>
      </c>
      <c r="G880" s="47" t="n">
        <f aca="false">A880*Scorecard!$C$12+B880*Scorecard!$C$13+C880*Scorecard!$C$14+D880*Scorecard!$C$15+E880*Scorecard!$C$16+F880*Scorecard!$C$17</f>
        <v>3.20495226348701</v>
      </c>
      <c r="H880" s="47" t="n">
        <f aca="false">A880*Scorecard!$D$12+B880*Scorecard!$D$13+C880*Scorecard!$D$14+D880*Scorecard!$D$15+E880*Scorecard!$D$16+F880*Scorecard!$D$17</f>
        <v>2.36770357469257</v>
      </c>
      <c r="I880" s="47" t="n">
        <f aca="false">A880*Scorecard!$E$12+B880*Scorecard!$E$13+C880*Scorecard!$E$14+D880*Scorecard!$E$15+E880*Scorecard!$E$16+F880*Scorecard!$E$17</f>
        <v>3.93100543498408</v>
      </c>
      <c r="J880" s="0" t="str">
        <f aca="false">IF(AND(G880&gt;=H880,G880&gt;=I880),"Distribution",IF(I880&gt;=H880,"Prof. services","Manufacturing"))</f>
        <v>Prof. services</v>
      </c>
      <c r="L880" s="46" t="n">
        <v>0.193871</v>
      </c>
      <c r="M880" s="46" t="n">
        <v>0.153164</v>
      </c>
      <c r="N880" s="46" t="n">
        <v>0.238142</v>
      </c>
      <c r="O880" s="46" t="n">
        <v>0.085944</v>
      </c>
      <c r="P880" s="46" t="n">
        <v>0.123011</v>
      </c>
      <c r="Q880" s="46" t="n">
        <v>0.205868</v>
      </c>
      <c r="R880" s="47" t="n">
        <f aca="false">L880*Scorecard!$C$12+M880*Scorecard!$C$13+N880*Scorecard!$C$14+O880*Scorecard!$C$15+P880*Scorecard!$C$16+Q880*Scorecard!$C$17</f>
        <v>3.47840143521168</v>
      </c>
      <c r="S880" s="47" t="n">
        <f aca="false">L880*Scorecard!$D$12+M880*Scorecard!$D$13+N880*Scorecard!$D$14+O880*Scorecard!$D$15+P880*Scorecard!$D$16+Q880*Scorecard!$D$17</f>
        <v>2.7298558155317</v>
      </c>
      <c r="T880" s="47" t="n">
        <f aca="false">L880*Scorecard!$E$12+M880*Scorecard!$E$13+N880*Scorecard!$E$14+O880*Scorecard!$E$15+P880*Scorecard!$E$16+Q880*Scorecard!$E$17</f>
        <v>4.05676046869715</v>
      </c>
      <c r="U880" s="0" t="str">
        <f aca="false">IF(AND(R880&gt;=S880,R880&gt;=T880),"Distribution",IF(T880&gt;=S880,"Prof. services","Manufacturing"))</f>
        <v>Prof. services</v>
      </c>
    </row>
    <row r="881" customFormat="false" ht="15" hidden="false" customHeight="false" outlineLevel="0" collapsed="false">
      <c r="A881" s="46" t="n">
        <v>0.120238</v>
      </c>
      <c r="B881" s="46" t="n">
        <v>0.001023</v>
      </c>
      <c r="C881" s="46" t="n">
        <v>0.134683</v>
      </c>
      <c r="D881" s="46" t="n">
        <v>0.166203</v>
      </c>
      <c r="E881" s="46" t="n">
        <v>0.081155</v>
      </c>
      <c r="F881" s="46" t="n">
        <v>0.496697</v>
      </c>
      <c r="G881" s="47" t="n">
        <f aca="false">A881*Scorecard!$C$12+B881*Scorecard!$C$13+C881*Scorecard!$C$14+D881*Scorecard!$C$15+E881*Scorecard!$C$16+F881*Scorecard!$C$17</f>
        <v>2.95739788528961</v>
      </c>
      <c r="H881" s="47" t="n">
        <f aca="false">A881*Scorecard!$D$12+B881*Scorecard!$D$13+C881*Scorecard!$D$14+D881*Scorecard!$D$15+E881*Scorecard!$D$16+F881*Scorecard!$D$17</f>
        <v>2.5522941761994</v>
      </c>
      <c r="I881" s="47" t="n">
        <f aca="false">A881*Scorecard!$E$12+B881*Scorecard!$E$13+C881*Scorecard!$E$14+D881*Scorecard!$E$15+E881*Scorecard!$E$16+F881*Scorecard!$E$17</f>
        <v>4.39336405743138</v>
      </c>
      <c r="J881" s="0" t="str">
        <f aca="false">IF(AND(G881&gt;=H881,G881&gt;=I881),"Distribution",IF(I881&gt;=H881,"Prof. services","Manufacturing"))</f>
        <v>Prof. services</v>
      </c>
      <c r="L881" s="46" t="n">
        <v>0.32405</v>
      </c>
      <c r="M881" s="46" t="n">
        <v>0.140524</v>
      </c>
      <c r="N881" s="46" t="n">
        <v>0.185824</v>
      </c>
      <c r="O881" s="46" t="n">
        <v>0.207829</v>
      </c>
      <c r="P881" s="46" t="n">
        <v>0.099793</v>
      </c>
      <c r="Q881" s="46" t="n">
        <v>0.04198</v>
      </c>
      <c r="R881" s="47" t="n">
        <f aca="false">L881*Scorecard!$C$12+M881*Scorecard!$C$13+N881*Scorecard!$C$14+O881*Scorecard!$C$15+P881*Scorecard!$C$16+Q881*Scorecard!$C$17</f>
        <v>3.68109837873299</v>
      </c>
      <c r="S881" s="47" t="n">
        <f aca="false">L881*Scorecard!$D$12+M881*Scorecard!$D$13+N881*Scorecard!$D$14+O881*Scorecard!$D$15+P881*Scorecard!$D$16+Q881*Scorecard!$D$17</f>
        <v>3.21400985846136</v>
      </c>
      <c r="T881" s="47" t="n">
        <f aca="false">L881*Scorecard!$E$12+M881*Scorecard!$E$13+N881*Scorecard!$E$14+O881*Scorecard!$E$15+P881*Scorecard!$E$16+Q881*Scorecard!$E$17</f>
        <v>4.13508414036088</v>
      </c>
      <c r="U881" s="0" t="str">
        <f aca="false">IF(AND(R881&gt;=S881,R881&gt;=T881),"Distribution",IF(T881&gt;=S881,"Prof. services","Manufacturing"))</f>
        <v>Prof. services</v>
      </c>
    </row>
    <row r="882" customFormat="false" ht="15" hidden="false" customHeight="false" outlineLevel="0" collapsed="false">
      <c r="A882" s="46" t="n">
        <v>0.32675</v>
      </c>
      <c r="B882" s="46" t="n">
        <v>0.089896</v>
      </c>
      <c r="C882" s="46" t="n">
        <v>0.062168</v>
      </c>
      <c r="D882" s="46" t="n">
        <v>0.058167</v>
      </c>
      <c r="E882" s="46" t="n">
        <v>0.040834</v>
      </c>
      <c r="F882" s="46" t="n">
        <v>0.422185</v>
      </c>
      <c r="G882" s="47" t="n">
        <f aca="false">A882*Scorecard!$C$12+B882*Scorecard!$C$13+C882*Scorecard!$C$14+D882*Scorecard!$C$15+E882*Scorecard!$C$16+F882*Scorecard!$C$17</f>
        <v>2.71553834022838</v>
      </c>
      <c r="H882" s="47" t="n">
        <f aca="false">A882*Scorecard!$D$12+B882*Scorecard!$D$13+C882*Scorecard!$D$14+D882*Scorecard!$D$15+E882*Scorecard!$D$16+F882*Scorecard!$D$17</f>
        <v>2.52857067605879</v>
      </c>
      <c r="I882" s="47" t="n">
        <f aca="false">A882*Scorecard!$E$12+B882*Scorecard!$E$13+C882*Scorecard!$E$14+D882*Scorecard!$E$15+E882*Scorecard!$E$16+F882*Scorecard!$E$17</f>
        <v>4.37289181719247</v>
      </c>
      <c r="J882" s="0" t="str">
        <f aca="false">IF(AND(G882&gt;=H882,G882&gt;=I882),"Distribution",IF(I882&gt;=H882,"Prof. services","Manufacturing"))</f>
        <v>Prof. services</v>
      </c>
      <c r="L882" s="46" t="n">
        <v>0.279219</v>
      </c>
      <c r="M882" s="46" t="n">
        <v>0.120631</v>
      </c>
      <c r="N882" s="46" t="n">
        <v>0.143469</v>
      </c>
      <c r="O882" s="46" t="n">
        <v>0.071078</v>
      </c>
      <c r="P882" s="46" t="n">
        <v>0.280196</v>
      </c>
      <c r="Q882" s="46" t="n">
        <v>0.105406</v>
      </c>
      <c r="R882" s="47" t="n">
        <f aca="false">L882*Scorecard!$C$12+M882*Scorecard!$C$13+N882*Scorecard!$C$14+O882*Scorecard!$C$15+P882*Scorecard!$C$16+Q882*Scorecard!$C$17</f>
        <v>3.4782948180665</v>
      </c>
      <c r="S882" s="47" t="n">
        <f aca="false">L882*Scorecard!$D$12+M882*Scorecard!$D$13+N882*Scorecard!$D$14+O882*Scorecard!$D$15+P882*Scorecard!$D$16+Q882*Scorecard!$D$17</f>
        <v>3.02093996085255</v>
      </c>
      <c r="T882" s="47" t="n">
        <f aca="false">L882*Scorecard!$E$12+M882*Scorecard!$E$13+N882*Scorecard!$E$14+O882*Scorecard!$E$15+P882*Scorecard!$E$16+Q882*Scorecard!$E$17</f>
        <v>3.7938042950339</v>
      </c>
      <c r="U882" s="0" t="str">
        <f aca="false">IF(AND(R882&gt;=S882,R882&gt;=T882),"Distribution",IF(T882&gt;=S882,"Prof. services","Manufacturing"))</f>
        <v>Prof. services</v>
      </c>
    </row>
    <row r="883" customFormat="false" ht="15" hidden="false" customHeight="false" outlineLevel="0" collapsed="false">
      <c r="A883" s="46" t="n">
        <v>0.09369</v>
      </c>
      <c r="B883" s="46" t="n">
        <v>0.022392</v>
      </c>
      <c r="C883" s="46" t="n">
        <v>0.271554</v>
      </c>
      <c r="D883" s="46" t="n">
        <v>0.019666</v>
      </c>
      <c r="E883" s="46" t="n">
        <v>0.582017</v>
      </c>
      <c r="F883" s="46" t="n">
        <v>0.010681</v>
      </c>
      <c r="G883" s="47" t="n">
        <f aca="false">A883*Scorecard!$C$12+B883*Scorecard!$C$13+C883*Scorecard!$C$14+D883*Scorecard!$C$15+E883*Scorecard!$C$16+F883*Scorecard!$C$17</f>
        <v>3.85205266388981</v>
      </c>
      <c r="H883" s="47" t="n">
        <f aca="false">A883*Scorecard!$D$12+B883*Scorecard!$D$13+C883*Scorecard!$D$14+D883*Scorecard!$D$15+E883*Scorecard!$D$16+F883*Scorecard!$D$17</f>
        <v>3.22902674238578</v>
      </c>
      <c r="I883" s="47" t="n">
        <f aca="false">A883*Scorecard!$E$12+B883*Scorecard!$E$13+C883*Scorecard!$E$14+D883*Scorecard!$E$15+E883*Scorecard!$E$16+F883*Scorecard!$E$17</f>
        <v>3.36178540278705</v>
      </c>
      <c r="J883" s="0" t="str">
        <f aca="false">IF(AND(G883&gt;=H883,G883&gt;=I883),"Distribution",IF(I883&gt;=H883,"Prof. services","Manufacturing"))</f>
        <v>Distribution</v>
      </c>
      <c r="L883" s="46" t="n">
        <v>0.205351</v>
      </c>
      <c r="M883" s="46" t="n">
        <v>0.106865</v>
      </c>
      <c r="N883" s="46" t="n">
        <v>0.184758</v>
      </c>
      <c r="O883" s="46" t="n">
        <v>0.141476</v>
      </c>
      <c r="P883" s="46" t="n">
        <v>0.259009</v>
      </c>
      <c r="Q883" s="46" t="n">
        <v>0.102541</v>
      </c>
      <c r="R883" s="47" t="n">
        <f aca="false">L883*Scorecard!$C$12+M883*Scorecard!$C$13+N883*Scorecard!$C$14+O883*Scorecard!$C$15+P883*Scorecard!$C$16+Q883*Scorecard!$C$17</f>
        <v>3.67362427149575</v>
      </c>
      <c r="S883" s="47" t="n">
        <f aca="false">L883*Scorecard!$D$12+M883*Scorecard!$D$13+N883*Scorecard!$D$14+O883*Scorecard!$D$15+P883*Scorecard!$D$16+Q883*Scorecard!$D$17</f>
        <v>3.07154310717571</v>
      </c>
      <c r="T883" s="47" t="n">
        <f aca="false">L883*Scorecard!$E$12+M883*Scorecard!$E$13+N883*Scorecard!$E$14+O883*Scorecard!$E$15+P883*Scorecard!$E$16+Q883*Scorecard!$E$17</f>
        <v>3.83248083353449</v>
      </c>
      <c r="U883" s="0" t="str">
        <f aca="false">IF(AND(R883&gt;=S883,R883&gt;=T883),"Distribution",IF(T883&gt;=S883,"Prof. services","Manufacturing"))</f>
        <v>Prof. services</v>
      </c>
    </row>
    <row r="884" customFormat="false" ht="15" hidden="false" customHeight="false" outlineLevel="0" collapsed="false">
      <c r="A884" s="46" t="n">
        <v>0.127088</v>
      </c>
      <c r="B884" s="46" t="n">
        <v>0.154604</v>
      </c>
      <c r="C884" s="46" t="n">
        <v>0.22356</v>
      </c>
      <c r="D884" s="46" t="n">
        <v>0.02224</v>
      </c>
      <c r="E884" s="46" t="n">
        <v>0.369541</v>
      </c>
      <c r="F884" s="46" t="n">
        <v>0.102967</v>
      </c>
      <c r="G884" s="47" t="n">
        <f aca="false">A884*Scorecard!$C$12+B884*Scorecard!$C$13+C884*Scorecard!$C$14+D884*Scorecard!$C$15+E884*Scorecard!$C$16+F884*Scorecard!$C$17</f>
        <v>3.74214978760197</v>
      </c>
      <c r="H884" s="47" t="n">
        <f aca="false">A884*Scorecard!$D$12+B884*Scorecard!$D$13+C884*Scorecard!$D$14+D884*Scorecard!$D$15+E884*Scorecard!$D$16+F884*Scorecard!$D$17</f>
        <v>2.84636271789934</v>
      </c>
      <c r="I884" s="47" t="n">
        <f aca="false">A884*Scorecard!$E$12+B884*Scorecard!$E$13+C884*Scorecard!$E$14+D884*Scorecard!$E$15+E884*Scorecard!$E$16+F884*Scorecard!$E$17</f>
        <v>3.49990630958328</v>
      </c>
      <c r="J884" s="0" t="str">
        <f aca="false">IF(AND(G884&gt;=H884,G884&gt;=I884),"Distribution",IF(I884&gt;=H884,"Prof. services","Manufacturing"))</f>
        <v>Distribution</v>
      </c>
      <c r="L884" s="46" t="n">
        <v>0.302123</v>
      </c>
      <c r="M884" s="46" t="n">
        <v>0.226561</v>
      </c>
      <c r="N884" s="46" t="n">
        <v>0.059275</v>
      </c>
      <c r="O884" s="46" t="n">
        <v>0.181324</v>
      </c>
      <c r="P884" s="46" t="n">
        <v>0.143765</v>
      </c>
      <c r="Q884" s="46" t="n">
        <v>0.086953</v>
      </c>
      <c r="R884" s="47" t="n">
        <f aca="false">L884*Scorecard!$C$12+M884*Scorecard!$C$13+N884*Scorecard!$C$14+O884*Scorecard!$C$15+P884*Scorecard!$C$16+Q884*Scorecard!$C$17</f>
        <v>3.69015729143326</v>
      </c>
      <c r="S884" s="47" t="n">
        <f aca="false">L884*Scorecard!$D$12+M884*Scorecard!$D$13+N884*Scorecard!$D$14+O884*Scorecard!$D$15+P884*Scorecard!$D$16+Q884*Scorecard!$D$17</f>
        <v>2.98690184372292</v>
      </c>
      <c r="T884" s="47" t="n">
        <f aca="false">L884*Scorecard!$E$12+M884*Scorecard!$E$13+N884*Scorecard!$E$14+O884*Scorecard!$E$15+P884*Scorecard!$E$16+Q884*Scorecard!$E$17</f>
        <v>3.77009230630037</v>
      </c>
      <c r="U884" s="0" t="str">
        <f aca="false">IF(AND(R884&gt;=S884,R884&gt;=T884),"Distribution",IF(T884&gt;=S884,"Prof. services","Manufacturing"))</f>
        <v>Prof. services</v>
      </c>
    </row>
    <row r="885" customFormat="false" ht="15" hidden="false" customHeight="false" outlineLevel="0" collapsed="false">
      <c r="A885" s="46" t="n">
        <v>0.252531</v>
      </c>
      <c r="B885" s="46" t="n">
        <v>0.107161</v>
      </c>
      <c r="C885" s="46" t="n">
        <v>0.166471</v>
      </c>
      <c r="D885" s="46" t="n">
        <v>0.456459</v>
      </c>
      <c r="E885" s="46" t="n">
        <v>0.000164</v>
      </c>
      <c r="F885" s="46" t="n">
        <v>0.017215</v>
      </c>
      <c r="G885" s="47" t="n">
        <f aca="false">A885*Scorecard!$C$12+B885*Scorecard!$C$13+C885*Scorecard!$C$14+D885*Scorecard!$C$15+E885*Scorecard!$C$16+F885*Scorecard!$C$17</f>
        <v>4.07463459866324</v>
      </c>
      <c r="H885" s="47" t="n">
        <f aca="false">A885*Scorecard!$D$12+B885*Scorecard!$D$13+C885*Scorecard!$D$14+D885*Scorecard!$D$15+E885*Scorecard!$D$16+F885*Scorecard!$D$17</f>
        <v>3.50861114029268</v>
      </c>
      <c r="I885" s="47" t="n">
        <f aca="false">A885*Scorecard!$E$12+B885*Scorecard!$E$13+C885*Scorecard!$E$14+D885*Scorecard!$E$15+E885*Scorecard!$E$16+F885*Scorecard!$E$17</f>
        <v>4.30125993360613</v>
      </c>
      <c r="J885" s="0" t="str">
        <f aca="false">IF(AND(G885&gt;=H885,G885&gt;=I885),"Distribution",IF(I885&gt;=H885,"Prof. services","Manufacturing"))</f>
        <v>Prof. services</v>
      </c>
      <c r="L885" s="46" t="n">
        <v>0.160155</v>
      </c>
      <c r="M885" s="46" t="n">
        <v>0.177777</v>
      </c>
      <c r="N885" s="46" t="n">
        <v>0.147408</v>
      </c>
      <c r="O885" s="46" t="n">
        <v>0.204426</v>
      </c>
      <c r="P885" s="46" t="n">
        <v>0.083924</v>
      </c>
      <c r="Q885" s="46" t="n">
        <v>0.22631</v>
      </c>
      <c r="R885" s="47" t="n">
        <f aca="false">L885*Scorecard!$C$12+M885*Scorecard!$C$13+N885*Scorecard!$C$14+O885*Scorecard!$C$15+P885*Scorecard!$C$16+Q885*Scorecard!$C$17</f>
        <v>3.64130171603451</v>
      </c>
      <c r="S885" s="47" t="n">
        <f aca="false">L885*Scorecard!$D$12+M885*Scorecard!$D$13+N885*Scorecard!$D$14+O885*Scorecard!$D$15+P885*Scorecard!$D$16+Q885*Scorecard!$D$17</f>
        <v>2.76410822351973</v>
      </c>
      <c r="T885" s="47" t="n">
        <f aca="false">L885*Scorecard!$E$12+M885*Scorecard!$E$13+N885*Scorecard!$E$14+O885*Scorecard!$E$15+P885*Scorecard!$E$16+Q885*Scorecard!$E$17</f>
        <v>3.98095674391459</v>
      </c>
      <c r="U885" s="0" t="str">
        <f aca="false">IF(AND(R885&gt;=S885,R885&gt;=T885),"Distribution",IF(T885&gt;=S885,"Prof. services","Manufacturing"))</f>
        <v>Prof. services</v>
      </c>
    </row>
    <row r="886" customFormat="false" ht="15" hidden="false" customHeight="false" outlineLevel="0" collapsed="false">
      <c r="A886" s="46" t="n">
        <v>0.142257</v>
      </c>
      <c r="B886" s="46" t="n">
        <v>0.240908</v>
      </c>
      <c r="C886" s="46" t="n">
        <v>0.15593</v>
      </c>
      <c r="D886" s="46" t="n">
        <v>0.171436</v>
      </c>
      <c r="E886" s="46" t="n">
        <v>0.027876</v>
      </c>
      <c r="F886" s="46" t="n">
        <v>0.261593</v>
      </c>
      <c r="G886" s="47" t="n">
        <f aca="false">A886*Scorecard!$C$12+B886*Scorecard!$C$13+C886*Scorecard!$C$14+D886*Scorecard!$C$15+E886*Scorecard!$C$16+F886*Scorecard!$C$17</f>
        <v>3.63309337127733</v>
      </c>
      <c r="H886" s="47" t="n">
        <f aca="false">A886*Scorecard!$D$12+B886*Scorecard!$D$13+C886*Scorecard!$D$14+D886*Scorecard!$D$15+E886*Scorecard!$D$16+F886*Scorecard!$D$17</f>
        <v>2.54772820978164</v>
      </c>
      <c r="I886" s="47" t="n">
        <f aca="false">A886*Scorecard!$E$12+B886*Scorecard!$E$13+C886*Scorecard!$E$14+D886*Scorecard!$E$15+E886*Scorecard!$E$16+F886*Scorecard!$E$17</f>
        <v>3.95881386300808</v>
      </c>
      <c r="J886" s="0" t="str">
        <f aca="false">IF(AND(G886&gt;=H886,G886&gt;=I886),"Distribution",IF(I886&gt;=H886,"Prof. services","Manufacturing"))</f>
        <v>Prof. services</v>
      </c>
      <c r="L886" s="46" t="n">
        <v>0.248663</v>
      </c>
      <c r="M886" s="46" t="n">
        <v>0.285578</v>
      </c>
      <c r="N886" s="46" t="n">
        <v>0.124416</v>
      </c>
      <c r="O886" s="46" t="n">
        <v>0.106316</v>
      </c>
      <c r="P886" s="46" t="n">
        <v>0.146143</v>
      </c>
      <c r="Q886" s="46" t="n">
        <v>0.088884</v>
      </c>
      <c r="R886" s="47" t="n">
        <f aca="false">L886*Scorecard!$C$12+M886*Scorecard!$C$13+N886*Scorecard!$C$14+O886*Scorecard!$C$15+P886*Scorecard!$C$16+Q886*Scorecard!$C$17</f>
        <v>3.76652905382466</v>
      </c>
      <c r="S886" s="47" t="n">
        <f aca="false">L886*Scorecard!$D$12+M886*Scorecard!$D$13+N886*Scorecard!$D$14+O886*Scorecard!$D$15+P886*Scorecard!$D$16+Q886*Scorecard!$D$17</f>
        <v>2.77406507288981</v>
      </c>
      <c r="T886" s="47" t="n">
        <f aca="false">L886*Scorecard!$E$12+M886*Scorecard!$E$13+N886*Scorecard!$E$14+O886*Scorecard!$E$15+P886*Scorecard!$E$16+Q886*Scorecard!$E$17</f>
        <v>3.65577034114031</v>
      </c>
      <c r="U886" s="0" t="str">
        <f aca="false">IF(AND(R886&gt;=S886,R886&gt;=T886),"Distribution",IF(T886&gt;=S886,"Prof. services","Manufacturing"))</f>
        <v>Distribution</v>
      </c>
    </row>
    <row r="887" customFormat="false" ht="15" hidden="false" customHeight="false" outlineLevel="0" collapsed="false">
      <c r="A887" s="46" t="n">
        <v>0.159497</v>
      </c>
      <c r="B887" s="46" t="n">
        <v>0.034571</v>
      </c>
      <c r="C887" s="46" t="n">
        <v>0.022511</v>
      </c>
      <c r="D887" s="46" t="n">
        <v>0.052096</v>
      </c>
      <c r="E887" s="46" t="n">
        <v>0.221065</v>
      </c>
      <c r="F887" s="46" t="n">
        <v>0.51026</v>
      </c>
      <c r="G887" s="47" t="n">
        <f aca="false">A887*Scorecard!$C$12+B887*Scorecard!$C$13+C887*Scorecard!$C$14+D887*Scorecard!$C$15+E887*Scorecard!$C$16+F887*Scorecard!$C$17</f>
        <v>2.77905012541823</v>
      </c>
      <c r="H887" s="47" t="n">
        <f aca="false">A887*Scorecard!$D$12+B887*Scorecard!$D$13+C887*Scorecard!$D$14+D887*Scorecard!$D$15+E887*Scorecard!$D$16+F887*Scorecard!$D$17</f>
        <v>2.42207126090891</v>
      </c>
      <c r="I887" s="47" t="n">
        <f aca="false">A887*Scorecard!$E$12+B887*Scorecard!$E$13+C887*Scorecard!$E$14+D887*Scorecard!$E$15+E887*Scorecard!$E$16+F887*Scorecard!$E$17</f>
        <v>4.01240488440987</v>
      </c>
      <c r="J887" s="0" t="str">
        <f aca="false">IF(AND(G887&gt;=H887,G887&gt;=I887),"Distribution",IF(I887&gt;=H887,"Prof. services","Manufacturing"))</f>
        <v>Prof. services</v>
      </c>
      <c r="L887" s="46" t="n">
        <v>0.240876</v>
      </c>
      <c r="M887" s="46" t="n">
        <v>0.184077</v>
      </c>
      <c r="N887" s="46" t="n">
        <v>0.359126</v>
      </c>
      <c r="O887" s="46" t="n">
        <v>0.082727</v>
      </c>
      <c r="P887" s="46" t="n">
        <v>0.074024</v>
      </c>
      <c r="Q887" s="46" t="n">
        <v>0.05917</v>
      </c>
      <c r="R887" s="47" t="n">
        <f aca="false">L887*Scorecard!$C$12+M887*Scorecard!$C$13+N887*Scorecard!$C$14+O887*Scorecard!$C$15+P887*Scorecard!$C$16+Q887*Scorecard!$C$17</f>
        <v>3.71488376487483</v>
      </c>
      <c r="S887" s="47" t="n">
        <f aca="false">L887*Scorecard!$D$12+M887*Scorecard!$D$13+N887*Scorecard!$D$14+O887*Scorecard!$D$15+P887*Scorecard!$D$16+Q887*Scorecard!$D$17</f>
        <v>2.91449831732537</v>
      </c>
      <c r="T887" s="47" t="n">
        <f aca="false">L887*Scorecard!$E$12+M887*Scorecard!$E$13+N887*Scorecard!$E$14+O887*Scorecard!$E$15+P887*Scorecard!$E$16+Q887*Scorecard!$E$17</f>
        <v>4.17453748842053</v>
      </c>
      <c r="U887" s="0" t="str">
        <f aca="false">IF(AND(R887&gt;=S887,R887&gt;=T887),"Distribution",IF(T887&gt;=S887,"Prof. services","Manufacturing"))</f>
        <v>Prof. services</v>
      </c>
    </row>
    <row r="888" customFormat="false" ht="15" hidden="false" customHeight="false" outlineLevel="0" collapsed="false">
      <c r="A888" s="46" t="n">
        <v>0.173802</v>
      </c>
      <c r="B888" s="46" t="n">
        <v>0.462014</v>
      </c>
      <c r="C888" s="46" t="n">
        <v>0.223635</v>
      </c>
      <c r="D888" s="46" t="n">
        <v>0.010196</v>
      </c>
      <c r="E888" s="46" t="n">
        <v>0.077979</v>
      </c>
      <c r="F888" s="46" t="n">
        <v>0.052375</v>
      </c>
      <c r="G888" s="47" t="n">
        <f aca="false">A888*Scorecard!$C$12+B888*Scorecard!$C$13+C888*Scorecard!$C$14+D888*Scorecard!$C$15+E888*Scorecard!$C$16+F888*Scorecard!$C$17</f>
        <v>4.05461792141507</v>
      </c>
      <c r="H888" s="47" t="n">
        <f aca="false">A888*Scorecard!$D$12+B888*Scorecard!$D$13+C888*Scorecard!$D$14+D888*Scorecard!$D$15+E888*Scorecard!$D$16+F888*Scorecard!$D$17</f>
        <v>2.38055761678405</v>
      </c>
      <c r="I888" s="47" t="n">
        <f aca="false">A888*Scorecard!$E$12+B888*Scorecard!$E$13+C888*Scorecard!$E$14+D888*Scorecard!$E$15+E888*Scorecard!$E$16+F888*Scorecard!$E$17</f>
        <v>3.42878906705511</v>
      </c>
      <c r="J888" s="0" t="str">
        <f aca="false">IF(AND(G888&gt;=H888,G888&gt;=I888),"Distribution",IF(I888&gt;=H888,"Prof. services","Manufacturing"))</f>
        <v>Distribution</v>
      </c>
      <c r="L888" s="46" t="n">
        <v>0.205851</v>
      </c>
      <c r="M888" s="46" t="n">
        <v>0.352813</v>
      </c>
      <c r="N888" s="46" t="n">
        <v>0.263003</v>
      </c>
      <c r="O888" s="46" t="n">
        <v>0.039176</v>
      </c>
      <c r="P888" s="46" t="n">
        <v>0.041677</v>
      </c>
      <c r="Q888" s="46" t="n">
        <v>0.09748</v>
      </c>
      <c r="R888" s="47" t="n">
        <f aca="false">L888*Scorecard!$C$12+M888*Scorecard!$C$13+N888*Scorecard!$C$14+O888*Scorecard!$C$15+P888*Scorecard!$C$16+Q888*Scorecard!$C$17</f>
        <v>3.82649426436527</v>
      </c>
      <c r="S888" s="47" t="n">
        <f aca="false">L888*Scorecard!$D$12+M888*Scorecard!$D$13+N888*Scorecard!$D$14+O888*Scorecard!$D$15+P888*Scorecard!$D$16+Q888*Scorecard!$D$17</f>
        <v>2.51942574808516</v>
      </c>
      <c r="T888" s="47" t="n">
        <f aca="false">L888*Scorecard!$E$12+M888*Scorecard!$E$13+N888*Scorecard!$E$14+O888*Scorecard!$E$15+P888*Scorecard!$E$16+Q888*Scorecard!$E$17</f>
        <v>3.79282985041175</v>
      </c>
      <c r="U888" s="0" t="str">
        <f aca="false">IF(AND(R888&gt;=S888,R888&gt;=T888),"Distribution",IF(T888&gt;=S888,"Prof. services","Manufacturing"))</f>
        <v>Distribution</v>
      </c>
    </row>
    <row r="889" customFormat="false" ht="15" hidden="false" customHeight="false" outlineLevel="0" collapsed="false">
      <c r="A889" s="46" t="n">
        <v>0.18629</v>
      </c>
      <c r="B889" s="46" t="n">
        <v>0.004791</v>
      </c>
      <c r="C889" s="46" t="n">
        <v>0.097249</v>
      </c>
      <c r="D889" s="46" t="n">
        <v>0.638144</v>
      </c>
      <c r="E889" s="46" t="n">
        <v>0.028014</v>
      </c>
      <c r="F889" s="46" t="n">
        <v>0.045512</v>
      </c>
      <c r="G889" s="47" t="n">
        <f aca="false">A889*Scorecard!$C$12+B889*Scorecard!$C$13+C889*Scorecard!$C$14+D889*Scorecard!$C$15+E889*Scorecard!$C$16+F889*Scorecard!$C$17</f>
        <v>4.21658634332408</v>
      </c>
      <c r="H889" s="47" t="n">
        <f aca="false">A889*Scorecard!$D$12+B889*Scorecard!$D$13+C889*Scorecard!$D$14+D889*Scorecard!$D$15+E889*Scorecard!$D$16+F889*Scorecard!$D$17</f>
        <v>3.79567415652669</v>
      </c>
      <c r="I889" s="47" t="n">
        <f aca="false">A889*Scorecard!$E$12+B889*Scorecard!$E$13+C889*Scorecard!$E$14+D889*Scorecard!$E$15+E889*Scorecard!$E$16+F889*Scorecard!$E$17</f>
        <v>4.35534503507212</v>
      </c>
      <c r="J889" s="0" t="str">
        <f aca="false">IF(AND(G889&gt;=H889,G889&gt;=I889),"Distribution",IF(I889&gt;=H889,"Prof. services","Manufacturing"))</f>
        <v>Prof. services</v>
      </c>
      <c r="L889" s="46" t="n">
        <v>0.147494</v>
      </c>
      <c r="M889" s="46" t="n">
        <v>0.169538</v>
      </c>
      <c r="N889" s="46" t="n">
        <v>0.161239</v>
      </c>
      <c r="O889" s="46" t="n">
        <v>0.261085</v>
      </c>
      <c r="P889" s="46" t="n">
        <v>0.201598</v>
      </c>
      <c r="Q889" s="46" t="n">
        <v>0.059046</v>
      </c>
      <c r="R889" s="47" t="n">
        <f aca="false">L889*Scorecard!$C$12+M889*Scorecard!$C$13+N889*Scorecard!$C$14+O889*Scorecard!$C$15+P889*Scorecard!$C$16+Q889*Scorecard!$C$17</f>
        <v>4.04703969659264</v>
      </c>
      <c r="S889" s="47" t="n">
        <f aca="false">L889*Scorecard!$D$12+M889*Scorecard!$D$13+N889*Scorecard!$D$14+O889*Scorecard!$D$15+P889*Scorecard!$D$16+Q889*Scorecard!$D$17</f>
        <v>3.12382322571829</v>
      </c>
      <c r="T889" s="47" t="n">
        <f aca="false">L889*Scorecard!$E$12+M889*Scorecard!$E$13+N889*Scorecard!$E$14+O889*Scorecard!$E$15+P889*Scorecard!$E$16+Q889*Scorecard!$E$17</f>
        <v>3.72712269928658</v>
      </c>
      <c r="U889" s="0" t="str">
        <f aca="false">IF(AND(R889&gt;=S889,R889&gt;=T889),"Distribution",IF(T889&gt;=S889,"Prof. services","Manufacturing"))</f>
        <v>Distribution</v>
      </c>
    </row>
    <row r="890" customFormat="false" ht="15" hidden="false" customHeight="false" outlineLevel="0" collapsed="false">
      <c r="A890" s="46" t="n">
        <v>0.079686</v>
      </c>
      <c r="B890" s="46" t="n">
        <v>0.283005</v>
      </c>
      <c r="C890" s="46" t="n">
        <v>0.316247</v>
      </c>
      <c r="D890" s="46" t="n">
        <v>0.061652</v>
      </c>
      <c r="E890" s="46" t="n">
        <v>0.133364</v>
      </c>
      <c r="F890" s="46" t="n">
        <v>0.126046</v>
      </c>
      <c r="G890" s="47" t="n">
        <f aca="false">A890*Scorecard!$C$12+B890*Scorecard!$C$13+C890*Scorecard!$C$14+D890*Scorecard!$C$15+E890*Scorecard!$C$16+F890*Scorecard!$C$17</f>
        <v>3.94912906360042</v>
      </c>
      <c r="H890" s="47" t="n">
        <f aca="false">A890*Scorecard!$D$12+B890*Scorecard!$D$13+C890*Scorecard!$D$14+D890*Scorecard!$D$15+E890*Scorecard!$D$16+F890*Scorecard!$D$17</f>
        <v>2.5546020007152</v>
      </c>
      <c r="I890" s="47" t="n">
        <f aca="false">A890*Scorecard!$E$12+B890*Scorecard!$E$13+C890*Scorecard!$E$14+D890*Scorecard!$E$15+E890*Scorecard!$E$16+F890*Scorecard!$E$17</f>
        <v>3.7159997407532</v>
      </c>
      <c r="J890" s="0" t="str">
        <f aca="false">IF(AND(G890&gt;=H890,G890&gt;=I890),"Distribution",IF(I890&gt;=H890,"Prof. services","Manufacturing"))</f>
        <v>Distribution</v>
      </c>
      <c r="L890" s="46" t="n">
        <v>0.268325</v>
      </c>
      <c r="M890" s="46" t="n">
        <v>0.237115</v>
      </c>
      <c r="N890" s="46" t="n">
        <v>0.102906</v>
      </c>
      <c r="O890" s="46" t="n">
        <v>0.154996</v>
      </c>
      <c r="P890" s="46" t="n">
        <v>0.156072</v>
      </c>
      <c r="Q890" s="46" t="n">
        <v>0.080586</v>
      </c>
      <c r="R890" s="47" t="n">
        <f aca="false">L890*Scorecard!$C$12+M890*Scorecard!$C$13+N890*Scorecard!$C$14+O890*Scorecard!$C$15+P890*Scorecard!$C$16+Q890*Scorecard!$C$17</f>
        <v>3.74795017342549</v>
      </c>
      <c r="S890" s="47" t="n">
        <f aca="false">L890*Scorecard!$D$12+M890*Scorecard!$D$13+N890*Scorecard!$D$14+O890*Scorecard!$D$15+P890*Scorecard!$D$16+Q890*Scorecard!$D$17</f>
        <v>2.93190648788727</v>
      </c>
      <c r="T890" s="47" t="n">
        <f aca="false">L890*Scorecard!$E$12+M890*Scorecard!$E$13+N890*Scorecard!$E$14+O890*Scorecard!$E$15+P890*Scorecard!$E$16+Q890*Scorecard!$E$17</f>
        <v>3.73211049393983</v>
      </c>
      <c r="U890" s="0" t="str">
        <f aca="false">IF(AND(R890&gt;=S890,R890&gt;=T890),"Distribution",IF(T890&gt;=S890,"Prof. services","Manufacturing"))</f>
        <v>Distribution</v>
      </c>
    </row>
    <row r="891" customFormat="false" ht="15" hidden="false" customHeight="false" outlineLevel="0" collapsed="false">
      <c r="A891" s="46" t="n">
        <v>0.053116</v>
      </c>
      <c r="B891" s="46" t="n">
        <v>0.05928</v>
      </c>
      <c r="C891" s="46" t="n">
        <v>0.682055</v>
      </c>
      <c r="D891" s="46" t="n">
        <v>0.032356</v>
      </c>
      <c r="E891" s="46" t="n">
        <v>0.139121</v>
      </c>
      <c r="F891" s="46" t="n">
        <v>0.034071</v>
      </c>
      <c r="G891" s="47" t="n">
        <f aca="false">A891*Scorecard!$C$12+B891*Scorecard!$C$13+C891*Scorecard!$C$14+D891*Scorecard!$C$15+E891*Scorecard!$C$16+F891*Scorecard!$C$17</f>
        <v>3.92788044251437</v>
      </c>
      <c r="H891" s="47" t="n">
        <f aca="false">A891*Scorecard!$D$12+B891*Scorecard!$D$13+C891*Scorecard!$D$14+D891*Scorecard!$D$15+E891*Scorecard!$D$16+F891*Scorecard!$D$17</f>
        <v>2.97882712960368</v>
      </c>
      <c r="I891" s="47" t="n">
        <f aca="false">A891*Scorecard!$E$12+B891*Scorecard!$E$13+C891*Scorecard!$E$14+D891*Scorecard!$E$15+E891*Scorecard!$E$16+F891*Scorecard!$E$17</f>
        <v>4.41445928880295</v>
      </c>
      <c r="J891" s="0" t="str">
        <f aca="false">IF(AND(G891&gt;=H891,G891&gt;=I891),"Distribution",IF(I891&gt;=H891,"Prof. services","Manufacturing"))</f>
        <v>Prof. services</v>
      </c>
      <c r="L891" s="46" t="n">
        <v>0.160797</v>
      </c>
      <c r="M891" s="46" t="n">
        <v>0.177742</v>
      </c>
      <c r="N891" s="46" t="n">
        <v>0.240963</v>
      </c>
      <c r="O891" s="46" t="n">
        <v>0.107611</v>
      </c>
      <c r="P891" s="46" t="n">
        <v>0.263008</v>
      </c>
      <c r="Q891" s="46" t="n">
        <v>0.04988</v>
      </c>
      <c r="R891" s="47" t="n">
        <f aca="false">L891*Scorecard!$C$12+M891*Scorecard!$C$13+N891*Scorecard!$C$14+O891*Scorecard!$C$15+P891*Scorecard!$C$16+Q891*Scorecard!$C$17</f>
        <v>3.89616010687897</v>
      </c>
      <c r="S891" s="47" t="n">
        <f aca="false">L891*Scorecard!$D$12+M891*Scorecard!$D$13+N891*Scorecard!$D$14+O891*Scorecard!$D$15+P891*Scorecard!$D$16+Q891*Scorecard!$D$17</f>
        <v>2.97685046688738</v>
      </c>
      <c r="T891" s="47" t="n">
        <f aca="false">L891*Scorecard!$E$12+M891*Scorecard!$E$13+N891*Scorecard!$E$14+O891*Scorecard!$E$15+P891*Scorecard!$E$16+Q891*Scorecard!$E$17</f>
        <v>3.67264672174609</v>
      </c>
      <c r="U891" s="0" t="str">
        <f aca="false">IF(AND(R891&gt;=S891,R891&gt;=T891),"Distribution",IF(T891&gt;=S891,"Prof. services","Manufacturing"))</f>
        <v>Distribution</v>
      </c>
    </row>
    <row r="892" customFormat="false" ht="15" hidden="false" customHeight="false" outlineLevel="0" collapsed="false">
      <c r="A892" s="46" t="n">
        <v>0.174065</v>
      </c>
      <c r="B892" s="46" t="n">
        <v>0.279259</v>
      </c>
      <c r="C892" s="46" t="n">
        <v>0.143238</v>
      </c>
      <c r="D892" s="46" t="n">
        <v>0.077737</v>
      </c>
      <c r="E892" s="46" t="n">
        <v>0.255783</v>
      </c>
      <c r="F892" s="46" t="n">
        <v>0.069919</v>
      </c>
      <c r="G892" s="47" t="n">
        <f aca="false">A892*Scorecard!$C$12+B892*Scorecard!$C$13+C892*Scorecard!$C$14+D892*Scorecard!$C$15+E892*Scorecard!$C$16+F892*Scorecard!$C$17</f>
        <v>3.90384251766443</v>
      </c>
      <c r="H892" s="47" t="n">
        <f aca="false">A892*Scorecard!$D$12+B892*Scorecard!$D$13+C892*Scorecard!$D$14+D892*Scorecard!$D$15+E892*Scorecard!$D$16+F892*Scorecard!$D$17</f>
        <v>2.76618720538223</v>
      </c>
      <c r="I892" s="47" t="n">
        <f aca="false">A892*Scorecard!$E$12+B892*Scorecard!$E$13+C892*Scorecard!$E$14+D892*Scorecard!$E$15+E892*Scorecard!$E$16+F892*Scorecard!$E$17</f>
        <v>3.4149442384684</v>
      </c>
      <c r="J892" s="0" t="str">
        <f aca="false">IF(AND(G892&gt;=H892,G892&gt;=I892),"Distribution",IF(I892&gt;=H892,"Prof. services","Manufacturing"))</f>
        <v>Distribution</v>
      </c>
      <c r="L892" s="46" t="n">
        <v>0.27357</v>
      </c>
      <c r="M892" s="46" t="n">
        <v>0.19972</v>
      </c>
      <c r="N892" s="46" t="n">
        <v>0.103204</v>
      </c>
      <c r="O892" s="46" t="n">
        <v>0.111852</v>
      </c>
      <c r="P892" s="46" t="n">
        <v>0.26685</v>
      </c>
      <c r="Q892" s="46" t="n">
        <v>0.044804</v>
      </c>
      <c r="R892" s="47" t="n">
        <f aca="false">L892*Scorecard!$C$12+M892*Scorecard!$C$13+N892*Scorecard!$C$14+O892*Scorecard!$C$15+P892*Scorecard!$C$16+Q892*Scorecard!$C$17</f>
        <v>3.72953409862671</v>
      </c>
      <c r="S892" s="47" t="n">
        <f aca="false">L892*Scorecard!$D$12+M892*Scorecard!$D$13+N892*Scorecard!$D$14+O892*Scorecard!$D$15+P892*Scorecard!$D$16+Q892*Scorecard!$D$17</f>
        <v>3.03215476655095</v>
      </c>
      <c r="T892" s="47" t="n">
        <f aca="false">L892*Scorecard!$E$12+M892*Scorecard!$E$13+N892*Scorecard!$E$14+O892*Scorecard!$E$15+P892*Scorecard!$E$16+Q892*Scorecard!$E$17</f>
        <v>3.59818971708104</v>
      </c>
      <c r="U892" s="0" t="str">
        <f aca="false">IF(AND(R892&gt;=S892,R892&gt;=T892),"Distribution",IF(T892&gt;=S892,"Prof. services","Manufacturing"))</f>
        <v>Distribution</v>
      </c>
    </row>
    <row r="893" customFormat="false" ht="15" hidden="false" customHeight="false" outlineLevel="0" collapsed="false">
      <c r="A893" s="46" t="n">
        <v>0.220599</v>
      </c>
      <c r="B893" s="46" t="n">
        <v>0.038129</v>
      </c>
      <c r="C893" s="46" t="n">
        <v>0.031515</v>
      </c>
      <c r="D893" s="46" t="n">
        <v>0.328124</v>
      </c>
      <c r="E893" s="46" t="n">
        <v>0.343879</v>
      </c>
      <c r="F893" s="46" t="n">
        <v>0.037754</v>
      </c>
      <c r="G893" s="47" t="n">
        <f aca="false">A893*Scorecard!$C$12+B893*Scorecard!$C$13+C893*Scorecard!$C$14+D893*Scorecard!$C$15+E893*Scorecard!$C$16+F893*Scorecard!$C$17</f>
        <v>3.8936636540445</v>
      </c>
      <c r="H893" s="47" t="n">
        <f aca="false">A893*Scorecard!$D$12+B893*Scorecard!$D$13+C893*Scorecard!$D$14+D893*Scorecard!$D$15+E893*Scorecard!$D$16+F893*Scorecard!$D$17</f>
        <v>3.52632994395012</v>
      </c>
      <c r="I893" s="47" t="n">
        <f aca="false">A893*Scorecard!$E$12+B893*Scorecard!$E$13+C893*Scorecard!$E$14+D893*Scorecard!$E$15+E893*Scorecard!$E$16+F893*Scorecard!$E$17</f>
        <v>3.68019356958874</v>
      </c>
      <c r="J893" s="0" t="str">
        <f aca="false">IF(AND(G893&gt;=H893,G893&gt;=I893),"Distribution",IF(I893&gt;=H893,"Prof. services","Manufacturing"))</f>
        <v>Distribution</v>
      </c>
      <c r="L893" s="46" t="n">
        <v>0.31398</v>
      </c>
      <c r="M893" s="46" t="n">
        <v>0.202297</v>
      </c>
      <c r="N893" s="46" t="n">
        <v>0.188226</v>
      </c>
      <c r="O893" s="46" t="n">
        <v>0.148952</v>
      </c>
      <c r="P893" s="46" t="n">
        <v>0.103369</v>
      </c>
      <c r="Q893" s="46" t="n">
        <v>0.043176</v>
      </c>
      <c r="R893" s="47" t="n">
        <f aca="false">L893*Scorecard!$C$12+M893*Scorecard!$C$13+N893*Scorecard!$C$14+O893*Scorecard!$C$15+P893*Scorecard!$C$16+Q893*Scorecard!$C$17</f>
        <v>3.69972852234095</v>
      </c>
      <c r="S893" s="47" t="n">
        <f aca="false">L893*Scorecard!$D$12+M893*Scorecard!$D$13+N893*Scorecard!$D$14+O893*Scorecard!$D$15+P893*Scorecard!$D$16+Q893*Scorecard!$D$17</f>
        <v>3.04587629289638</v>
      </c>
      <c r="T893" s="47" t="n">
        <f aca="false">L893*Scorecard!$E$12+M893*Scorecard!$E$13+N893*Scorecard!$E$14+O893*Scorecard!$E$15+P893*Scorecard!$E$16+Q893*Scorecard!$E$17</f>
        <v>3.99653115181106</v>
      </c>
      <c r="U893" s="0" t="str">
        <f aca="false">IF(AND(R893&gt;=S893,R893&gt;=T893),"Distribution",IF(T893&gt;=S893,"Prof. services","Manufacturing"))</f>
        <v>Prof. services</v>
      </c>
    </row>
    <row r="894" customFormat="false" ht="15" hidden="false" customHeight="false" outlineLevel="0" collapsed="false">
      <c r="A894" s="46" t="n">
        <v>0.182069</v>
      </c>
      <c r="B894" s="46" t="n">
        <v>0.19237</v>
      </c>
      <c r="C894" s="46" t="n">
        <v>0.024234</v>
      </c>
      <c r="D894" s="46" t="n">
        <v>0.144334</v>
      </c>
      <c r="E894" s="46" t="n">
        <v>0.455669</v>
      </c>
      <c r="F894" s="46" t="n">
        <v>0.001325</v>
      </c>
      <c r="G894" s="47" t="n">
        <f aca="false">A894*Scorecard!$C$12+B894*Scorecard!$C$13+C894*Scorecard!$C$14+D894*Scorecard!$C$15+E894*Scorecard!$C$16+F894*Scorecard!$C$17</f>
        <v>4.00633120351963</v>
      </c>
      <c r="H894" s="47" t="n">
        <f aca="false">A894*Scorecard!$D$12+B894*Scorecard!$D$13+C894*Scorecard!$D$14+D894*Scorecard!$D$15+E894*Scorecard!$D$16+F894*Scorecard!$D$17</f>
        <v>3.1485098995063</v>
      </c>
      <c r="I894" s="47" t="n">
        <f aca="false">A894*Scorecard!$E$12+B894*Scorecard!$E$13+C894*Scorecard!$E$14+D894*Scorecard!$E$15+E894*Scorecard!$E$16+F894*Scorecard!$E$17</f>
        <v>3.1104010814807</v>
      </c>
      <c r="J894" s="0" t="str">
        <f aca="false">IF(AND(G894&gt;=H894,G894&gt;=I894),"Distribution",IF(I894&gt;=H894,"Prof. services","Manufacturing"))</f>
        <v>Distribution</v>
      </c>
      <c r="L894" s="46" t="n">
        <v>0.15033</v>
      </c>
      <c r="M894" s="46" t="n">
        <v>0.170282</v>
      </c>
      <c r="N894" s="46" t="n">
        <v>0.183718</v>
      </c>
      <c r="O894" s="46" t="n">
        <v>0.136908</v>
      </c>
      <c r="P894" s="46" t="n">
        <v>0.153588</v>
      </c>
      <c r="Q894" s="46" t="n">
        <v>0.205173</v>
      </c>
      <c r="R894" s="47" t="n">
        <f aca="false">L894*Scorecard!$C$12+M894*Scorecard!$C$13+N894*Scorecard!$C$14+O894*Scorecard!$C$15+P894*Scorecard!$C$16+Q894*Scorecard!$C$17</f>
        <v>3.62624385614853</v>
      </c>
      <c r="S894" s="47" t="n">
        <f aca="false">L894*Scorecard!$D$12+M894*Scorecard!$D$13+N894*Scorecard!$D$14+O894*Scorecard!$D$15+P894*Scorecard!$D$16+Q894*Scorecard!$D$17</f>
        <v>2.74563055518232</v>
      </c>
      <c r="T894" s="47" t="n">
        <f aca="false">L894*Scorecard!$E$12+M894*Scorecard!$E$13+N894*Scorecard!$E$14+O894*Scorecard!$E$15+P894*Scorecard!$E$16+Q894*Scorecard!$E$17</f>
        <v>3.88373970961082</v>
      </c>
      <c r="U894" s="0" t="str">
        <f aca="false">IF(AND(R894&gt;=S894,R894&gt;=T894),"Distribution",IF(T894&gt;=S894,"Prof. services","Manufacturing"))</f>
        <v>Prof. services</v>
      </c>
    </row>
    <row r="895" customFormat="false" ht="15" hidden="false" customHeight="false" outlineLevel="0" collapsed="false">
      <c r="A895" s="46" t="n">
        <v>0.281145</v>
      </c>
      <c r="B895" s="46" t="n">
        <v>0.000221</v>
      </c>
      <c r="C895" s="46" t="n">
        <v>0.374552</v>
      </c>
      <c r="D895" s="46" t="n">
        <v>0.027726</v>
      </c>
      <c r="E895" s="46" t="n">
        <v>0.276914</v>
      </c>
      <c r="F895" s="46" t="n">
        <v>0.039442</v>
      </c>
      <c r="G895" s="47" t="n">
        <f aca="false">A895*Scorecard!$C$12+B895*Scorecard!$C$13+C895*Scorecard!$C$14+D895*Scorecard!$C$15+E895*Scorecard!$C$16+F895*Scorecard!$C$17</f>
        <v>3.44299799059987</v>
      </c>
      <c r="H895" s="47" t="n">
        <f aca="false">A895*Scorecard!$D$12+B895*Scorecard!$D$13+C895*Scorecard!$D$14+D895*Scorecard!$D$15+E895*Scorecard!$D$16+F895*Scorecard!$D$17</f>
        <v>3.25061676919356</v>
      </c>
      <c r="I895" s="47" t="n">
        <f aca="false">A895*Scorecard!$E$12+B895*Scorecard!$E$13+C895*Scorecard!$E$14+D895*Scorecard!$E$15+E895*Scorecard!$E$16+F895*Scorecard!$E$17</f>
        <v>4.21803028276827</v>
      </c>
      <c r="J895" s="0" t="str">
        <f aca="false">IF(AND(G895&gt;=H895,G895&gt;=I895),"Distribution",IF(I895&gt;=H895,"Prof. services","Manufacturing"))</f>
        <v>Prof. services</v>
      </c>
      <c r="L895" s="46" t="n">
        <v>0.155879</v>
      </c>
      <c r="M895" s="46" t="n">
        <v>0.2279</v>
      </c>
      <c r="N895" s="46" t="n">
        <v>0.176884</v>
      </c>
      <c r="O895" s="46" t="n">
        <v>0.265618</v>
      </c>
      <c r="P895" s="46" t="n">
        <v>0.108348</v>
      </c>
      <c r="Q895" s="46" t="n">
        <v>0.065372</v>
      </c>
      <c r="R895" s="47" t="n">
        <f aca="false">L895*Scorecard!$C$12+M895*Scorecard!$C$13+N895*Scorecard!$C$14+O895*Scorecard!$C$15+P895*Scorecard!$C$16+Q895*Scorecard!$C$17</f>
        <v>4.08219357701441</v>
      </c>
      <c r="S895" s="47" t="n">
        <f aca="false">L895*Scorecard!$D$12+M895*Scorecard!$D$13+N895*Scorecard!$D$14+O895*Scorecard!$D$15+P895*Scorecard!$D$16+Q895*Scorecard!$D$17</f>
        <v>3.00643870473926</v>
      </c>
      <c r="T895" s="47" t="n">
        <f aca="false">L895*Scorecard!$E$12+M895*Scorecard!$E$13+N895*Scorecard!$E$14+O895*Scorecard!$E$15+P895*Scorecard!$E$16+Q895*Scorecard!$E$17</f>
        <v>3.80101723780762</v>
      </c>
      <c r="U895" s="0" t="str">
        <f aca="false">IF(AND(R895&gt;=S895,R895&gt;=T895),"Distribution",IF(T895&gt;=S895,"Prof. services","Manufacturing"))</f>
        <v>Distribution</v>
      </c>
    </row>
    <row r="896" customFormat="false" ht="15" hidden="false" customHeight="false" outlineLevel="0" collapsed="false">
      <c r="A896" s="46" t="n">
        <v>0.090944</v>
      </c>
      <c r="B896" s="46" t="n">
        <v>0.083228</v>
      </c>
      <c r="C896" s="46" t="n">
        <v>0.097056</v>
      </c>
      <c r="D896" s="46" t="n">
        <v>0.473939</v>
      </c>
      <c r="E896" s="46" t="n">
        <v>0.113789</v>
      </c>
      <c r="F896" s="46" t="n">
        <v>0.141044</v>
      </c>
      <c r="G896" s="47" t="n">
        <f aca="false">A896*Scorecard!$C$12+B896*Scorecard!$C$13+C896*Scorecard!$C$14+D896*Scorecard!$C$15+E896*Scorecard!$C$16+F896*Scorecard!$C$17</f>
        <v>4.11137850305044</v>
      </c>
      <c r="H896" s="47" t="n">
        <f aca="false">A896*Scorecard!$D$12+B896*Scorecard!$D$13+C896*Scorecard!$D$14+D896*Scorecard!$D$15+E896*Scorecard!$D$16+F896*Scorecard!$D$17</f>
        <v>3.31016254862501</v>
      </c>
      <c r="I896" s="47" t="n">
        <f aca="false">A896*Scorecard!$E$12+B896*Scorecard!$E$13+C896*Scorecard!$E$14+D896*Scorecard!$E$15+E896*Scorecard!$E$16+F896*Scorecard!$E$17</f>
        <v>3.99055051743862</v>
      </c>
      <c r="J896" s="0" t="str">
        <f aca="false">IF(AND(G896&gt;=H896,G896&gt;=I896),"Distribution",IF(I896&gt;=H896,"Prof. services","Manufacturing"))</f>
        <v>Distribution</v>
      </c>
      <c r="L896" s="46" t="n">
        <v>0.234376</v>
      </c>
      <c r="M896" s="46" t="n">
        <v>0.234499</v>
      </c>
      <c r="N896" s="46" t="n">
        <v>0.133325</v>
      </c>
      <c r="O896" s="46" t="n">
        <v>0.139717</v>
      </c>
      <c r="P896" s="46" t="n">
        <v>0.154565</v>
      </c>
      <c r="Q896" s="46" t="n">
        <v>0.103518</v>
      </c>
      <c r="R896" s="47" t="n">
        <f aca="false">L896*Scorecard!$C$12+M896*Scorecard!$C$13+N896*Scorecard!$C$14+O896*Scorecard!$C$15+P896*Scorecard!$C$16+Q896*Scorecard!$C$17</f>
        <v>3.74529985757113</v>
      </c>
      <c r="S896" s="47" t="n">
        <f aca="false">L896*Scorecard!$D$12+M896*Scorecard!$D$13+N896*Scorecard!$D$14+O896*Scorecard!$D$15+P896*Scorecard!$D$16+Q896*Scorecard!$D$17</f>
        <v>2.86082019627047</v>
      </c>
      <c r="T896" s="47" t="n">
        <f aca="false">L896*Scorecard!$E$12+M896*Scorecard!$E$13+N896*Scorecard!$E$14+O896*Scorecard!$E$15+P896*Scorecard!$E$16+Q896*Scorecard!$E$17</f>
        <v>3.74495725701197</v>
      </c>
      <c r="U896" s="0" t="str">
        <f aca="false">IF(AND(R896&gt;=S896,R896&gt;=T896),"Distribution",IF(T896&gt;=S896,"Prof. services","Manufacturing"))</f>
        <v>Distribution</v>
      </c>
    </row>
    <row r="897" customFormat="false" ht="15" hidden="false" customHeight="false" outlineLevel="0" collapsed="false">
      <c r="A897" s="46" t="n">
        <v>0.019497</v>
      </c>
      <c r="B897" s="46" t="n">
        <v>0.211401</v>
      </c>
      <c r="C897" s="46" t="n">
        <v>0.097942</v>
      </c>
      <c r="D897" s="46" t="n">
        <v>0.135879</v>
      </c>
      <c r="E897" s="46" t="n">
        <v>0.418347</v>
      </c>
      <c r="F897" s="46" t="n">
        <v>0.116934</v>
      </c>
      <c r="G897" s="47" t="n">
        <f aca="false">A897*Scorecard!$C$12+B897*Scorecard!$C$13+C897*Scorecard!$C$14+D897*Scorecard!$C$15+E897*Scorecard!$C$16+F897*Scorecard!$C$17</f>
        <v>4.07831712195389</v>
      </c>
      <c r="H897" s="47" t="n">
        <f aca="false">A897*Scorecard!$D$12+B897*Scorecard!$D$13+C897*Scorecard!$D$14+D897*Scorecard!$D$15+E897*Scorecard!$D$16+F897*Scorecard!$D$17</f>
        <v>2.8169125262415</v>
      </c>
      <c r="I897" s="47" t="n">
        <f aca="false">A897*Scorecard!$E$12+B897*Scorecard!$E$13+C897*Scorecard!$E$14+D897*Scorecard!$E$15+E897*Scorecard!$E$16+F897*Scorecard!$E$17</f>
        <v>3.1044590561534</v>
      </c>
      <c r="J897" s="0" t="str">
        <f aca="false">IF(AND(G897&gt;=H897,G897&gt;=I897),"Distribution",IF(I897&gt;=H897,"Prof. services","Manufacturing"))</f>
        <v>Distribution</v>
      </c>
      <c r="L897" s="46" t="n">
        <v>0.224183</v>
      </c>
      <c r="M897" s="46" t="n">
        <v>0.085526</v>
      </c>
      <c r="N897" s="46" t="n">
        <v>0.2509</v>
      </c>
      <c r="O897" s="46" t="n">
        <v>0.196778</v>
      </c>
      <c r="P897" s="46" t="n">
        <v>0.172357</v>
      </c>
      <c r="Q897" s="46" t="n">
        <v>0.070256</v>
      </c>
      <c r="R897" s="47" t="n">
        <f aca="false">L897*Scorecard!$C$12+M897*Scorecard!$C$13+N897*Scorecard!$C$14+O897*Scorecard!$C$15+P897*Scorecard!$C$16+Q897*Scorecard!$C$17</f>
        <v>3.73825940293319</v>
      </c>
      <c r="S897" s="47" t="n">
        <f aca="false">L897*Scorecard!$D$12+M897*Scorecard!$D$13+N897*Scorecard!$D$14+O897*Scorecard!$D$15+P897*Scorecard!$D$16+Q897*Scorecard!$D$17</f>
        <v>3.19957582132801</v>
      </c>
      <c r="T897" s="47" t="n">
        <f aca="false">L897*Scorecard!$E$12+M897*Scorecard!$E$13+N897*Scorecard!$E$14+O897*Scorecard!$E$15+P897*Scorecard!$E$16+Q897*Scorecard!$E$17</f>
        <v>4.09483112138007</v>
      </c>
      <c r="U897" s="0" t="str">
        <f aca="false">IF(AND(R897&gt;=S897,R897&gt;=T897),"Distribution",IF(T897&gt;=S897,"Prof. services","Manufacturing"))</f>
        <v>Prof. services</v>
      </c>
    </row>
    <row r="898" customFormat="false" ht="15" hidden="false" customHeight="false" outlineLevel="0" collapsed="false">
      <c r="A898" s="46" t="n">
        <v>0.135159</v>
      </c>
      <c r="B898" s="46" t="n">
        <v>0.311808</v>
      </c>
      <c r="C898" s="46" t="n">
        <v>0.12157</v>
      </c>
      <c r="D898" s="46" t="n">
        <v>0.346398</v>
      </c>
      <c r="E898" s="46" t="n">
        <v>0.059778</v>
      </c>
      <c r="F898" s="46" t="n">
        <v>0.025288</v>
      </c>
      <c r="G898" s="47" t="n">
        <f aca="false">A898*Scorecard!$C$12+B898*Scorecard!$C$13+C898*Scorecard!$C$14+D898*Scorecard!$C$15+E898*Scorecard!$C$16+F898*Scorecard!$C$17</f>
        <v>4.36434587250169</v>
      </c>
      <c r="H898" s="47" t="n">
        <f aca="false">A898*Scorecard!$D$12+B898*Scorecard!$D$13+C898*Scorecard!$D$14+D898*Scorecard!$D$15+E898*Scorecard!$D$16+F898*Scorecard!$D$17</f>
        <v>3.00425630666639</v>
      </c>
      <c r="I898" s="47" t="n">
        <f aca="false">A898*Scorecard!$E$12+B898*Scorecard!$E$13+C898*Scorecard!$E$14+D898*Scorecard!$E$15+E898*Scorecard!$E$16+F898*Scorecard!$E$17</f>
        <v>3.64177126505918</v>
      </c>
      <c r="J898" s="0" t="str">
        <f aca="false">IF(AND(G898&gt;=H898,G898&gt;=I898),"Distribution",IF(I898&gt;=H898,"Prof. services","Manufacturing"))</f>
        <v>Distribution</v>
      </c>
      <c r="L898" s="46" t="n">
        <v>0.300489</v>
      </c>
      <c r="M898" s="46" t="n">
        <v>0.112853</v>
      </c>
      <c r="N898" s="46" t="n">
        <v>0.267538</v>
      </c>
      <c r="O898" s="46" t="n">
        <v>0.076529</v>
      </c>
      <c r="P898" s="46" t="n">
        <v>0.198554</v>
      </c>
      <c r="Q898" s="46" t="n">
        <v>0.044038</v>
      </c>
      <c r="R898" s="47" t="n">
        <f aca="false">L898*Scorecard!$C$12+M898*Scorecard!$C$13+N898*Scorecard!$C$14+O898*Scorecard!$C$15+P898*Scorecard!$C$16+Q898*Scorecard!$C$17</f>
        <v>3.56042551473568</v>
      </c>
      <c r="S898" s="47" t="n">
        <f aca="false">L898*Scorecard!$D$12+M898*Scorecard!$D$13+N898*Scorecard!$D$14+O898*Scorecard!$D$15+P898*Scorecard!$D$16+Q898*Scorecard!$D$17</f>
        <v>3.11781893495375</v>
      </c>
      <c r="T898" s="47" t="n">
        <f aca="false">L898*Scorecard!$E$12+M898*Scorecard!$E$13+N898*Scorecard!$E$14+O898*Scorecard!$E$15+P898*Scorecard!$E$16+Q898*Scorecard!$E$17</f>
        <v>4.06002017991347</v>
      </c>
      <c r="U898" s="0" t="str">
        <f aca="false">IF(AND(R898&gt;=S898,R898&gt;=T898),"Distribution",IF(T898&gt;=S898,"Prof. services","Manufacturing"))</f>
        <v>Prof. services</v>
      </c>
    </row>
    <row r="899" customFormat="false" ht="15" hidden="false" customHeight="false" outlineLevel="0" collapsed="false">
      <c r="A899" s="46" t="n">
        <v>0.037296</v>
      </c>
      <c r="B899" s="46" t="n">
        <v>0.104502</v>
      </c>
      <c r="C899" s="46" t="n">
        <v>0.03165</v>
      </c>
      <c r="D899" s="46" t="n">
        <v>0.637142</v>
      </c>
      <c r="E899" s="46" t="n">
        <v>0.135482</v>
      </c>
      <c r="F899" s="46" t="n">
        <v>0.053928</v>
      </c>
      <c r="G899" s="47" t="n">
        <f aca="false">A899*Scorecard!$C$12+B899*Scorecard!$C$13+C899*Scorecard!$C$14+D899*Scorecard!$C$15+E899*Scorecard!$C$16+F899*Scorecard!$C$17</f>
        <v>4.5666546681229</v>
      </c>
      <c r="H899" s="47" t="n">
        <f aca="false">A899*Scorecard!$D$12+B899*Scorecard!$D$13+C899*Scorecard!$D$14+D899*Scorecard!$D$15+E899*Scorecard!$D$16+F899*Scorecard!$D$17</f>
        <v>3.5696286097229</v>
      </c>
      <c r="I899" s="47" t="n">
        <f aca="false">A899*Scorecard!$E$12+B899*Scorecard!$E$13+C899*Scorecard!$E$14+D899*Scorecard!$E$15+E899*Scorecard!$E$16+F899*Scorecard!$E$17</f>
        <v>3.77866555418995</v>
      </c>
      <c r="J899" s="0" t="str">
        <f aca="false">IF(AND(G899&gt;=H899,G899&gt;=I899),"Distribution",IF(I899&gt;=H899,"Prof. services","Manufacturing"))</f>
        <v>Distribution</v>
      </c>
      <c r="L899" s="46" t="n">
        <v>0.186536</v>
      </c>
      <c r="M899" s="46" t="n">
        <v>0.247051</v>
      </c>
      <c r="N899" s="46" t="n">
        <v>0.247452</v>
      </c>
      <c r="O899" s="46" t="n">
        <v>0.179526</v>
      </c>
      <c r="P899" s="46" t="n">
        <v>0.097226</v>
      </c>
      <c r="Q899" s="46" t="n">
        <v>0.042209</v>
      </c>
      <c r="R899" s="47" t="n">
        <f aca="false">L899*Scorecard!$C$12+M899*Scorecard!$C$13+N899*Scorecard!$C$14+O899*Scorecard!$C$15+P899*Scorecard!$C$16+Q899*Scorecard!$C$17</f>
        <v>4.00639153981589</v>
      </c>
      <c r="S899" s="47" t="n">
        <f aca="false">L899*Scorecard!$D$12+M899*Scorecard!$D$13+N899*Scorecard!$D$14+O899*Scorecard!$D$15+P899*Scorecard!$D$16+Q899*Scorecard!$D$17</f>
        <v>2.92931398997694</v>
      </c>
      <c r="T899" s="47" t="n">
        <f aca="false">L899*Scorecard!$E$12+M899*Scorecard!$E$13+N899*Scorecard!$E$14+O899*Scorecard!$E$15+P899*Scorecard!$E$16+Q899*Scorecard!$E$17</f>
        <v>3.8591454473925</v>
      </c>
      <c r="U899" s="0" t="str">
        <f aca="false">IF(AND(R899&gt;=S899,R899&gt;=T899),"Distribution",IF(T899&gt;=S899,"Prof. services","Manufacturing"))</f>
        <v>Distribution</v>
      </c>
    </row>
    <row r="900" customFormat="false" ht="15" hidden="false" customHeight="false" outlineLevel="0" collapsed="false">
      <c r="A900" s="46" t="n">
        <v>0.646037</v>
      </c>
      <c r="B900" s="46" t="n">
        <v>0.060736</v>
      </c>
      <c r="C900" s="46" t="n">
        <v>0.001418</v>
      </c>
      <c r="D900" s="46" t="n">
        <v>0.084927</v>
      </c>
      <c r="E900" s="46" t="n">
        <v>0.162662</v>
      </c>
      <c r="F900" s="46" t="n">
        <v>0.044219</v>
      </c>
      <c r="G900" s="47" t="n">
        <f aca="false">A900*Scorecard!$C$12+B900*Scorecard!$C$13+C900*Scorecard!$C$14+D900*Scorecard!$C$15+E900*Scorecard!$C$16+F900*Scorecard!$C$17</f>
        <v>2.89434518688637</v>
      </c>
      <c r="H900" s="47" t="n">
        <f aca="false">A900*Scorecard!$D$12+B900*Scorecard!$D$13+C900*Scorecard!$D$14+D900*Scorecard!$D$15+E900*Scorecard!$D$16+F900*Scorecard!$D$17</f>
        <v>3.42177843254759</v>
      </c>
      <c r="I900" s="47" t="n">
        <f aca="false">A900*Scorecard!$E$12+B900*Scorecard!$E$13+C900*Scorecard!$E$14+D900*Scorecard!$E$15+E900*Scorecard!$E$16+F900*Scorecard!$E$17</f>
        <v>4.29847887359541</v>
      </c>
      <c r="J900" s="0" t="str">
        <f aca="false">IF(AND(G900&gt;=H900,G900&gt;=I900),"Distribution",IF(I900&gt;=H900,"Prof. services","Manufacturing"))</f>
        <v>Prof. services</v>
      </c>
      <c r="L900" s="46" t="n">
        <v>0.046933</v>
      </c>
      <c r="M900" s="46" t="n">
        <v>0.158285</v>
      </c>
      <c r="N900" s="46" t="n">
        <v>0.251038</v>
      </c>
      <c r="O900" s="46" t="n">
        <v>0.164942</v>
      </c>
      <c r="P900" s="46" t="n">
        <v>0.321015</v>
      </c>
      <c r="Q900" s="46" t="n">
        <v>0.057788</v>
      </c>
      <c r="R900" s="47" t="n">
        <f aca="false">L900*Scorecard!$C$12+M900*Scorecard!$C$13+N900*Scorecard!$C$14+O900*Scorecard!$C$15+P900*Scorecard!$C$16+Q900*Scorecard!$C$17</f>
        <v>4.12317493068994</v>
      </c>
      <c r="S900" s="47" t="n">
        <f aca="false">L900*Scorecard!$D$12+M900*Scorecard!$D$13+N900*Scorecard!$D$14+O900*Scorecard!$D$15+P900*Scorecard!$D$16+Q900*Scorecard!$D$17</f>
        <v>3.00468509823289</v>
      </c>
      <c r="T900" s="47" t="n">
        <f aca="false">L900*Scorecard!$E$12+M900*Scorecard!$E$13+N900*Scorecard!$E$14+O900*Scorecard!$E$15+P900*Scorecard!$E$16+Q900*Scorecard!$E$17</f>
        <v>3.52203530021916</v>
      </c>
      <c r="U900" s="0" t="str">
        <f aca="false">IF(AND(R900&gt;=S900,R900&gt;=T900),"Distribution",IF(T900&gt;=S900,"Prof. services","Manufacturing"))</f>
        <v>Distribution</v>
      </c>
    </row>
    <row r="901" customFormat="false" ht="15" hidden="false" customHeight="false" outlineLevel="0" collapsed="false">
      <c r="A901" s="46" t="n">
        <v>0.014481</v>
      </c>
      <c r="B901" s="46" t="n">
        <v>0.381614</v>
      </c>
      <c r="C901" s="46" t="n">
        <v>0.071671</v>
      </c>
      <c r="D901" s="46" t="n">
        <v>0.173532</v>
      </c>
      <c r="E901" s="46" t="n">
        <v>0.246451</v>
      </c>
      <c r="F901" s="46" t="n">
        <v>0.112252</v>
      </c>
      <c r="G901" s="47" t="n">
        <f aca="false">A901*Scorecard!$C$12+B901*Scorecard!$C$13+C901*Scorecard!$C$14+D901*Scorecard!$C$15+E901*Scorecard!$C$16+F901*Scorecard!$C$17</f>
        <v>4.30457999348691</v>
      </c>
      <c r="H901" s="47" t="n">
        <f aca="false">A901*Scorecard!$D$12+B901*Scorecard!$D$13+C901*Scorecard!$D$14+D901*Scorecard!$D$15+E901*Scorecard!$D$16+F901*Scorecard!$D$17</f>
        <v>2.55142515475621</v>
      </c>
      <c r="I901" s="47" t="n">
        <f aca="false">A901*Scorecard!$E$12+B901*Scorecard!$E$13+C901*Scorecard!$E$14+D901*Scorecard!$E$15+E901*Scorecard!$E$16+F901*Scorecard!$E$17</f>
        <v>3.04425825121496</v>
      </c>
      <c r="J901" s="0" t="str">
        <f aca="false">IF(AND(G901&gt;=H901,G901&gt;=I901),"Distribution",IF(I901&gt;=H901,"Prof. services","Manufacturing"))</f>
        <v>Distribution</v>
      </c>
      <c r="L901" s="46" t="n">
        <v>0.306496</v>
      </c>
      <c r="M901" s="46" t="n">
        <v>0.153213</v>
      </c>
      <c r="N901" s="46" t="n">
        <v>0.101691</v>
      </c>
      <c r="O901" s="46" t="n">
        <v>0.134573</v>
      </c>
      <c r="P901" s="46" t="n">
        <v>0.152707</v>
      </c>
      <c r="Q901" s="46" t="n">
        <v>0.151321</v>
      </c>
      <c r="R901" s="47" t="n">
        <f aca="false">L901*Scorecard!$C$12+M901*Scorecard!$C$13+N901*Scorecard!$C$14+O901*Scorecard!$C$15+P901*Scorecard!$C$16+Q901*Scorecard!$C$17</f>
        <v>3.43345082907004</v>
      </c>
      <c r="S901" s="47" t="n">
        <f aca="false">L901*Scorecard!$D$12+M901*Scorecard!$D$13+N901*Scorecard!$D$14+O901*Scorecard!$D$15+P901*Scorecard!$D$16+Q901*Scorecard!$D$17</f>
        <v>2.95219370358866</v>
      </c>
      <c r="T901" s="47" t="n">
        <f aca="false">L901*Scorecard!$E$12+M901*Scorecard!$E$13+N901*Scorecard!$E$14+O901*Scorecard!$E$15+P901*Scorecard!$E$16+Q901*Scorecard!$E$17</f>
        <v>3.96406024919556</v>
      </c>
      <c r="U901" s="0" t="str">
        <f aca="false">IF(AND(R901&gt;=S901,R901&gt;=T901),"Distribution",IF(T901&gt;=S901,"Prof. services","Manufacturing"))</f>
        <v>Prof. services</v>
      </c>
    </row>
    <row r="902" customFormat="false" ht="15" hidden="false" customHeight="false" outlineLevel="0" collapsed="false">
      <c r="A902" s="46" t="n">
        <v>0.110443</v>
      </c>
      <c r="B902" s="46" t="n">
        <v>0.098016</v>
      </c>
      <c r="C902" s="46" t="n">
        <v>0.413278</v>
      </c>
      <c r="D902" s="46" t="n">
        <v>0.056082</v>
      </c>
      <c r="E902" s="46" t="n">
        <v>0.205739</v>
      </c>
      <c r="F902" s="46" t="n">
        <v>0.116442</v>
      </c>
      <c r="G902" s="47" t="n">
        <f aca="false">A902*Scorecard!$C$12+B902*Scorecard!$C$13+C902*Scorecard!$C$14+D902*Scorecard!$C$15+E902*Scorecard!$C$16+F902*Scorecard!$C$17</f>
        <v>3.7224150249758</v>
      </c>
      <c r="H902" s="47" t="n">
        <f aca="false">A902*Scorecard!$D$12+B902*Scorecard!$D$13+C902*Scorecard!$D$14+D902*Scorecard!$D$15+E902*Scorecard!$D$16+F902*Scorecard!$D$17</f>
        <v>2.88467030640435</v>
      </c>
      <c r="I902" s="47" t="n">
        <f aca="false">A902*Scorecard!$E$12+B902*Scorecard!$E$13+C902*Scorecard!$E$14+D902*Scorecard!$E$15+E902*Scorecard!$E$16+F902*Scorecard!$E$17</f>
        <v>4.06440970982846</v>
      </c>
      <c r="J902" s="0" t="str">
        <f aca="false">IF(AND(G902&gt;=H902,G902&gt;=I902),"Distribution",IF(I902&gt;=H902,"Prof. services","Manufacturing"))</f>
        <v>Prof. services</v>
      </c>
      <c r="L902" s="46" t="n">
        <v>0.139527</v>
      </c>
      <c r="M902" s="46" t="n">
        <v>0.197252</v>
      </c>
      <c r="N902" s="46" t="n">
        <v>0.176471</v>
      </c>
      <c r="O902" s="46" t="n">
        <v>0.108739</v>
      </c>
      <c r="P902" s="46" t="n">
        <v>0.261449</v>
      </c>
      <c r="Q902" s="46" t="n">
        <v>0.116562</v>
      </c>
      <c r="R902" s="47" t="n">
        <f aca="false">L902*Scorecard!$C$12+M902*Scorecard!$C$13+N902*Scorecard!$C$14+O902*Scorecard!$C$15+P902*Scorecard!$C$16+Q902*Scorecard!$C$17</f>
        <v>3.82171641020978</v>
      </c>
      <c r="S902" s="47" t="n">
        <f aca="false">L902*Scorecard!$D$12+M902*Scorecard!$D$13+N902*Scorecard!$D$14+O902*Scorecard!$D$15+P902*Scorecard!$D$16+Q902*Scorecard!$D$17</f>
        <v>2.8342761919332</v>
      </c>
      <c r="T902" s="47" t="n">
        <f aca="false">L902*Scorecard!$E$12+M902*Scorecard!$E$13+N902*Scorecard!$E$14+O902*Scorecard!$E$15+P902*Scorecard!$E$16+Q902*Scorecard!$E$17</f>
        <v>3.58641245856747</v>
      </c>
      <c r="U902" s="0" t="str">
        <f aca="false">IF(AND(R902&gt;=S902,R902&gt;=T902),"Distribution",IF(T902&gt;=S902,"Prof. services","Manufacturing"))</f>
        <v>Distribution</v>
      </c>
    </row>
    <row r="903" customFormat="false" ht="15" hidden="false" customHeight="false" outlineLevel="0" collapsed="false">
      <c r="A903" s="46" t="n">
        <v>0.022492</v>
      </c>
      <c r="B903" s="46" t="n">
        <v>0.23522</v>
      </c>
      <c r="C903" s="46" t="n">
        <v>0.350018</v>
      </c>
      <c r="D903" s="46" t="n">
        <v>0.090157</v>
      </c>
      <c r="E903" s="46" t="n">
        <v>0.191694</v>
      </c>
      <c r="F903" s="46" t="n">
        <v>0.110419</v>
      </c>
      <c r="G903" s="47" t="n">
        <f aca="false">A903*Scorecard!$C$12+B903*Scorecard!$C$13+C903*Scorecard!$C$14+D903*Scorecard!$C$15+E903*Scorecard!$C$16+F903*Scorecard!$C$17</f>
        <v>4.06405307924229</v>
      </c>
      <c r="H903" s="47" t="n">
        <f aca="false">A903*Scorecard!$D$12+B903*Scorecard!$D$13+C903*Scorecard!$D$14+D903*Scorecard!$D$15+E903*Scorecard!$D$16+F903*Scorecard!$D$17</f>
        <v>2.66443033389115</v>
      </c>
      <c r="I903" s="47" t="n">
        <f aca="false">A903*Scorecard!$E$12+B903*Scorecard!$E$13+C903*Scorecard!$E$14+D903*Scorecard!$E$15+E903*Scorecard!$E$16+F903*Scorecard!$E$17</f>
        <v>3.68184948746077</v>
      </c>
      <c r="J903" s="0" t="str">
        <f aca="false">IF(AND(G903&gt;=H903,G903&gt;=I903),"Distribution",IF(I903&gt;=H903,"Prof. services","Manufacturing"))</f>
        <v>Distribution</v>
      </c>
      <c r="L903" s="46" t="n">
        <v>0.092369</v>
      </c>
      <c r="M903" s="46" t="n">
        <v>0.299596</v>
      </c>
      <c r="N903" s="46" t="n">
        <v>0.127172</v>
      </c>
      <c r="O903" s="46" t="n">
        <v>0.215069</v>
      </c>
      <c r="P903" s="46" t="n">
        <v>0.089472</v>
      </c>
      <c r="Q903" s="46" t="n">
        <v>0.176321</v>
      </c>
      <c r="R903" s="47" t="n">
        <f aca="false">L903*Scorecard!$C$12+M903*Scorecard!$C$13+N903*Scorecard!$C$14+O903*Scorecard!$C$15+P903*Scorecard!$C$16+Q903*Scorecard!$C$17</f>
        <v>3.99575348272855</v>
      </c>
      <c r="S903" s="47" t="n">
        <f aca="false">L903*Scorecard!$D$12+M903*Scorecard!$D$13+N903*Scorecard!$D$14+O903*Scorecard!$D$15+P903*Scorecard!$D$16+Q903*Scorecard!$D$17</f>
        <v>2.62563229043582</v>
      </c>
      <c r="T903" s="47" t="n">
        <f aca="false">L903*Scorecard!$E$12+M903*Scorecard!$E$13+N903*Scorecard!$E$14+O903*Scorecard!$E$15+P903*Scorecard!$E$16+Q903*Scorecard!$E$17</f>
        <v>3.63195400432004</v>
      </c>
      <c r="U903" s="0" t="str">
        <f aca="false">IF(AND(R903&gt;=S903,R903&gt;=T903),"Distribution",IF(T903&gt;=S903,"Prof. services","Manufacturing"))</f>
        <v>Distribution</v>
      </c>
    </row>
    <row r="904" customFormat="false" ht="15" hidden="false" customHeight="false" outlineLevel="0" collapsed="false">
      <c r="A904" s="46" t="n">
        <v>0.002565</v>
      </c>
      <c r="B904" s="46" t="n">
        <v>0.05128</v>
      </c>
      <c r="C904" s="46" t="n">
        <v>0.05848</v>
      </c>
      <c r="D904" s="46" t="n">
        <v>0.752481</v>
      </c>
      <c r="E904" s="46" t="n">
        <v>0.112014</v>
      </c>
      <c r="F904" s="46" t="n">
        <v>0.02318</v>
      </c>
      <c r="G904" s="47" t="n">
        <f aca="false">A904*Scorecard!$C$12+B904*Scorecard!$C$13+C904*Scorecard!$C$14+D904*Scorecard!$C$15+E904*Scorecard!$C$16+F904*Scorecard!$C$17</f>
        <v>4.75278396342061</v>
      </c>
      <c r="H904" s="47" t="n">
        <f aca="false">A904*Scorecard!$D$12+B904*Scorecard!$D$13+C904*Scorecard!$D$14+D904*Scorecard!$D$15+E904*Scorecard!$D$16+F904*Scorecard!$D$17</f>
        <v>3.79839391850401</v>
      </c>
      <c r="I904" s="47" t="n">
        <f aca="false">A904*Scorecard!$E$12+B904*Scorecard!$E$13+C904*Scorecard!$E$14+D904*Scorecard!$E$15+E904*Scorecard!$E$16+F904*Scorecard!$E$17</f>
        <v>3.91325472028306</v>
      </c>
      <c r="J904" s="0" t="str">
        <f aca="false">IF(AND(G904&gt;=H904,G904&gt;=I904),"Distribution",IF(I904&gt;=H904,"Prof. services","Manufacturing"))</f>
        <v>Distribution</v>
      </c>
      <c r="L904" s="46" t="n">
        <v>0.101854</v>
      </c>
      <c r="M904" s="46" t="n">
        <v>0.139868</v>
      </c>
      <c r="N904" s="46" t="n">
        <v>0.294975</v>
      </c>
      <c r="O904" s="46" t="n">
        <v>0.157419</v>
      </c>
      <c r="P904" s="46" t="n">
        <v>0.075778</v>
      </c>
      <c r="Q904" s="46" t="n">
        <v>0.230106</v>
      </c>
      <c r="R904" s="47" t="n">
        <f aca="false">L904*Scorecard!$C$12+M904*Scorecard!$C$13+N904*Scorecard!$C$14+O904*Scorecard!$C$15+P904*Scorecard!$C$16+Q904*Scorecard!$C$17</f>
        <v>3.65373634746326</v>
      </c>
      <c r="S904" s="47" t="n">
        <f aca="false">L904*Scorecard!$D$12+M904*Scorecard!$D$13+N904*Scorecard!$D$14+O904*Scorecard!$D$15+P904*Scorecard!$D$16+Q904*Scorecard!$D$17</f>
        <v>2.7196724656301</v>
      </c>
      <c r="T904" s="47" t="n">
        <f aca="false">L904*Scorecard!$E$12+M904*Scorecard!$E$13+N904*Scorecard!$E$14+O904*Scorecard!$E$15+P904*Scorecard!$E$16+Q904*Scorecard!$E$17</f>
        <v>4.14908472779986</v>
      </c>
      <c r="U904" s="0" t="str">
        <f aca="false">IF(AND(R904&gt;=S904,R904&gt;=T904),"Distribution",IF(T904&gt;=S904,"Prof. services","Manufacturing"))</f>
        <v>Prof. services</v>
      </c>
    </row>
    <row r="905" customFormat="false" ht="15" hidden="false" customHeight="false" outlineLevel="0" collapsed="false">
      <c r="A905" s="46" t="n">
        <v>0.083127</v>
      </c>
      <c r="B905" s="46" t="n">
        <v>0.018386</v>
      </c>
      <c r="C905" s="46" t="n">
        <v>0.307783</v>
      </c>
      <c r="D905" s="46" t="n">
        <v>0.312287</v>
      </c>
      <c r="E905" s="46" t="n">
        <v>0.227591</v>
      </c>
      <c r="F905" s="46" t="n">
        <v>0.050826</v>
      </c>
      <c r="G905" s="47" t="n">
        <f aca="false">A905*Scorecard!$C$12+B905*Scorecard!$C$13+C905*Scorecard!$C$14+D905*Scorecard!$C$15+E905*Scorecard!$C$16+F905*Scorecard!$C$17</f>
        <v>4.07939121452843</v>
      </c>
      <c r="H905" s="47" t="n">
        <f aca="false">A905*Scorecard!$D$12+B905*Scorecard!$D$13+C905*Scorecard!$D$14+D905*Scorecard!$D$15+E905*Scorecard!$D$16+F905*Scorecard!$D$17</f>
        <v>3.38845299652489</v>
      </c>
      <c r="I905" s="47" t="n">
        <f aca="false">A905*Scorecard!$E$12+B905*Scorecard!$E$13+C905*Scorecard!$E$14+D905*Scorecard!$E$15+E905*Scorecard!$E$16+F905*Scorecard!$E$17</f>
        <v>4.05376961358046</v>
      </c>
      <c r="J905" s="0" t="str">
        <f aca="false">IF(AND(G905&gt;=H905,G905&gt;=I905),"Distribution",IF(I905&gt;=H905,"Prof. services","Manufacturing"))</f>
        <v>Distribution</v>
      </c>
      <c r="L905" s="46" t="n">
        <v>0.1769</v>
      </c>
      <c r="M905" s="46" t="n">
        <v>0.189431</v>
      </c>
      <c r="N905" s="46" t="n">
        <v>0.196657</v>
      </c>
      <c r="O905" s="46" t="n">
        <v>0.21231</v>
      </c>
      <c r="P905" s="46" t="n">
        <v>0.131709</v>
      </c>
      <c r="Q905" s="46" t="n">
        <v>0.092992</v>
      </c>
      <c r="R905" s="47" t="n">
        <f aca="false">L905*Scorecard!$C$12+M905*Scorecard!$C$13+N905*Scorecard!$C$14+O905*Scorecard!$C$15+P905*Scorecard!$C$16+Q905*Scorecard!$C$17</f>
        <v>3.89733047723458</v>
      </c>
      <c r="S905" s="47" t="n">
        <f aca="false">L905*Scorecard!$D$12+M905*Scorecard!$D$13+N905*Scorecard!$D$14+O905*Scorecard!$D$15+P905*Scorecard!$D$16+Q905*Scorecard!$D$17</f>
        <v>2.98270561652133</v>
      </c>
      <c r="T905" s="47" t="n">
        <f aca="false">L905*Scorecard!$E$12+M905*Scorecard!$E$13+N905*Scorecard!$E$14+O905*Scorecard!$E$15+P905*Scorecard!$E$16+Q905*Scorecard!$E$17</f>
        <v>3.88008182532716</v>
      </c>
      <c r="U905" s="0" t="str">
        <f aca="false">IF(AND(R905&gt;=S905,R905&gt;=T905),"Distribution",IF(T905&gt;=S905,"Prof. services","Manufacturing"))</f>
        <v>Distribution</v>
      </c>
    </row>
    <row r="906" customFormat="false" ht="15" hidden="false" customHeight="false" outlineLevel="0" collapsed="false">
      <c r="A906" s="46" t="n">
        <v>0.009279</v>
      </c>
      <c r="B906" s="46" t="n">
        <v>0.073555</v>
      </c>
      <c r="C906" s="46" t="n">
        <v>0.38339</v>
      </c>
      <c r="D906" s="46" t="n">
        <v>0.333247</v>
      </c>
      <c r="E906" s="46" t="n">
        <v>0.027054</v>
      </c>
      <c r="F906" s="46" t="n">
        <v>0.173475</v>
      </c>
      <c r="G906" s="47" t="n">
        <f aca="false">A906*Scorecard!$C$12+B906*Scorecard!$C$13+C906*Scorecard!$C$14+D906*Scorecard!$C$15+E906*Scorecard!$C$16+F906*Scorecard!$C$17</f>
        <v>4.04314966767247</v>
      </c>
      <c r="H906" s="47" t="n">
        <f aca="false">A906*Scorecard!$D$12+B906*Scorecard!$D$13+C906*Scorecard!$D$14+D906*Scorecard!$D$15+E906*Scorecard!$D$16+F906*Scorecard!$D$17</f>
        <v>3.03030898268149</v>
      </c>
      <c r="I906" s="47" t="n">
        <f aca="false">A906*Scorecard!$E$12+B906*Scorecard!$E$13+C906*Scorecard!$E$14+D906*Scorecard!$E$15+E906*Scorecard!$E$16+F906*Scorecard!$E$17</f>
        <v>4.35104690894854</v>
      </c>
      <c r="J906" s="0" t="str">
        <f aca="false">IF(AND(G906&gt;=H906,G906&gt;=I906),"Distribution",IF(I906&gt;=H906,"Prof. services","Manufacturing"))</f>
        <v>Prof. services</v>
      </c>
      <c r="L906" s="46" t="n">
        <v>0.292907</v>
      </c>
      <c r="M906" s="46" t="n">
        <v>0.277818</v>
      </c>
      <c r="N906" s="46" t="n">
        <v>0.17228</v>
      </c>
      <c r="O906" s="46" t="n">
        <v>0.127728</v>
      </c>
      <c r="P906" s="46" t="n">
        <v>0.030301</v>
      </c>
      <c r="Q906" s="46" t="n">
        <v>0.098967</v>
      </c>
      <c r="R906" s="47" t="n">
        <f aca="false">L906*Scorecard!$C$12+M906*Scorecard!$C$13+N906*Scorecard!$C$14+O906*Scorecard!$C$15+P906*Scorecard!$C$16+Q906*Scorecard!$C$17</f>
        <v>3.68037922286235</v>
      </c>
      <c r="S906" s="47" t="n">
        <f aca="false">L906*Scorecard!$D$12+M906*Scorecard!$D$13+N906*Scorecard!$D$14+O906*Scorecard!$D$15+P906*Scorecard!$D$16+Q906*Scorecard!$D$17</f>
        <v>2.78599009386615</v>
      </c>
      <c r="T906" s="47" t="n">
        <f aca="false">L906*Scorecard!$E$12+M906*Scorecard!$E$13+N906*Scorecard!$E$14+O906*Scorecard!$E$15+P906*Scorecard!$E$16+Q906*Scorecard!$E$17</f>
        <v>3.96406232923432</v>
      </c>
      <c r="U906" s="0" t="str">
        <f aca="false">IF(AND(R906&gt;=S906,R906&gt;=T906),"Distribution",IF(T906&gt;=S906,"Prof. services","Manufacturing"))</f>
        <v>Prof. services</v>
      </c>
    </row>
    <row r="907" customFormat="false" ht="15" hidden="false" customHeight="false" outlineLevel="0" collapsed="false">
      <c r="A907" s="46" t="n">
        <v>0.163349</v>
      </c>
      <c r="B907" s="46" t="n">
        <v>0.297491</v>
      </c>
      <c r="C907" s="46" t="n">
        <v>0.308505</v>
      </c>
      <c r="D907" s="46" t="n">
        <v>0.027443</v>
      </c>
      <c r="E907" s="46" t="n">
        <v>0.139075</v>
      </c>
      <c r="F907" s="46" t="n">
        <v>0.064137</v>
      </c>
      <c r="G907" s="47" t="n">
        <f aca="false">A907*Scorecard!$C$12+B907*Scorecard!$C$13+C907*Scorecard!$C$14+D907*Scorecard!$C$15+E907*Scorecard!$C$16+F907*Scorecard!$C$17</f>
        <v>3.90262947048497</v>
      </c>
      <c r="H907" s="47" t="n">
        <f aca="false">A907*Scorecard!$D$12+B907*Scorecard!$D$13+C907*Scorecard!$D$14+D907*Scorecard!$D$15+E907*Scorecard!$D$16+F907*Scorecard!$D$17</f>
        <v>2.64328742096622</v>
      </c>
      <c r="I907" s="47" t="n">
        <f aca="false">A907*Scorecard!$E$12+B907*Scorecard!$E$13+C907*Scorecard!$E$14+D907*Scorecard!$E$15+E907*Scorecard!$E$16+F907*Scorecard!$E$17</f>
        <v>3.71866409859914</v>
      </c>
      <c r="J907" s="0" t="str">
        <f aca="false">IF(AND(G907&gt;=H907,G907&gt;=I907),"Distribution",IF(I907&gt;=H907,"Prof. services","Manufacturing"))</f>
        <v>Distribution</v>
      </c>
      <c r="L907" s="46" t="n">
        <v>0.249297</v>
      </c>
      <c r="M907" s="46" t="n">
        <v>0.15047</v>
      </c>
      <c r="N907" s="46" t="n">
        <v>0.298969</v>
      </c>
      <c r="O907" s="46" t="n">
        <v>0.050974</v>
      </c>
      <c r="P907" s="46" t="n">
        <v>0.082585</v>
      </c>
      <c r="Q907" s="46" t="n">
        <v>0.167705</v>
      </c>
      <c r="R907" s="47" t="n">
        <f aca="false">L907*Scorecard!$C$12+M907*Scorecard!$C$13+N907*Scorecard!$C$14+O907*Scorecard!$C$15+P907*Scorecard!$C$16+Q907*Scorecard!$C$17</f>
        <v>3.41729584478321</v>
      </c>
      <c r="S907" s="47" t="n">
        <f aca="false">L907*Scorecard!$D$12+M907*Scorecard!$D$13+N907*Scorecard!$D$14+O907*Scorecard!$D$15+P907*Scorecard!$D$16+Q907*Scorecard!$D$17</f>
        <v>2.77379756155327</v>
      </c>
      <c r="T907" s="47" t="n">
        <f aca="false">L907*Scorecard!$E$12+M907*Scorecard!$E$13+N907*Scorecard!$E$14+O907*Scorecard!$E$15+P907*Scorecard!$E$16+Q907*Scorecard!$E$17</f>
        <v>4.22062253255366</v>
      </c>
      <c r="U907" s="0" t="str">
        <f aca="false">IF(AND(R907&gt;=S907,R907&gt;=T907),"Distribution",IF(T907&gt;=S907,"Prof. services","Manufacturing"))</f>
        <v>Prof. services</v>
      </c>
    </row>
    <row r="908" customFormat="false" ht="15" hidden="false" customHeight="false" outlineLevel="0" collapsed="false">
      <c r="A908" s="46" t="n">
        <v>0.192245</v>
      </c>
      <c r="B908" s="46" t="n">
        <v>0.040633</v>
      </c>
      <c r="C908" s="46" t="n">
        <v>0.093868</v>
      </c>
      <c r="D908" s="46" t="n">
        <v>0.117046</v>
      </c>
      <c r="E908" s="46" t="n">
        <v>0.139579</v>
      </c>
      <c r="F908" s="46" t="n">
        <v>0.41663</v>
      </c>
      <c r="G908" s="47" t="n">
        <f aca="false">A908*Scorecard!$C$12+B908*Scorecard!$C$13+C908*Scorecard!$C$14+D908*Scorecard!$C$15+E908*Scorecard!$C$16+F908*Scorecard!$C$17</f>
        <v>2.97837925840001</v>
      </c>
      <c r="H908" s="47" t="n">
        <f aca="false">A908*Scorecard!$D$12+B908*Scorecard!$D$13+C908*Scorecard!$D$14+D908*Scorecard!$D$15+E908*Scorecard!$D$16+F908*Scorecard!$D$17</f>
        <v>2.62307864193227</v>
      </c>
      <c r="I908" s="47" t="n">
        <f aca="false">A908*Scorecard!$E$12+B908*Scorecard!$E$13+C908*Scorecard!$E$14+D908*Scorecard!$E$15+E908*Scorecard!$E$16+F908*Scorecard!$E$17</f>
        <v>4.20479803385349</v>
      </c>
      <c r="J908" s="0" t="str">
        <f aca="false">IF(AND(G908&gt;=H908,G908&gt;=I908),"Distribution",IF(I908&gt;=H908,"Prof. services","Manufacturing"))</f>
        <v>Prof. services</v>
      </c>
      <c r="L908" s="46" t="n">
        <v>0.302677</v>
      </c>
      <c r="M908" s="46" t="n">
        <v>0.096459</v>
      </c>
      <c r="N908" s="46" t="n">
        <v>0.105141</v>
      </c>
      <c r="O908" s="46" t="n">
        <v>0.214054</v>
      </c>
      <c r="P908" s="46" t="n">
        <v>0.193255</v>
      </c>
      <c r="Q908" s="46" t="n">
        <v>0.088415</v>
      </c>
      <c r="R908" s="47" t="n">
        <f aca="false">L908*Scorecard!$C$12+M908*Scorecard!$C$13+N908*Scorecard!$C$14+O908*Scorecard!$C$15+P908*Scorecard!$C$16+Q908*Scorecard!$C$17</f>
        <v>3.58886408353268</v>
      </c>
      <c r="S908" s="47" t="n">
        <f aca="false">L908*Scorecard!$D$12+M908*Scorecard!$D$13+N908*Scorecard!$D$14+O908*Scorecard!$D$15+P908*Scorecard!$D$16+Q908*Scorecard!$D$17</f>
        <v>3.23474441312141</v>
      </c>
      <c r="T908" s="47" t="n">
        <f aca="false">L908*Scorecard!$E$12+M908*Scorecard!$E$13+N908*Scorecard!$E$14+O908*Scorecard!$E$15+P908*Scorecard!$E$16+Q908*Scorecard!$E$17</f>
        <v>3.98414899159561</v>
      </c>
      <c r="U908" s="0" t="str">
        <f aca="false">IF(AND(R908&gt;=S908,R908&gt;=T908),"Distribution",IF(T908&gt;=S908,"Prof. services","Manufacturing"))</f>
        <v>Prof. services</v>
      </c>
    </row>
    <row r="909" customFormat="false" ht="15" hidden="false" customHeight="false" outlineLevel="0" collapsed="false">
      <c r="A909" s="46" t="n">
        <v>0.001894</v>
      </c>
      <c r="B909" s="46" t="n">
        <v>0.450357</v>
      </c>
      <c r="C909" s="46" t="n">
        <v>0.146452</v>
      </c>
      <c r="D909" s="46" t="n">
        <v>0.19145</v>
      </c>
      <c r="E909" s="46" t="n">
        <v>0.027109</v>
      </c>
      <c r="F909" s="46" t="n">
        <v>0.182739</v>
      </c>
      <c r="G909" s="47" t="n">
        <f aca="false">A909*Scorecard!$C$12+B909*Scorecard!$C$13+C909*Scorecard!$C$14+D909*Scorecard!$C$15+E909*Scorecard!$C$16+F909*Scorecard!$C$17</f>
        <v>4.27292377298973</v>
      </c>
      <c r="H909" s="47" t="n">
        <f aca="false">A909*Scorecard!$D$12+B909*Scorecard!$D$13+C909*Scorecard!$D$14+D909*Scorecard!$D$15+E909*Scorecard!$D$16+F909*Scorecard!$D$17</f>
        <v>2.28182555768259</v>
      </c>
      <c r="I909" s="47" t="n">
        <f aca="false">A909*Scorecard!$E$12+B909*Scorecard!$E$13+C909*Scorecard!$E$14+D909*Scorecard!$E$15+E909*Scorecard!$E$16+F909*Scorecard!$E$17</f>
        <v>3.38127276460157</v>
      </c>
      <c r="J909" s="0" t="str">
        <f aca="false">IF(AND(G909&gt;=H909,G909&gt;=I909),"Distribution",IF(I909&gt;=H909,"Prof. services","Manufacturing"))</f>
        <v>Distribution</v>
      </c>
      <c r="L909" s="46" t="n">
        <v>0.318673</v>
      </c>
      <c r="M909" s="46" t="n">
        <v>0.143577</v>
      </c>
      <c r="N909" s="46" t="n">
        <v>0.0688</v>
      </c>
      <c r="O909" s="46" t="n">
        <v>0.19339</v>
      </c>
      <c r="P909" s="46" t="n">
        <v>0.213872</v>
      </c>
      <c r="Q909" s="46" t="n">
        <v>0.061687</v>
      </c>
      <c r="R909" s="47" t="n">
        <f aca="false">L909*Scorecard!$C$12+M909*Scorecard!$C$13+N909*Scorecard!$C$14+O909*Scorecard!$C$15+P909*Scorecard!$C$16+Q909*Scorecard!$C$17</f>
        <v>3.63997305541422</v>
      </c>
      <c r="S909" s="47" t="n">
        <f aca="false">L909*Scorecard!$D$12+M909*Scorecard!$D$13+N909*Scorecard!$D$14+O909*Scorecard!$D$15+P909*Scorecard!$D$16+Q909*Scorecard!$D$17</f>
        <v>3.19762317939611</v>
      </c>
      <c r="T909" s="47" t="n">
        <f aca="false">L909*Scorecard!$E$12+M909*Scorecard!$E$13+N909*Scorecard!$E$14+O909*Scorecard!$E$15+P909*Scorecard!$E$16+Q909*Scorecard!$E$17</f>
        <v>3.82430521695745</v>
      </c>
      <c r="U909" s="0" t="str">
        <f aca="false">IF(AND(R909&gt;=S909,R909&gt;=T909),"Distribution",IF(T909&gt;=S909,"Prof. services","Manufacturing"))</f>
        <v>Prof. services</v>
      </c>
    </row>
    <row r="910" customFormat="false" ht="15" hidden="false" customHeight="false" outlineLevel="0" collapsed="false">
      <c r="A910" s="46" t="n">
        <v>0.090113</v>
      </c>
      <c r="B910" s="46" t="n">
        <v>0.026025</v>
      </c>
      <c r="C910" s="46" t="n">
        <v>0.173446</v>
      </c>
      <c r="D910" s="46" t="n">
        <v>0.026848</v>
      </c>
      <c r="E910" s="46" t="n">
        <v>0.028262</v>
      </c>
      <c r="F910" s="46" t="n">
        <v>0.655306</v>
      </c>
      <c r="G910" s="47" t="n">
        <f aca="false">A910*Scorecard!$C$12+B910*Scorecard!$C$13+C910*Scorecard!$C$14+D910*Scorecard!$C$15+E910*Scorecard!$C$16+F910*Scorecard!$C$17</f>
        <v>2.5800563149013</v>
      </c>
      <c r="H910" s="47" t="n">
        <f aca="false">A910*Scorecard!$D$12+B910*Scorecard!$D$13+C910*Scorecard!$D$14+D910*Scorecard!$D$15+E910*Scorecard!$D$16+F910*Scorecard!$D$17</f>
        <v>2.07800249708502</v>
      </c>
      <c r="I910" s="47" t="n">
        <f aca="false">A910*Scorecard!$E$12+B910*Scorecard!$E$13+C910*Scorecard!$E$14+D910*Scorecard!$E$15+E910*Scorecard!$E$16+F910*Scorecard!$E$17</f>
        <v>4.49970253311485</v>
      </c>
      <c r="J910" s="0" t="str">
        <f aca="false">IF(AND(G910&gt;=H910,G910&gt;=I910),"Distribution",IF(I910&gt;=H910,"Prof. services","Manufacturing"))</f>
        <v>Prof. services</v>
      </c>
      <c r="L910" s="46" t="n">
        <v>0.130067</v>
      </c>
      <c r="M910" s="46" t="n">
        <v>0.080423</v>
      </c>
      <c r="N910" s="46" t="n">
        <v>0.217267</v>
      </c>
      <c r="O910" s="46" t="n">
        <v>0.188732</v>
      </c>
      <c r="P910" s="46" t="n">
        <v>0.25265</v>
      </c>
      <c r="Q910" s="46" t="n">
        <v>0.130861</v>
      </c>
      <c r="R910" s="47" t="n">
        <f aca="false">L910*Scorecard!$C$12+M910*Scorecard!$C$13+N910*Scorecard!$C$14+O910*Scorecard!$C$15+P910*Scorecard!$C$16+Q910*Scorecard!$C$17</f>
        <v>3.77331054511854</v>
      </c>
      <c r="S910" s="47" t="n">
        <f aca="false">L910*Scorecard!$D$12+M910*Scorecard!$D$13+N910*Scorecard!$D$14+O910*Scorecard!$D$15+P910*Scorecard!$D$16+Q910*Scorecard!$D$17</f>
        <v>3.07160965191093</v>
      </c>
      <c r="T910" s="47" t="n">
        <f aca="false">L910*Scorecard!$E$12+M910*Scorecard!$E$13+N910*Scorecard!$E$14+O910*Scorecard!$E$15+P910*Scorecard!$E$16+Q910*Scorecard!$E$17</f>
        <v>3.87181364680665</v>
      </c>
      <c r="U910" s="0" t="str">
        <f aca="false">IF(AND(R910&gt;=S910,R910&gt;=T910),"Distribution",IF(T910&gt;=S910,"Prof. services","Manufacturing"))</f>
        <v>Prof. services</v>
      </c>
    </row>
    <row r="911" customFormat="false" ht="15" hidden="false" customHeight="false" outlineLevel="0" collapsed="false">
      <c r="A911" s="46" t="n">
        <v>0.221473</v>
      </c>
      <c r="B911" s="46" t="n">
        <v>0.502382</v>
      </c>
      <c r="C911" s="46" t="n">
        <v>0.021077</v>
      </c>
      <c r="D911" s="46" t="n">
        <v>0.156279</v>
      </c>
      <c r="E911" s="46" t="n">
        <v>0.036894</v>
      </c>
      <c r="F911" s="46" t="n">
        <v>0.061895</v>
      </c>
      <c r="G911" s="47" t="n">
        <f aca="false">A911*Scorecard!$C$12+B911*Scorecard!$C$13+C911*Scorecard!$C$14+D911*Scorecard!$C$15+E911*Scorecard!$C$16+F911*Scorecard!$C$17</f>
        <v>4.13621644158041</v>
      </c>
      <c r="H911" s="47" t="n">
        <f aca="false">A911*Scorecard!$D$12+B911*Scorecard!$D$13+C911*Scorecard!$D$14+D911*Scorecard!$D$15+E911*Scorecard!$D$16+F911*Scorecard!$D$17</f>
        <v>2.49258789850965</v>
      </c>
      <c r="I911" s="47" t="n">
        <f aca="false">A911*Scorecard!$E$12+B911*Scorecard!$E$13+C911*Scorecard!$E$14+D911*Scorecard!$E$15+E911*Scorecard!$E$16+F911*Scorecard!$E$17</f>
        <v>3.29539306776582</v>
      </c>
      <c r="J911" s="0" t="str">
        <f aca="false">IF(AND(G911&gt;=H911,G911&gt;=I911),"Distribution",IF(I911&gt;=H911,"Prof. services","Manufacturing"))</f>
        <v>Distribution</v>
      </c>
      <c r="L911" s="46" t="n">
        <v>0.142776</v>
      </c>
      <c r="M911" s="46" t="n">
        <v>0.194219</v>
      </c>
      <c r="N911" s="46" t="n">
        <v>0.270544</v>
      </c>
      <c r="O911" s="46" t="n">
        <v>0.154123</v>
      </c>
      <c r="P911" s="46" t="n">
        <v>0.198101</v>
      </c>
      <c r="Q911" s="46" t="n">
        <v>0.040237</v>
      </c>
      <c r="R911" s="47" t="n">
        <f aca="false">L911*Scorecard!$C$12+M911*Scorecard!$C$13+N911*Scorecard!$C$14+O911*Scorecard!$C$15+P911*Scorecard!$C$16+Q911*Scorecard!$C$17</f>
        <v>4.01086916387589</v>
      </c>
      <c r="S911" s="47" t="n">
        <f aca="false">L911*Scorecard!$D$12+M911*Scorecard!$D$13+N911*Scorecard!$D$14+O911*Scorecard!$D$15+P911*Scorecard!$D$16+Q911*Scorecard!$D$17</f>
        <v>2.98688474222071</v>
      </c>
      <c r="T911" s="47" t="n">
        <f aca="false">L911*Scorecard!$E$12+M911*Scorecard!$E$13+N911*Scorecard!$E$14+O911*Scorecard!$E$15+P911*Scorecard!$E$16+Q911*Scorecard!$E$17</f>
        <v>3.764288595414</v>
      </c>
      <c r="U911" s="0" t="str">
        <f aca="false">IF(AND(R911&gt;=S911,R911&gt;=T911),"Distribution",IF(T911&gt;=S911,"Prof. services","Manufacturing"))</f>
        <v>Distribution</v>
      </c>
    </row>
    <row r="912" customFormat="false" ht="15" hidden="false" customHeight="false" outlineLevel="0" collapsed="false">
      <c r="A912" s="46" t="n">
        <v>0.176556</v>
      </c>
      <c r="B912" s="46" t="n">
        <v>0.057721</v>
      </c>
      <c r="C912" s="46" t="n">
        <v>0.653642</v>
      </c>
      <c r="D912" s="46" t="n">
        <v>0.011019</v>
      </c>
      <c r="E912" s="46" t="n">
        <v>0.063542</v>
      </c>
      <c r="F912" s="46" t="n">
        <v>0.037521</v>
      </c>
      <c r="G912" s="47" t="n">
        <f aca="false">A912*Scorecard!$C$12+B912*Scorecard!$C$13+C912*Scorecard!$C$14+D912*Scorecard!$C$15+E912*Scorecard!$C$16+F912*Scorecard!$C$17</f>
        <v>3.67589868214036</v>
      </c>
      <c r="H912" s="47" t="n">
        <f aca="false">A912*Scorecard!$D$12+B912*Scorecard!$D$13+C912*Scorecard!$D$14+D912*Scorecard!$D$15+E912*Scorecard!$D$16+F912*Scorecard!$D$17</f>
        <v>3.0076427774512</v>
      </c>
      <c r="I912" s="47" t="n">
        <f aca="false">A912*Scorecard!$E$12+B912*Scorecard!$E$13+C912*Scorecard!$E$14+D912*Scorecard!$E$15+E912*Scorecard!$E$16+F912*Scorecard!$E$17</f>
        <v>4.63660670925138</v>
      </c>
      <c r="J912" s="0" t="str">
        <f aca="false">IF(AND(G912&gt;=H912,G912&gt;=I912),"Distribution",IF(I912&gt;=H912,"Prof. services","Manufacturing"))</f>
        <v>Prof. services</v>
      </c>
      <c r="L912" s="46" t="n">
        <v>0.201258</v>
      </c>
      <c r="M912" s="46" t="n">
        <v>0.183107</v>
      </c>
      <c r="N912" s="46" t="n">
        <v>0.134984</v>
      </c>
      <c r="O912" s="46" t="n">
        <v>0.186152</v>
      </c>
      <c r="P912" s="46" t="n">
        <v>0.268275</v>
      </c>
      <c r="Q912" s="46" t="n">
        <v>0.026224</v>
      </c>
      <c r="R912" s="47" t="n">
        <f aca="false">L912*Scorecard!$C$12+M912*Scorecard!$C$13+N912*Scorecard!$C$14+O912*Scorecard!$C$15+P912*Scorecard!$C$16+Q912*Scorecard!$C$17</f>
        <v>3.9545437298659</v>
      </c>
      <c r="S912" s="47" t="n">
        <f aca="false">L912*Scorecard!$D$12+M912*Scorecard!$D$13+N912*Scorecard!$D$14+O912*Scorecard!$D$15+P912*Scorecard!$D$16+Q912*Scorecard!$D$17</f>
        <v>3.12368302913067</v>
      </c>
      <c r="T912" s="47" t="n">
        <f aca="false">L912*Scorecard!$E$12+M912*Scorecard!$E$13+N912*Scorecard!$E$14+O912*Scorecard!$E$15+P912*Scorecard!$E$16+Q912*Scorecard!$E$17</f>
        <v>3.58934524485516</v>
      </c>
      <c r="U912" s="0" t="str">
        <f aca="false">IF(AND(R912&gt;=S912,R912&gt;=T912),"Distribution",IF(T912&gt;=S912,"Prof. services","Manufacturing"))</f>
        <v>Distribution</v>
      </c>
    </row>
    <row r="913" customFormat="false" ht="15" hidden="false" customHeight="false" outlineLevel="0" collapsed="false">
      <c r="A913" s="46" t="n">
        <v>0.086315</v>
      </c>
      <c r="B913" s="46" t="n">
        <v>0.075725</v>
      </c>
      <c r="C913" s="46" t="n">
        <v>0.282832</v>
      </c>
      <c r="D913" s="46" t="n">
        <v>0.076919</v>
      </c>
      <c r="E913" s="46" t="n">
        <v>0.323834</v>
      </c>
      <c r="F913" s="46" t="n">
        <v>0.154375</v>
      </c>
      <c r="G913" s="47" t="n">
        <f aca="false">A913*Scorecard!$C$12+B913*Scorecard!$C$13+C913*Scorecard!$C$14+D913*Scorecard!$C$15+E913*Scorecard!$C$16+F913*Scorecard!$C$17</f>
        <v>3.68852576906446</v>
      </c>
      <c r="H913" s="47" t="n">
        <f aca="false">A913*Scorecard!$D$12+B913*Scorecard!$D$13+C913*Scorecard!$D$14+D913*Scorecard!$D$15+E913*Scorecard!$D$16+F913*Scorecard!$D$17</f>
        <v>2.90877868370281</v>
      </c>
      <c r="I913" s="47" t="n">
        <f aca="false">A913*Scorecard!$E$12+B913*Scorecard!$E$13+C913*Scorecard!$E$14+D913*Scorecard!$E$15+E913*Scorecard!$E$16+F913*Scorecard!$E$17</f>
        <v>3.77720549705053</v>
      </c>
      <c r="J913" s="0" t="str">
        <f aca="false">IF(AND(G913&gt;=H913,G913&gt;=I913),"Distribution",IF(I913&gt;=H913,"Prof. services","Manufacturing"))</f>
        <v>Prof. services</v>
      </c>
      <c r="L913" s="46" t="n">
        <v>0.117516</v>
      </c>
      <c r="M913" s="46" t="n">
        <v>0.238978</v>
      </c>
      <c r="N913" s="46" t="n">
        <v>0.260712</v>
      </c>
      <c r="O913" s="46" t="n">
        <v>0.198321</v>
      </c>
      <c r="P913" s="46" t="n">
        <v>0.144143</v>
      </c>
      <c r="Q913" s="46" t="n">
        <v>0.040331</v>
      </c>
      <c r="R913" s="47" t="n">
        <f aca="false">L913*Scorecard!$C$12+M913*Scorecard!$C$13+N913*Scorecard!$C$14+O913*Scorecard!$C$15+P913*Scorecard!$C$16+Q913*Scorecard!$C$17</f>
        <v>4.14511052410797</v>
      </c>
      <c r="S913" s="47" t="n">
        <f aca="false">L913*Scorecard!$D$12+M913*Scorecard!$D$13+N913*Scorecard!$D$14+O913*Scorecard!$D$15+P913*Scorecard!$D$16+Q913*Scorecard!$D$17</f>
        <v>2.93605734922928</v>
      </c>
      <c r="T913" s="47" t="n">
        <f aca="false">L913*Scorecard!$E$12+M913*Scorecard!$E$13+N913*Scorecard!$E$14+O913*Scorecard!$E$15+P913*Scorecard!$E$16+Q913*Scorecard!$E$17</f>
        <v>3.74248151784714</v>
      </c>
      <c r="U913" s="0" t="str">
        <f aca="false">IF(AND(R913&gt;=S913,R913&gt;=T913),"Distribution",IF(T913&gt;=S913,"Prof. services","Manufacturing"))</f>
        <v>Distribution</v>
      </c>
    </row>
    <row r="914" customFormat="false" ht="15" hidden="false" customHeight="false" outlineLevel="0" collapsed="false">
      <c r="A914" s="46" t="n">
        <v>0.125859</v>
      </c>
      <c r="B914" s="46" t="n">
        <v>0.026488</v>
      </c>
      <c r="C914" s="46" t="n">
        <v>0.310661</v>
      </c>
      <c r="D914" s="46" t="n">
        <v>0.206548</v>
      </c>
      <c r="E914" s="46" t="n">
        <v>0.105403</v>
      </c>
      <c r="F914" s="46" t="n">
        <v>0.225041</v>
      </c>
      <c r="G914" s="47" t="n">
        <f aca="false">A914*Scorecard!$C$12+B914*Scorecard!$C$13+C914*Scorecard!$C$14+D914*Scorecard!$C$15+E914*Scorecard!$C$16+F914*Scorecard!$C$17</f>
        <v>3.5564060051287</v>
      </c>
      <c r="H914" s="47" t="n">
        <f aca="false">A914*Scorecard!$D$12+B914*Scorecard!$D$13+C914*Scorecard!$D$14+D914*Scorecard!$D$15+E914*Scorecard!$D$16+F914*Scorecard!$D$17</f>
        <v>2.9800588064992</v>
      </c>
      <c r="I914" s="47" t="n">
        <f aca="false">A914*Scorecard!$E$12+B914*Scorecard!$E$13+C914*Scorecard!$E$14+D914*Scorecard!$E$15+E914*Scorecard!$E$16+F914*Scorecard!$E$17</f>
        <v>4.35758491568818</v>
      </c>
      <c r="J914" s="0" t="str">
        <f aca="false">IF(AND(G914&gt;=H914,G914&gt;=I914),"Distribution",IF(I914&gt;=H914,"Prof. services","Manufacturing"))</f>
        <v>Prof. services</v>
      </c>
      <c r="L914" s="46" t="n">
        <v>0.19232</v>
      </c>
      <c r="M914" s="46" t="n">
        <v>0.205962</v>
      </c>
      <c r="N914" s="46" t="n">
        <v>0.18536</v>
      </c>
      <c r="O914" s="46" t="n">
        <v>0.152956</v>
      </c>
      <c r="P914" s="46" t="n">
        <v>0.174071</v>
      </c>
      <c r="Q914" s="46" t="n">
        <v>0.089331</v>
      </c>
      <c r="R914" s="47" t="n">
        <f aca="false">L914*Scorecard!$C$12+M914*Scorecard!$C$13+N914*Scorecard!$C$14+O914*Scorecard!$C$15+P914*Scorecard!$C$16+Q914*Scorecard!$C$17</f>
        <v>3.83407725733044</v>
      </c>
      <c r="S914" s="47" t="n">
        <f aca="false">L914*Scorecard!$D$12+M914*Scorecard!$D$13+N914*Scorecard!$D$14+O914*Scorecard!$D$15+P914*Scorecard!$D$16+Q914*Scorecard!$D$17</f>
        <v>2.91898275090619</v>
      </c>
      <c r="T914" s="47" t="n">
        <f aca="false">L914*Scorecard!$E$12+M914*Scorecard!$E$13+N914*Scorecard!$E$14+O914*Scorecard!$E$15+P914*Scorecard!$E$16+Q914*Scorecard!$E$17</f>
        <v>3.77102905427856</v>
      </c>
      <c r="U914" s="0" t="str">
        <f aca="false">IF(AND(R914&gt;=S914,R914&gt;=T914),"Distribution",IF(T914&gt;=S914,"Prof. services","Manufacturing"))</f>
        <v>Distribution</v>
      </c>
    </row>
    <row r="915" customFormat="false" ht="15" hidden="false" customHeight="false" outlineLevel="0" collapsed="false">
      <c r="A915" s="46" t="n">
        <v>0.206429</v>
      </c>
      <c r="B915" s="46" t="n">
        <v>0.001858</v>
      </c>
      <c r="C915" s="46" t="n">
        <v>0.195956</v>
      </c>
      <c r="D915" s="46" t="n">
        <v>0.135404</v>
      </c>
      <c r="E915" s="46" t="n">
        <v>0.127009</v>
      </c>
      <c r="F915" s="46" t="n">
        <v>0.333343</v>
      </c>
      <c r="G915" s="47" t="n">
        <f aca="false">A915*Scorecard!$C$12+B915*Scorecard!$C$13+C915*Scorecard!$C$14+D915*Scorecard!$C$15+E915*Scorecard!$C$16+F915*Scorecard!$C$17</f>
        <v>3.09899685612243</v>
      </c>
      <c r="H915" s="47" t="n">
        <f aca="false">A915*Scorecard!$D$12+B915*Scorecard!$D$13+C915*Scorecard!$D$14+D915*Scorecard!$D$15+E915*Scorecard!$D$16+F915*Scorecard!$D$17</f>
        <v>2.8326356992476</v>
      </c>
      <c r="I915" s="47" t="n">
        <f aca="false">A915*Scorecard!$E$12+B915*Scorecard!$E$13+C915*Scorecard!$E$14+D915*Scorecard!$E$15+E915*Scorecard!$E$16+F915*Scorecard!$E$17</f>
        <v>4.37610717674001</v>
      </c>
      <c r="J915" s="0" t="str">
        <f aca="false">IF(AND(G915&gt;=H915,G915&gt;=I915),"Distribution",IF(I915&gt;=H915,"Prof. services","Manufacturing"))</f>
        <v>Prof. services</v>
      </c>
      <c r="L915" s="46" t="n">
        <v>0.126185</v>
      </c>
      <c r="M915" s="46" t="n">
        <v>0.163877</v>
      </c>
      <c r="N915" s="46" t="n">
        <v>0.188529</v>
      </c>
      <c r="O915" s="46" t="n">
        <v>0.125757</v>
      </c>
      <c r="P915" s="46" t="n">
        <v>0.297143</v>
      </c>
      <c r="Q915" s="46" t="n">
        <v>0.098508</v>
      </c>
      <c r="R915" s="47" t="n">
        <f aca="false">L915*Scorecard!$C$12+M915*Scorecard!$C$13+N915*Scorecard!$C$14+O915*Scorecard!$C$15+P915*Scorecard!$C$16+Q915*Scorecard!$C$17</f>
        <v>3.86547920047963</v>
      </c>
      <c r="S915" s="47" t="n">
        <f aca="false">L915*Scorecard!$D$12+M915*Scorecard!$D$13+N915*Scorecard!$D$14+O915*Scorecard!$D$15+P915*Scorecard!$D$16+Q915*Scorecard!$D$17</f>
        <v>2.93423582590469</v>
      </c>
      <c r="T915" s="47" t="n">
        <f aca="false">L915*Scorecard!$E$12+M915*Scorecard!$E$13+N915*Scorecard!$E$14+O915*Scorecard!$E$15+P915*Scorecard!$E$16+Q915*Scorecard!$E$17</f>
        <v>3.58199802100239</v>
      </c>
      <c r="U915" s="0" t="str">
        <f aca="false">IF(AND(R915&gt;=S915,R915&gt;=T915),"Distribution",IF(T915&gt;=S915,"Prof. services","Manufacturing"))</f>
        <v>Distribution</v>
      </c>
    </row>
    <row r="916" customFormat="false" ht="15" hidden="false" customHeight="false" outlineLevel="0" collapsed="false">
      <c r="A916" s="46" t="n">
        <v>0.0222</v>
      </c>
      <c r="B916" s="46" t="n">
        <v>0.356595</v>
      </c>
      <c r="C916" s="46" t="n">
        <v>0.165442</v>
      </c>
      <c r="D916" s="46" t="n">
        <v>0.092286</v>
      </c>
      <c r="E916" s="46" t="n">
        <v>0.05603</v>
      </c>
      <c r="F916" s="46" t="n">
        <v>0.307446</v>
      </c>
      <c r="G916" s="47" t="n">
        <f aca="false">A916*Scorecard!$C$12+B916*Scorecard!$C$13+C916*Scorecard!$C$14+D916*Scorecard!$C$15+E916*Scorecard!$C$16+F916*Scorecard!$C$17</f>
        <v>3.79402468340649</v>
      </c>
      <c r="H916" s="47" t="n">
        <f aca="false">A916*Scorecard!$D$12+B916*Scorecard!$D$13+C916*Scorecard!$D$14+D916*Scorecard!$D$15+E916*Scorecard!$D$16+F916*Scorecard!$D$17</f>
        <v>2.14375312006942</v>
      </c>
      <c r="I916" s="47" t="n">
        <f aca="false">A916*Scorecard!$E$12+B916*Scorecard!$E$13+C916*Scorecard!$E$14+D916*Scorecard!$E$15+E916*Scorecard!$E$16+F916*Scorecard!$E$17</f>
        <v>3.59429760735029</v>
      </c>
      <c r="J916" s="0" t="str">
        <f aca="false">IF(AND(G916&gt;=H916,G916&gt;=I916),"Distribution",IF(I916&gt;=H916,"Prof. services","Manufacturing"))</f>
        <v>Distribution</v>
      </c>
      <c r="L916" s="46" t="n">
        <v>0.244689</v>
      </c>
      <c r="M916" s="46" t="n">
        <v>0.173725</v>
      </c>
      <c r="N916" s="46" t="n">
        <v>0.1755</v>
      </c>
      <c r="O916" s="46" t="n">
        <v>0.154349</v>
      </c>
      <c r="P916" s="46" t="n">
        <v>0.156702</v>
      </c>
      <c r="Q916" s="46" t="n">
        <v>0.095035</v>
      </c>
      <c r="R916" s="47" t="n">
        <f aca="false">L916*Scorecard!$C$12+M916*Scorecard!$C$13+N916*Scorecard!$C$14+O916*Scorecard!$C$15+P916*Scorecard!$C$16+Q916*Scorecard!$C$17</f>
        <v>3.69756031049776</v>
      </c>
      <c r="S916" s="47" t="n">
        <f aca="false">L916*Scorecard!$D$12+M916*Scorecard!$D$13+N916*Scorecard!$D$14+O916*Scorecard!$D$15+P916*Scorecard!$D$16+Q916*Scorecard!$D$17</f>
        <v>2.98922977356845</v>
      </c>
      <c r="T916" s="47" t="n">
        <f aca="false">L916*Scorecard!$E$12+M916*Scorecard!$E$13+N916*Scorecard!$E$14+O916*Scorecard!$E$15+P916*Scorecard!$E$16+Q916*Scorecard!$E$17</f>
        <v>3.90603030868351</v>
      </c>
      <c r="U916" s="0" t="str">
        <f aca="false">IF(AND(R916&gt;=S916,R916&gt;=T916),"Distribution",IF(T916&gt;=S916,"Prof. services","Manufacturing"))</f>
        <v>Prof. services</v>
      </c>
    </row>
    <row r="917" customFormat="false" ht="15" hidden="false" customHeight="false" outlineLevel="0" collapsed="false">
      <c r="A917" s="46" t="n">
        <v>0.030445</v>
      </c>
      <c r="B917" s="46" t="n">
        <v>0.366309</v>
      </c>
      <c r="C917" s="46" t="n">
        <v>0.07867</v>
      </c>
      <c r="D917" s="46" t="n">
        <v>0.24331</v>
      </c>
      <c r="E917" s="46" t="n">
        <v>0.028065</v>
      </c>
      <c r="F917" s="46" t="n">
        <v>0.253203</v>
      </c>
      <c r="G917" s="47" t="n">
        <f aca="false">A917*Scorecard!$C$12+B917*Scorecard!$C$13+C917*Scorecard!$C$14+D917*Scorecard!$C$15+E917*Scorecard!$C$16+F917*Scorecard!$C$17</f>
        <v>4.0484195658248</v>
      </c>
      <c r="H917" s="47" t="n">
        <f aca="false">A917*Scorecard!$D$12+B917*Scorecard!$D$13+C917*Scorecard!$D$14+D917*Scorecard!$D$15+E917*Scorecard!$D$16+F917*Scorecard!$D$17</f>
        <v>2.38150204851273</v>
      </c>
      <c r="I917" s="47" t="n">
        <f aca="false">A917*Scorecard!$E$12+B917*Scorecard!$E$13+C917*Scorecard!$E$14+D917*Scorecard!$E$15+E917*Scorecard!$E$16+F917*Scorecard!$E$17</f>
        <v>3.54183457057914</v>
      </c>
      <c r="J917" s="0" t="str">
        <f aca="false">IF(AND(G917&gt;=H917,G917&gt;=I917),"Distribution",IF(I917&gt;=H917,"Prof. services","Manufacturing"))</f>
        <v>Distribution</v>
      </c>
      <c r="L917" s="46" t="n">
        <v>0.186629</v>
      </c>
      <c r="M917" s="46" t="n">
        <v>0.236769</v>
      </c>
      <c r="N917" s="46" t="n">
        <v>0.207691</v>
      </c>
      <c r="O917" s="46" t="n">
        <v>0.151288</v>
      </c>
      <c r="P917" s="46" t="n">
        <v>0.073356</v>
      </c>
      <c r="Q917" s="46" t="n">
        <v>0.144267</v>
      </c>
      <c r="R917" s="47" t="n">
        <f aca="false">L917*Scorecard!$C$12+M917*Scorecard!$C$13+N917*Scorecard!$C$14+O917*Scorecard!$C$15+P917*Scorecard!$C$16+Q917*Scorecard!$C$17</f>
        <v>3.76358813848962</v>
      </c>
      <c r="S917" s="47" t="n">
        <f aca="false">L917*Scorecard!$D$12+M917*Scorecard!$D$13+N917*Scorecard!$D$14+O917*Scorecard!$D$15+P917*Scorecard!$D$16+Q917*Scorecard!$D$17</f>
        <v>2.75107558533052</v>
      </c>
      <c r="T917" s="47" t="n">
        <f aca="false">L917*Scorecard!$E$12+M917*Scorecard!$E$13+N917*Scorecard!$E$14+O917*Scorecard!$E$15+P917*Scorecard!$E$16+Q917*Scorecard!$E$17</f>
        <v>3.92494042640034</v>
      </c>
      <c r="U917" s="0" t="str">
        <f aca="false">IF(AND(R917&gt;=S917,R917&gt;=T917),"Distribution",IF(T917&gt;=S917,"Prof. services","Manufacturing"))</f>
        <v>Prof. services</v>
      </c>
    </row>
    <row r="918" customFormat="false" ht="15" hidden="false" customHeight="false" outlineLevel="0" collapsed="false">
      <c r="A918" s="46" t="n">
        <v>0.252734</v>
      </c>
      <c r="B918" s="46" t="n">
        <v>0.021577</v>
      </c>
      <c r="C918" s="46" t="n">
        <v>0.229577</v>
      </c>
      <c r="D918" s="46" t="n">
        <v>0.142976</v>
      </c>
      <c r="E918" s="46" t="n">
        <v>0.003885</v>
      </c>
      <c r="F918" s="46" t="n">
        <v>0.349251</v>
      </c>
      <c r="G918" s="47" t="n">
        <f aca="false">A918*Scorecard!$C$12+B918*Scorecard!$C$13+C918*Scorecard!$C$14+D918*Scorecard!$C$15+E918*Scorecard!$C$16+F918*Scorecard!$C$17</f>
        <v>3.01112619576826</v>
      </c>
      <c r="H918" s="47" t="n">
        <f aca="false">A918*Scorecard!$D$12+B918*Scorecard!$D$13+C918*Scorecard!$D$14+D918*Scorecard!$D$15+E918*Scorecard!$D$16+F918*Scorecard!$D$17</f>
        <v>2.77748949049443</v>
      </c>
      <c r="I918" s="47" t="n">
        <f aca="false">A918*Scorecard!$E$12+B918*Scorecard!$E$13+C918*Scorecard!$E$14+D918*Scorecard!$E$15+E918*Scorecard!$E$16+F918*Scorecard!$E$17</f>
        <v>4.63345577558643</v>
      </c>
      <c r="J918" s="0" t="str">
        <f aca="false">IF(AND(G918&gt;=H918,G918&gt;=I918),"Distribution",IF(I918&gt;=H918,"Prof. services","Manufacturing"))</f>
        <v>Prof. services</v>
      </c>
      <c r="L918" s="46" t="n">
        <v>0.111058</v>
      </c>
      <c r="M918" s="46" t="n">
        <v>0.176678</v>
      </c>
      <c r="N918" s="46" t="n">
        <v>0.193263</v>
      </c>
      <c r="O918" s="46" t="n">
        <v>0.202001</v>
      </c>
      <c r="P918" s="46" t="n">
        <v>0.256992</v>
      </c>
      <c r="Q918" s="46" t="n">
        <v>0.060007</v>
      </c>
      <c r="R918" s="47" t="n">
        <f aca="false">L918*Scorecard!$C$12+M918*Scorecard!$C$13+N918*Scorecard!$C$14+O918*Scorecard!$C$15+P918*Scorecard!$C$16+Q918*Scorecard!$C$17</f>
        <v>4.0587550162053</v>
      </c>
      <c r="S918" s="47" t="n">
        <f aca="false">L918*Scorecard!$D$12+M918*Scorecard!$D$13+N918*Scorecard!$D$14+O918*Scorecard!$D$15+P918*Scorecard!$D$16+Q918*Scorecard!$D$17</f>
        <v>3.03766040114598</v>
      </c>
      <c r="T918" s="47" t="n">
        <f aca="false">L918*Scorecard!$E$12+M918*Scorecard!$E$13+N918*Scorecard!$E$14+O918*Scorecard!$E$15+P918*Scorecard!$E$16+Q918*Scorecard!$E$17</f>
        <v>3.60777588058307</v>
      </c>
      <c r="U918" s="0" t="str">
        <f aca="false">IF(AND(R918&gt;=S918,R918&gt;=T918),"Distribution",IF(T918&gt;=S918,"Prof. services","Manufacturing"))</f>
        <v>Distribution</v>
      </c>
    </row>
    <row r="919" customFormat="false" ht="15" hidden="false" customHeight="false" outlineLevel="0" collapsed="false">
      <c r="A919" s="46" t="n">
        <v>0.06501</v>
      </c>
      <c r="B919" s="46" t="n">
        <v>0.020121</v>
      </c>
      <c r="C919" s="46" t="n">
        <v>0.022645</v>
      </c>
      <c r="D919" s="46" t="n">
        <v>0.042965</v>
      </c>
      <c r="E919" s="46" t="n">
        <v>0.550875</v>
      </c>
      <c r="F919" s="46" t="n">
        <v>0.298385</v>
      </c>
      <c r="G919" s="47" t="n">
        <f aca="false">A919*Scorecard!$C$12+B919*Scorecard!$C$13+C919*Scorecard!$C$14+D919*Scorecard!$C$15+E919*Scorecard!$C$16+F919*Scorecard!$C$17</f>
        <v>3.34930107289441</v>
      </c>
      <c r="H919" s="47" t="n">
        <f aca="false">A919*Scorecard!$D$12+B919*Scorecard!$D$13+C919*Scorecard!$D$14+D919*Scorecard!$D$15+E919*Scorecard!$D$16+F919*Scorecard!$D$17</f>
        <v>2.79852918617596</v>
      </c>
      <c r="I919" s="47" t="n">
        <f aca="false">A919*Scorecard!$E$12+B919*Scorecard!$E$13+C919*Scorecard!$E$14+D919*Scorecard!$E$15+E919*Scorecard!$E$16+F919*Scorecard!$E$17</f>
        <v>3.28803880026677</v>
      </c>
      <c r="J919" s="0" t="str">
        <f aca="false">IF(AND(G919&gt;=H919,G919&gt;=I919),"Distribution",IF(I919&gt;=H919,"Prof. services","Manufacturing"))</f>
        <v>Distribution</v>
      </c>
      <c r="L919" s="46" t="n">
        <v>0.179658</v>
      </c>
      <c r="M919" s="46" t="n">
        <v>0.258093</v>
      </c>
      <c r="N919" s="46" t="n">
        <v>0.343747</v>
      </c>
      <c r="O919" s="46" t="n">
        <v>0.108143</v>
      </c>
      <c r="P919" s="46" t="n">
        <v>0.079389</v>
      </c>
      <c r="Q919" s="46" t="n">
        <v>0.030969</v>
      </c>
      <c r="R919" s="47" t="n">
        <f aca="false">L919*Scorecard!$C$12+M919*Scorecard!$C$13+N919*Scorecard!$C$14+O919*Scorecard!$C$15+P919*Scorecard!$C$16+Q919*Scorecard!$C$17</f>
        <v>3.98090703790283</v>
      </c>
      <c r="S919" s="47" t="n">
        <f aca="false">L919*Scorecard!$D$12+M919*Scorecard!$D$13+N919*Scorecard!$D$14+O919*Scorecard!$D$15+P919*Scorecard!$D$16+Q919*Scorecard!$D$17</f>
        <v>2.83647210240038</v>
      </c>
      <c r="T919" s="47" t="n">
        <f aca="false">L919*Scorecard!$E$12+M919*Scorecard!$E$13+N919*Scorecard!$E$14+O919*Scorecard!$E$15+P919*Scorecard!$E$16+Q919*Scorecard!$E$17</f>
        <v>3.94024186074556</v>
      </c>
      <c r="U919" s="0" t="str">
        <f aca="false">IF(AND(R919&gt;=S919,R919&gt;=T919),"Distribution",IF(T919&gt;=S919,"Prof. services","Manufacturing"))</f>
        <v>Distribution</v>
      </c>
    </row>
    <row r="920" customFormat="false" ht="15" hidden="false" customHeight="false" outlineLevel="0" collapsed="false">
      <c r="A920" s="46" t="n">
        <v>0.24326</v>
      </c>
      <c r="B920" s="46" t="n">
        <v>0.001772</v>
      </c>
      <c r="C920" s="46" t="n">
        <v>0.17731</v>
      </c>
      <c r="D920" s="46" t="n">
        <v>0.373144</v>
      </c>
      <c r="E920" s="46" t="n">
        <v>0.137694</v>
      </c>
      <c r="F920" s="46" t="n">
        <v>0.066821</v>
      </c>
      <c r="G920" s="47" t="n">
        <f aca="false">A920*Scorecard!$C$12+B920*Scorecard!$C$13+C920*Scorecard!$C$14+D920*Scorecard!$C$15+E920*Scorecard!$C$16+F920*Scorecard!$C$17</f>
        <v>3.80340653087668</v>
      </c>
      <c r="H920" s="47" t="n">
        <f aca="false">A920*Scorecard!$D$12+B920*Scorecard!$D$13+C920*Scorecard!$D$14+D920*Scorecard!$D$15+E920*Scorecard!$D$16+F920*Scorecard!$D$17</f>
        <v>3.53566174858912</v>
      </c>
      <c r="I920" s="47" t="n">
        <f aca="false">A920*Scorecard!$E$12+B920*Scorecard!$E$13+C920*Scorecard!$E$14+D920*Scorecard!$E$15+E920*Scorecard!$E$16+F920*Scorecard!$E$17</f>
        <v>4.28240771610899</v>
      </c>
      <c r="J920" s="0" t="str">
        <f aca="false">IF(AND(G920&gt;=H920,G920&gt;=I920),"Distribution",IF(I920&gt;=H920,"Prof. services","Manufacturing"))</f>
        <v>Prof. services</v>
      </c>
      <c r="L920" s="46" t="n">
        <v>0.088639</v>
      </c>
      <c r="M920" s="46" t="n">
        <v>0.147243</v>
      </c>
      <c r="N920" s="46" t="n">
        <v>0.283664</v>
      </c>
      <c r="O920" s="46" t="n">
        <v>0.227141</v>
      </c>
      <c r="P920" s="46" t="n">
        <v>0.174854</v>
      </c>
      <c r="Q920" s="46" t="n">
        <v>0.07846</v>
      </c>
      <c r="R920" s="47" t="n">
        <f aca="false">L920*Scorecard!$C$12+M920*Scorecard!$C$13+N920*Scorecard!$C$14+O920*Scorecard!$C$15+P920*Scorecard!$C$16+Q920*Scorecard!$C$17</f>
        <v>4.05791653592197</v>
      </c>
      <c r="S920" s="47" t="n">
        <f aca="false">L920*Scorecard!$D$12+M920*Scorecard!$D$13+N920*Scorecard!$D$14+O920*Scorecard!$D$15+P920*Scorecard!$D$16+Q920*Scorecard!$D$17</f>
        <v>3.04108381176453</v>
      </c>
      <c r="T920" s="47" t="n">
        <f aca="false">L920*Scorecard!$E$12+M920*Scorecard!$E$13+N920*Scorecard!$E$14+O920*Scorecard!$E$15+P920*Scorecard!$E$16+Q920*Scorecard!$E$17</f>
        <v>3.88122269827836</v>
      </c>
      <c r="U920" s="0" t="str">
        <f aca="false">IF(AND(R920&gt;=S920,R920&gt;=T920),"Distribution",IF(T920&gt;=S920,"Prof. services","Manufacturing"))</f>
        <v>Distribution</v>
      </c>
    </row>
    <row r="921" customFormat="false" ht="15" hidden="false" customHeight="false" outlineLevel="0" collapsed="false">
      <c r="A921" s="46" t="n">
        <v>0.204972</v>
      </c>
      <c r="B921" s="46" t="n">
        <v>0.568341</v>
      </c>
      <c r="C921" s="46" t="n">
        <v>0.036593</v>
      </c>
      <c r="D921" s="46" t="n">
        <v>0.060785</v>
      </c>
      <c r="E921" s="46" t="n">
        <v>0.08347</v>
      </c>
      <c r="F921" s="46" t="n">
        <v>0.045839</v>
      </c>
      <c r="G921" s="47" t="n">
        <f aca="false">A921*Scorecard!$C$12+B921*Scorecard!$C$13+C921*Scorecard!$C$14+D921*Scorecard!$C$15+E921*Scorecard!$C$16+F921*Scorecard!$C$17</f>
        <v>4.16849547690066</v>
      </c>
      <c r="H921" s="47" t="n">
        <f aca="false">A921*Scorecard!$D$12+B921*Scorecard!$D$13+C921*Scorecard!$D$14+D921*Scorecard!$D$15+E921*Scorecard!$D$16+F921*Scorecard!$D$17</f>
        <v>2.31174513380782</v>
      </c>
      <c r="I921" s="47" t="n">
        <f aca="false">A921*Scorecard!$E$12+B921*Scorecard!$E$13+C921*Scorecard!$E$14+D921*Scorecard!$E$15+E921*Scorecard!$E$16+F921*Scorecard!$E$17</f>
        <v>3.0693699778818</v>
      </c>
      <c r="J921" s="0" t="str">
        <f aca="false">IF(AND(G921&gt;=H921,G921&gt;=I921),"Distribution",IF(I921&gt;=H921,"Prof. services","Manufacturing"))</f>
        <v>Distribution</v>
      </c>
      <c r="L921" s="46" t="n">
        <v>0.229509</v>
      </c>
      <c r="M921" s="46" t="n">
        <v>0.198468</v>
      </c>
      <c r="N921" s="46" t="n">
        <v>0.17396</v>
      </c>
      <c r="O921" s="46" t="n">
        <v>0.166536</v>
      </c>
      <c r="P921" s="46" t="n">
        <v>0.120588</v>
      </c>
      <c r="Q921" s="46" t="n">
        <v>0.11094</v>
      </c>
      <c r="R921" s="47" t="n">
        <f aca="false">L921*Scorecard!$C$12+M921*Scorecard!$C$13+N921*Scorecard!$C$14+O921*Scorecard!$C$15+P921*Scorecard!$C$16+Q921*Scorecard!$C$17</f>
        <v>3.73000852697926</v>
      </c>
      <c r="S921" s="47" t="n">
        <f aca="false">L921*Scorecard!$D$12+M921*Scorecard!$D$13+N921*Scorecard!$D$14+O921*Scorecard!$D$15+P921*Scorecard!$D$16+Q921*Scorecard!$D$17</f>
        <v>2.92027901936271</v>
      </c>
      <c r="T921" s="47" t="n">
        <f aca="false">L921*Scorecard!$E$12+M921*Scorecard!$E$13+N921*Scorecard!$E$14+O921*Scorecard!$E$15+P921*Scorecard!$E$16+Q921*Scorecard!$E$17</f>
        <v>3.9130491578985</v>
      </c>
      <c r="U921" s="0" t="str">
        <f aca="false">IF(AND(R921&gt;=S921,R921&gt;=T921),"Distribution",IF(T921&gt;=S921,"Prof. services","Manufacturing"))</f>
        <v>Prof. services</v>
      </c>
    </row>
    <row r="922" customFormat="false" ht="15" hidden="false" customHeight="false" outlineLevel="0" collapsed="false">
      <c r="A922" s="46" t="n">
        <v>0.345432</v>
      </c>
      <c r="B922" s="46" t="n">
        <v>0.016796</v>
      </c>
      <c r="C922" s="46" t="n">
        <v>0.157699</v>
      </c>
      <c r="D922" s="46" t="n">
        <v>0.206874</v>
      </c>
      <c r="E922" s="46" t="n">
        <v>0.22205</v>
      </c>
      <c r="F922" s="46" t="n">
        <v>0.051148</v>
      </c>
      <c r="G922" s="47" t="n">
        <f aca="false">A922*Scorecard!$C$12+B922*Scorecard!$C$13+C922*Scorecard!$C$14+D922*Scorecard!$C$15+E922*Scorecard!$C$16+F922*Scorecard!$C$17</f>
        <v>3.49958747380495</v>
      </c>
      <c r="H922" s="47" t="n">
        <f aca="false">A922*Scorecard!$D$12+B922*Scorecard!$D$13+C922*Scorecard!$D$14+D922*Scorecard!$D$15+E922*Scorecard!$D$16+F922*Scorecard!$D$17</f>
        <v>3.43974148035447</v>
      </c>
      <c r="I922" s="47" t="n">
        <f aca="false">A922*Scorecard!$E$12+B922*Scorecard!$E$13+C922*Scorecard!$E$14+D922*Scorecard!$E$15+E922*Scorecard!$E$16+F922*Scorecard!$E$17</f>
        <v>4.16106544339007</v>
      </c>
      <c r="J922" s="0" t="str">
        <f aca="false">IF(AND(G922&gt;=H922,G922&gt;=I922),"Distribution",IF(I922&gt;=H922,"Prof. services","Manufacturing"))</f>
        <v>Prof. services</v>
      </c>
      <c r="L922" s="46" t="n">
        <v>0.193788</v>
      </c>
      <c r="M922" s="46" t="n">
        <v>0.21306</v>
      </c>
      <c r="N922" s="46" t="n">
        <v>0.077207</v>
      </c>
      <c r="O922" s="46" t="n">
        <v>0.202921</v>
      </c>
      <c r="P922" s="46" t="n">
        <v>0.11383</v>
      </c>
      <c r="Q922" s="46" t="n">
        <v>0.199193</v>
      </c>
      <c r="R922" s="47" t="n">
        <f aca="false">L922*Scorecard!$C$12+M922*Scorecard!$C$13+N922*Scorecard!$C$14+O922*Scorecard!$C$15+P922*Scorecard!$C$16+Q922*Scorecard!$C$17</f>
        <v>3.66876983639534</v>
      </c>
      <c r="S922" s="47" t="n">
        <f aca="false">L922*Scorecard!$D$12+M922*Scorecard!$D$13+N922*Scorecard!$D$14+O922*Scorecard!$D$15+P922*Scorecard!$D$16+Q922*Scorecard!$D$17</f>
        <v>2.78226353293401</v>
      </c>
      <c r="T922" s="47" t="n">
        <f aca="false">L922*Scorecard!$E$12+M922*Scorecard!$E$13+N922*Scorecard!$E$14+O922*Scorecard!$E$15+P922*Scorecard!$E$16+Q922*Scorecard!$E$17</f>
        <v>3.8145595695181</v>
      </c>
      <c r="U922" s="0" t="str">
        <f aca="false">IF(AND(R922&gt;=S922,R922&gt;=T922),"Distribution",IF(T922&gt;=S922,"Prof. services","Manufacturing"))</f>
        <v>Prof. services</v>
      </c>
    </row>
    <row r="923" customFormat="false" ht="15" hidden="false" customHeight="false" outlineLevel="0" collapsed="false">
      <c r="A923" s="46" t="n">
        <v>0.089413</v>
      </c>
      <c r="B923" s="46" t="n">
        <v>0.224818</v>
      </c>
      <c r="C923" s="46" t="n">
        <v>0.125406</v>
      </c>
      <c r="D923" s="46" t="n">
        <v>0.2894</v>
      </c>
      <c r="E923" s="46" t="n">
        <v>0.262085</v>
      </c>
      <c r="F923" s="46" t="n">
        <v>0.008879</v>
      </c>
      <c r="G923" s="47" t="n">
        <f aca="false">A923*Scorecard!$C$12+B923*Scorecard!$C$13+C923*Scorecard!$C$14+D923*Scorecard!$C$15+E923*Scorecard!$C$16+F923*Scorecard!$C$17</f>
        <v>4.33551932488398</v>
      </c>
      <c r="H923" s="47" t="n">
        <f aca="false">A923*Scorecard!$D$12+B923*Scorecard!$D$13+C923*Scorecard!$D$14+D923*Scorecard!$D$15+E923*Scorecard!$D$16+F923*Scorecard!$D$17</f>
        <v>3.13067692851342</v>
      </c>
      <c r="I923" s="47" t="n">
        <f aca="false">A923*Scorecard!$E$12+B923*Scorecard!$E$13+C923*Scorecard!$E$14+D923*Scorecard!$E$15+E923*Scorecard!$E$16+F923*Scorecard!$E$17</f>
        <v>3.40828183536804</v>
      </c>
      <c r="J923" s="0" t="str">
        <f aca="false">IF(AND(G923&gt;=H923,G923&gt;=I923),"Distribution",IF(I923&gt;=H923,"Prof. services","Manufacturing"))</f>
        <v>Distribution</v>
      </c>
      <c r="L923" s="46" t="n">
        <v>0.257665</v>
      </c>
      <c r="M923" s="46" t="n">
        <v>0.126015</v>
      </c>
      <c r="N923" s="46" t="n">
        <v>0.227565</v>
      </c>
      <c r="O923" s="46" t="n">
        <v>0.220918</v>
      </c>
      <c r="P923" s="46" t="n">
        <v>0.120124</v>
      </c>
      <c r="Q923" s="46" t="n">
        <v>0.047713</v>
      </c>
      <c r="R923" s="47" t="n">
        <f aca="false">L923*Scorecard!$C$12+M923*Scorecard!$C$13+N923*Scorecard!$C$14+O923*Scorecard!$C$15+P923*Scorecard!$C$16+Q923*Scorecard!$C$17</f>
        <v>3.78770632544742</v>
      </c>
      <c r="S923" s="47" t="n">
        <f aca="false">L923*Scorecard!$D$12+M923*Scorecard!$D$13+N923*Scorecard!$D$14+O923*Scorecard!$D$15+P923*Scorecard!$D$16+Q923*Scorecard!$D$17</f>
        <v>3.2052672128021</v>
      </c>
      <c r="T923" s="47" t="n">
        <f aca="false">L923*Scorecard!$E$12+M923*Scorecard!$E$13+N923*Scorecard!$E$14+O923*Scorecard!$E$15+P923*Scorecard!$E$16+Q923*Scorecard!$E$17</f>
        <v>4.10878257909605</v>
      </c>
      <c r="U923" s="0" t="str">
        <f aca="false">IF(AND(R923&gt;=S923,R923&gt;=T923),"Distribution",IF(T923&gt;=S923,"Prof. services","Manufacturing"))</f>
        <v>Prof. services</v>
      </c>
    </row>
    <row r="924" customFormat="false" ht="15" hidden="false" customHeight="false" outlineLevel="0" collapsed="false">
      <c r="A924" s="46" t="n">
        <v>0.155557</v>
      </c>
      <c r="B924" s="46" t="n">
        <v>0.653442</v>
      </c>
      <c r="C924" s="46" t="n">
        <v>0.017826</v>
      </c>
      <c r="D924" s="46" t="n">
        <v>0.078104</v>
      </c>
      <c r="E924" s="46" t="n">
        <v>0.073428</v>
      </c>
      <c r="F924" s="46" t="n">
        <v>0.021642</v>
      </c>
      <c r="G924" s="47" t="n">
        <f aca="false">A924*Scorecard!$C$12+B924*Scorecard!$C$13+C924*Scorecard!$C$14+D924*Scorecard!$C$15+E924*Scorecard!$C$16+F924*Scorecard!$C$17</f>
        <v>4.40825318160645</v>
      </c>
      <c r="H924" s="47" t="n">
        <f aca="false">A924*Scorecard!$D$12+B924*Scorecard!$D$13+C924*Scorecard!$D$14+D924*Scorecard!$D$15+E924*Scorecard!$D$16+F924*Scorecard!$D$17</f>
        <v>2.20436168488423</v>
      </c>
      <c r="I924" s="47" t="n">
        <f aca="false">A924*Scorecard!$E$12+B924*Scorecard!$E$13+C924*Scorecard!$E$14+D924*Scorecard!$E$15+E924*Scorecard!$E$16+F924*Scorecard!$E$17</f>
        <v>2.84904999493367</v>
      </c>
      <c r="J924" s="0" t="str">
        <f aca="false">IF(AND(G924&gt;=H924,G924&gt;=I924),"Distribution",IF(I924&gt;=H924,"Prof. services","Manufacturing"))</f>
        <v>Distribution</v>
      </c>
      <c r="L924" s="46" t="n">
        <v>0.208093</v>
      </c>
      <c r="M924" s="46" t="n">
        <v>0.176922</v>
      </c>
      <c r="N924" s="46" t="n">
        <v>0.125334</v>
      </c>
      <c r="O924" s="46" t="n">
        <v>0.237718</v>
      </c>
      <c r="P924" s="46" t="n">
        <v>0.144964</v>
      </c>
      <c r="Q924" s="46" t="n">
        <v>0.106968</v>
      </c>
      <c r="R924" s="47" t="n">
        <f aca="false">L924*Scorecard!$C$12+M924*Scorecard!$C$13+N924*Scorecard!$C$14+O924*Scorecard!$C$15+P924*Scorecard!$C$16+Q924*Scorecard!$C$17</f>
        <v>3.82612963239218</v>
      </c>
      <c r="S924" s="47" t="n">
        <f aca="false">L924*Scorecard!$D$12+M924*Scorecard!$D$13+N924*Scorecard!$D$14+O924*Scorecard!$D$15+P924*Scorecard!$D$16+Q924*Scorecard!$D$17</f>
        <v>3.03495383776241</v>
      </c>
      <c r="T924" s="47" t="n">
        <f aca="false">L924*Scorecard!$E$12+M924*Scorecard!$E$13+N924*Scorecard!$E$14+O924*Scorecard!$E$15+P924*Scorecard!$E$16+Q924*Scorecard!$E$17</f>
        <v>3.85247959655737</v>
      </c>
      <c r="U924" s="0" t="str">
        <f aca="false">IF(AND(R924&gt;=S924,R924&gt;=T924),"Distribution",IF(T924&gt;=S924,"Prof. services","Manufacturing"))</f>
        <v>Prof. services</v>
      </c>
    </row>
    <row r="925" customFormat="false" ht="15" hidden="false" customHeight="false" outlineLevel="0" collapsed="false">
      <c r="A925" s="46" t="n">
        <v>0.161414</v>
      </c>
      <c r="B925" s="46" t="n">
        <v>0.156998</v>
      </c>
      <c r="C925" s="46" t="n">
        <v>0.191912</v>
      </c>
      <c r="D925" s="46" t="n">
        <v>0.078143</v>
      </c>
      <c r="E925" s="46" t="n">
        <v>0.073905</v>
      </c>
      <c r="F925" s="46" t="n">
        <v>0.337628</v>
      </c>
      <c r="G925" s="47" t="n">
        <f aca="false">A925*Scorecard!$C$12+B925*Scorecard!$C$13+C925*Scorecard!$C$14+D925*Scorecard!$C$15+E925*Scorecard!$C$16+F925*Scorecard!$C$17</f>
        <v>3.26933749807995</v>
      </c>
      <c r="H925" s="47" t="n">
        <f aca="false">A925*Scorecard!$D$12+B925*Scorecard!$D$13+C925*Scorecard!$D$14+D925*Scorecard!$D$15+E925*Scorecard!$D$16+F925*Scorecard!$D$17</f>
        <v>2.47962210759437</v>
      </c>
      <c r="I925" s="47" t="n">
        <f aca="false">A925*Scorecard!$E$12+B925*Scorecard!$E$13+C925*Scorecard!$E$14+D925*Scorecard!$E$15+E925*Scorecard!$E$16+F925*Scorecard!$E$17</f>
        <v>4.11732557530287</v>
      </c>
      <c r="J925" s="0" t="str">
        <f aca="false">IF(AND(G925&gt;=H925,G925&gt;=I925),"Distribution",IF(I925&gt;=H925,"Prof. services","Manufacturing"))</f>
        <v>Prof. services</v>
      </c>
      <c r="L925" s="46" t="n">
        <v>0.296158</v>
      </c>
      <c r="M925" s="46" t="n">
        <v>0.177696</v>
      </c>
      <c r="N925" s="46" t="n">
        <v>0.100999</v>
      </c>
      <c r="O925" s="46" t="n">
        <v>0.294448</v>
      </c>
      <c r="P925" s="46" t="n">
        <v>0.125053</v>
      </c>
      <c r="Q925" s="46" t="n">
        <v>0.005646</v>
      </c>
      <c r="R925" s="47" t="n">
        <f aca="false">L925*Scorecard!$C$12+M925*Scorecard!$C$13+N925*Scorecard!$C$14+O925*Scorecard!$C$15+P925*Scorecard!$C$16+Q925*Scorecard!$C$17</f>
        <v>3.92776337649994</v>
      </c>
      <c r="S925" s="47" t="n">
        <f aca="false">L925*Scorecard!$D$12+M925*Scorecard!$D$13+N925*Scorecard!$D$14+O925*Scorecard!$D$15+P925*Scorecard!$D$16+Q925*Scorecard!$D$17</f>
        <v>3.30298529906295</v>
      </c>
      <c r="T925" s="47" t="n">
        <f aca="false">L925*Scorecard!$E$12+M925*Scorecard!$E$13+N925*Scorecard!$E$14+O925*Scorecard!$E$15+P925*Scorecard!$E$16+Q925*Scorecard!$E$17</f>
        <v>3.90659586660441</v>
      </c>
      <c r="U925" s="0" t="str">
        <f aca="false">IF(AND(R925&gt;=S925,R925&gt;=T925),"Distribution",IF(T925&gt;=S925,"Prof. services","Manufacturing"))</f>
        <v>Distribution</v>
      </c>
    </row>
    <row r="926" customFormat="false" ht="15" hidden="false" customHeight="false" outlineLevel="0" collapsed="false">
      <c r="A926" s="46" t="n">
        <v>0.010184</v>
      </c>
      <c r="B926" s="46" t="n">
        <v>0.106104</v>
      </c>
      <c r="C926" s="46" t="n">
        <v>0.095822</v>
      </c>
      <c r="D926" s="46" t="n">
        <v>0.388368</v>
      </c>
      <c r="E926" s="46" t="n">
        <v>0.354537</v>
      </c>
      <c r="F926" s="46" t="n">
        <v>0.044985</v>
      </c>
      <c r="G926" s="47" t="n">
        <f aca="false">A926*Scorecard!$C$12+B926*Scorecard!$C$13+C926*Scorecard!$C$14+D926*Scorecard!$C$15+E926*Scorecard!$C$16+F926*Scorecard!$C$17</f>
        <v>4.38617065476629</v>
      </c>
      <c r="H926" s="47" t="n">
        <f aca="false">A926*Scorecard!$D$12+B926*Scorecard!$D$13+C926*Scorecard!$D$14+D926*Scorecard!$D$15+E926*Scorecard!$D$16+F926*Scorecard!$D$17</f>
        <v>3.34775700484485</v>
      </c>
      <c r="I926" s="47" t="n">
        <f aca="false">A926*Scorecard!$E$12+B926*Scorecard!$E$13+C926*Scorecard!$E$14+D926*Scorecard!$E$15+E926*Scorecard!$E$16+F926*Scorecard!$E$17</f>
        <v>3.40233133155164</v>
      </c>
      <c r="J926" s="0" t="str">
        <f aca="false">IF(AND(G926&gt;=H926,G926&gt;=I926),"Distribution",IF(I926&gt;=H926,"Prof. services","Manufacturing"))</f>
        <v>Distribution</v>
      </c>
      <c r="L926" s="46" t="n">
        <v>0.341227</v>
      </c>
      <c r="M926" s="46" t="n">
        <v>0.267715</v>
      </c>
      <c r="N926" s="46" t="n">
        <v>0.043289</v>
      </c>
      <c r="O926" s="46" t="n">
        <v>0.127792</v>
      </c>
      <c r="P926" s="46" t="n">
        <v>0.105302</v>
      </c>
      <c r="Q926" s="46" t="n">
        <v>0.114675</v>
      </c>
      <c r="R926" s="47" t="n">
        <f aca="false">L926*Scorecard!$C$12+M926*Scorecard!$C$13+N926*Scorecard!$C$14+O926*Scorecard!$C$15+P926*Scorecard!$C$16+Q926*Scorecard!$C$17</f>
        <v>3.55194353377233</v>
      </c>
      <c r="S926" s="47" t="n">
        <f aca="false">L926*Scorecard!$D$12+M926*Scorecard!$D$13+N926*Scorecard!$D$14+O926*Scorecard!$D$15+P926*Scorecard!$D$16+Q926*Scorecard!$D$17</f>
        <v>2.83458186991172</v>
      </c>
      <c r="T926" s="47" t="n">
        <f aca="false">L926*Scorecard!$E$12+M926*Scorecard!$E$13+N926*Scorecard!$E$14+O926*Scorecard!$E$15+P926*Scorecard!$E$16+Q926*Scorecard!$E$17</f>
        <v>3.78519922652764</v>
      </c>
      <c r="U926" s="0" t="str">
        <f aca="false">IF(AND(R926&gt;=S926,R926&gt;=T926),"Distribution",IF(T926&gt;=S926,"Prof. services","Manufacturing"))</f>
        <v>Prof. services</v>
      </c>
    </row>
    <row r="927" customFormat="false" ht="15" hidden="false" customHeight="false" outlineLevel="0" collapsed="false">
      <c r="A927" s="46" t="n">
        <v>0.334824</v>
      </c>
      <c r="B927" s="46" t="n">
        <v>0.06776</v>
      </c>
      <c r="C927" s="46" t="n">
        <v>0.129698</v>
      </c>
      <c r="D927" s="46" t="n">
        <v>0.265869</v>
      </c>
      <c r="E927" s="46" t="n">
        <v>0.094302</v>
      </c>
      <c r="F927" s="46" t="n">
        <v>0.107547</v>
      </c>
      <c r="G927" s="47" t="n">
        <f aca="false">A927*Scorecard!$C$12+B927*Scorecard!$C$13+C927*Scorecard!$C$14+D927*Scorecard!$C$15+E927*Scorecard!$C$16+F927*Scorecard!$C$17</f>
        <v>3.51584702508531</v>
      </c>
      <c r="H927" s="47" t="n">
        <f aca="false">A927*Scorecard!$D$12+B927*Scorecard!$D$13+C927*Scorecard!$D$14+D927*Scorecard!$D$15+E927*Scorecard!$D$16+F927*Scorecard!$D$17</f>
        <v>3.29735418458727</v>
      </c>
      <c r="I927" s="47" t="n">
        <f aca="false">A927*Scorecard!$E$12+B927*Scorecard!$E$13+C927*Scorecard!$E$14+D927*Scorecard!$E$15+E927*Scorecard!$E$16+F927*Scorecard!$E$17</f>
        <v>4.27766751793141</v>
      </c>
      <c r="J927" s="0" t="str">
        <f aca="false">IF(AND(G927&gt;=H927,G927&gt;=I927),"Distribution",IF(I927&gt;=H927,"Prof. services","Manufacturing"))</f>
        <v>Prof. services</v>
      </c>
      <c r="L927" s="46" t="n">
        <v>0.210895</v>
      </c>
      <c r="M927" s="46" t="n">
        <v>0.158511</v>
      </c>
      <c r="N927" s="46" t="n">
        <v>0.154416</v>
      </c>
      <c r="O927" s="46" t="n">
        <v>0.225438</v>
      </c>
      <c r="P927" s="46" t="n">
        <v>0.09046</v>
      </c>
      <c r="Q927" s="46" t="n">
        <v>0.16028</v>
      </c>
      <c r="R927" s="47" t="n">
        <f aca="false">L927*Scorecard!$C$12+M927*Scorecard!$C$13+N927*Scorecard!$C$14+O927*Scorecard!$C$15+P927*Scorecard!$C$16+Q927*Scorecard!$C$17</f>
        <v>3.68377499243294</v>
      </c>
      <c r="S927" s="47" t="n">
        <f aca="false">L927*Scorecard!$D$12+M927*Scorecard!$D$13+N927*Scorecard!$D$14+O927*Scorecard!$D$15+P927*Scorecard!$D$16+Q927*Scorecard!$D$17</f>
        <v>2.95209081042249</v>
      </c>
      <c r="T927" s="47" t="n">
        <f aca="false">L927*Scorecard!$E$12+M927*Scorecard!$E$13+N927*Scorecard!$E$14+O927*Scorecard!$E$15+P927*Scorecard!$E$16+Q927*Scorecard!$E$17</f>
        <v>4.03437976479346</v>
      </c>
      <c r="U927" s="0" t="str">
        <f aca="false">IF(AND(R927&gt;=S927,R927&gt;=T927),"Distribution",IF(T927&gt;=S927,"Prof. services","Manufacturing"))</f>
        <v>Prof. services</v>
      </c>
    </row>
    <row r="928" customFormat="false" ht="15" hidden="false" customHeight="false" outlineLevel="0" collapsed="false">
      <c r="A928" s="46" t="n">
        <v>0.392371</v>
      </c>
      <c r="B928" s="46" t="n">
        <v>0.094874</v>
      </c>
      <c r="C928" s="46" t="n">
        <v>0.206082</v>
      </c>
      <c r="D928" s="46" t="n">
        <v>0.245507</v>
      </c>
      <c r="E928" s="46" t="n">
        <v>0.027134</v>
      </c>
      <c r="F928" s="46" t="n">
        <v>0.034031</v>
      </c>
      <c r="G928" s="47" t="n">
        <f aca="false">A928*Scorecard!$C$12+B928*Scorecard!$C$13+C928*Scorecard!$C$14+D928*Scorecard!$C$15+E928*Scorecard!$C$16+F928*Scorecard!$C$17</f>
        <v>3.56604160440933</v>
      </c>
      <c r="H928" s="47" t="n">
        <f aca="false">A928*Scorecard!$D$12+B928*Scorecard!$D$13+C928*Scorecard!$D$14+D928*Scorecard!$D$15+E928*Scorecard!$D$16+F928*Scorecard!$D$17</f>
        <v>3.35897840978385</v>
      </c>
      <c r="I928" s="47" t="n">
        <f aca="false">A928*Scorecard!$E$12+B928*Scorecard!$E$13+C928*Scorecard!$E$14+D928*Scorecard!$E$15+E928*Scorecard!$E$16+F928*Scorecard!$E$17</f>
        <v>4.43258689104821</v>
      </c>
      <c r="J928" s="0" t="str">
        <f aca="false">IF(AND(G928&gt;=H928,G928&gt;=I928),"Distribution",IF(I928&gt;=H928,"Prof. services","Manufacturing"))</f>
        <v>Prof. services</v>
      </c>
      <c r="L928" s="46" t="n">
        <v>0.22979</v>
      </c>
      <c r="M928" s="46" t="n">
        <v>0.109054</v>
      </c>
      <c r="N928" s="46" t="n">
        <v>0.344133</v>
      </c>
      <c r="O928" s="46" t="n">
        <v>0.10708</v>
      </c>
      <c r="P928" s="46" t="n">
        <v>0.114479</v>
      </c>
      <c r="Q928" s="46" t="n">
        <v>0.095464</v>
      </c>
      <c r="R928" s="47" t="n">
        <f aca="false">L928*Scorecard!$C$12+M928*Scorecard!$C$13+N928*Scorecard!$C$14+O928*Scorecard!$C$15+P928*Scorecard!$C$16+Q928*Scorecard!$C$17</f>
        <v>3.61158072297193</v>
      </c>
      <c r="S928" s="47" t="n">
        <f aca="false">L928*Scorecard!$D$12+M928*Scorecard!$D$13+N928*Scorecard!$D$14+O928*Scorecard!$D$15+P928*Scorecard!$D$16+Q928*Scorecard!$D$17</f>
        <v>3.00702117948916</v>
      </c>
      <c r="T928" s="47" t="n">
        <f aca="false">L928*Scorecard!$E$12+M928*Scorecard!$E$13+N928*Scorecard!$E$14+O928*Scorecard!$E$15+P928*Scorecard!$E$16+Q928*Scorecard!$E$17</f>
        <v>4.24388926939286</v>
      </c>
      <c r="U928" s="0" t="str">
        <f aca="false">IF(AND(R928&gt;=S928,R928&gt;=T928),"Distribution",IF(T928&gt;=S928,"Prof. services","Manufacturing"))</f>
        <v>Prof. services</v>
      </c>
    </row>
    <row r="929" customFormat="false" ht="15" hidden="false" customHeight="false" outlineLevel="0" collapsed="false">
      <c r="A929" s="46" t="n">
        <v>0.090291</v>
      </c>
      <c r="B929" s="46" t="n">
        <v>0.160669</v>
      </c>
      <c r="C929" s="46" t="n">
        <v>0.238087</v>
      </c>
      <c r="D929" s="46" t="n">
        <v>0.007365</v>
      </c>
      <c r="E929" s="46" t="n">
        <v>0.258519</v>
      </c>
      <c r="F929" s="46" t="n">
        <v>0.245068</v>
      </c>
      <c r="G929" s="47" t="n">
        <f aca="false">A929*Scorecard!$C$12+B929*Scorecard!$C$13+C929*Scorecard!$C$14+D929*Scorecard!$C$15+E929*Scorecard!$C$16+F929*Scorecard!$C$17</f>
        <v>3.51536891236285</v>
      </c>
      <c r="H929" s="47" t="n">
        <f aca="false">A929*Scorecard!$D$12+B929*Scorecard!$D$13+C929*Scorecard!$D$14+D929*Scorecard!$D$15+E929*Scorecard!$D$16+F929*Scorecard!$D$17</f>
        <v>2.54557117120846</v>
      </c>
      <c r="I929" s="47" t="n">
        <f aca="false">A929*Scorecard!$E$12+B929*Scorecard!$E$13+C929*Scorecard!$E$14+D929*Scorecard!$E$15+E929*Scorecard!$E$16+F929*Scorecard!$E$17</f>
        <v>3.71990289777512</v>
      </c>
      <c r="J929" s="0" t="str">
        <f aca="false">IF(AND(G929&gt;=H929,G929&gt;=I929),"Distribution",IF(I929&gt;=H929,"Prof. services","Manufacturing"))</f>
        <v>Prof. services</v>
      </c>
      <c r="L929" s="46" t="n">
        <v>0.17295</v>
      </c>
      <c r="M929" s="46" t="n">
        <v>0.200164</v>
      </c>
      <c r="N929" s="46" t="n">
        <v>0.263334</v>
      </c>
      <c r="O929" s="46" t="n">
        <v>0.20383</v>
      </c>
      <c r="P929" s="46" t="n">
        <v>0.098918</v>
      </c>
      <c r="Q929" s="46" t="n">
        <v>0.060802</v>
      </c>
      <c r="R929" s="47" t="n">
        <f aca="false">L929*Scorecard!$C$12+M929*Scorecard!$C$13+N929*Scorecard!$C$14+O929*Scorecard!$C$15+P929*Scorecard!$C$16+Q929*Scorecard!$C$17</f>
        <v>3.97106953356541</v>
      </c>
      <c r="S929" s="47" t="n">
        <f aca="false">L929*Scorecard!$D$12+M929*Scorecard!$D$13+N929*Scorecard!$D$14+O929*Scorecard!$D$15+P929*Scorecard!$D$16+Q929*Scorecard!$D$17</f>
        <v>2.99152106269583</v>
      </c>
      <c r="T929" s="47" t="n">
        <f aca="false">L929*Scorecard!$E$12+M929*Scorecard!$E$13+N929*Scorecard!$E$14+O929*Scorecard!$E$15+P929*Scorecard!$E$16+Q929*Scorecard!$E$17</f>
        <v>3.95983915597305</v>
      </c>
      <c r="U929" s="0" t="str">
        <f aca="false">IF(AND(R929&gt;=S929,R929&gt;=T929),"Distribution",IF(T929&gt;=S929,"Prof. services","Manufacturing"))</f>
        <v>Distribution</v>
      </c>
    </row>
    <row r="930" customFormat="false" ht="15" hidden="false" customHeight="false" outlineLevel="0" collapsed="false">
      <c r="A930" s="46" t="n">
        <v>0.325139</v>
      </c>
      <c r="B930" s="46" t="n">
        <v>0.055536</v>
      </c>
      <c r="C930" s="46" t="n">
        <v>0.50902</v>
      </c>
      <c r="D930" s="46" t="n">
        <v>0.010969</v>
      </c>
      <c r="E930" s="46" t="n">
        <v>0.012232</v>
      </c>
      <c r="F930" s="46" t="n">
        <v>0.087104</v>
      </c>
      <c r="G930" s="47" t="n">
        <f aca="false">A930*Scorecard!$C$12+B930*Scorecard!$C$13+C930*Scorecard!$C$14+D930*Scorecard!$C$15+E930*Scorecard!$C$16+F930*Scorecard!$C$17</f>
        <v>3.3070421632028</v>
      </c>
      <c r="H930" s="47" t="n">
        <f aca="false">A930*Scorecard!$D$12+B930*Scorecard!$D$13+C930*Scorecard!$D$14+D930*Scorecard!$D$15+E930*Scorecard!$D$16+F930*Scorecard!$D$17</f>
        <v>3.01753011196145</v>
      </c>
      <c r="I930" s="47" t="n">
        <f aca="false">A930*Scorecard!$E$12+B930*Scorecard!$E$13+C930*Scorecard!$E$14+D930*Scorecard!$E$15+E930*Scorecard!$E$16+F930*Scorecard!$E$17</f>
        <v>4.75496182917735</v>
      </c>
      <c r="J930" s="0" t="str">
        <f aca="false">IF(AND(G930&gt;=H930,G930&gt;=I930),"Distribution",IF(I930&gt;=H930,"Prof. services","Manufacturing"))</f>
        <v>Prof. services</v>
      </c>
      <c r="L930" s="46" t="n">
        <v>0.271716</v>
      </c>
      <c r="M930" s="46" t="n">
        <v>0.120771</v>
      </c>
      <c r="N930" s="46" t="n">
        <v>0.193957</v>
      </c>
      <c r="O930" s="46" t="n">
        <v>0.265081</v>
      </c>
      <c r="P930" s="46" t="n">
        <v>0.114757</v>
      </c>
      <c r="Q930" s="46" t="n">
        <v>0.033717</v>
      </c>
      <c r="R930" s="47" t="n">
        <f aca="false">L930*Scorecard!$C$12+M930*Scorecard!$C$13+N930*Scorecard!$C$14+O930*Scorecard!$C$15+P930*Scorecard!$C$16+Q930*Scorecard!$C$17</f>
        <v>3.82932132506655</v>
      </c>
      <c r="S930" s="47" t="n">
        <f aca="false">L930*Scorecard!$D$12+M930*Scorecard!$D$13+N930*Scorecard!$D$14+O930*Scorecard!$D$15+P930*Scorecard!$D$16+Q930*Scorecard!$D$17</f>
        <v>3.29274674955222</v>
      </c>
      <c r="T930" s="47" t="n">
        <f aca="false">L930*Scorecard!$E$12+M930*Scorecard!$E$13+N930*Scorecard!$E$14+O930*Scorecard!$E$15+P930*Scorecard!$E$16+Q930*Scorecard!$E$17</f>
        <v>4.10825176136854</v>
      </c>
      <c r="U930" s="0" t="str">
        <f aca="false">IF(AND(R930&gt;=S930,R930&gt;=T930),"Distribution",IF(T930&gt;=S930,"Prof. services","Manufacturing"))</f>
        <v>Prof. services</v>
      </c>
    </row>
    <row r="931" customFormat="false" ht="15" hidden="false" customHeight="false" outlineLevel="0" collapsed="false">
      <c r="A931" s="46" t="n">
        <v>0.01909</v>
      </c>
      <c r="B931" s="46" t="n">
        <v>0.006034</v>
      </c>
      <c r="C931" s="46" t="n">
        <v>0.15906</v>
      </c>
      <c r="D931" s="46" t="n">
        <v>0.321102</v>
      </c>
      <c r="E931" s="46" t="n">
        <v>0.299901</v>
      </c>
      <c r="F931" s="46" t="n">
        <v>0.194813</v>
      </c>
      <c r="G931" s="47" t="n">
        <f aca="false">A931*Scorecard!$C$12+B931*Scorecard!$C$13+C931*Scorecard!$C$14+D931*Scorecard!$C$15+E931*Scorecard!$C$16+F931*Scorecard!$C$17</f>
        <v>3.9031477277581</v>
      </c>
      <c r="H931" s="47" t="n">
        <f aca="false">A931*Scorecard!$D$12+B931*Scorecard!$D$13+C931*Scorecard!$D$14+D931*Scorecard!$D$15+E931*Scorecard!$D$16+F931*Scorecard!$D$17</f>
        <v>3.18302123365767</v>
      </c>
      <c r="I931" s="47" t="n">
        <f aca="false">A931*Scorecard!$E$12+B931*Scorecard!$E$13+C931*Scorecard!$E$14+D931*Scorecard!$E$15+E931*Scorecard!$E$16+F931*Scorecard!$E$17</f>
        <v>3.81710033609538</v>
      </c>
      <c r="J931" s="0" t="str">
        <f aca="false">IF(AND(G931&gt;=H931,G931&gt;=I931),"Distribution",IF(I931&gt;=H931,"Prof. services","Manufacturing"))</f>
        <v>Distribution</v>
      </c>
      <c r="L931" s="46" t="n">
        <v>0.131227</v>
      </c>
      <c r="M931" s="46" t="n">
        <v>0.134833</v>
      </c>
      <c r="N931" s="46" t="n">
        <v>0.126558</v>
      </c>
      <c r="O931" s="46" t="n">
        <v>0.125323</v>
      </c>
      <c r="P931" s="46" t="n">
        <v>0.359189</v>
      </c>
      <c r="Q931" s="46" t="n">
        <v>0.12287</v>
      </c>
      <c r="R931" s="47" t="n">
        <f aca="false">L931*Scorecard!$C$12+M931*Scorecard!$C$13+N931*Scorecard!$C$14+O931*Scorecard!$C$15+P931*Scorecard!$C$16+Q931*Scorecard!$C$17</f>
        <v>3.77820552857582</v>
      </c>
      <c r="S931" s="47" t="n">
        <f aca="false">L931*Scorecard!$D$12+M931*Scorecard!$D$13+N931*Scorecard!$D$14+O931*Scorecard!$D$15+P931*Scorecard!$D$16+Q931*Scorecard!$D$17</f>
        <v>2.96480100018186</v>
      </c>
      <c r="T931" s="47" t="n">
        <f aca="false">L931*Scorecard!$E$12+M931*Scorecard!$E$13+N931*Scorecard!$E$14+O931*Scorecard!$E$15+P931*Scorecard!$E$16+Q931*Scorecard!$E$17</f>
        <v>3.48824736162585</v>
      </c>
      <c r="U931" s="0" t="str">
        <f aca="false">IF(AND(R931&gt;=S931,R931&gt;=T931),"Distribution",IF(T931&gt;=S931,"Prof. services","Manufacturing"))</f>
        <v>Distribution</v>
      </c>
    </row>
    <row r="932" customFormat="false" ht="15" hidden="false" customHeight="false" outlineLevel="0" collapsed="false">
      <c r="A932" s="46" t="n">
        <v>0.018181</v>
      </c>
      <c r="B932" s="46" t="n">
        <v>0.015767</v>
      </c>
      <c r="C932" s="46" t="n">
        <v>0.284835</v>
      </c>
      <c r="D932" s="46" t="n">
        <v>0.013539</v>
      </c>
      <c r="E932" s="46" t="n">
        <v>0.436625</v>
      </c>
      <c r="F932" s="46" t="n">
        <v>0.231053</v>
      </c>
      <c r="G932" s="47" t="n">
        <f aca="false">A932*Scorecard!$C$12+B932*Scorecard!$C$13+C932*Scorecard!$C$14+D932*Scorecard!$C$15+E932*Scorecard!$C$16+F932*Scorecard!$C$17</f>
        <v>3.53447394072132</v>
      </c>
      <c r="H932" s="47" t="n">
        <f aca="false">A932*Scorecard!$D$12+B932*Scorecard!$D$13+C932*Scorecard!$D$14+D932*Scorecard!$D$15+E932*Scorecard!$D$16+F932*Scorecard!$D$17</f>
        <v>2.80297861441237</v>
      </c>
      <c r="I932" s="47" t="n">
        <f aca="false">A932*Scorecard!$E$12+B932*Scorecard!$E$13+C932*Scorecard!$E$14+D932*Scorecard!$E$15+E932*Scorecard!$E$16+F932*Scorecard!$E$17</f>
        <v>3.66348366669477</v>
      </c>
      <c r="J932" s="0" t="str">
        <f aca="false">IF(AND(G932&gt;=H932,G932&gt;=I932),"Distribution",IF(I932&gt;=H932,"Prof. services","Manufacturing"))</f>
        <v>Prof. services</v>
      </c>
      <c r="L932" s="46" t="n">
        <v>0.179169</v>
      </c>
      <c r="M932" s="46" t="n">
        <v>0.185589</v>
      </c>
      <c r="N932" s="46" t="n">
        <v>0.142274</v>
      </c>
      <c r="O932" s="46" t="n">
        <v>0.136407</v>
      </c>
      <c r="P932" s="46" t="n">
        <v>0.260631</v>
      </c>
      <c r="Q932" s="46" t="n">
        <v>0.09593</v>
      </c>
      <c r="R932" s="47" t="n">
        <f aca="false">L932*Scorecard!$C$12+M932*Scorecard!$C$13+N932*Scorecard!$C$14+O932*Scorecard!$C$15+P932*Scorecard!$C$16+Q932*Scorecard!$C$17</f>
        <v>3.80762924487645</v>
      </c>
      <c r="S932" s="47" t="n">
        <f aca="false">L932*Scorecard!$D$12+M932*Scorecard!$D$13+N932*Scorecard!$D$14+O932*Scorecard!$D$15+P932*Scorecard!$D$16+Q932*Scorecard!$D$17</f>
        <v>2.94067281352809</v>
      </c>
      <c r="T932" s="47" t="n">
        <f aca="false">L932*Scorecard!$E$12+M932*Scorecard!$E$13+N932*Scorecard!$E$14+O932*Scorecard!$E$15+P932*Scorecard!$E$16+Q932*Scorecard!$E$17</f>
        <v>3.60932037191765</v>
      </c>
      <c r="U932" s="0" t="str">
        <f aca="false">IF(AND(R932&gt;=S932,R932&gt;=T932),"Distribution",IF(T932&gt;=S932,"Prof. services","Manufacturing"))</f>
        <v>Distribution</v>
      </c>
    </row>
    <row r="933" customFormat="false" ht="15" hidden="false" customHeight="false" outlineLevel="0" collapsed="false">
      <c r="A933" s="46" t="n">
        <v>0.209732</v>
      </c>
      <c r="B933" s="46" t="n">
        <v>0.209838</v>
      </c>
      <c r="C933" s="46" t="n">
        <v>0.086789</v>
      </c>
      <c r="D933" s="46" t="n">
        <v>0.224157</v>
      </c>
      <c r="E933" s="46" t="n">
        <v>0.036388</v>
      </c>
      <c r="F933" s="46" t="n">
        <v>0.233096</v>
      </c>
      <c r="G933" s="47" t="n">
        <f aca="false">A933*Scorecard!$C$12+B933*Scorecard!$C$13+C933*Scorecard!$C$14+D933*Scorecard!$C$15+E933*Scorecard!$C$16+F933*Scorecard!$C$17</f>
        <v>3.59028240901845</v>
      </c>
      <c r="H933" s="47" t="n">
        <f aca="false">A933*Scorecard!$D$12+B933*Scorecard!$D$13+C933*Scorecard!$D$14+D933*Scorecard!$D$15+E933*Scorecard!$D$16+F933*Scorecard!$D$17</f>
        <v>2.74554972365771</v>
      </c>
      <c r="I933" s="47" t="n">
        <f aca="false">A933*Scorecard!$E$12+B933*Scorecard!$E$13+C933*Scorecard!$E$14+D933*Scorecard!$E$15+E933*Scorecard!$E$16+F933*Scorecard!$E$17</f>
        <v>3.99563925795643</v>
      </c>
      <c r="J933" s="0" t="str">
        <f aca="false">IF(AND(G933&gt;=H933,G933&gt;=I933),"Distribution",IF(I933&gt;=H933,"Prof. services","Manufacturing"))</f>
        <v>Prof. services</v>
      </c>
      <c r="L933" s="46" t="n">
        <v>0.1673</v>
      </c>
      <c r="M933" s="46" t="n">
        <v>0.158147</v>
      </c>
      <c r="N933" s="46" t="n">
        <v>0.252534</v>
      </c>
      <c r="O933" s="46" t="n">
        <v>0.122033</v>
      </c>
      <c r="P933" s="46" t="n">
        <v>0.202159</v>
      </c>
      <c r="Q933" s="46" t="n">
        <v>0.097827</v>
      </c>
      <c r="R933" s="47" t="n">
        <f aca="false">L933*Scorecard!$C$12+M933*Scorecard!$C$13+N933*Scorecard!$C$14+O933*Scorecard!$C$15+P933*Scorecard!$C$16+Q933*Scorecard!$C$17</f>
        <v>3.78338361413989</v>
      </c>
      <c r="S933" s="47" t="n">
        <f aca="false">L933*Scorecard!$D$12+M933*Scorecard!$D$13+N933*Scorecard!$D$14+O933*Scorecard!$D$15+P933*Scorecard!$D$16+Q933*Scorecard!$D$17</f>
        <v>2.93504715277428</v>
      </c>
      <c r="T933" s="47" t="n">
        <f aca="false">L933*Scorecard!$E$12+M933*Scorecard!$E$13+N933*Scorecard!$E$14+O933*Scorecard!$E$15+P933*Scorecard!$E$16+Q933*Scorecard!$E$17</f>
        <v>3.85522415767392</v>
      </c>
      <c r="U933" s="0" t="str">
        <f aca="false">IF(AND(R933&gt;=S933,R933&gt;=T933),"Distribution",IF(T933&gt;=S933,"Prof. services","Manufacturing"))</f>
        <v>Prof. services</v>
      </c>
    </row>
    <row r="934" customFormat="false" ht="15" hidden="false" customHeight="false" outlineLevel="0" collapsed="false">
      <c r="A934" s="46" t="n">
        <v>0.430449</v>
      </c>
      <c r="B934" s="46" t="n">
        <v>0.129695</v>
      </c>
      <c r="C934" s="46" t="n">
        <v>0.030589</v>
      </c>
      <c r="D934" s="46" t="n">
        <v>0.086295</v>
      </c>
      <c r="E934" s="46" t="n">
        <v>0.257732</v>
      </c>
      <c r="F934" s="46" t="n">
        <v>0.06524</v>
      </c>
      <c r="G934" s="47" t="n">
        <f aca="false">A934*Scorecard!$C$12+B934*Scorecard!$C$13+C934*Scorecard!$C$14+D934*Scorecard!$C$15+E934*Scorecard!$C$16+F934*Scorecard!$C$17</f>
        <v>3.31069566138015</v>
      </c>
      <c r="H934" s="47" t="n">
        <f aca="false">A934*Scorecard!$D$12+B934*Scorecard!$D$13+C934*Scorecard!$D$14+D934*Scorecard!$D$15+E934*Scorecard!$D$16+F934*Scorecard!$D$17</f>
        <v>3.17760953840522</v>
      </c>
      <c r="I934" s="47" t="n">
        <f aca="false">A934*Scorecard!$E$12+B934*Scorecard!$E$13+C934*Scorecard!$E$14+D934*Scorecard!$E$15+E934*Scorecard!$E$16+F934*Scorecard!$E$17</f>
        <v>3.83501223534295</v>
      </c>
      <c r="J934" s="0" t="str">
        <f aca="false">IF(AND(G934&gt;=H934,G934&gt;=I934),"Distribution",IF(I934&gt;=H934,"Prof. services","Manufacturing"))</f>
        <v>Prof. services</v>
      </c>
      <c r="L934" s="46" t="n">
        <v>0.196433</v>
      </c>
      <c r="M934" s="46" t="n">
        <v>0.124083</v>
      </c>
      <c r="N934" s="46" t="n">
        <v>0.25355</v>
      </c>
      <c r="O934" s="46" t="n">
        <v>0.20685</v>
      </c>
      <c r="P934" s="46" t="n">
        <v>0.20947</v>
      </c>
      <c r="Q934" s="46" t="n">
        <v>0.009614</v>
      </c>
      <c r="R934" s="47" t="n">
        <f aca="false">L934*Scorecard!$C$12+M934*Scorecard!$C$13+N934*Scorecard!$C$14+O934*Scorecard!$C$15+P934*Scorecard!$C$16+Q934*Scorecard!$C$17</f>
        <v>3.95812279867508</v>
      </c>
      <c r="S934" s="47" t="n">
        <f aca="false">L934*Scorecard!$D$12+M934*Scorecard!$D$13+N934*Scorecard!$D$14+O934*Scorecard!$D$15+P934*Scorecard!$D$16+Q934*Scorecard!$D$17</f>
        <v>3.23836521269729</v>
      </c>
      <c r="T934" s="47" t="n">
        <f aca="false">L934*Scorecard!$E$12+M934*Scorecard!$E$13+N934*Scorecard!$E$14+O934*Scorecard!$E$15+P934*Scorecard!$E$16+Q934*Scorecard!$E$17</f>
        <v>3.90689101114461</v>
      </c>
      <c r="U934" s="0" t="str">
        <f aca="false">IF(AND(R934&gt;=S934,R934&gt;=T934),"Distribution",IF(T934&gt;=S934,"Prof. services","Manufacturing"))</f>
        <v>Distribution</v>
      </c>
    </row>
    <row r="935" customFormat="false" ht="15" hidden="false" customHeight="false" outlineLevel="0" collapsed="false">
      <c r="A935" s="46" t="n">
        <v>0.116962</v>
      </c>
      <c r="B935" s="46" t="n">
        <v>0.052288</v>
      </c>
      <c r="C935" s="46" t="n">
        <v>0.092617</v>
      </c>
      <c r="D935" s="46" t="n">
        <v>0.037036</v>
      </c>
      <c r="E935" s="46" t="n">
        <v>0.523487</v>
      </c>
      <c r="F935" s="46" t="n">
        <v>0.17761</v>
      </c>
      <c r="G935" s="47" t="n">
        <f aca="false">A935*Scorecard!$C$12+B935*Scorecard!$C$13+C935*Scorecard!$C$14+D935*Scorecard!$C$15+E935*Scorecard!$C$16+F935*Scorecard!$C$17</f>
        <v>3.52357073200854</v>
      </c>
      <c r="H935" s="47" t="n">
        <f aca="false">A935*Scorecard!$D$12+B935*Scorecard!$D$13+C935*Scorecard!$D$14+D935*Scorecard!$D$15+E935*Scorecard!$D$16+F935*Scorecard!$D$17</f>
        <v>2.94972981142706</v>
      </c>
      <c r="I935" s="47" t="n">
        <f aca="false">A935*Scorecard!$E$12+B935*Scorecard!$E$13+C935*Scorecard!$E$14+D935*Scorecard!$E$15+E935*Scorecard!$E$16+F935*Scorecard!$E$17</f>
        <v>3.33391293286999</v>
      </c>
      <c r="J935" s="0" t="str">
        <f aca="false">IF(AND(G935&gt;=H935,G935&gt;=I935),"Distribution",IF(I935&gt;=H935,"Prof. services","Manufacturing"))</f>
        <v>Distribution</v>
      </c>
      <c r="L935" s="46" t="n">
        <v>0.199623</v>
      </c>
      <c r="M935" s="46" t="n">
        <v>0.293831</v>
      </c>
      <c r="N935" s="46" t="n">
        <v>0.205983</v>
      </c>
      <c r="O935" s="46" t="n">
        <v>0.136588</v>
      </c>
      <c r="P935" s="46" t="n">
        <v>0.125561</v>
      </c>
      <c r="Q935" s="46" t="n">
        <v>0.038414</v>
      </c>
      <c r="R935" s="47" t="n">
        <f aca="false">L935*Scorecard!$C$12+M935*Scorecard!$C$13+N935*Scorecard!$C$14+O935*Scorecard!$C$15+P935*Scorecard!$C$16+Q935*Scorecard!$C$17</f>
        <v>3.99426675318258</v>
      </c>
      <c r="S935" s="47" t="n">
        <f aca="false">L935*Scorecard!$D$12+M935*Scorecard!$D$13+N935*Scorecard!$D$14+O935*Scorecard!$D$15+P935*Scorecard!$D$16+Q935*Scorecard!$D$17</f>
        <v>2.83317242474071</v>
      </c>
      <c r="T935" s="47" t="n">
        <f aca="false">L935*Scorecard!$E$12+M935*Scorecard!$E$13+N935*Scorecard!$E$14+O935*Scorecard!$E$15+P935*Scorecard!$E$16+Q935*Scorecard!$E$17</f>
        <v>3.68685439617513</v>
      </c>
      <c r="U935" s="0" t="str">
        <f aca="false">IF(AND(R935&gt;=S935,R935&gt;=T935),"Distribution",IF(T935&gt;=S935,"Prof. services","Manufacturing"))</f>
        <v>Distribution</v>
      </c>
    </row>
    <row r="936" customFormat="false" ht="15" hidden="false" customHeight="false" outlineLevel="0" collapsed="false">
      <c r="A936" s="46" t="n">
        <v>0.065759</v>
      </c>
      <c r="B936" s="46" t="n">
        <v>0.409803</v>
      </c>
      <c r="C936" s="46" t="n">
        <v>0.215925</v>
      </c>
      <c r="D936" s="46" t="n">
        <v>0.012754</v>
      </c>
      <c r="E936" s="46" t="n">
        <v>0.176529</v>
      </c>
      <c r="F936" s="46" t="n">
        <v>0.119229</v>
      </c>
      <c r="G936" s="47" t="n">
        <f aca="false">A936*Scorecard!$C$12+B936*Scorecard!$C$13+C936*Scorecard!$C$14+D936*Scorecard!$C$15+E936*Scorecard!$C$16+F936*Scorecard!$C$17</f>
        <v>4.06572786221294</v>
      </c>
      <c r="H936" s="47" t="n">
        <f aca="false">A936*Scorecard!$D$12+B936*Scorecard!$D$13+C936*Scorecard!$D$14+D936*Scorecard!$D$15+E936*Scorecard!$D$16+F936*Scorecard!$D$17</f>
        <v>2.3230829767979</v>
      </c>
      <c r="I936" s="47" t="n">
        <f aca="false">A936*Scorecard!$E$12+B936*Scorecard!$E$13+C936*Scorecard!$E$14+D936*Scorecard!$E$15+E936*Scorecard!$E$16+F936*Scorecard!$E$17</f>
        <v>3.2805511620728</v>
      </c>
      <c r="J936" s="0" t="str">
        <f aca="false">IF(AND(G936&gt;=H936,G936&gt;=I936),"Distribution",IF(I936&gt;=H936,"Prof. services","Manufacturing"))</f>
        <v>Distribution</v>
      </c>
      <c r="L936" s="46" t="n">
        <v>0.237058</v>
      </c>
      <c r="M936" s="46" t="n">
        <v>0.15366</v>
      </c>
      <c r="N936" s="46" t="n">
        <v>0.16661</v>
      </c>
      <c r="O936" s="46" t="n">
        <v>0.136119</v>
      </c>
      <c r="P936" s="46" t="n">
        <v>0.194367</v>
      </c>
      <c r="Q936" s="46" t="n">
        <v>0.112187</v>
      </c>
      <c r="R936" s="47" t="n">
        <f aca="false">L936*Scorecard!$C$12+M936*Scorecard!$C$13+N936*Scorecard!$C$14+O936*Scorecard!$C$15+P936*Scorecard!$C$16+Q936*Scorecard!$C$17</f>
        <v>3.63870121932321</v>
      </c>
      <c r="S936" s="47" t="n">
        <f aca="false">L936*Scorecard!$D$12+M936*Scorecard!$D$13+N936*Scorecard!$D$14+O936*Scorecard!$D$15+P936*Scorecard!$D$16+Q936*Scorecard!$D$17</f>
        <v>2.98003293021</v>
      </c>
      <c r="T936" s="47" t="n">
        <f aca="false">L936*Scorecard!$E$12+M936*Scorecard!$E$13+N936*Scorecard!$E$14+O936*Scorecard!$E$15+P936*Scorecard!$E$16+Q936*Scorecard!$E$17</f>
        <v>3.86995624268763</v>
      </c>
      <c r="U936" s="0" t="str">
        <f aca="false">IF(AND(R936&gt;=S936,R936&gt;=T936),"Distribution",IF(T936&gt;=S936,"Prof. services","Manufacturing"))</f>
        <v>Prof. services</v>
      </c>
    </row>
    <row r="937" customFormat="false" ht="15" hidden="false" customHeight="false" outlineLevel="0" collapsed="false">
      <c r="A937" s="46" t="n">
        <v>0.257261</v>
      </c>
      <c r="B937" s="46" t="n">
        <v>0.060199</v>
      </c>
      <c r="C937" s="46" t="n">
        <v>0.091772</v>
      </c>
      <c r="D937" s="46" t="n">
        <v>0.248598</v>
      </c>
      <c r="E937" s="46" t="n">
        <v>0.221739</v>
      </c>
      <c r="F937" s="46" t="n">
        <v>0.120431</v>
      </c>
      <c r="G937" s="47" t="n">
        <f aca="false">A937*Scorecard!$C$12+B937*Scorecard!$C$13+C937*Scorecard!$C$14+D937*Scorecard!$C$15+E937*Scorecard!$C$16+F937*Scorecard!$C$17</f>
        <v>3.60486153120885</v>
      </c>
      <c r="H937" s="47" t="n">
        <f aca="false">A937*Scorecard!$D$12+B937*Scorecard!$D$13+C937*Scorecard!$D$14+D937*Scorecard!$D$15+E937*Scorecard!$D$16+F937*Scorecard!$D$17</f>
        <v>3.26062847341425</v>
      </c>
      <c r="I937" s="47" t="n">
        <f aca="false">A937*Scorecard!$E$12+B937*Scorecard!$E$13+C937*Scorecard!$E$14+D937*Scorecard!$E$15+E937*Scorecard!$E$16+F937*Scorecard!$E$17</f>
        <v>3.9675724870866</v>
      </c>
      <c r="J937" s="0" t="str">
        <f aca="false">IF(AND(G937&gt;=H937,G937&gt;=I937),"Distribution",IF(I937&gt;=H937,"Prof. services","Manufacturing"))</f>
        <v>Prof. services</v>
      </c>
      <c r="L937" s="46" t="n">
        <v>0.198725</v>
      </c>
      <c r="M937" s="46" t="n">
        <v>0.062326</v>
      </c>
      <c r="N937" s="46" t="n">
        <v>0.267243</v>
      </c>
      <c r="O937" s="46" t="n">
        <v>0.281783</v>
      </c>
      <c r="P937" s="46" t="n">
        <v>0.147387</v>
      </c>
      <c r="Q937" s="46" t="n">
        <v>0.042536</v>
      </c>
      <c r="R937" s="47" t="n">
        <f aca="false">L937*Scorecard!$C$12+M937*Scorecard!$C$13+N937*Scorecard!$C$14+O937*Scorecard!$C$15+P937*Scorecard!$C$16+Q937*Scorecard!$C$17</f>
        <v>3.90132916598893</v>
      </c>
      <c r="S937" s="47" t="n">
        <f aca="false">L937*Scorecard!$D$12+M937*Scorecard!$D$13+N937*Scorecard!$D$14+O937*Scorecard!$D$15+P937*Scorecard!$D$16+Q937*Scorecard!$D$17</f>
        <v>3.3492447651219</v>
      </c>
      <c r="T937" s="47" t="n">
        <f aca="false">L937*Scorecard!$E$12+M937*Scorecard!$E$13+N937*Scorecard!$E$14+O937*Scorecard!$E$15+P937*Scorecard!$E$16+Q937*Scorecard!$E$17</f>
        <v>4.17093661122491</v>
      </c>
      <c r="U937" s="0" t="str">
        <f aca="false">IF(AND(R937&gt;=S937,R937&gt;=T937),"Distribution",IF(T937&gt;=S937,"Prof. services","Manufacturing"))</f>
        <v>Prof. services</v>
      </c>
    </row>
    <row r="938" customFormat="false" ht="15" hidden="false" customHeight="false" outlineLevel="0" collapsed="false">
      <c r="A938" s="46" t="n">
        <v>0.538871</v>
      </c>
      <c r="B938" s="46" t="n">
        <v>0.033257</v>
      </c>
      <c r="C938" s="46" t="n">
        <v>0.382166</v>
      </c>
      <c r="D938" s="46" t="n">
        <v>0.00295</v>
      </c>
      <c r="E938" s="46" t="n">
        <v>0.027182</v>
      </c>
      <c r="F938" s="46" t="n">
        <v>0.015575</v>
      </c>
      <c r="G938" s="47" t="n">
        <f aca="false">A938*Scorecard!$C$12+B938*Scorecard!$C$13+C938*Scorecard!$C$14+D938*Scorecard!$C$15+E938*Scorecard!$C$16+F938*Scorecard!$C$17</f>
        <v>3.03508551517737</v>
      </c>
      <c r="H938" s="47" t="n">
        <f aca="false">A938*Scorecard!$D$12+B938*Scorecard!$D$13+C938*Scorecard!$D$14+D938*Scorecard!$D$15+E938*Scorecard!$D$16+F938*Scorecard!$D$17</f>
        <v>3.29514811535072</v>
      </c>
      <c r="I938" s="47" t="n">
        <f aca="false">A938*Scorecard!$E$12+B938*Scorecard!$E$13+C938*Scorecard!$E$14+D938*Scorecard!$E$15+E938*Scorecard!$E$16+F938*Scorecard!$E$17</f>
        <v>4.82163287714578</v>
      </c>
      <c r="J938" s="0" t="str">
        <f aca="false">IF(AND(G938&gt;=H938,G938&gt;=I938),"Distribution",IF(I938&gt;=H938,"Prof. services","Manufacturing"))</f>
        <v>Prof. services</v>
      </c>
      <c r="L938" s="46" t="n">
        <v>0.157266</v>
      </c>
      <c r="M938" s="46" t="n">
        <v>0.124163</v>
      </c>
      <c r="N938" s="46" t="n">
        <v>0.355669</v>
      </c>
      <c r="O938" s="46" t="n">
        <v>0.117306</v>
      </c>
      <c r="P938" s="46" t="n">
        <v>0.162754</v>
      </c>
      <c r="Q938" s="46" t="n">
        <v>0.082842</v>
      </c>
      <c r="R938" s="47" t="n">
        <f aca="false">L938*Scorecard!$C$12+M938*Scorecard!$C$13+N938*Scorecard!$C$14+O938*Scorecard!$C$15+P938*Scorecard!$C$16+Q938*Scorecard!$C$17</f>
        <v>3.79270395723445</v>
      </c>
      <c r="S938" s="47" t="n">
        <f aca="false">L938*Scorecard!$D$12+M938*Scorecard!$D$13+N938*Scorecard!$D$14+O938*Scorecard!$D$15+P938*Scorecard!$D$16+Q938*Scorecard!$D$17</f>
        <v>2.98329958578246</v>
      </c>
      <c r="T938" s="47" t="n">
        <f aca="false">L938*Scorecard!$E$12+M938*Scorecard!$E$13+N938*Scorecard!$E$14+O938*Scorecard!$E$15+P938*Scorecard!$E$16+Q938*Scorecard!$E$17</f>
        <v>4.06947187541119</v>
      </c>
      <c r="U938" s="0" t="str">
        <f aca="false">IF(AND(R938&gt;=S938,R938&gt;=T938),"Distribution",IF(T938&gt;=S938,"Prof. services","Manufacturing"))</f>
        <v>Prof. services</v>
      </c>
    </row>
    <row r="939" customFormat="false" ht="15" hidden="false" customHeight="false" outlineLevel="0" collapsed="false">
      <c r="A939" s="46" t="n">
        <v>0.410089</v>
      </c>
      <c r="B939" s="46" t="n">
        <v>0.275529</v>
      </c>
      <c r="C939" s="46" t="n">
        <v>0.156419</v>
      </c>
      <c r="D939" s="46" t="n">
        <v>0.115597</v>
      </c>
      <c r="E939" s="46" t="n">
        <v>0.022923</v>
      </c>
      <c r="F939" s="46" t="n">
        <v>0.019442</v>
      </c>
      <c r="G939" s="47" t="n">
        <f aca="false">A939*Scorecard!$C$12+B939*Scorecard!$C$13+C939*Scorecard!$C$14+D939*Scorecard!$C$15+E939*Scorecard!$C$16+F939*Scorecard!$C$17</f>
        <v>3.61407195173348</v>
      </c>
      <c r="H939" s="47" t="n">
        <f aca="false">A939*Scorecard!$D$12+B939*Scorecard!$D$13+C939*Scorecard!$D$14+D939*Scorecard!$D$15+E939*Scorecard!$D$16+F939*Scorecard!$D$17</f>
        <v>2.96960916855025</v>
      </c>
      <c r="I939" s="47" t="n">
        <f aca="false">A939*Scorecard!$E$12+B939*Scorecard!$E$13+C939*Scorecard!$E$14+D939*Scorecard!$E$15+E939*Scorecard!$E$16+F939*Scorecard!$E$17</f>
        <v>4.04021189426603</v>
      </c>
      <c r="J939" s="0" t="str">
        <f aca="false">IF(AND(G939&gt;=H939,G939&gt;=I939),"Distribution",IF(I939&gt;=H939,"Prof. services","Manufacturing"))</f>
        <v>Prof. services</v>
      </c>
      <c r="L939" s="46" t="n">
        <v>0.251361</v>
      </c>
      <c r="M939" s="46" t="n">
        <v>0.140105</v>
      </c>
      <c r="N939" s="46" t="n">
        <v>0.219418</v>
      </c>
      <c r="O939" s="46" t="n">
        <v>0.121535</v>
      </c>
      <c r="P939" s="46" t="n">
        <v>0.248468</v>
      </c>
      <c r="Q939" s="46" t="n">
        <v>0.019114</v>
      </c>
      <c r="R939" s="47" t="n">
        <f aca="false">L939*Scorecard!$C$12+M939*Scorecard!$C$13+N939*Scorecard!$C$14+O939*Scorecard!$C$15+P939*Scorecard!$C$16+Q939*Scorecard!$C$17</f>
        <v>3.77096261534857</v>
      </c>
      <c r="S939" s="47" t="n">
        <f aca="false">L939*Scorecard!$D$12+M939*Scorecard!$D$13+N939*Scorecard!$D$14+O939*Scorecard!$D$15+P939*Scorecard!$D$16+Q939*Scorecard!$D$17</f>
        <v>3.15058697322964</v>
      </c>
      <c r="T939" s="47" t="n">
        <f aca="false">L939*Scorecard!$E$12+M939*Scorecard!$E$13+N939*Scorecard!$E$14+O939*Scorecard!$E$15+P939*Scorecard!$E$16+Q939*Scorecard!$E$17</f>
        <v>3.82339261447342</v>
      </c>
      <c r="U939" s="0" t="str">
        <f aca="false">IF(AND(R939&gt;=S939,R939&gt;=T939),"Distribution",IF(T939&gt;=S939,"Prof. services","Manufacturing"))</f>
        <v>Prof. services</v>
      </c>
    </row>
    <row r="940" customFormat="false" ht="15" hidden="false" customHeight="false" outlineLevel="0" collapsed="false">
      <c r="A940" s="46" t="n">
        <v>0.135059</v>
      </c>
      <c r="B940" s="46" t="n">
        <v>0.194023</v>
      </c>
      <c r="C940" s="46" t="n">
        <v>0.186169</v>
      </c>
      <c r="D940" s="46" t="n">
        <v>0.394271</v>
      </c>
      <c r="E940" s="46" t="n">
        <v>0.071873</v>
      </c>
      <c r="F940" s="46" t="n">
        <v>0.018605</v>
      </c>
      <c r="G940" s="47" t="n">
        <f aca="false">A940*Scorecard!$C$12+B940*Scorecard!$C$13+C940*Scorecard!$C$14+D940*Scorecard!$C$15+E940*Scorecard!$C$16+F940*Scorecard!$C$17</f>
        <v>4.30797587392779</v>
      </c>
      <c r="H940" s="47" t="n">
        <f aca="false">A940*Scorecard!$D$12+B940*Scorecard!$D$13+C940*Scorecard!$D$14+D940*Scorecard!$D$15+E940*Scorecard!$D$16+F940*Scorecard!$D$17</f>
        <v>3.25045869569047</v>
      </c>
      <c r="I940" s="47" t="n">
        <f aca="false">A940*Scorecard!$E$12+B940*Scorecard!$E$13+C940*Scorecard!$E$14+D940*Scorecard!$E$15+E940*Scorecard!$E$16+F940*Scorecard!$E$17</f>
        <v>3.91153896024113</v>
      </c>
      <c r="J940" s="0" t="str">
        <f aca="false">IF(AND(G940&gt;=H940,G940&gt;=I940),"Distribution",IF(I940&gt;=H940,"Prof. services","Manufacturing"))</f>
        <v>Distribution</v>
      </c>
      <c r="L940" s="46" t="n">
        <v>0.161305</v>
      </c>
      <c r="M940" s="46" t="n">
        <v>0.274804</v>
      </c>
      <c r="N940" s="46" t="n">
        <v>0.261545</v>
      </c>
      <c r="O940" s="46" t="n">
        <v>0.060438</v>
      </c>
      <c r="P940" s="46" t="n">
        <v>0.193821</v>
      </c>
      <c r="Q940" s="46" t="n">
        <v>0.048087</v>
      </c>
      <c r="R940" s="47" t="n">
        <f aca="false">L940*Scorecard!$C$12+M940*Scorecard!$C$13+N940*Scorecard!$C$14+O940*Scorecard!$C$15+P940*Scorecard!$C$16+Q940*Scorecard!$C$17</f>
        <v>3.94871669963439</v>
      </c>
      <c r="S940" s="47" t="n">
        <f aca="false">L940*Scorecard!$D$12+M940*Scorecard!$D$13+N940*Scorecard!$D$14+O940*Scorecard!$D$15+P940*Scorecard!$D$16+Q940*Scorecard!$D$17</f>
        <v>2.75651052856708</v>
      </c>
      <c r="T940" s="47" t="n">
        <f aca="false">L940*Scorecard!$E$12+M940*Scorecard!$E$13+N940*Scorecard!$E$14+O940*Scorecard!$E$15+P940*Scorecard!$E$16+Q940*Scorecard!$E$17</f>
        <v>3.61835803764119</v>
      </c>
      <c r="U940" s="0" t="str">
        <f aca="false">IF(AND(R940&gt;=S940,R940&gt;=T940),"Distribution",IF(T940&gt;=S940,"Prof. services","Manufacturing"))</f>
        <v>Distribution</v>
      </c>
    </row>
    <row r="941" customFormat="false" ht="15" hidden="false" customHeight="false" outlineLevel="0" collapsed="false">
      <c r="A941" s="46" t="n">
        <v>0.017381</v>
      </c>
      <c r="B941" s="46" t="n">
        <v>0.025937</v>
      </c>
      <c r="C941" s="46" t="n">
        <v>0.441971</v>
      </c>
      <c r="D941" s="46" t="n">
        <v>0.015099</v>
      </c>
      <c r="E941" s="46" t="n">
        <v>0.10582</v>
      </c>
      <c r="F941" s="46" t="n">
        <v>0.393792</v>
      </c>
      <c r="G941" s="47" t="n">
        <f aca="false">A941*Scorecard!$C$12+B941*Scorecard!$C$13+C941*Scorecard!$C$14+D941*Scorecard!$C$15+E941*Scorecard!$C$16+F941*Scorecard!$C$17</f>
        <v>3.2221659521301</v>
      </c>
      <c r="H941" s="47" t="n">
        <f aca="false">A941*Scorecard!$D$12+B941*Scorecard!$D$13+C941*Scorecard!$D$14+D941*Scorecard!$D$15+E941*Scorecard!$D$16+F941*Scorecard!$D$17</f>
        <v>2.43461407169389</v>
      </c>
      <c r="I941" s="47" t="n">
        <f aca="false">A941*Scorecard!$E$12+B941*Scorecard!$E$13+C941*Scorecard!$E$14+D941*Scorecard!$E$15+E941*Scorecard!$E$16+F941*Scorecard!$E$17</f>
        <v>4.4337121200915</v>
      </c>
      <c r="J941" s="0" t="str">
        <f aca="false">IF(AND(G941&gt;=H941,G941&gt;=I941),"Distribution",IF(I941&gt;=H941,"Prof. services","Manufacturing"))</f>
        <v>Prof. services</v>
      </c>
      <c r="L941" s="46" t="n">
        <v>0.175057</v>
      </c>
      <c r="M941" s="46" t="n">
        <v>0.340189</v>
      </c>
      <c r="N941" s="46" t="n">
        <v>0.202551</v>
      </c>
      <c r="O941" s="46" t="n">
        <v>0.073752</v>
      </c>
      <c r="P941" s="46" t="n">
        <v>0.093474</v>
      </c>
      <c r="Q941" s="46" t="n">
        <v>0.114978</v>
      </c>
      <c r="R941" s="47" t="n">
        <f aca="false">L941*Scorecard!$C$12+M941*Scorecard!$C$13+N941*Scorecard!$C$14+O941*Scorecard!$C$15+P941*Scorecard!$C$16+Q941*Scorecard!$C$17</f>
        <v>3.86888390351755</v>
      </c>
      <c r="S941" s="47" t="n">
        <f aca="false">L941*Scorecard!$D$12+M941*Scorecard!$D$13+N941*Scorecard!$D$14+O941*Scorecard!$D$15+P941*Scorecard!$D$16+Q941*Scorecard!$D$17</f>
        <v>2.54908171783927</v>
      </c>
      <c r="T941" s="47" t="n">
        <f aca="false">L941*Scorecard!$E$12+M941*Scorecard!$E$13+N941*Scorecard!$E$14+O941*Scorecard!$E$15+P941*Scorecard!$E$16+Q941*Scorecard!$E$17</f>
        <v>3.65336021036587</v>
      </c>
      <c r="U941" s="0" t="str">
        <f aca="false">IF(AND(R941&gt;=S941,R941&gt;=T941),"Distribution",IF(T941&gt;=S941,"Prof. services","Manufacturing"))</f>
        <v>Distribution</v>
      </c>
    </row>
    <row r="942" customFormat="false" ht="15" hidden="false" customHeight="false" outlineLevel="0" collapsed="false">
      <c r="A942" s="46" t="n">
        <v>0.147933</v>
      </c>
      <c r="B942" s="46" t="n">
        <v>0.029748</v>
      </c>
      <c r="C942" s="46" t="n">
        <v>0.275735</v>
      </c>
      <c r="D942" s="46" t="n">
        <v>0.038468</v>
      </c>
      <c r="E942" s="46" t="n">
        <v>0.494006</v>
      </c>
      <c r="F942" s="46" t="n">
        <v>0.01411</v>
      </c>
      <c r="G942" s="47" t="n">
        <f aca="false">A942*Scorecard!$C$12+B942*Scorecard!$C$13+C942*Scorecard!$C$14+D942*Scorecard!$C$15+E942*Scorecard!$C$16+F942*Scorecard!$C$17</f>
        <v>3.77371449033207</v>
      </c>
      <c r="H942" s="47" t="n">
        <f aca="false">A942*Scorecard!$D$12+B942*Scorecard!$D$13+C942*Scorecard!$D$14+D942*Scorecard!$D$15+E942*Scorecard!$D$16+F942*Scorecard!$D$17</f>
        <v>3.24110100360925</v>
      </c>
      <c r="I942" s="47" t="n">
        <f aca="false">A942*Scorecard!$E$12+B942*Scorecard!$E$13+C942*Scorecard!$E$14+D942*Scorecard!$E$15+E942*Scorecard!$E$16+F942*Scorecard!$E$17</f>
        <v>3.55789768187866</v>
      </c>
      <c r="J942" s="0" t="str">
        <f aca="false">IF(AND(G942&gt;=H942,G942&gt;=I942),"Distribution",IF(I942&gt;=H942,"Prof. services","Manufacturing"))</f>
        <v>Distribution</v>
      </c>
      <c r="L942" s="46" t="n">
        <v>0.163377</v>
      </c>
      <c r="M942" s="46" t="n">
        <v>0.162104</v>
      </c>
      <c r="N942" s="46" t="n">
        <v>0.23565</v>
      </c>
      <c r="O942" s="46" t="n">
        <v>0.165059</v>
      </c>
      <c r="P942" s="46" t="n">
        <v>0.122039</v>
      </c>
      <c r="Q942" s="46" t="n">
        <v>0.151772</v>
      </c>
      <c r="R942" s="47" t="n">
        <f aca="false">L942*Scorecard!$C$12+M942*Scorecard!$C$13+N942*Scorecard!$C$14+O942*Scorecard!$C$15+P942*Scorecard!$C$16+Q942*Scorecard!$C$17</f>
        <v>3.72954207008567</v>
      </c>
      <c r="S942" s="47" t="n">
        <f aca="false">L942*Scorecard!$D$12+M942*Scorecard!$D$13+N942*Scorecard!$D$14+O942*Scorecard!$D$15+P942*Scorecard!$D$16+Q942*Scorecard!$D$17</f>
        <v>2.86870385664793</v>
      </c>
      <c r="T942" s="47" t="n">
        <f aca="false">L942*Scorecard!$E$12+M942*Scorecard!$E$13+N942*Scorecard!$E$14+O942*Scorecard!$E$15+P942*Scorecard!$E$16+Q942*Scorecard!$E$17</f>
        <v>3.99456629897539</v>
      </c>
      <c r="U942" s="0" t="str">
        <f aca="false">IF(AND(R942&gt;=S942,R942&gt;=T942),"Distribution",IF(T942&gt;=S942,"Prof. services","Manufacturing"))</f>
        <v>Prof. services</v>
      </c>
    </row>
    <row r="943" customFormat="false" ht="15" hidden="false" customHeight="false" outlineLevel="0" collapsed="false">
      <c r="A943" s="46" t="n">
        <v>0.209756</v>
      </c>
      <c r="B943" s="46" t="n">
        <v>0.391476</v>
      </c>
      <c r="C943" s="46" t="n">
        <v>0.048683</v>
      </c>
      <c r="D943" s="46" t="n">
        <v>0.012178</v>
      </c>
      <c r="E943" s="46" t="n">
        <v>0.197144</v>
      </c>
      <c r="F943" s="46" t="n">
        <v>0.140763</v>
      </c>
      <c r="G943" s="47" t="n">
        <f aca="false">A943*Scorecard!$C$12+B943*Scorecard!$C$13+C943*Scorecard!$C$14+D943*Scorecard!$C$15+E943*Scorecard!$C$16+F943*Scorecard!$C$17</f>
        <v>3.74456420867619</v>
      </c>
      <c r="H943" s="47" t="n">
        <f aca="false">A943*Scorecard!$D$12+B943*Scorecard!$D$13+C943*Scorecard!$D$14+D943*Scorecard!$D$15+E943*Scorecard!$D$16+F943*Scorecard!$D$17</f>
        <v>2.41961578842102</v>
      </c>
      <c r="I943" s="47" t="n">
        <f aca="false">A943*Scorecard!$E$12+B943*Scorecard!$E$13+C943*Scorecard!$E$14+D943*Scorecard!$E$15+E943*Scorecard!$E$16+F943*Scorecard!$E$17</f>
        <v>3.26799819405423</v>
      </c>
      <c r="J943" s="0" t="str">
        <f aca="false">IF(AND(G943&gt;=H943,G943&gt;=I943),"Distribution",IF(I943&gt;=H943,"Prof. services","Manufacturing"))</f>
        <v>Distribution</v>
      </c>
      <c r="L943" s="46" t="n">
        <v>0.231163</v>
      </c>
      <c r="M943" s="46" t="n">
        <v>0.208025</v>
      </c>
      <c r="N943" s="46" t="n">
        <v>0.149156</v>
      </c>
      <c r="O943" s="46" t="n">
        <v>0.224177</v>
      </c>
      <c r="P943" s="46" t="n">
        <v>0.113502</v>
      </c>
      <c r="Q943" s="46" t="n">
        <v>0.073976</v>
      </c>
      <c r="R943" s="47" t="n">
        <f aca="false">L943*Scorecard!$C$12+M943*Scorecard!$C$13+N943*Scorecard!$C$14+O943*Scorecard!$C$15+P943*Scorecard!$C$16+Q943*Scorecard!$C$17</f>
        <v>3.86814930339162</v>
      </c>
      <c r="S943" s="47" t="n">
        <f aca="false">L943*Scorecard!$D$12+M943*Scorecard!$D$13+N943*Scorecard!$D$14+O943*Scorecard!$D$15+P943*Scorecard!$D$16+Q943*Scorecard!$D$17</f>
        <v>3.02683208662003</v>
      </c>
      <c r="T943" s="47" t="n">
        <f aca="false">L943*Scorecard!$E$12+M943*Scorecard!$E$13+N943*Scorecard!$E$14+O943*Scorecard!$E$15+P943*Scorecard!$E$16+Q943*Scorecard!$E$17</f>
        <v>3.8747536470359</v>
      </c>
      <c r="U943" s="0" t="str">
        <f aca="false">IF(AND(R943&gt;=S943,R943&gt;=T943),"Distribution",IF(T943&gt;=S943,"Prof. services","Manufacturing"))</f>
        <v>Prof. services</v>
      </c>
    </row>
    <row r="944" customFormat="false" ht="15" hidden="false" customHeight="false" outlineLevel="0" collapsed="false">
      <c r="A944" s="46" t="n">
        <v>0.028852</v>
      </c>
      <c r="B944" s="46" t="n">
        <v>0.109332</v>
      </c>
      <c r="C944" s="46" t="n">
        <v>0.123857</v>
      </c>
      <c r="D944" s="46" t="n">
        <v>0.265775</v>
      </c>
      <c r="E944" s="46" t="n">
        <v>0.409894</v>
      </c>
      <c r="F944" s="46" t="n">
        <v>0.06229</v>
      </c>
      <c r="G944" s="47" t="n">
        <f aca="false">A944*Scorecard!$C$12+B944*Scorecard!$C$13+C944*Scorecard!$C$14+D944*Scorecard!$C$15+E944*Scorecard!$C$16+F944*Scorecard!$C$17</f>
        <v>4.19859298854252</v>
      </c>
      <c r="H944" s="47" t="n">
        <f aca="false">A944*Scorecard!$D$12+B944*Scorecard!$D$13+C944*Scorecard!$D$14+D944*Scorecard!$D$15+E944*Scorecard!$D$16+F944*Scorecard!$D$17</f>
        <v>3.20581902829617</v>
      </c>
      <c r="I944" s="47" t="n">
        <f aca="false">A944*Scorecard!$E$12+B944*Scorecard!$E$13+C944*Scorecard!$E$14+D944*Scorecard!$E$15+E944*Scorecard!$E$16+F944*Scorecard!$E$17</f>
        <v>3.3392519997413</v>
      </c>
      <c r="J944" s="0" t="str">
        <f aca="false">IF(AND(G944&gt;=H944,G944&gt;=I944),"Distribution",IF(I944&gt;=H944,"Prof. services","Manufacturing"))</f>
        <v>Distribution</v>
      </c>
      <c r="L944" s="46" t="n">
        <v>0.407451</v>
      </c>
      <c r="M944" s="46" t="n">
        <v>0.151512</v>
      </c>
      <c r="N944" s="46" t="n">
        <v>0.15063</v>
      </c>
      <c r="O944" s="46" t="n">
        <v>0.144132</v>
      </c>
      <c r="P944" s="46" t="n">
        <v>0.093522</v>
      </c>
      <c r="Q944" s="46" t="n">
        <v>0.052753</v>
      </c>
      <c r="R944" s="47" t="n">
        <f aca="false">L944*Scorecard!$C$12+M944*Scorecard!$C$13+N944*Scorecard!$C$14+O944*Scorecard!$C$15+P944*Scorecard!$C$16+Q944*Scorecard!$C$17</f>
        <v>3.45672038935392</v>
      </c>
      <c r="S944" s="47" t="n">
        <f aca="false">L944*Scorecard!$D$12+M944*Scorecard!$D$13+N944*Scorecard!$D$14+O944*Scorecard!$D$15+P944*Scorecard!$D$16+Q944*Scorecard!$D$17</f>
        <v>3.16061919674695</v>
      </c>
      <c r="T944" s="47" t="n">
        <f aca="false">L944*Scorecard!$E$12+M944*Scorecard!$E$13+N944*Scorecard!$E$14+O944*Scorecard!$E$15+P944*Scorecard!$E$16+Q944*Scorecard!$E$17</f>
        <v>4.16806702019916</v>
      </c>
      <c r="U944" s="0" t="str">
        <f aca="false">IF(AND(R944&gt;=S944,R944&gt;=T944),"Distribution",IF(T944&gt;=S944,"Prof. services","Manufacturing"))</f>
        <v>Prof. services</v>
      </c>
    </row>
    <row r="945" customFormat="false" ht="15" hidden="false" customHeight="false" outlineLevel="0" collapsed="false">
      <c r="A945" s="46" t="n">
        <v>0.016386</v>
      </c>
      <c r="B945" s="46" t="n">
        <v>0.070081</v>
      </c>
      <c r="C945" s="46" t="n">
        <v>0.009249</v>
      </c>
      <c r="D945" s="46" t="n">
        <v>0.14914</v>
      </c>
      <c r="E945" s="46" t="n">
        <v>0.027489</v>
      </c>
      <c r="F945" s="46" t="n">
        <v>0.727654</v>
      </c>
      <c r="G945" s="47" t="n">
        <f aca="false">A945*Scorecard!$C$12+B945*Scorecard!$C$13+C945*Scorecard!$C$14+D945*Scorecard!$C$15+E945*Scorecard!$C$16+F945*Scorecard!$C$17</f>
        <v>2.73441396631976</v>
      </c>
      <c r="H945" s="47" t="n">
        <f aca="false">A945*Scorecard!$D$12+B945*Scorecard!$D$13+C945*Scorecard!$D$14+D945*Scorecard!$D$15+E945*Scorecard!$D$16+F945*Scorecard!$D$17</f>
        <v>1.99596164102283</v>
      </c>
      <c r="I945" s="47" t="n">
        <f aca="false">A945*Scorecard!$E$12+B945*Scorecard!$E$13+C945*Scorecard!$E$14+D945*Scorecard!$E$15+E945*Scorecard!$E$16+F945*Scorecard!$E$17</f>
        <v>4.23667535322437</v>
      </c>
      <c r="J945" s="0" t="str">
        <f aca="false">IF(AND(G945&gt;=H945,G945&gt;=I945),"Distribution",IF(I945&gt;=H945,"Prof. services","Manufacturing"))</f>
        <v>Prof. services</v>
      </c>
      <c r="L945" s="46" t="n">
        <v>0.311863</v>
      </c>
      <c r="M945" s="46" t="n">
        <v>0.152678</v>
      </c>
      <c r="N945" s="46" t="n">
        <v>0.194812</v>
      </c>
      <c r="O945" s="46" t="n">
        <v>0.059428</v>
      </c>
      <c r="P945" s="46" t="n">
        <v>0.077722</v>
      </c>
      <c r="Q945" s="46" t="n">
        <v>0.203498</v>
      </c>
      <c r="R945" s="47" t="n">
        <f aca="false">L945*Scorecard!$C$12+M945*Scorecard!$C$13+N945*Scorecard!$C$14+O945*Scorecard!$C$15+P945*Scorecard!$C$16+Q945*Scorecard!$C$17</f>
        <v>3.24375615253142</v>
      </c>
      <c r="S945" s="47" t="n">
        <f aca="false">L945*Scorecard!$D$12+M945*Scorecard!$D$13+N945*Scorecard!$D$14+O945*Scorecard!$D$15+P945*Scorecard!$D$16+Q945*Scorecard!$D$17</f>
        <v>2.7662904599611</v>
      </c>
      <c r="T945" s="47" t="n">
        <f aca="false">L945*Scorecard!$E$12+M945*Scorecard!$E$13+N945*Scorecard!$E$14+O945*Scorecard!$E$15+P945*Scorecard!$E$16+Q945*Scorecard!$E$17</f>
        <v>4.20228312336929</v>
      </c>
      <c r="U945" s="0" t="str">
        <f aca="false">IF(AND(R945&gt;=S945,R945&gt;=T945),"Distribution",IF(T945&gt;=S945,"Prof. services","Manufacturing"))</f>
        <v>Prof. services</v>
      </c>
    </row>
    <row r="946" customFormat="false" ht="15" hidden="false" customHeight="false" outlineLevel="0" collapsed="false">
      <c r="A946" s="46" t="n">
        <v>0.015487</v>
      </c>
      <c r="B946" s="46" t="n">
        <v>0.391234</v>
      </c>
      <c r="C946" s="46" t="n">
        <v>0.064364</v>
      </c>
      <c r="D946" s="46" t="n">
        <v>0.110386</v>
      </c>
      <c r="E946" s="46" t="n">
        <v>0.411045</v>
      </c>
      <c r="F946" s="46" t="n">
        <v>0.007485</v>
      </c>
      <c r="G946" s="47" t="n">
        <f aca="false">A946*Scorecard!$C$12+B946*Scorecard!$C$13+C946*Scorecard!$C$14+D946*Scorecard!$C$15+E946*Scorecard!$C$16+F946*Scorecard!$C$17</f>
        <v>4.45877717914037</v>
      </c>
      <c r="H946" s="47" t="n">
        <f aca="false">A946*Scorecard!$D$12+B946*Scorecard!$D$13+C946*Scorecard!$D$14+D946*Scorecard!$D$15+E946*Scorecard!$D$16+F946*Scorecard!$D$17</f>
        <v>2.67656478452895</v>
      </c>
      <c r="I946" s="47" t="n">
        <f aca="false">A946*Scorecard!$E$12+B946*Scorecard!$E$13+C946*Scorecard!$E$14+D946*Scorecard!$E$15+E946*Scorecard!$E$16+F946*Scorecard!$E$17</f>
        <v>2.68284435955705</v>
      </c>
      <c r="J946" s="0" t="str">
        <f aca="false">IF(AND(G946&gt;=H946,G946&gt;=I946),"Distribution",IF(I946&gt;=H946,"Prof. services","Manufacturing"))</f>
        <v>Distribution</v>
      </c>
      <c r="L946" s="46" t="n">
        <v>0.164621</v>
      </c>
      <c r="M946" s="46" t="n">
        <v>0.303297</v>
      </c>
      <c r="N946" s="46" t="n">
        <v>0.068412</v>
      </c>
      <c r="O946" s="46" t="n">
        <v>0.087688</v>
      </c>
      <c r="P946" s="46" t="n">
        <v>0.168971</v>
      </c>
      <c r="Q946" s="46" t="n">
        <v>0.207011</v>
      </c>
      <c r="R946" s="47" t="n">
        <f aca="false">L946*Scorecard!$C$12+M946*Scorecard!$C$13+N946*Scorecard!$C$14+O946*Scorecard!$C$15+P946*Scorecard!$C$16+Q946*Scorecard!$C$17</f>
        <v>3.68064285234502</v>
      </c>
      <c r="S946" s="47" t="n">
        <f aca="false">L946*Scorecard!$D$12+M946*Scorecard!$D$13+N946*Scorecard!$D$14+O946*Scorecard!$D$15+P946*Scorecard!$D$16+Q946*Scorecard!$D$17</f>
        <v>2.50080924796747</v>
      </c>
      <c r="T946" s="47" t="n">
        <f aca="false">L946*Scorecard!$E$12+M946*Scorecard!$E$13+N946*Scorecard!$E$14+O946*Scorecard!$E$15+P946*Scorecard!$E$16+Q946*Scorecard!$E$17</f>
        <v>3.50045059303326</v>
      </c>
      <c r="U946" s="0" t="str">
        <f aca="false">IF(AND(R946&gt;=S946,R946&gt;=T946),"Distribution",IF(T946&gt;=S946,"Prof. services","Manufacturing"))</f>
        <v>Distribution</v>
      </c>
    </row>
    <row r="947" customFormat="false" ht="15" hidden="false" customHeight="false" outlineLevel="0" collapsed="false">
      <c r="A947" s="46" t="n">
        <v>0.04066</v>
      </c>
      <c r="B947" s="46" t="n">
        <v>0.144746</v>
      </c>
      <c r="C947" s="46" t="n">
        <v>0.224223</v>
      </c>
      <c r="D947" s="46" t="n">
        <v>0.147373</v>
      </c>
      <c r="E947" s="46" t="n">
        <v>0.169011</v>
      </c>
      <c r="F947" s="46" t="n">
        <v>0.273986</v>
      </c>
      <c r="G947" s="47" t="n">
        <f aca="false">A947*Scorecard!$C$12+B947*Scorecard!$C$13+C947*Scorecard!$C$14+D947*Scorecard!$C$15+E947*Scorecard!$C$16+F947*Scorecard!$C$17</f>
        <v>3.670954420149</v>
      </c>
      <c r="H947" s="47" t="n">
        <f aca="false">A947*Scorecard!$D$12+B947*Scorecard!$D$13+C947*Scorecard!$D$14+D947*Scorecard!$D$15+E947*Scorecard!$D$16+F947*Scorecard!$D$17</f>
        <v>2.62555394223571</v>
      </c>
      <c r="I947" s="47" t="n">
        <f aca="false">A947*Scorecard!$E$12+B947*Scorecard!$E$13+C947*Scorecard!$E$14+D947*Scorecard!$E$15+E947*Scorecard!$E$16+F947*Scorecard!$E$17</f>
        <v>3.8728886268246</v>
      </c>
      <c r="J947" s="0" t="str">
        <f aca="false">IF(AND(G947&gt;=H947,G947&gt;=I947),"Distribution",IF(I947&gt;=H947,"Prof. services","Manufacturing"))</f>
        <v>Prof. services</v>
      </c>
      <c r="L947" s="46" t="n">
        <v>0.209931</v>
      </c>
      <c r="M947" s="46" t="n">
        <v>0.192595</v>
      </c>
      <c r="N947" s="46" t="n">
        <v>0.270133</v>
      </c>
      <c r="O947" s="46" t="n">
        <v>0.170728</v>
      </c>
      <c r="P947" s="46" t="n">
        <v>0.059994</v>
      </c>
      <c r="Q947" s="46" t="n">
        <v>0.096618</v>
      </c>
      <c r="R947" s="47" t="n">
        <f aca="false">L947*Scorecard!$C$12+M947*Scorecard!$C$13+N947*Scorecard!$C$14+O947*Scorecard!$C$15+P947*Scorecard!$C$16+Q947*Scorecard!$C$17</f>
        <v>3.79220420618052</v>
      </c>
      <c r="S947" s="47" t="n">
        <f aca="false">L947*Scorecard!$D$12+M947*Scorecard!$D$13+N947*Scorecard!$D$14+O947*Scorecard!$D$15+P947*Scorecard!$D$16+Q947*Scorecard!$D$17</f>
        <v>2.92229400652345</v>
      </c>
      <c r="T947" s="47" t="n">
        <f aca="false">L947*Scorecard!$E$12+M947*Scorecard!$E$13+N947*Scorecard!$E$14+O947*Scorecard!$E$15+P947*Scorecard!$E$16+Q947*Scorecard!$E$17</f>
        <v>4.09516843370497</v>
      </c>
      <c r="U947" s="0" t="str">
        <f aca="false">IF(AND(R947&gt;=S947,R947&gt;=T947),"Distribution",IF(T947&gt;=S947,"Prof. services","Manufacturing"))</f>
        <v>Prof. services</v>
      </c>
    </row>
    <row r="948" customFormat="false" ht="15" hidden="false" customHeight="false" outlineLevel="0" collapsed="false">
      <c r="A948" s="46" t="n">
        <v>0.011342</v>
      </c>
      <c r="B948" s="46" t="n">
        <v>0.121805</v>
      </c>
      <c r="C948" s="46" t="n">
        <v>0.184162</v>
      </c>
      <c r="D948" s="46" t="n">
        <v>0.345501</v>
      </c>
      <c r="E948" s="46" t="n">
        <v>0.18369</v>
      </c>
      <c r="F948" s="46" t="n">
        <v>0.153498</v>
      </c>
      <c r="G948" s="47" t="n">
        <f aca="false">A948*Scorecard!$C$12+B948*Scorecard!$C$13+C948*Scorecard!$C$14+D948*Scorecard!$C$15+E948*Scorecard!$C$16+F948*Scorecard!$C$17</f>
        <v>4.13988623825209</v>
      </c>
      <c r="H948" s="47" t="n">
        <f aca="false">A948*Scorecard!$D$12+B948*Scorecard!$D$13+C948*Scorecard!$D$14+D948*Scorecard!$D$15+E948*Scorecard!$D$16+F948*Scorecard!$D$17</f>
        <v>3.05560558371503</v>
      </c>
      <c r="I948" s="47" t="n">
        <f aca="false">A948*Scorecard!$E$12+B948*Scorecard!$E$13+C948*Scorecard!$E$14+D948*Scorecard!$E$15+E948*Scorecard!$E$16+F948*Scorecard!$E$17</f>
        <v>3.79433931727811</v>
      </c>
      <c r="J948" s="0" t="str">
        <f aca="false">IF(AND(G948&gt;=H948,G948&gt;=I948),"Distribution",IF(I948&gt;=H948,"Prof. services","Manufacturing"))</f>
        <v>Distribution</v>
      </c>
      <c r="L948" s="46" t="n">
        <v>0.187804</v>
      </c>
      <c r="M948" s="46" t="n">
        <v>0.209205</v>
      </c>
      <c r="N948" s="46" t="n">
        <v>0.185533</v>
      </c>
      <c r="O948" s="46" t="n">
        <v>0.167077</v>
      </c>
      <c r="P948" s="46" t="n">
        <v>0.20498</v>
      </c>
      <c r="Q948" s="46" t="n">
        <v>0.0454</v>
      </c>
      <c r="R948" s="47" t="n">
        <f aca="false">L948*Scorecard!$C$12+M948*Scorecard!$C$13+N948*Scorecard!$C$14+O948*Scorecard!$C$15+P948*Scorecard!$C$16+Q948*Scorecard!$C$17</f>
        <v>3.94742812173298</v>
      </c>
      <c r="S948" s="47" t="n">
        <f aca="false">L948*Scorecard!$D$12+M948*Scorecard!$D$13+N948*Scorecard!$D$14+O948*Scorecard!$D$15+P948*Scorecard!$D$16+Q948*Scorecard!$D$17</f>
        <v>3.00367551297214</v>
      </c>
      <c r="T948" s="47" t="n">
        <f aca="false">L948*Scorecard!$E$12+M948*Scorecard!$E$13+N948*Scorecard!$E$14+O948*Scorecard!$E$15+P948*Scorecard!$E$16+Q948*Scorecard!$E$17</f>
        <v>3.68943642481029</v>
      </c>
      <c r="U948" s="0" t="str">
        <f aca="false">IF(AND(R948&gt;=S948,R948&gt;=T948),"Distribution",IF(T948&gt;=S948,"Prof. services","Manufacturing"))</f>
        <v>Distribution</v>
      </c>
    </row>
    <row r="949" customFormat="false" ht="15" hidden="false" customHeight="false" outlineLevel="0" collapsed="false">
      <c r="A949" s="46" t="n">
        <v>0.072695</v>
      </c>
      <c r="B949" s="46" t="n">
        <v>0.166751</v>
      </c>
      <c r="C949" s="46" t="n">
        <v>0.043425</v>
      </c>
      <c r="D949" s="46" t="n">
        <v>0.017756</v>
      </c>
      <c r="E949" s="46" t="n">
        <v>0.487599</v>
      </c>
      <c r="F949" s="46" t="n">
        <v>0.211773</v>
      </c>
      <c r="G949" s="47" t="n">
        <f aca="false">A949*Scorecard!$C$12+B949*Scorecard!$C$13+C949*Scorecard!$C$14+D949*Scorecard!$C$15+E949*Scorecard!$C$16+F949*Scorecard!$C$17</f>
        <v>3.63010496329886</v>
      </c>
      <c r="H949" s="47" t="n">
        <f aca="false">A949*Scorecard!$D$12+B949*Scorecard!$D$13+C949*Scorecard!$D$14+D949*Scorecard!$D$15+E949*Scorecard!$D$16+F949*Scorecard!$D$17</f>
        <v>2.66315060531832</v>
      </c>
      <c r="I949" s="47" t="n">
        <f aca="false">A949*Scorecard!$E$12+B949*Scorecard!$E$13+C949*Scorecard!$E$14+D949*Scorecard!$E$15+E949*Scorecard!$E$16+F949*Scorecard!$E$17</f>
        <v>3.09949534403094</v>
      </c>
      <c r="J949" s="0" t="str">
        <f aca="false">IF(AND(G949&gt;=H949,G949&gt;=I949),"Distribution",IF(I949&gt;=H949,"Prof. services","Manufacturing"))</f>
        <v>Distribution</v>
      </c>
      <c r="L949" s="46" t="n">
        <v>0.127416</v>
      </c>
      <c r="M949" s="46" t="n">
        <v>0.221038</v>
      </c>
      <c r="N949" s="46" t="n">
        <v>0.232476</v>
      </c>
      <c r="O949" s="46" t="n">
        <v>0.238478</v>
      </c>
      <c r="P949" s="46" t="n">
        <v>0.130085</v>
      </c>
      <c r="Q949" s="46" t="n">
        <v>0.050508</v>
      </c>
      <c r="R949" s="47" t="n">
        <f aca="false">L949*Scorecard!$C$12+M949*Scorecard!$C$13+N949*Scorecard!$C$14+O949*Scorecard!$C$15+P949*Scorecard!$C$16+Q949*Scorecard!$C$17</f>
        <v>4.12915338292437</v>
      </c>
      <c r="S949" s="47" t="n">
        <f aca="false">L949*Scorecard!$D$12+M949*Scorecard!$D$13+N949*Scorecard!$D$14+O949*Scorecard!$D$15+P949*Scorecard!$D$16+Q949*Scorecard!$D$17</f>
        <v>2.99606065771904</v>
      </c>
      <c r="T949" s="47" t="n">
        <f aca="false">L949*Scorecard!$E$12+M949*Scorecard!$E$13+N949*Scorecard!$E$14+O949*Scorecard!$E$15+P949*Scorecard!$E$16+Q949*Scorecard!$E$17</f>
        <v>3.79290223382708</v>
      </c>
      <c r="U949" s="0" t="str">
        <f aca="false">IF(AND(R949&gt;=S949,R949&gt;=T949),"Distribution",IF(T949&gt;=S949,"Prof. services","Manufacturing"))</f>
        <v>Distribution</v>
      </c>
    </row>
    <row r="950" customFormat="false" ht="15" hidden="false" customHeight="false" outlineLevel="0" collapsed="false">
      <c r="A950" s="46" t="n">
        <v>0.029129</v>
      </c>
      <c r="B950" s="46" t="n">
        <v>0.00675</v>
      </c>
      <c r="C950" s="46" t="n">
        <v>0.290565</v>
      </c>
      <c r="D950" s="46" t="n">
        <v>0.45157</v>
      </c>
      <c r="E950" s="46" t="n">
        <v>0.211262</v>
      </c>
      <c r="F950" s="46" t="n">
        <v>0.010724</v>
      </c>
      <c r="G950" s="47" t="n">
        <f aca="false">A950*Scorecard!$C$12+B950*Scorecard!$C$13+C950*Scorecard!$C$14+D950*Scorecard!$C$15+E950*Scorecard!$C$16+F950*Scorecard!$C$17</f>
        <v>4.38443938459224</v>
      </c>
      <c r="H950" s="47" t="n">
        <f aca="false">A950*Scorecard!$D$12+B950*Scorecard!$D$13+C950*Scorecard!$D$14+D950*Scorecard!$D$15+E950*Scorecard!$D$16+F950*Scorecard!$D$17</f>
        <v>3.58620006437373</v>
      </c>
      <c r="I950" s="47" t="n">
        <f aca="false">A950*Scorecard!$E$12+B950*Scorecard!$E$13+C950*Scorecard!$E$14+D950*Scorecard!$E$15+E950*Scorecard!$E$16+F950*Scorecard!$E$17</f>
        <v>4.03439971891614</v>
      </c>
      <c r="J950" s="0" t="str">
        <f aca="false">IF(AND(G950&gt;=H950,G950&gt;=I950),"Distribution",IF(I950&gt;=H950,"Prof. services","Manufacturing"))</f>
        <v>Distribution</v>
      </c>
      <c r="L950" s="46" t="n">
        <v>0.142261</v>
      </c>
      <c r="M950" s="46" t="n">
        <v>0.192005</v>
      </c>
      <c r="N950" s="46" t="n">
        <v>0.127086</v>
      </c>
      <c r="O950" s="46" t="n">
        <v>0.255721</v>
      </c>
      <c r="P950" s="46" t="n">
        <v>0.109766</v>
      </c>
      <c r="Q950" s="46" t="n">
        <v>0.173161</v>
      </c>
      <c r="R950" s="47" t="n">
        <f aca="false">L950*Scorecard!$C$12+M950*Scorecard!$C$13+N950*Scorecard!$C$14+O950*Scorecard!$C$15+P950*Scorecard!$C$16+Q950*Scorecard!$C$17</f>
        <v>3.84533217122029</v>
      </c>
      <c r="S950" s="47" t="n">
        <f aca="false">L950*Scorecard!$D$12+M950*Scorecard!$D$13+N950*Scorecard!$D$14+O950*Scorecard!$D$15+P950*Scorecard!$D$16+Q950*Scorecard!$D$17</f>
        <v>2.87865080652199</v>
      </c>
      <c r="T950" s="47" t="n">
        <f aca="false">L950*Scorecard!$E$12+M950*Scorecard!$E$13+N950*Scorecard!$E$14+O950*Scorecard!$E$15+P950*Scorecard!$E$16+Q950*Scorecard!$E$17</f>
        <v>3.85482841997642</v>
      </c>
      <c r="U950" s="0" t="str">
        <f aca="false">IF(AND(R950&gt;=S950,R950&gt;=T950),"Distribution",IF(T950&gt;=S950,"Prof. services","Manufacturing"))</f>
        <v>Prof. services</v>
      </c>
    </row>
    <row r="951" customFormat="false" ht="15" hidden="false" customHeight="false" outlineLevel="0" collapsed="false">
      <c r="A951" s="46" t="n">
        <v>0.040643</v>
      </c>
      <c r="B951" s="46" t="n">
        <v>0.011305</v>
      </c>
      <c r="C951" s="46" t="n">
        <v>0.282531</v>
      </c>
      <c r="D951" s="46" t="n">
        <v>0.032482</v>
      </c>
      <c r="E951" s="46" t="n">
        <v>0.364612</v>
      </c>
      <c r="F951" s="46" t="n">
        <v>0.268426</v>
      </c>
      <c r="G951" s="47" t="n">
        <f aca="false">A951*Scorecard!$C$12+B951*Scorecard!$C$13+C951*Scorecard!$C$14+D951*Scorecard!$C$15+E951*Scorecard!$C$16+F951*Scorecard!$C$17</f>
        <v>3.43377302039144</v>
      </c>
      <c r="H951" s="47" t="n">
        <f aca="false">A951*Scorecard!$D$12+B951*Scorecard!$D$13+C951*Scorecard!$D$14+D951*Scorecard!$D$15+E951*Scorecard!$D$16+F951*Scorecard!$D$17</f>
        <v>2.76637570181442</v>
      </c>
      <c r="I951" s="47" t="n">
        <f aca="false">A951*Scorecard!$E$12+B951*Scorecard!$E$13+C951*Scorecard!$E$14+D951*Scorecard!$E$15+E951*Scorecard!$E$16+F951*Scorecard!$E$17</f>
        <v>3.83382344553162</v>
      </c>
      <c r="J951" s="0" t="str">
        <f aca="false">IF(AND(G951&gt;=H951,G951&gt;=I951),"Distribution",IF(I951&gt;=H951,"Prof. services","Manufacturing"))</f>
        <v>Prof. services</v>
      </c>
      <c r="L951" s="46" t="n">
        <v>0.159963</v>
      </c>
      <c r="M951" s="46" t="n">
        <v>0.232754</v>
      </c>
      <c r="N951" s="46" t="n">
        <v>0.218241</v>
      </c>
      <c r="O951" s="46" t="n">
        <v>0.08781</v>
      </c>
      <c r="P951" s="46" t="n">
        <v>0.163032</v>
      </c>
      <c r="Q951" s="46" t="n">
        <v>0.138199</v>
      </c>
      <c r="R951" s="47" t="n">
        <f aca="false">L951*Scorecard!$C$12+M951*Scorecard!$C$13+N951*Scorecard!$C$14+O951*Scorecard!$C$15+P951*Scorecard!$C$16+Q951*Scorecard!$C$17</f>
        <v>3.75622631877262</v>
      </c>
      <c r="S951" s="47" t="n">
        <f aca="false">L951*Scorecard!$D$12+M951*Scorecard!$D$13+N951*Scorecard!$D$14+O951*Scorecard!$D$15+P951*Scorecard!$D$16+Q951*Scorecard!$D$17</f>
        <v>2.70499416038641</v>
      </c>
      <c r="T951" s="47" t="n">
        <f aca="false">L951*Scorecard!$E$12+M951*Scorecard!$E$13+N951*Scorecard!$E$14+O951*Scorecard!$E$15+P951*Scorecard!$E$16+Q951*Scorecard!$E$17</f>
        <v>3.75343951956127</v>
      </c>
      <c r="U951" s="0" t="str">
        <f aca="false">IF(AND(R951&gt;=S951,R951&gt;=T951),"Distribution",IF(T951&gt;=S951,"Prof. services","Manufacturing"))</f>
        <v>Distribution</v>
      </c>
    </row>
    <row r="952" customFormat="false" ht="15" hidden="false" customHeight="false" outlineLevel="0" collapsed="false">
      <c r="A952" s="46" t="n">
        <v>0.172468</v>
      </c>
      <c r="B952" s="46" t="n">
        <v>0.167165</v>
      </c>
      <c r="C952" s="46" t="n">
        <v>0.030351</v>
      </c>
      <c r="D952" s="46" t="n">
        <v>0.084212</v>
      </c>
      <c r="E952" s="46" t="n">
        <v>0.031928</v>
      </c>
      <c r="F952" s="46" t="n">
        <v>0.513876</v>
      </c>
      <c r="G952" s="47" t="n">
        <f aca="false">A952*Scorecard!$C$12+B952*Scorecard!$C$13+C952*Scorecard!$C$14+D952*Scorecard!$C$15+E952*Scorecard!$C$16+F952*Scorecard!$C$17</f>
        <v>2.9131801404392</v>
      </c>
      <c r="H952" s="47" t="n">
        <f aca="false">A952*Scorecard!$D$12+B952*Scorecard!$D$13+C952*Scorecard!$D$14+D952*Scorecard!$D$15+E952*Scorecard!$D$16+F952*Scorecard!$D$17</f>
        <v>2.20032452048424</v>
      </c>
      <c r="I952" s="47" t="n">
        <f aca="false">A952*Scorecard!$E$12+B952*Scorecard!$E$13+C952*Scorecard!$E$14+D952*Scorecard!$E$15+E952*Scorecard!$E$16+F952*Scorecard!$E$17</f>
        <v>4.10683112860487</v>
      </c>
      <c r="J952" s="0" t="str">
        <f aca="false">IF(AND(G952&gt;=H952,G952&gt;=I952),"Distribution",IF(I952&gt;=H952,"Prof. services","Manufacturing"))</f>
        <v>Prof. services</v>
      </c>
      <c r="L952" s="46" t="n">
        <v>0.068032</v>
      </c>
      <c r="M952" s="46" t="n">
        <v>0.235756</v>
      </c>
      <c r="N952" s="46" t="n">
        <v>0.218205</v>
      </c>
      <c r="O952" s="46" t="n">
        <v>0.138828</v>
      </c>
      <c r="P952" s="46" t="n">
        <v>0.196864</v>
      </c>
      <c r="Q952" s="46" t="n">
        <v>0.142314</v>
      </c>
      <c r="R952" s="47" t="n">
        <f aca="false">L952*Scorecard!$C$12+M952*Scorecard!$C$13+N952*Scorecard!$C$14+O952*Scorecard!$C$15+P952*Scorecard!$C$16+Q952*Scorecard!$C$17</f>
        <v>3.96749342979776</v>
      </c>
      <c r="S952" s="47" t="n">
        <f aca="false">L952*Scorecard!$D$12+M952*Scorecard!$D$13+N952*Scorecard!$D$14+O952*Scorecard!$D$15+P952*Scorecard!$D$16+Q952*Scorecard!$D$17</f>
        <v>2.70392858808515</v>
      </c>
      <c r="T952" s="47" t="n">
        <f aca="false">L952*Scorecard!$E$12+M952*Scorecard!$E$13+N952*Scorecard!$E$14+O952*Scorecard!$E$15+P952*Scorecard!$E$16+Q952*Scorecard!$E$17</f>
        <v>3.60988541612522</v>
      </c>
      <c r="U952" s="0" t="str">
        <f aca="false">IF(AND(R952&gt;=S952,R952&gt;=T952),"Distribution",IF(T952&gt;=S952,"Prof. services","Manufacturing"))</f>
        <v>Distribution</v>
      </c>
    </row>
    <row r="953" customFormat="false" ht="15" hidden="false" customHeight="false" outlineLevel="0" collapsed="false">
      <c r="A953" s="46" t="n">
        <v>0.143233</v>
      </c>
      <c r="B953" s="46" t="n">
        <v>0.018617</v>
      </c>
      <c r="C953" s="46" t="n">
        <v>0.375095</v>
      </c>
      <c r="D953" s="46" t="n">
        <v>0.014145</v>
      </c>
      <c r="E953" s="46" t="n">
        <v>0.053839</v>
      </c>
      <c r="F953" s="46" t="n">
        <v>0.395072</v>
      </c>
      <c r="G953" s="47" t="n">
        <f aca="false">A953*Scorecard!$C$12+B953*Scorecard!$C$13+C953*Scorecard!$C$14+D953*Scorecard!$C$15+E953*Scorecard!$C$16+F953*Scorecard!$C$17</f>
        <v>2.98480055735863</v>
      </c>
      <c r="H953" s="47" t="n">
        <f aca="false">A953*Scorecard!$D$12+B953*Scorecard!$D$13+C953*Scorecard!$D$14+D953*Scorecard!$D$15+E953*Scorecard!$D$16+F953*Scorecard!$D$17</f>
        <v>2.50838443658836</v>
      </c>
      <c r="I953" s="47" t="n">
        <f aca="false">A953*Scorecard!$E$12+B953*Scorecard!$E$13+C953*Scorecard!$E$14+D953*Scorecard!$E$15+E953*Scorecard!$E$16+F953*Scorecard!$E$17</f>
        <v>4.59353985969101</v>
      </c>
      <c r="J953" s="0" t="str">
        <f aca="false">IF(AND(G953&gt;=H953,G953&gt;=I953),"Distribution",IF(I953&gt;=H953,"Prof. services","Manufacturing"))</f>
        <v>Prof. services</v>
      </c>
      <c r="L953" s="46" t="n">
        <v>0.366256</v>
      </c>
      <c r="M953" s="46" t="n">
        <v>0.071935</v>
      </c>
      <c r="N953" s="46" t="n">
        <v>0.248878</v>
      </c>
      <c r="O953" s="46" t="n">
        <v>0.16017</v>
      </c>
      <c r="P953" s="46" t="n">
        <v>0.119276</v>
      </c>
      <c r="Q953" s="46" t="n">
        <v>0.033485</v>
      </c>
      <c r="R953" s="47" t="n">
        <f aca="false">L953*Scorecard!$C$12+M953*Scorecard!$C$13+N953*Scorecard!$C$14+O953*Scorecard!$C$15+P953*Scorecard!$C$16+Q953*Scorecard!$C$17</f>
        <v>3.50586897683454</v>
      </c>
      <c r="S953" s="47" t="n">
        <f aca="false">L953*Scorecard!$D$12+M953*Scorecard!$D$13+N953*Scorecard!$D$14+O953*Scorecard!$D$15+P953*Scorecard!$D$16+Q953*Scorecard!$D$17</f>
        <v>3.30890603073537</v>
      </c>
      <c r="T953" s="47" t="n">
        <f aca="false">L953*Scorecard!$E$12+M953*Scorecard!$E$13+N953*Scorecard!$E$14+O953*Scorecard!$E$15+P953*Scorecard!$E$16+Q953*Scorecard!$E$17</f>
        <v>4.32444831671389</v>
      </c>
      <c r="U953" s="0" t="str">
        <f aca="false">IF(AND(R953&gt;=S953,R953&gt;=T953),"Distribution",IF(T953&gt;=S953,"Prof. services","Manufacturing"))</f>
        <v>Prof. services</v>
      </c>
    </row>
    <row r="954" customFormat="false" ht="15" hidden="false" customHeight="false" outlineLevel="0" collapsed="false">
      <c r="A954" s="46" t="n">
        <v>0.199077</v>
      </c>
      <c r="B954" s="46" t="n">
        <v>0.160167</v>
      </c>
      <c r="C954" s="46" t="n">
        <v>0.426784</v>
      </c>
      <c r="D954" s="46" t="n">
        <v>0.038096</v>
      </c>
      <c r="E954" s="46" t="n">
        <v>0.070887</v>
      </c>
      <c r="F954" s="46" t="n">
        <v>0.104989</v>
      </c>
      <c r="G954" s="47" t="n">
        <f aca="false">A954*Scorecard!$C$12+B954*Scorecard!$C$13+C954*Scorecard!$C$14+D954*Scorecard!$C$15+E954*Scorecard!$C$16+F954*Scorecard!$C$17</f>
        <v>3.62994356096907</v>
      </c>
      <c r="H954" s="47" t="n">
        <f aca="false">A954*Scorecard!$D$12+B954*Scorecard!$D$13+C954*Scorecard!$D$14+D954*Scorecard!$D$15+E954*Scorecard!$D$16+F954*Scorecard!$D$17</f>
        <v>2.80133613502976</v>
      </c>
      <c r="I954" s="47" t="n">
        <f aca="false">A954*Scorecard!$E$12+B954*Scorecard!$E$13+C954*Scorecard!$E$14+D954*Scorecard!$E$15+E954*Scorecard!$E$16+F954*Scorecard!$E$17</f>
        <v>4.26605521498539</v>
      </c>
      <c r="J954" s="0" t="str">
        <f aca="false">IF(AND(G954&gt;=H954,G954&gt;=I954),"Distribution",IF(I954&gt;=H954,"Prof. services","Manufacturing"))</f>
        <v>Prof. services</v>
      </c>
      <c r="L954" s="46" t="n">
        <v>0.136351</v>
      </c>
      <c r="M954" s="46" t="n">
        <v>0.12829</v>
      </c>
      <c r="N954" s="46" t="n">
        <v>0.153769</v>
      </c>
      <c r="O954" s="46" t="n">
        <v>0.164537</v>
      </c>
      <c r="P954" s="46" t="n">
        <v>0.213954</v>
      </c>
      <c r="Q954" s="46" t="n">
        <v>0.203098</v>
      </c>
      <c r="R954" s="47" t="n">
        <f aca="false">L954*Scorecard!$C$12+M954*Scorecard!$C$13+N954*Scorecard!$C$14+O954*Scorecard!$C$15+P954*Scorecard!$C$16+Q954*Scorecard!$C$17</f>
        <v>3.64119325550261</v>
      </c>
      <c r="S954" s="47" t="n">
        <f aca="false">L954*Scorecard!$D$12+M954*Scorecard!$D$13+N954*Scorecard!$D$14+O954*Scorecard!$D$15+P954*Scorecard!$D$16+Q954*Scorecard!$D$17</f>
        <v>2.85464578423648</v>
      </c>
      <c r="T954" s="47" t="n">
        <f aca="false">L954*Scorecard!$E$12+M954*Scorecard!$E$13+N954*Scorecard!$E$14+O954*Scorecard!$E$15+P954*Scorecard!$E$16+Q954*Scorecard!$E$17</f>
        <v>3.82145808378935</v>
      </c>
      <c r="U954" s="0" t="str">
        <f aca="false">IF(AND(R954&gt;=S954,R954&gt;=T954),"Distribution",IF(T954&gt;=S954,"Prof. services","Manufacturing"))</f>
        <v>Prof. services</v>
      </c>
    </row>
    <row r="955" customFormat="false" ht="15" hidden="false" customHeight="false" outlineLevel="0" collapsed="false">
      <c r="A955" s="46" t="n">
        <v>0.443489</v>
      </c>
      <c r="B955" s="46" t="n">
        <v>0.032802</v>
      </c>
      <c r="C955" s="46" t="n">
        <v>0.383038</v>
      </c>
      <c r="D955" s="46" t="n">
        <v>0.006963</v>
      </c>
      <c r="E955" s="46" t="n">
        <v>0.07147</v>
      </c>
      <c r="F955" s="46" t="n">
        <v>0.062237</v>
      </c>
      <c r="G955" s="47" t="n">
        <f aca="false">A955*Scorecard!$C$12+B955*Scorecard!$C$13+C955*Scorecard!$C$14+D955*Scorecard!$C$15+E955*Scorecard!$C$16+F955*Scorecard!$C$17</f>
        <v>3.11700047541712</v>
      </c>
      <c r="H955" s="47" t="n">
        <f aca="false">A955*Scorecard!$D$12+B955*Scorecard!$D$13+C955*Scorecard!$D$14+D955*Scorecard!$D$15+E955*Scorecard!$D$16+F955*Scorecard!$D$17</f>
        <v>3.18223586183865</v>
      </c>
      <c r="I955" s="47" t="n">
        <f aca="false">A955*Scorecard!$E$12+B955*Scorecard!$E$13+C955*Scorecard!$E$14+D955*Scorecard!$E$15+E955*Scorecard!$E$16+F955*Scorecard!$E$17</f>
        <v>4.67814451059841</v>
      </c>
      <c r="J955" s="0" t="str">
        <f aca="false">IF(AND(G955&gt;=H955,G955&gt;=I955),"Distribution",IF(I955&gt;=H955,"Prof. services","Manufacturing"))</f>
        <v>Prof. services</v>
      </c>
      <c r="L955" s="46" t="n">
        <v>0.165552</v>
      </c>
      <c r="M955" s="46" t="n">
        <v>0.210252</v>
      </c>
      <c r="N955" s="46" t="n">
        <v>0.135912</v>
      </c>
      <c r="O955" s="46" t="n">
        <v>0.23242</v>
      </c>
      <c r="P955" s="46" t="n">
        <v>0.174548</v>
      </c>
      <c r="Q955" s="46" t="n">
        <v>0.081315</v>
      </c>
      <c r="R955" s="47" t="n">
        <f aca="false">L955*Scorecard!$C$12+M955*Scorecard!$C$13+N955*Scorecard!$C$14+O955*Scorecard!$C$15+P955*Scorecard!$C$16+Q955*Scorecard!$C$17</f>
        <v>3.98204203906806</v>
      </c>
      <c r="S955" s="47" t="n">
        <f aca="false">L955*Scorecard!$D$12+M955*Scorecard!$D$13+N955*Scorecard!$D$14+O955*Scorecard!$D$15+P955*Scorecard!$D$16+Q955*Scorecard!$D$17</f>
        <v>2.99903267389903</v>
      </c>
      <c r="T955" s="47" t="n">
        <f aca="false">L955*Scorecard!$E$12+M955*Scorecard!$E$13+N955*Scorecard!$E$14+O955*Scorecard!$E$15+P955*Scorecard!$E$16+Q955*Scorecard!$E$17</f>
        <v>3.69500064109103</v>
      </c>
      <c r="U955" s="0" t="str">
        <f aca="false">IF(AND(R955&gt;=S955,R955&gt;=T955),"Distribution",IF(T955&gt;=S955,"Prof. services","Manufacturing"))</f>
        <v>Distribution</v>
      </c>
    </row>
    <row r="956" customFormat="false" ht="15" hidden="false" customHeight="false" outlineLevel="0" collapsed="false">
      <c r="A956" s="46" t="n">
        <v>0.093097</v>
      </c>
      <c r="B956" s="46" t="n">
        <v>0.084217</v>
      </c>
      <c r="C956" s="46" t="n">
        <v>0.594722</v>
      </c>
      <c r="D956" s="46" t="n">
        <v>0.0729</v>
      </c>
      <c r="E956" s="46" t="n">
        <v>0.149832</v>
      </c>
      <c r="F956" s="46" t="n">
        <v>0.005233</v>
      </c>
      <c r="G956" s="47" t="n">
        <f aca="false">A956*Scorecard!$C$12+B956*Scorecard!$C$13+C956*Scorecard!$C$14+D956*Scorecard!$C$15+E956*Scorecard!$C$16+F956*Scorecard!$C$17</f>
        <v>3.97907907234657</v>
      </c>
      <c r="H956" s="47" t="n">
        <f aca="false">A956*Scorecard!$D$12+B956*Scorecard!$D$13+C956*Scorecard!$D$14+D956*Scorecard!$D$15+E956*Scorecard!$D$16+F956*Scorecard!$D$17</f>
        <v>3.06157479181878</v>
      </c>
      <c r="I956" s="47" t="n">
        <f aca="false">A956*Scorecard!$E$12+B956*Scorecard!$E$13+C956*Scorecard!$E$14+D956*Scorecard!$E$15+E956*Scorecard!$E$16+F956*Scorecard!$E$17</f>
        <v>4.29472678188772</v>
      </c>
      <c r="J956" s="0" t="str">
        <f aca="false">IF(AND(G956&gt;=H956,G956&gt;=I956),"Distribution",IF(I956&gt;=H956,"Prof. services","Manufacturing"))</f>
        <v>Prof. services</v>
      </c>
      <c r="L956" s="46" t="n">
        <v>0.130337</v>
      </c>
      <c r="M956" s="46" t="n">
        <v>0.277356</v>
      </c>
      <c r="N956" s="46" t="n">
        <v>0.289347</v>
      </c>
      <c r="O956" s="46" t="n">
        <v>0.070975</v>
      </c>
      <c r="P956" s="46" t="n">
        <v>0.097981</v>
      </c>
      <c r="Q956" s="46" t="n">
        <v>0.134004</v>
      </c>
      <c r="R956" s="47" t="n">
        <f aca="false">L956*Scorecard!$C$12+M956*Scorecard!$C$13+N956*Scorecard!$C$14+O956*Scorecard!$C$15+P956*Scorecard!$C$16+Q956*Scorecard!$C$17</f>
        <v>3.84571454126808</v>
      </c>
      <c r="S956" s="47" t="n">
        <f aca="false">L956*Scorecard!$D$12+M956*Scorecard!$D$13+N956*Scorecard!$D$14+O956*Scorecard!$D$15+P956*Scorecard!$D$16+Q956*Scorecard!$D$17</f>
        <v>2.58359998670764</v>
      </c>
      <c r="T956" s="47" t="n">
        <f aca="false">L956*Scorecard!$E$12+M956*Scorecard!$E$13+N956*Scorecard!$E$14+O956*Scorecard!$E$15+P956*Scorecard!$E$16+Q956*Scorecard!$E$17</f>
        <v>3.81482660133932</v>
      </c>
      <c r="U956" s="0" t="str">
        <f aca="false">IF(AND(R956&gt;=S956,R956&gt;=T956),"Distribution",IF(T956&gt;=S956,"Prof. services","Manufacturing"))</f>
        <v>Distribution</v>
      </c>
    </row>
    <row r="957" customFormat="false" ht="15" hidden="false" customHeight="false" outlineLevel="0" collapsed="false">
      <c r="A957" s="46" t="n">
        <v>0.224938</v>
      </c>
      <c r="B957" s="46" t="n">
        <v>0.085267</v>
      </c>
      <c r="C957" s="46" t="n">
        <v>0.072675</v>
      </c>
      <c r="D957" s="46" t="n">
        <v>0.022767</v>
      </c>
      <c r="E957" s="46" t="n">
        <v>0.440751</v>
      </c>
      <c r="F957" s="46" t="n">
        <v>0.153602</v>
      </c>
      <c r="G957" s="47" t="n">
        <f aca="false">A957*Scorecard!$C$12+B957*Scorecard!$C$13+C957*Scorecard!$C$14+D957*Scorecard!$C$15+E957*Scorecard!$C$16+F957*Scorecard!$C$17</f>
        <v>3.39593839216615</v>
      </c>
      <c r="H957" s="47" t="n">
        <f aca="false">A957*Scorecard!$D$12+B957*Scorecard!$D$13+C957*Scorecard!$D$14+D957*Scorecard!$D$15+E957*Scorecard!$D$16+F957*Scorecard!$D$17</f>
        <v>2.96346666263918</v>
      </c>
      <c r="I957" s="47" t="n">
        <f aca="false">A957*Scorecard!$E$12+B957*Scorecard!$E$13+C957*Scorecard!$E$14+D957*Scorecard!$E$15+E957*Scorecard!$E$16+F957*Scorecard!$E$17</f>
        <v>3.48363957552647</v>
      </c>
      <c r="J957" s="0" t="str">
        <f aca="false">IF(AND(G957&gt;=H957,G957&gt;=I957),"Distribution",IF(I957&gt;=H957,"Prof. services","Manufacturing"))</f>
        <v>Prof. services</v>
      </c>
      <c r="L957" s="46" t="n">
        <v>0.331181</v>
      </c>
      <c r="M957" s="46" t="n">
        <v>0.268675</v>
      </c>
      <c r="N957" s="46" t="n">
        <v>0.157536</v>
      </c>
      <c r="O957" s="46" t="n">
        <v>0.106317</v>
      </c>
      <c r="P957" s="46" t="n">
        <v>0.088151</v>
      </c>
      <c r="Q957" s="46" t="n">
        <v>0.048139</v>
      </c>
      <c r="R957" s="47" t="n">
        <f aca="false">L957*Scorecard!$C$12+M957*Scorecard!$C$13+N957*Scorecard!$C$14+O957*Scorecard!$C$15+P957*Scorecard!$C$16+Q957*Scorecard!$C$17</f>
        <v>3.68257947703802</v>
      </c>
      <c r="S957" s="47" t="n">
        <f aca="false">L957*Scorecard!$D$12+M957*Scorecard!$D$13+N957*Scorecard!$D$14+O957*Scorecard!$D$15+P957*Scorecard!$D$16+Q957*Scorecard!$D$17</f>
        <v>2.89572868781671</v>
      </c>
      <c r="T957" s="47" t="n">
        <f aca="false">L957*Scorecard!$E$12+M957*Scorecard!$E$13+N957*Scorecard!$E$14+O957*Scorecard!$E$15+P957*Scorecard!$E$16+Q957*Scorecard!$E$17</f>
        <v>3.87938839475078</v>
      </c>
      <c r="U957" s="0" t="str">
        <f aca="false">IF(AND(R957&gt;=S957,R957&gt;=T957),"Distribution",IF(T957&gt;=S957,"Prof. services","Manufacturing"))</f>
        <v>Prof. services</v>
      </c>
    </row>
    <row r="958" customFormat="false" ht="15" hidden="false" customHeight="false" outlineLevel="0" collapsed="false">
      <c r="A958" s="46" t="n">
        <v>0.079803</v>
      </c>
      <c r="B958" s="46" t="n">
        <v>0.008198</v>
      </c>
      <c r="C958" s="46" t="n">
        <v>0.452262</v>
      </c>
      <c r="D958" s="46" t="n">
        <v>0.244918</v>
      </c>
      <c r="E958" s="46" t="n">
        <v>0.135892</v>
      </c>
      <c r="F958" s="46" t="n">
        <v>0.078926</v>
      </c>
      <c r="G958" s="47" t="n">
        <f aca="false">A958*Scorecard!$C$12+B958*Scorecard!$C$13+C958*Scorecard!$C$14+D958*Scorecard!$C$15+E958*Scorecard!$C$16+F958*Scorecard!$C$17</f>
        <v>3.95161346193189</v>
      </c>
      <c r="H958" s="47" t="n">
        <f aca="false">A958*Scorecard!$D$12+B958*Scorecard!$D$13+C958*Scorecard!$D$14+D958*Scorecard!$D$15+E958*Scorecard!$D$16+F958*Scorecard!$D$17</f>
        <v>3.25084107787247</v>
      </c>
      <c r="I958" s="47" t="n">
        <f aca="false">A958*Scorecard!$E$12+B958*Scorecard!$E$13+C958*Scorecard!$E$14+D958*Scorecard!$E$15+E958*Scorecard!$E$16+F958*Scorecard!$E$17</f>
        <v>4.36985482227986</v>
      </c>
      <c r="J958" s="0" t="str">
        <f aca="false">IF(AND(G958&gt;=H958,G958&gt;=I958),"Distribution",IF(I958&gt;=H958,"Prof. services","Manufacturing"))</f>
        <v>Prof. services</v>
      </c>
      <c r="L958" s="46" t="n">
        <v>0.155729</v>
      </c>
      <c r="M958" s="46" t="n">
        <v>0.380953</v>
      </c>
      <c r="N958" s="46" t="n">
        <v>0.150673</v>
      </c>
      <c r="O958" s="46" t="n">
        <v>0.128829</v>
      </c>
      <c r="P958" s="46" t="n">
        <v>0.068919</v>
      </c>
      <c r="Q958" s="46" t="n">
        <v>0.114898</v>
      </c>
      <c r="R958" s="47" t="n">
        <f aca="false">L958*Scorecard!$C$12+M958*Scorecard!$C$13+N958*Scorecard!$C$14+O958*Scorecard!$C$15+P958*Scorecard!$C$16+Q958*Scorecard!$C$17</f>
        <v>3.99967557915356</v>
      </c>
      <c r="S958" s="47" t="n">
        <f aca="false">L958*Scorecard!$D$12+M958*Scorecard!$D$13+N958*Scorecard!$D$14+O958*Scorecard!$D$15+P958*Scorecard!$D$16+Q958*Scorecard!$D$17</f>
        <v>2.53082218325918</v>
      </c>
      <c r="T958" s="47" t="n">
        <f aca="false">L958*Scorecard!$E$12+M958*Scorecard!$E$13+N958*Scorecard!$E$14+O958*Scorecard!$E$15+P958*Scorecard!$E$16+Q958*Scorecard!$E$17</f>
        <v>3.55562146048719</v>
      </c>
      <c r="U958" s="0" t="str">
        <f aca="false">IF(AND(R958&gt;=S958,R958&gt;=T958),"Distribution",IF(T958&gt;=S958,"Prof. services","Manufacturing"))</f>
        <v>Distribution</v>
      </c>
    </row>
    <row r="959" customFormat="false" ht="15" hidden="false" customHeight="false" outlineLevel="0" collapsed="false">
      <c r="A959" s="46" t="n">
        <v>0.10869</v>
      </c>
      <c r="B959" s="46" t="n">
        <v>0.125931</v>
      </c>
      <c r="C959" s="46" t="n">
        <v>0.043835</v>
      </c>
      <c r="D959" s="46" t="n">
        <v>0.068893</v>
      </c>
      <c r="E959" s="46" t="n">
        <v>0.278552</v>
      </c>
      <c r="F959" s="46" t="n">
        <v>0.374099</v>
      </c>
      <c r="G959" s="47" t="n">
        <f aca="false">A959*Scorecard!$C$12+B959*Scorecard!$C$13+C959*Scorecard!$C$14+D959*Scorecard!$C$15+E959*Scorecard!$C$16+F959*Scorecard!$C$17</f>
        <v>3.25098244997528</v>
      </c>
      <c r="H959" s="47" t="n">
        <f aca="false">A959*Scorecard!$D$12+B959*Scorecard!$D$13+C959*Scorecard!$D$14+D959*Scorecard!$D$15+E959*Scorecard!$D$16+F959*Scorecard!$D$17</f>
        <v>2.49422793412559</v>
      </c>
      <c r="I959" s="47" t="n">
        <f aca="false">A959*Scorecard!$E$12+B959*Scorecard!$E$13+C959*Scorecard!$E$14+D959*Scorecard!$E$15+E959*Scorecard!$E$16+F959*Scorecard!$E$17</f>
        <v>3.65043260017016</v>
      </c>
      <c r="J959" s="0" t="str">
        <f aca="false">IF(AND(G959&gt;=H959,G959&gt;=I959),"Distribution",IF(I959&gt;=H959,"Prof. services","Manufacturing"))</f>
        <v>Prof. services</v>
      </c>
      <c r="L959" s="46" t="n">
        <v>0.252329</v>
      </c>
      <c r="M959" s="46" t="n">
        <v>0.213802</v>
      </c>
      <c r="N959" s="46" t="n">
        <v>0.165196</v>
      </c>
      <c r="O959" s="46" t="n">
        <v>0.127443</v>
      </c>
      <c r="P959" s="46" t="n">
        <v>0.148073</v>
      </c>
      <c r="Q959" s="46" t="n">
        <v>0.093158</v>
      </c>
      <c r="R959" s="47" t="n">
        <f aca="false">L959*Scorecard!$C$12+M959*Scorecard!$C$13+N959*Scorecard!$C$14+O959*Scorecard!$C$15+P959*Scorecard!$C$16+Q959*Scorecard!$C$17</f>
        <v>3.70073720154395</v>
      </c>
      <c r="S959" s="47" t="n">
        <f aca="false">L959*Scorecard!$D$12+M959*Scorecard!$D$13+N959*Scorecard!$D$14+O959*Scorecard!$D$15+P959*Scorecard!$D$16+Q959*Scorecard!$D$17</f>
        <v>2.90291538412014</v>
      </c>
      <c r="T959" s="47" t="n">
        <f aca="false">L959*Scorecard!$E$12+M959*Scorecard!$E$13+N959*Scorecard!$E$14+O959*Scorecard!$E$15+P959*Scorecard!$E$16+Q959*Scorecard!$E$17</f>
        <v>3.8372300030231</v>
      </c>
      <c r="U959" s="0" t="str">
        <f aca="false">IF(AND(R959&gt;=S959,R959&gt;=T959),"Distribution",IF(T959&gt;=S959,"Prof. services","Manufacturing"))</f>
        <v>Prof. services</v>
      </c>
    </row>
    <row r="960" customFormat="false" ht="15" hidden="false" customHeight="false" outlineLevel="0" collapsed="false">
      <c r="A960" s="46" t="n">
        <v>0.409592</v>
      </c>
      <c r="B960" s="46" t="n">
        <v>0.132457</v>
      </c>
      <c r="C960" s="46" t="n">
        <v>0.024017</v>
      </c>
      <c r="D960" s="46" t="n">
        <v>0.351026</v>
      </c>
      <c r="E960" s="46" t="n">
        <v>0.007027</v>
      </c>
      <c r="F960" s="46" t="n">
        <v>0.075881</v>
      </c>
      <c r="G960" s="47" t="n">
        <f aca="false">A960*Scorecard!$C$12+B960*Scorecard!$C$13+C960*Scorecard!$C$14+D960*Scorecard!$C$15+E960*Scorecard!$C$16+F960*Scorecard!$C$17</f>
        <v>3.59444955882118</v>
      </c>
      <c r="H960" s="47" t="n">
        <f aca="false">A960*Scorecard!$D$12+B960*Scorecard!$D$13+C960*Scorecard!$D$14+D960*Scorecard!$D$15+E960*Scorecard!$D$16+F960*Scorecard!$D$17</f>
        <v>3.36662037313944</v>
      </c>
      <c r="I960" s="47" t="n">
        <f aca="false">A960*Scorecard!$E$12+B960*Scorecard!$E$13+C960*Scorecard!$E$14+D960*Scorecard!$E$15+E960*Scorecard!$E$16+F960*Scorecard!$E$17</f>
        <v>4.26901010131144</v>
      </c>
      <c r="J960" s="0" t="str">
        <f aca="false">IF(AND(G960&gt;=H960,G960&gt;=I960),"Distribution",IF(I960&gt;=H960,"Prof. services","Manufacturing"))</f>
        <v>Prof. services</v>
      </c>
      <c r="L960" s="46" t="n">
        <v>0.120033</v>
      </c>
      <c r="M960" s="46" t="n">
        <v>0.177089</v>
      </c>
      <c r="N960" s="46" t="n">
        <v>0.20164</v>
      </c>
      <c r="O960" s="46" t="n">
        <v>0.193136</v>
      </c>
      <c r="P960" s="46" t="n">
        <v>0.284294</v>
      </c>
      <c r="Q960" s="46" t="n">
        <v>0.023806</v>
      </c>
      <c r="R960" s="47" t="n">
        <f aca="false">L960*Scorecard!$C$12+M960*Scorecard!$C$13+N960*Scorecard!$C$14+O960*Scorecard!$C$15+P960*Scorecard!$C$16+Q960*Scorecard!$C$17</f>
        <v>4.10654388821311</v>
      </c>
      <c r="S960" s="47" t="n">
        <f aca="false">L960*Scorecard!$D$12+M960*Scorecard!$D$13+N960*Scorecard!$D$14+O960*Scorecard!$D$15+P960*Scorecard!$D$16+Q960*Scorecard!$D$17</f>
        <v>3.09610859471212</v>
      </c>
      <c r="T960" s="47" t="n">
        <f aca="false">L960*Scorecard!$E$12+M960*Scorecard!$E$13+N960*Scorecard!$E$14+O960*Scorecard!$E$15+P960*Scorecard!$E$16+Q960*Scorecard!$E$17</f>
        <v>3.55929434335514</v>
      </c>
      <c r="U960" s="0" t="str">
        <f aca="false">IF(AND(R960&gt;=S960,R960&gt;=T960),"Distribution",IF(T960&gt;=S960,"Prof. services","Manufacturing"))</f>
        <v>Distribution</v>
      </c>
    </row>
    <row r="961" customFormat="false" ht="15" hidden="false" customHeight="false" outlineLevel="0" collapsed="false">
      <c r="A961" s="46" t="n">
        <v>0.01065</v>
      </c>
      <c r="B961" s="46" t="n">
        <v>0.290632</v>
      </c>
      <c r="C961" s="46" t="n">
        <v>0.115796</v>
      </c>
      <c r="D961" s="46" t="n">
        <v>0.208699</v>
      </c>
      <c r="E961" s="46" t="n">
        <v>0.155702</v>
      </c>
      <c r="F961" s="46" t="n">
        <v>0.218521</v>
      </c>
      <c r="G961" s="47" t="n">
        <f aca="false">A961*Scorecard!$C$12+B961*Scorecard!$C$13+C961*Scorecard!$C$14+D961*Scorecard!$C$15+E961*Scorecard!$C$16+F961*Scorecard!$C$17</f>
        <v>4.04311884812068</v>
      </c>
      <c r="H961" s="47" t="n">
        <f aca="false">A961*Scorecard!$D$12+B961*Scorecard!$D$13+C961*Scorecard!$D$14+D961*Scorecard!$D$15+E961*Scorecard!$D$16+F961*Scorecard!$D$17</f>
        <v>2.53651335636621</v>
      </c>
      <c r="I961" s="47" t="n">
        <f aca="false">A961*Scorecard!$E$12+B961*Scorecard!$E$13+C961*Scorecard!$E$14+D961*Scorecard!$E$15+E961*Scorecard!$E$16+F961*Scorecard!$E$17</f>
        <v>3.46534705535536</v>
      </c>
      <c r="J961" s="0" t="str">
        <f aca="false">IF(AND(G961&gt;=H961,G961&gt;=I961),"Distribution",IF(I961&gt;=H961,"Prof. services","Manufacturing"))</f>
        <v>Distribution</v>
      </c>
      <c r="L961" s="46" t="n">
        <v>0.294373</v>
      </c>
      <c r="M961" s="46" t="n">
        <v>0.224398</v>
      </c>
      <c r="N961" s="46" t="n">
        <v>0.096506</v>
      </c>
      <c r="O961" s="46" t="n">
        <v>0.13639</v>
      </c>
      <c r="P961" s="46" t="n">
        <v>0.07418</v>
      </c>
      <c r="Q961" s="46" t="n">
        <v>0.174152</v>
      </c>
      <c r="R961" s="47" t="n">
        <f aca="false">L961*Scorecard!$C$12+M961*Scorecard!$C$13+N961*Scorecard!$C$14+O961*Scorecard!$C$15+P961*Scorecard!$C$16+Q961*Scorecard!$C$17</f>
        <v>3.48260440195577</v>
      </c>
      <c r="S961" s="47" t="n">
        <f aca="false">L961*Scorecard!$D$12+M961*Scorecard!$D$13+N961*Scorecard!$D$14+O961*Scorecard!$D$15+P961*Scorecard!$D$16+Q961*Scorecard!$D$17</f>
        <v>2.77901230707416</v>
      </c>
      <c r="T961" s="47" t="n">
        <f aca="false">L961*Scorecard!$E$12+M961*Scorecard!$E$13+N961*Scorecard!$E$14+O961*Scorecard!$E$15+P961*Scorecard!$E$16+Q961*Scorecard!$E$17</f>
        <v>3.95582257192003</v>
      </c>
      <c r="U961" s="0" t="str">
        <f aca="false">IF(AND(R961&gt;=S961,R961&gt;=T961),"Distribution",IF(T961&gt;=S961,"Prof. services","Manufacturing"))</f>
        <v>Prof. services</v>
      </c>
    </row>
    <row r="962" customFormat="false" ht="15" hidden="false" customHeight="false" outlineLevel="0" collapsed="false">
      <c r="A962" s="46" t="n">
        <v>0.048176</v>
      </c>
      <c r="B962" s="46" t="n">
        <v>0.0394</v>
      </c>
      <c r="C962" s="46" t="n">
        <v>0.450174</v>
      </c>
      <c r="D962" s="46" t="n">
        <v>0.213836</v>
      </c>
      <c r="E962" s="46" t="n">
        <v>0.220498</v>
      </c>
      <c r="F962" s="46" t="n">
        <v>0.027916</v>
      </c>
      <c r="G962" s="47" t="n">
        <f aca="false">A962*Scorecard!$C$12+B962*Scorecard!$C$13+C962*Scorecard!$C$14+D962*Scorecard!$C$15+E962*Scorecard!$C$16+F962*Scorecard!$C$17</f>
        <v>4.11068651296356</v>
      </c>
      <c r="H962" s="47" t="n">
        <f aca="false">A962*Scorecard!$D$12+B962*Scorecard!$D$13+C962*Scorecard!$D$14+D962*Scorecard!$D$15+E962*Scorecard!$D$16+F962*Scorecard!$D$17</f>
        <v>3.25185382515649</v>
      </c>
      <c r="I962" s="47" t="n">
        <f aca="false">A962*Scorecard!$E$12+B962*Scorecard!$E$13+C962*Scorecard!$E$14+D962*Scorecard!$E$15+E962*Scorecard!$E$16+F962*Scorecard!$E$17</f>
        <v>4.10600586493136</v>
      </c>
      <c r="J962" s="0" t="str">
        <f aca="false">IF(AND(G962&gt;=H962,G962&gt;=I962),"Distribution",IF(I962&gt;=H962,"Prof. services","Manufacturing"))</f>
        <v>Distribution</v>
      </c>
      <c r="L962" s="46" t="n">
        <v>0.238588</v>
      </c>
      <c r="M962" s="46" t="n">
        <v>0.204108</v>
      </c>
      <c r="N962" s="46" t="n">
        <v>0.142133</v>
      </c>
      <c r="O962" s="46" t="n">
        <v>0.261972</v>
      </c>
      <c r="P962" s="46" t="n">
        <v>0.080792</v>
      </c>
      <c r="Q962" s="46" t="n">
        <v>0.072407</v>
      </c>
      <c r="R962" s="47" t="n">
        <f aca="false">L962*Scorecard!$C$12+M962*Scorecard!$C$13+N962*Scorecard!$C$14+O962*Scorecard!$C$15+P962*Scorecard!$C$16+Q962*Scorecard!$C$17</f>
        <v>3.89180419750393</v>
      </c>
      <c r="S962" s="47" t="n">
        <f aca="false">L962*Scorecard!$D$12+M962*Scorecard!$D$13+N962*Scorecard!$D$14+O962*Scorecard!$D$15+P962*Scorecard!$D$16+Q962*Scorecard!$D$17</f>
        <v>3.07282230329068</v>
      </c>
      <c r="T962" s="47" t="n">
        <f aca="false">L962*Scorecard!$E$12+M962*Scorecard!$E$13+N962*Scorecard!$E$14+O962*Scorecard!$E$15+P962*Scorecard!$E$16+Q962*Scorecard!$E$17</f>
        <v>3.94244103720333</v>
      </c>
      <c r="U962" s="0" t="str">
        <f aca="false">IF(AND(R962&gt;=S962,R962&gt;=T962),"Distribution",IF(T962&gt;=S962,"Prof. services","Manufacturing"))</f>
        <v>Prof. services</v>
      </c>
    </row>
    <row r="963" customFormat="false" ht="15" hidden="false" customHeight="false" outlineLevel="0" collapsed="false">
      <c r="A963" s="46" t="n">
        <v>0.341266</v>
      </c>
      <c r="B963" s="46" t="n">
        <v>0.301426</v>
      </c>
      <c r="C963" s="46" t="n">
        <v>0.009646</v>
      </c>
      <c r="D963" s="46" t="n">
        <v>0.036851</v>
      </c>
      <c r="E963" s="46" t="n">
        <v>0.284049</v>
      </c>
      <c r="F963" s="46" t="n">
        <v>0.026761</v>
      </c>
      <c r="G963" s="47" t="n">
        <f aca="false">A963*Scorecard!$C$12+B963*Scorecard!$C$13+C963*Scorecard!$C$14+D963*Scorecard!$C$15+E963*Scorecard!$C$16+F963*Scorecard!$C$17</f>
        <v>3.67046733321615</v>
      </c>
      <c r="H963" s="47" t="n">
        <f aca="false">A963*Scorecard!$D$12+B963*Scorecard!$D$13+C963*Scorecard!$D$14+D963*Scorecard!$D$15+E963*Scorecard!$D$16+F963*Scorecard!$D$17</f>
        <v>2.87018063953011</v>
      </c>
      <c r="I963" s="47" t="n">
        <f aca="false">A963*Scorecard!$E$12+B963*Scorecard!$E$13+C963*Scorecard!$E$14+D963*Scorecard!$E$15+E963*Scorecard!$E$16+F963*Scorecard!$E$17</f>
        <v>3.33157027758596</v>
      </c>
      <c r="J963" s="0" t="str">
        <f aca="false">IF(AND(G963&gt;=H963,G963&gt;=I963),"Distribution",IF(I963&gt;=H963,"Prof. services","Manufacturing"))</f>
        <v>Distribution</v>
      </c>
      <c r="L963" s="46" t="n">
        <v>0.12837</v>
      </c>
      <c r="M963" s="46" t="n">
        <v>0.135847</v>
      </c>
      <c r="N963" s="46" t="n">
        <v>0.33215</v>
      </c>
      <c r="O963" s="46" t="n">
        <v>0.207817</v>
      </c>
      <c r="P963" s="46" t="n">
        <v>0.129298</v>
      </c>
      <c r="Q963" s="46" t="n">
        <v>0.066518</v>
      </c>
      <c r="R963" s="47" t="n">
        <f aca="false">L963*Scorecard!$C$12+M963*Scorecard!$C$13+N963*Scorecard!$C$14+O963*Scorecard!$C$15+P963*Scorecard!$C$16+Q963*Scorecard!$C$17</f>
        <v>3.97956016931941</v>
      </c>
      <c r="S963" s="47" t="n">
        <f aca="false">L963*Scorecard!$D$12+M963*Scorecard!$D$13+N963*Scorecard!$D$14+O963*Scorecard!$D$15+P963*Scorecard!$D$16+Q963*Scorecard!$D$17</f>
        <v>3.06478791368251</v>
      </c>
      <c r="T963" s="47" t="n">
        <f aca="false">L963*Scorecard!$E$12+M963*Scorecard!$E$13+N963*Scorecard!$E$14+O963*Scorecard!$E$15+P963*Scorecard!$E$16+Q963*Scorecard!$E$17</f>
        <v>4.05759429395638</v>
      </c>
      <c r="U963" s="0" t="str">
        <f aca="false">IF(AND(R963&gt;=S963,R963&gt;=T963),"Distribution",IF(T963&gt;=S963,"Prof. services","Manufacturing"))</f>
        <v>Prof. services</v>
      </c>
    </row>
    <row r="964" customFormat="false" ht="15" hidden="false" customHeight="false" outlineLevel="0" collapsed="false">
      <c r="A964" s="46" t="n">
        <v>0.074124</v>
      </c>
      <c r="B964" s="46" t="n">
        <v>0.034165</v>
      </c>
      <c r="C964" s="46" t="n">
        <v>0.168021</v>
      </c>
      <c r="D964" s="46" t="n">
        <v>0.1757</v>
      </c>
      <c r="E964" s="46" t="n">
        <v>0.213737</v>
      </c>
      <c r="F964" s="46" t="n">
        <v>0.334253</v>
      </c>
      <c r="G964" s="47" t="n">
        <f aca="false">A964*Scorecard!$C$12+B964*Scorecard!$C$13+C964*Scorecard!$C$14+D964*Scorecard!$C$15+E964*Scorecard!$C$16+F964*Scorecard!$C$17</f>
        <v>3.40793474291993</v>
      </c>
      <c r="H964" s="47" t="n">
        <f aca="false">A964*Scorecard!$D$12+B964*Scorecard!$D$13+C964*Scorecard!$D$14+D964*Scorecard!$D$15+E964*Scorecard!$D$16+F964*Scorecard!$D$17</f>
        <v>2.77094452686053</v>
      </c>
      <c r="I964" s="47" t="n">
        <f aca="false">A964*Scorecard!$E$12+B964*Scorecard!$E$13+C964*Scorecard!$E$14+D964*Scorecard!$E$15+E964*Scorecard!$E$16+F964*Scorecard!$E$17</f>
        <v>4.01779789032107</v>
      </c>
      <c r="J964" s="0" t="str">
        <f aca="false">IF(AND(G964&gt;=H964,G964&gt;=I964),"Distribution",IF(I964&gt;=H964,"Prof. services","Manufacturing"))</f>
        <v>Prof. services</v>
      </c>
      <c r="L964" s="46" t="n">
        <v>0.154359</v>
      </c>
      <c r="M964" s="46" t="n">
        <v>0.207022</v>
      </c>
      <c r="N964" s="46" t="n">
        <v>0.241294</v>
      </c>
      <c r="O964" s="46" t="n">
        <v>0.063657</v>
      </c>
      <c r="P964" s="46" t="n">
        <v>0.23979</v>
      </c>
      <c r="Q964" s="46" t="n">
        <v>0.093879</v>
      </c>
      <c r="R964" s="47" t="n">
        <f aca="false">L964*Scorecard!$C$12+M964*Scorecard!$C$13+N964*Scorecard!$C$14+O964*Scorecard!$C$15+P964*Scorecard!$C$16+Q964*Scorecard!$C$17</f>
        <v>3.80507659869109</v>
      </c>
      <c r="S964" s="47" t="n">
        <f aca="false">L964*Scorecard!$D$12+M964*Scorecard!$D$13+N964*Scorecard!$D$14+O964*Scorecard!$D$15+P964*Scorecard!$D$16+Q964*Scorecard!$D$17</f>
        <v>2.80402771961256</v>
      </c>
      <c r="T964" s="47" t="n">
        <f aca="false">L964*Scorecard!$E$12+M964*Scorecard!$E$13+N964*Scorecard!$E$14+O964*Scorecard!$E$15+P964*Scorecard!$E$16+Q964*Scorecard!$E$17</f>
        <v>3.66510538310317</v>
      </c>
      <c r="U964" s="0" t="str">
        <f aca="false">IF(AND(R964&gt;=S964,R964&gt;=T964),"Distribution",IF(T964&gt;=S964,"Prof. services","Manufacturing"))</f>
        <v>Distribution</v>
      </c>
    </row>
    <row r="965" customFormat="false" ht="15" hidden="false" customHeight="false" outlineLevel="0" collapsed="false">
      <c r="A965" s="46" t="n">
        <v>0.103508</v>
      </c>
      <c r="B965" s="46" t="n">
        <v>0.008785</v>
      </c>
      <c r="C965" s="46" t="n">
        <v>0.419178</v>
      </c>
      <c r="D965" s="46" t="n">
        <v>0.183661</v>
      </c>
      <c r="E965" s="46" t="n">
        <v>0.102238</v>
      </c>
      <c r="F965" s="46" t="n">
        <v>0.18263</v>
      </c>
      <c r="G965" s="47" t="n">
        <f aca="false">A965*Scorecard!$C$12+B965*Scorecard!$C$13+C965*Scorecard!$C$14+D965*Scorecard!$C$15+E965*Scorecard!$C$16+F965*Scorecard!$C$17</f>
        <v>3.64087012387562</v>
      </c>
      <c r="H965" s="47" t="n">
        <f aca="false">A965*Scorecard!$D$12+B965*Scorecard!$D$13+C965*Scorecard!$D$14+D965*Scorecard!$D$15+E965*Scorecard!$D$16+F965*Scorecard!$D$17</f>
        <v>3.02793367931315</v>
      </c>
      <c r="I965" s="47" t="n">
        <f aca="false">A965*Scorecard!$E$12+B965*Scorecard!$E$13+C965*Scorecard!$E$14+D965*Scorecard!$E$15+E965*Scorecard!$E$16+F965*Scorecard!$E$17</f>
        <v>4.45726795046538</v>
      </c>
      <c r="J965" s="0" t="str">
        <f aca="false">IF(AND(G965&gt;=H965,G965&gt;=I965),"Distribution",IF(I965&gt;=H965,"Prof. services","Manufacturing"))</f>
        <v>Prof. services</v>
      </c>
      <c r="L965" s="46" t="n">
        <v>0.165206</v>
      </c>
      <c r="M965" s="46" t="n">
        <v>0.196689</v>
      </c>
      <c r="N965" s="46" t="n">
        <v>0.252769</v>
      </c>
      <c r="O965" s="46" t="n">
        <v>0.196484</v>
      </c>
      <c r="P965" s="46" t="n">
        <v>0.093138</v>
      </c>
      <c r="Q965" s="46" t="n">
        <v>0.095713</v>
      </c>
      <c r="R965" s="47" t="n">
        <f aca="false">L965*Scorecard!$C$12+M965*Scorecard!$C$13+N965*Scorecard!$C$14+O965*Scorecard!$C$15+P965*Scorecard!$C$16+Q965*Scorecard!$C$17</f>
        <v>3.90436984400235</v>
      </c>
      <c r="S965" s="47" t="n">
        <f aca="false">L965*Scorecard!$D$12+M965*Scorecard!$D$13+N965*Scorecard!$D$14+O965*Scorecard!$D$15+P965*Scorecard!$D$16+Q965*Scorecard!$D$17</f>
        <v>2.92882755398638</v>
      </c>
      <c r="T965" s="47" t="n">
        <f aca="false">L965*Scorecard!$E$12+M965*Scorecard!$E$13+N965*Scorecard!$E$14+O965*Scorecard!$E$15+P965*Scorecard!$E$16+Q965*Scorecard!$E$17</f>
        <v>3.97393510206554</v>
      </c>
      <c r="U965" s="0" t="str">
        <f aca="false">IF(AND(R965&gt;=S965,R965&gt;=T965),"Distribution",IF(T965&gt;=S965,"Prof. services","Manufacturing"))</f>
        <v>Prof. services</v>
      </c>
    </row>
    <row r="966" customFormat="false" ht="15" hidden="false" customHeight="false" outlineLevel="0" collapsed="false">
      <c r="A966" s="46" t="n">
        <v>0.041577</v>
      </c>
      <c r="B966" s="46" t="n">
        <v>0.070573</v>
      </c>
      <c r="C966" s="46" t="n">
        <v>0.197884</v>
      </c>
      <c r="D966" s="46" t="n">
        <v>0.166035</v>
      </c>
      <c r="E966" s="46" t="n">
        <v>0.467028</v>
      </c>
      <c r="F966" s="46" t="n">
        <v>0.056904</v>
      </c>
      <c r="G966" s="47" t="n">
        <f aca="false">A966*Scorecard!$C$12+B966*Scorecard!$C$13+C966*Scorecard!$C$14+D966*Scorecard!$C$15+E966*Scorecard!$C$16+F966*Scorecard!$C$17</f>
        <v>4.04796480707169</v>
      </c>
      <c r="H966" s="47" t="n">
        <f aca="false">A966*Scorecard!$D$12+B966*Scorecard!$D$13+C966*Scorecard!$D$14+D966*Scorecard!$D$15+E966*Scorecard!$D$16+F966*Scorecard!$D$17</f>
        <v>3.18406538706959</v>
      </c>
      <c r="I966" s="47" t="n">
        <f aca="false">A966*Scorecard!$E$12+B966*Scorecard!$E$13+C966*Scorecard!$E$14+D966*Scorecard!$E$15+E966*Scorecard!$E$16+F966*Scorecard!$E$17</f>
        <v>3.38441920692423</v>
      </c>
      <c r="J966" s="0" t="str">
        <f aca="false">IF(AND(G966&gt;=H966,G966&gt;=I966),"Distribution",IF(I966&gt;=H966,"Prof. services","Manufacturing"))</f>
        <v>Distribution</v>
      </c>
      <c r="L966" s="46" t="n">
        <v>0.189418</v>
      </c>
      <c r="M966" s="46" t="n">
        <v>0.272015</v>
      </c>
      <c r="N966" s="46" t="n">
        <v>0.284093</v>
      </c>
      <c r="O966" s="46" t="n">
        <v>0.067024</v>
      </c>
      <c r="P966" s="46" t="n">
        <v>0.131103</v>
      </c>
      <c r="Q966" s="46" t="n">
        <v>0.056347</v>
      </c>
      <c r="R966" s="47" t="n">
        <f aca="false">L966*Scorecard!$C$12+M966*Scorecard!$C$13+N966*Scorecard!$C$14+O966*Scorecard!$C$15+P966*Scorecard!$C$16+Q966*Scorecard!$C$17</f>
        <v>3.88538989871577</v>
      </c>
      <c r="S966" s="47" t="n">
        <f aca="false">L966*Scorecard!$D$12+M966*Scorecard!$D$13+N966*Scorecard!$D$14+O966*Scorecard!$D$15+P966*Scorecard!$D$16+Q966*Scorecard!$D$17</f>
        <v>2.75359506360633</v>
      </c>
      <c r="T966" s="47" t="n">
        <f aca="false">L966*Scorecard!$E$12+M966*Scorecard!$E$13+N966*Scorecard!$E$14+O966*Scorecard!$E$15+P966*Scorecard!$E$16+Q966*Scorecard!$E$17</f>
        <v>3.78399088143025</v>
      </c>
      <c r="U966" s="0" t="str">
        <f aca="false">IF(AND(R966&gt;=S966,R966&gt;=T966),"Distribution",IF(T966&gt;=S966,"Prof. services","Manufacturing"))</f>
        <v>Distribution</v>
      </c>
    </row>
    <row r="967" customFormat="false" ht="15" hidden="false" customHeight="false" outlineLevel="0" collapsed="false">
      <c r="A967" s="46" t="n">
        <v>0.158334</v>
      </c>
      <c r="B967" s="46" t="n">
        <v>0.128293</v>
      </c>
      <c r="C967" s="46" t="n">
        <v>0.009099</v>
      </c>
      <c r="D967" s="46" t="n">
        <v>0.053981</v>
      </c>
      <c r="E967" s="46" t="n">
        <v>0.555108</v>
      </c>
      <c r="F967" s="46" t="n">
        <v>0.095185</v>
      </c>
      <c r="G967" s="47" t="n">
        <f aca="false">A967*Scorecard!$C$12+B967*Scorecard!$C$13+C967*Scorecard!$C$14+D967*Scorecard!$C$15+E967*Scorecard!$C$16+F967*Scorecard!$C$17</f>
        <v>3.70690054200373</v>
      </c>
      <c r="H967" s="47" t="n">
        <f aca="false">A967*Scorecard!$D$12+B967*Scorecard!$D$13+C967*Scorecard!$D$14+D967*Scorecard!$D$15+E967*Scorecard!$D$16+F967*Scorecard!$D$17</f>
        <v>3.01676845282747</v>
      </c>
      <c r="I967" s="47" t="n">
        <f aca="false">A967*Scorecard!$E$12+B967*Scorecard!$E$13+C967*Scorecard!$E$14+D967*Scorecard!$E$15+E967*Scorecard!$E$16+F967*Scorecard!$E$17</f>
        <v>3.05807958360507</v>
      </c>
      <c r="J967" s="0" t="str">
        <f aca="false">IF(AND(G967&gt;=H967,G967&gt;=I967),"Distribution",IF(I967&gt;=H967,"Prof. services","Manufacturing"))</f>
        <v>Distribution</v>
      </c>
      <c r="L967" s="46" t="n">
        <v>0.148515</v>
      </c>
      <c r="M967" s="46" t="n">
        <v>0.285876</v>
      </c>
      <c r="N967" s="46" t="n">
        <v>0.184208</v>
      </c>
      <c r="O967" s="46" t="n">
        <v>0.117412</v>
      </c>
      <c r="P967" s="46" t="n">
        <v>0.132901</v>
      </c>
      <c r="Q967" s="46" t="n">
        <v>0.131088</v>
      </c>
      <c r="R967" s="47" t="n">
        <f aca="false">L967*Scorecard!$C$12+M967*Scorecard!$C$13+N967*Scorecard!$C$14+O967*Scorecard!$C$15+P967*Scorecard!$C$16+Q967*Scorecard!$C$17</f>
        <v>3.87378288203219</v>
      </c>
      <c r="S967" s="47" t="n">
        <f aca="false">L967*Scorecard!$D$12+M967*Scorecard!$D$13+N967*Scorecard!$D$14+O967*Scorecard!$D$15+P967*Scorecard!$D$16+Q967*Scorecard!$D$17</f>
        <v>2.65259029387634</v>
      </c>
      <c r="T967" s="47" t="n">
        <f aca="false">L967*Scorecard!$E$12+M967*Scorecard!$E$13+N967*Scorecard!$E$14+O967*Scorecard!$E$15+P967*Scorecard!$E$16+Q967*Scorecard!$E$17</f>
        <v>3.65984838345027</v>
      </c>
      <c r="U967" s="0" t="str">
        <f aca="false">IF(AND(R967&gt;=S967,R967&gt;=T967),"Distribution",IF(T967&gt;=S967,"Prof. services","Manufacturing"))</f>
        <v>Distribution</v>
      </c>
    </row>
    <row r="968" customFormat="false" ht="15" hidden="false" customHeight="false" outlineLevel="0" collapsed="false">
      <c r="A968" s="46" t="n">
        <v>0.019401</v>
      </c>
      <c r="B968" s="46" t="n">
        <v>0.116589</v>
      </c>
      <c r="C968" s="46" t="n">
        <v>0.245619</v>
      </c>
      <c r="D968" s="46" t="n">
        <v>0.368429</v>
      </c>
      <c r="E968" s="46" t="n">
        <v>0.190606</v>
      </c>
      <c r="F968" s="46" t="n">
        <v>0.059356</v>
      </c>
      <c r="G968" s="47" t="n">
        <f aca="false">A968*Scorecard!$C$12+B968*Scorecard!$C$13+C968*Scorecard!$C$14+D968*Scorecard!$C$15+E968*Scorecard!$C$16+F968*Scorecard!$C$17</f>
        <v>4.33138392332294</v>
      </c>
      <c r="H968" s="47" t="n">
        <f aca="false">A968*Scorecard!$D$12+B968*Scorecard!$D$13+C968*Scorecard!$D$14+D968*Scorecard!$D$15+E968*Scorecard!$D$16+F968*Scorecard!$D$17</f>
        <v>3.23882490533121</v>
      </c>
      <c r="I968" s="47" t="n">
        <f aca="false">A968*Scorecard!$E$12+B968*Scorecard!$E$13+C968*Scorecard!$E$14+D968*Scorecard!$E$15+E968*Scorecard!$E$16+F968*Scorecard!$E$17</f>
        <v>3.81881143515451</v>
      </c>
      <c r="J968" s="0" t="str">
        <f aca="false">IF(AND(G968&gt;=H968,G968&gt;=I968),"Distribution",IF(I968&gt;=H968,"Prof. services","Manufacturing"))</f>
        <v>Distribution</v>
      </c>
      <c r="L968" s="46" t="n">
        <v>0.215645</v>
      </c>
      <c r="M968" s="46" t="n">
        <v>0.093471</v>
      </c>
      <c r="N968" s="46" t="n">
        <v>0.295843</v>
      </c>
      <c r="O968" s="46" t="n">
        <v>0.118757</v>
      </c>
      <c r="P968" s="46" t="n">
        <v>0.134376</v>
      </c>
      <c r="Q968" s="46" t="n">
        <v>0.141908</v>
      </c>
      <c r="R968" s="47" t="n">
        <f aca="false">L968*Scorecard!$C$12+M968*Scorecard!$C$13+N968*Scorecard!$C$14+O968*Scorecard!$C$15+P968*Scorecard!$C$16+Q968*Scorecard!$C$17</f>
        <v>3.54024792469334</v>
      </c>
      <c r="S968" s="47" t="n">
        <f aca="false">L968*Scorecard!$D$12+M968*Scorecard!$D$13+N968*Scorecard!$D$14+O968*Scorecard!$D$15+P968*Scorecard!$D$16+Q968*Scorecard!$D$17</f>
        <v>2.97155193670238</v>
      </c>
      <c r="T968" s="47" t="n">
        <f aca="false">L968*Scorecard!$E$12+M968*Scorecard!$E$13+N968*Scorecard!$E$14+O968*Scorecard!$E$15+P968*Scorecard!$E$16+Q968*Scorecard!$E$17</f>
        <v>4.20265819879699</v>
      </c>
      <c r="U968" s="0" t="str">
        <f aca="false">IF(AND(R968&gt;=S968,R968&gt;=T968),"Distribution",IF(T968&gt;=S968,"Prof. services","Manufacturing"))</f>
        <v>Prof. services</v>
      </c>
    </row>
    <row r="969" customFormat="false" ht="15" hidden="false" customHeight="false" outlineLevel="0" collapsed="false">
      <c r="A969" s="46" t="n">
        <v>0.170596</v>
      </c>
      <c r="B969" s="46" t="n">
        <v>0.155005</v>
      </c>
      <c r="C969" s="46" t="n">
        <v>0.388475</v>
      </c>
      <c r="D969" s="46" t="n">
        <v>0.152833</v>
      </c>
      <c r="E969" s="46" t="n">
        <v>0.102953</v>
      </c>
      <c r="F969" s="46" t="n">
        <v>0.030139</v>
      </c>
      <c r="G969" s="47" t="n">
        <f aca="false">A969*Scorecard!$C$12+B969*Scorecard!$C$13+C969*Scorecard!$C$14+D969*Scorecard!$C$15+E969*Scorecard!$C$16+F969*Scorecard!$C$17</f>
        <v>3.94048876713573</v>
      </c>
      <c r="H969" s="47" t="n">
        <f aca="false">A969*Scorecard!$D$12+B969*Scorecard!$D$13+C969*Scorecard!$D$14+D969*Scorecard!$D$15+E969*Scorecard!$D$16+F969*Scorecard!$D$17</f>
        <v>3.0460621524468</v>
      </c>
      <c r="I969" s="47" t="n">
        <f aca="false">A969*Scorecard!$E$12+B969*Scorecard!$E$13+C969*Scorecard!$E$14+D969*Scorecard!$E$15+E969*Scorecard!$E$16+F969*Scorecard!$E$17</f>
        <v>4.13691218292736</v>
      </c>
      <c r="J969" s="0" t="str">
        <f aca="false">IF(AND(G969&gt;=H969,G969&gt;=I969),"Distribution",IF(I969&gt;=H969,"Prof. services","Manufacturing"))</f>
        <v>Prof. services</v>
      </c>
      <c r="L969" s="46" t="n">
        <v>0.35708</v>
      </c>
      <c r="M969" s="46" t="n">
        <v>0.133791</v>
      </c>
      <c r="N969" s="46" t="n">
        <v>0.251935</v>
      </c>
      <c r="O969" s="46" t="n">
        <v>0.092983</v>
      </c>
      <c r="P969" s="46" t="n">
        <v>0.135577</v>
      </c>
      <c r="Q969" s="46" t="n">
        <v>0.028634</v>
      </c>
      <c r="R969" s="47" t="n">
        <f aca="false">L969*Scorecard!$C$12+M969*Scorecard!$C$13+N969*Scorecard!$C$14+O969*Scorecard!$C$15+P969*Scorecard!$C$16+Q969*Scorecard!$C$17</f>
        <v>3.52675690769319</v>
      </c>
      <c r="S969" s="47" t="n">
        <f aca="false">L969*Scorecard!$D$12+M969*Scorecard!$D$13+N969*Scorecard!$D$14+O969*Scorecard!$D$15+P969*Scorecard!$D$16+Q969*Scorecard!$D$17</f>
        <v>3.14493058131992</v>
      </c>
      <c r="T969" s="47" t="n">
        <f aca="false">L969*Scorecard!$E$12+M969*Scorecard!$E$13+N969*Scorecard!$E$14+O969*Scorecard!$E$15+P969*Scorecard!$E$16+Q969*Scorecard!$E$17</f>
        <v>4.16169306484072</v>
      </c>
      <c r="U969" s="0" t="str">
        <f aca="false">IF(AND(R969&gt;=S969,R969&gt;=T969),"Distribution",IF(T969&gt;=S969,"Prof. services","Manufacturing"))</f>
        <v>Prof. services</v>
      </c>
    </row>
    <row r="970" customFormat="false" ht="15" hidden="false" customHeight="false" outlineLevel="0" collapsed="false">
      <c r="A970" s="46" t="n">
        <v>0.136206</v>
      </c>
      <c r="B970" s="46" t="n">
        <v>0.05485</v>
      </c>
      <c r="C970" s="46" t="n">
        <v>0.024737</v>
      </c>
      <c r="D970" s="46" t="n">
        <v>0.413569</v>
      </c>
      <c r="E970" s="46" t="n">
        <v>0.081845</v>
      </c>
      <c r="F970" s="46" t="n">
        <v>0.288793</v>
      </c>
      <c r="G970" s="47" t="n">
        <f aca="false">A970*Scorecard!$C$12+B970*Scorecard!$C$13+C970*Scorecard!$C$14+D970*Scorecard!$C$15+E970*Scorecard!$C$16+F970*Scorecard!$C$17</f>
        <v>3.64566025757046</v>
      </c>
      <c r="H970" s="47" t="n">
        <f aca="false">A970*Scorecard!$D$12+B970*Scorecard!$D$13+C970*Scorecard!$D$14+D970*Scorecard!$D$15+E970*Scorecard!$D$16+F970*Scorecard!$D$17</f>
        <v>3.08049745685859</v>
      </c>
      <c r="I970" s="47" t="n">
        <f aca="false">A970*Scorecard!$E$12+B970*Scorecard!$E$13+C970*Scorecard!$E$14+D970*Scorecard!$E$15+E970*Scorecard!$E$16+F970*Scorecard!$E$17</f>
        <v>4.13392610447973</v>
      </c>
      <c r="J970" s="0" t="str">
        <f aca="false">IF(AND(G970&gt;=H970,G970&gt;=I970),"Distribution",IF(I970&gt;=H970,"Prof. services","Manufacturing"))</f>
        <v>Prof. services</v>
      </c>
      <c r="L970" s="46" t="n">
        <v>0.14418</v>
      </c>
      <c r="M970" s="46" t="n">
        <v>0.194611</v>
      </c>
      <c r="N970" s="46" t="n">
        <v>0.221384</v>
      </c>
      <c r="O970" s="46" t="n">
        <v>0.164945</v>
      </c>
      <c r="P970" s="46" t="n">
        <v>0.206696</v>
      </c>
      <c r="Q970" s="46" t="n">
        <v>0.068185</v>
      </c>
      <c r="R970" s="47" t="n">
        <f aca="false">L970*Scorecard!$C$12+M970*Scorecard!$C$13+N970*Scorecard!$C$14+O970*Scorecard!$C$15+P970*Scorecard!$C$16+Q970*Scorecard!$C$17</f>
        <v>3.96366394385349</v>
      </c>
      <c r="S970" s="47" t="n">
        <f aca="false">L970*Scorecard!$D$12+M970*Scorecard!$D$13+N970*Scorecard!$D$14+O970*Scorecard!$D$15+P970*Scorecard!$D$16+Q970*Scorecard!$D$17</f>
        <v>2.96069775316347</v>
      </c>
      <c r="T970" s="47" t="n">
        <f aca="false">L970*Scorecard!$E$12+M970*Scorecard!$E$13+N970*Scorecard!$E$14+O970*Scorecard!$E$15+P970*Scorecard!$E$16+Q970*Scorecard!$E$17</f>
        <v>3.71722636628527</v>
      </c>
      <c r="U970" s="0" t="str">
        <f aca="false">IF(AND(R970&gt;=S970,R970&gt;=T970),"Distribution",IF(T970&gt;=S970,"Prof. services","Manufacturing"))</f>
        <v>Distribution</v>
      </c>
    </row>
    <row r="971" customFormat="false" ht="15" hidden="false" customHeight="false" outlineLevel="0" collapsed="false">
      <c r="A971" s="46" t="n">
        <v>0.31026</v>
      </c>
      <c r="B971" s="46" t="n">
        <v>0.094505</v>
      </c>
      <c r="C971" s="46" t="n">
        <v>0.081828</v>
      </c>
      <c r="D971" s="46" t="n">
        <v>0.242317</v>
      </c>
      <c r="E971" s="46" t="n">
        <v>0.004228</v>
      </c>
      <c r="F971" s="46" t="n">
        <v>0.266862</v>
      </c>
      <c r="G971" s="47" t="n">
        <f aca="false">A971*Scorecard!$C$12+B971*Scorecard!$C$13+C971*Scorecard!$C$14+D971*Scorecard!$C$15+E971*Scorecard!$C$16+F971*Scorecard!$C$17</f>
        <v>3.24462557539176</v>
      </c>
      <c r="H971" s="47" t="n">
        <f aca="false">A971*Scorecard!$D$12+B971*Scorecard!$D$13+C971*Scorecard!$D$14+D971*Scorecard!$D$15+E971*Scorecard!$D$16+F971*Scorecard!$D$17</f>
        <v>2.9447222272126</v>
      </c>
      <c r="I971" s="47" t="n">
        <f aca="false">A971*Scorecard!$E$12+B971*Scorecard!$E$13+C971*Scorecard!$E$14+D971*Scorecard!$E$15+E971*Scorecard!$E$16+F971*Scorecard!$E$17</f>
        <v>4.38098663780119</v>
      </c>
      <c r="J971" s="0" t="str">
        <f aca="false">IF(AND(G971&gt;=H971,G971&gt;=I971),"Distribution",IF(I971&gt;=H971,"Prof. services","Manufacturing"))</f>
        <v>Prof. services</v>
      </c>
      <c r="L971" s="46" t="n">
        <v>0.19905</v>
      </c>
      <c r="M971" s="46" t="n">
        <v>0.203043</v>
      </c>
      <c r="N971" s="46" t="n">
        <v>0.183179</v>
      </c>
      <c r="O971" s="46" t="n">
        <v>0.09828</v>
      </c>
      <c r="P971" s="46" t="n">
        <v>0.160277</v>
      </c>
      <c r="Q971" s="46" t="n">
        <v>0.156172</v>
      </c>
      <c r="R971" s="47" t="n">
        <f aca="false">L971*Scorecard!$C$12+M971*Scorecard!$C$13+N971*Scorecard!$C$14+O971*Scorecard!$C$15+P971*Scorecard!$C$16+Q971*Scorecard!$C$17</f>
        <v>3.63069016135412</v>
      </c>
      <c r="S971" s="47" t="n">
        <f aca="false">L971*Scorecard!$D$12+M971*Scorecard!$D$13+N971*Scorecard!$D$14+O971*Scorecard!$D$15+P971*Scorecard!$D$16+Q971*Scorecard!$D$17</f>
        <v>2.75965798173884</v>
      </c>
      <c r="T971" s="47" t="n">
        <f aca="false">L971*Scorecard!$E$12+M971*Scorecard!$E$13+N971*Scorecard!$E$14+O971*Scorecard!$E$15+P971*Scorecard!$E$16+Q971*Scorecard!$E$17</f>
        <v>3.82849450196713</v>
      </c>
      <c r="U971" s="0" t="str">
        <f aca="false">IF(AND(R971&gt;=S971,R971&gt;=T971),"Distribution",IF(T971&gt;=S971,"Prof. services","Manufacturing"))</f>
        <v>Prof. services</v>
      </c>
    </row>
    <row r="972" customFormat="false" ht="15" hidden="false" customHeight="false" outlineLevel="0" collapsed="false">
      <c r="A972" s="46" t="n">
        <v>0.053083</v>
      </c>
      <c r="B972" s="46" t="n">
        <v>0.038335</v>
      </c>
      <c r="C972" s="46" t="n">
        <v>0.046612</v>
      </c>
      <c r="D972" s="46" t="n">
        <v>0.352161</v>
      </c>
      <c r="E972" s="46" t="n">
        <v>0.422199</v>
      </c>
      <c r="F972" s="46" t="n">
        <v>0.08761</v>
      </c>
      <c r="G972" s="47" t="n">
        <f aca="false">A972*Scorecard!$C$12+B972*Scorecard!$C$13+C972*Scorecard!$C$14+D972*Scorecard!$C$15+E972*Scorecard!$C$16+F972*Scorecard!$C$17</f>
        <v>4.11972584298498</v>
      </c>
      <c r="H972" s="47" t="n">
        <f aca="false">A972*Scorecard!$D$12+B972*Scorecard!$D$13+C972*Scorecard!$D$14+D972*Scorecard!$D$15+E972*Scorecard!$D$16+F972*Scorecard!$D$17</f>
        <v>3.39451708943465</v>
      </c>
      <c r="I972" s="47" t="n">
        <f aca="false">A972*Scorecard!$E$12+B972*Scorecard!$E$13+C972*Scorecard!$E$14+D972*Scorecard!$E$15+E972*Scorecard!$E$16+F972*Scorecard!$E$17</f>
        <v>3.42572758343706</v>
      </c>
      <c r="J972" s="0" t="str">
        <f aca="false">IF(AND(G972&gt;=H972,G972&gt;=I972),"Distribution",IF(I972&gt;=H972,"Prof. services","Manufacturing"))</f>
        <v>Distribution</v>
      </c>
      <c r="L972" s="46" t="n">
        <v>0.213938</v>
      </c>
      <c r="M972" s="46" t="n">
        <v>0.157013</v>
      </c>
      <c r="N972" s="46" t="n">
        <v>0.196008</v>
      </c>
      <c r="O972" s="46" t="n">
        <v>0.109435</v>
      </c>
      <c r="P972" s="46" t="n">
        <v>0.179908</v>
      </c>
      <c r="Q972" s="46" t="n">
        <v>0.143698</v>
      </c>
      <c r="R972" s="47" t="n">
        <f aca="false">L972*Scorecard!$C$12+M972*Scorecard!$C$13+N972*Scorecard!$C$14+O972*Scorecard!$C$15+P972*Scorecard!$C$16+Q972*Scorecard!$C$17</f>
        <v>3.59396054903681</v>
      </c>
      <c r="S972" s="47" t="n">
        <f aca="false">L972*Scorecard!$D$12+M972*Scorecard!$D$13+N972*Scorecard!$D$14+O972*Scorecard!$D$15+P972*Scorecard!$D$16+Q972*Scorecard!$D$17</f>
        <v>2.8767485123748</v>
      </c>
      <c r="T972" s="47" t="n">
        <f aca="false">L972*Scorecard!$E$12+M972*Scorecard!$E$13+N972*Scorecard!$E$14+O972*Scorecard!$E$15+P972*Scorecard!$E$16+Q972*Scorecard!$E$17</f>
        <v>3.90541611294236</v>
      </c>
      <c r="U972" s="0" t="str">
        <f aca="false">IF(AND(R972&gt;=S972,R972&gt;=T972),"Distribution",IF(T972&gt;=S972,"Prof. services","Manufacturing"))</f>
        <v>Prof. services</v>
      </c>
    </row>
    <row r="973" customFormat="false" ht="15" hidden="false" customHeight="false" outlineLevel="0" collapsed="false">
      <c r="A973" s="46" t="n">
        <v>0.101323</v>
      </c>
      <c r="B973" s="46" t="n">
        <v>0.526866</v>
      </c>
      <c r="C973" s="46" t="n">
        <v>0.016958</v>
      </c>
      <c r="D973" s="46" t="n">
        <v>0.074677</v>
      </c>
      <c r="E973" s="46" t="n">
        <v>0.020421</v>
      </c>
      <c r="F973" s="46" t="n">
        <v>0.259756</v>
      </c>
      <c r="G973" s="47" t="n">
        <f aca="false">A973*Scorecard!$C$12+B973*Scorecard!$C$13+C973*Scorecard!$C$14+D973*Scorecard!$C$15+E973*Scorecard!$C$16+F973*Scorecard!$C$17</f>
        <v>3.89965215503584</v>
      </c>
      <c r="H973" s="47" t="n">
        <f aca="false">A973*Scorecard!$D$12+B973*Scorecard!$D$13+C973*Scorecard!$D$14+D973*Scorecard!$D$15+E973*Scorecard!$D$16+F973*Scorecard!$D$17</f>
        <v>1.97972706066609</v>
      </c>
      <c r="I973" s="47" t="n">
        <f aca="false">A973*Scorecard!$E$12+B973*Scorecard!$E$13+C973*Scorecard!$E$14+D973*Scorecard!$E$15+E973*Scorecard!$E$16+F973*Scorecard!$E$17</f>
        <v>3.23819995738786</v>
      </c>
      <c r="J973" s="0" t="str">
        <f aca="false">IF(AND(G973&gt;=H973,G973&gt;=I973),"Distribution",IF(I973&gt;=H973,"Prof. services","Manufacturing"))</f>
        <v>Distribution</v>
      </c>
      <c r="L973" s="46" t="n">
        <v>0.257849</v>
      </c>
      <c r="M973" s="46" t="n">
        <v>0.168263</v>
      </c>
      <c r="N973" s="46" t="n">
        <v>0.150901</v>
      </c>
      <c r="O973" s="46" t="n">
        <v>0.211953</v>
      </c>
      <c r="P973" s="46" t="n">
        <v>0.118304</v>
      </c>
      <c r="Q973" s="46" t="n">
        <v>0.09273</v>
      </c>
      <c r="R973" s="47" t="n">
        <f aca="false">L973*Scorecard!$C$12+M973*Scorecard!$C$13+N973*Scorecard!$C$14+O973*Scorecard!$C$15+P973*Scorecard!$C$16+Q973*Scorecard!$C$17</f>
        <v>3.7306241228234</v>
      </c>
      <c r="S973" s="47" t="n">
        <f aca="false">L973*Scorecard!$D$12+M973*Scorecard!$D$13+N973*Scorecard!$D$14+O973*Scorecard!$D$15+P973*Scorecard!$D$16+Q973*Scorecard!$D$17</f>
        <v>3.06346400131584</v>
      </c>
      <c r="T973" s="47" t="n">
        <f aca="false">L973*Scorecard!$E$12+M973*Scorecard!$E$13+N973*Scorecard!$E$14+O973*Scorecard!$E$15+P973*Scorecard!$E$16+Q973*Scorecard!$E$17</f>
        <v>3.97713334165206</v>
      </c>
      <c r="U973" s="0" t="str">
        <f aca="false">IF(AND(R973&gt;=S973,R973&gt;=T973),"Distribution",IF(T973&gt;=S973,"Prof. services","Manufacturing"))</f>
        <v>Prof. services</v>
      </c>
    </row>
    <row r="974" customFormat="false" ht="15" hidden="false" customHeight="false" outlineLevel="0" collapsed="false">
      <c r="A974" s="46" t="n">
        <v>0.02429</v>
      </c>
      <c r="B974" s="46" t="n">
        <v>0.022171</v>
      </c>
      <c r="C974" s="46" t="n">
        <v>0.184048</v>
      </c>
      <c r="D974" s="46" t="n">
        <v>0.039344</v>
      </c>
      <c r="E974" s="46" t="n">
        <v>0.136409</v>
      </c>
      <c r="F974" s="46" t="n">
        <v>0.593739</v>
      </c>
      <c r="G974" s="47" t="n">
        <f aca="false">A974*Scorecard!$C$12+B974*Scorecard!$C$13+C974*Scorecard!$C$14+D974*Scorecard!$C$15+E974*Scorecard!$C$16+F974*Scorecard!$C$17</f>
        <v>2.83031865360106</v>
      </c>
      <c r="H974" s="47" t="n">
        <f aca="false">A974*Scorecard!$D$12+B974*Scorecard!$D$13+C974*Scorecard!$D$14+D974*Scorecard!$D$15+E974*Scorecard!$D$16+F974*Scorecard!$D$17</f>
        <v>2.18317642242317</v>
      </c>
      <c r="I974" s="47" t="n">
        <f aca="false">A974*Scorecard!$E$12+B974*Scorecard!$E$13+C974*Scorecard!$E$14+D974*Scorecard!$E$15+E974*Scorecard!$E$16+F974*Scorecard!$E$17</f>
        <v>4.24273626924343</v>
      </c>
      <c r="J974" s="0" t="str">
        <f aca="false">IF(AND(G974&gt;=H974,G974&gt;=I974),"Distribution",IF(I974&gt;=H974,"Prof. services","Manufacturing"))</f>
        <v>Prof. services</v>
      </c>
      <c r="L974" s="46" t="n">
        <v>0.225411</v>
      </c>
      <c r="M974" s="46" t="n">
        <v>0.199165</v>
      </c>
      <c r="N974" s="46" t="n">
        <v>0.262599</v>
      </c>
      <c r="O974" s="46" t="n">
        <v>0.07185</v>
      </c>
      <c r="P974" s="46" t="n">
        <v>0.182228</v>
      </c>
      <c r="Q974" s="46" t="n">
        <v>0.058747</v>
      </c>
      <c r="R974" s="47" t="n">
        <f aca="false">L974*Scorecard!$C$12+M974*Scorecard!$C$13+N974*Scorecard!$C$14+O974*Scorecard!$C$15+P974*Scorecard!$C$16+Q974*Scorecard!$C$17</f>
        <v>3.74777798542072</v>
      </c>
      <c r="S974" s="47" t="n">
        <f aca="false">L974*Scorecard!$D$12+M974*Scorecard!$D$13+N974*Scorecard!$D$14+O974*Scorecard!$D$15+P974*Scorecard!$D$16+Q974*Scorecard!$D$17</f>
        <v>2.90574664480635</v>
      </c>
      <c r="T974" s="47" t="n">
        <f aca="false">L974*Scorecard!$E$12+M974*Scorecard!$E$13+N974*Scorecard!$E$14+O974*Scorecard!$E$15+P974*Scorecard!$E$16+Q974*Scorecard!$E$17</f>
        <v>3.8519100963859</v>
      </c>
      <c r="U974" s="0" t="str">
        <f aca="false">IF(AND(R974&gt;=S974,R974&gt;=T974),"Distribution",IF(T974&gt;=S974,"Prof. services","Manufacturing"))</f>
        <v>Prof. services</v>
      </c>
    </row>
    <row r="975" customFormat="false" ht="15" hidden="false" customHeight="false" outlineLevel="0" collapsed="false">
      <c r="A975" s="46" t="n">
        <v>0.075147</v>
      </c>
      <c r="B975" s="46" t="n">
        <v>0.005556</v>
      </c>
      <c r="C975" s="46" t="n">
        <v>0.618736</v>
      </c>
      <c r="D975" s="46" t="n">
        <v>0.025953</v>
      </c>
      <c r="E975" s="46" t="n">
        <v>0.136929</v>
      </c>
      <c r="F975" s="46" t="n">
        <v>0.13768</v>
      </c>
      <c r="G975" s="47" t="n">
        <f aca="false">A975*Scorecard!$C$12+B975*Scorecard!$C$13+C975*Scorecard!$C$14+D975*Scorecard!$C$15+E975*Scorecard!$C$16+F975*Scorecard!$C$17</f>
        <v>3.62088732833096</v>
      </c>
      <c r="H975" s="47" t="n">
        <f aca="false">A975*Scorecard!$D$12+B975*Scorecard!$D$13+C975*Scorecard!$D$14+D975*Scorecard!$D$15+E975*Scorecard!$D$16+F975*Scorecard!$D$17</f>
        <v>2.91046897439628</v>
      </c>
      <c r="I975" s="47" t="n">
        <f aca="false">A975*Scorecard!$E$12+B975*Scorecard!$E$13+C975*Scorecard!$E$14+D975*Scorecard!$E$15+E975*Scorecard!$E$16+F975*Scorecard!$E$17</f>
        <v>4.52835038909933</v>
      </c>
      <c r="J975" s="0" t="str">
        <f aca="false">IF(AND(G975&gt;=H975,G975&gt;=I975),"Distribution",IF(I975&gt;=H975,"Prof. services","Manufacturing"))</f>
        <v>Prof. services</v>
      </c>
      <c r="L975" s="46" t="n">
        <v>0.202956</v>
      </c>
      <c r="M975" s="46" t="n">
        <v>0.257601</v>
      </c>
      <c r="N975" s="46" t="n">
        <v>0.116607</v>
      </c>
      <c r="O975" s="46" t="n">
        <v>0.164098</v>
      </c>
      <c r="P975" s="46" t="n">
        <v>0.151053</v>
      </c>
      <c r="Q975" s="46" t="n">
        <v>0.107684</v>
      </c>
      <c r="R975" s="47" t="n">
        <f aca="false">L975*Scorecard!$C$12+M975*Scorecard!$C$13+N975*Scorecard!$C$14+O975*Scorecard!$C$15+P975*Scorecard!$C$16+Q975*Scorecard!$C$17</f>
        <v>3.84100330565077</v>
      </c>
      <c r="S975" s="47" t="n">
        <f aca="false">L975*Scorecard!$D$12+M975*Scorecard!$D$13+N975*Scorecard!$D$14+O975*Scorecard!$D$15+P975*Scorecard!$D$16+Q975*Scorecard!$D$17</f>
        <v>2.82619137955401</v>
      </c>
      <c r="T975" s="47" t="n">
        <f aca="false">L975*Scorecard!$E$12+M975*Scorecard!$E$13+N975*Scorecard!$E$14+O975*Scorecard!$E$15+P975*Scorecard!$E$16+Q975*Scorecard!$E$17</f>
        <v>3.66542293916851</v>
      </c>
      <c r="U975" s="0" t="str">
        <f aca="false">IF(AND(R975&gt;=S975,R975&gt;=T975),"Distribution",IF(T975&gt;=S975,"Prof. services","Manufacturing"))</f>
        <v>Distribution</v>
      </c>
    </row>
    <row r="976" customFormat="false" ht="15" hidden="false" customHeight="false" outlineLevel="0" collapsed="false">
      <c r="A976" s="46" t="n">
        <v>0.177718</v>
      </c>
      <c r="B976" s="46" t="n">
        <v>0.004006</v>
      </c>
      <c r="C976" s="46" t="n">
        <v>0.23403</v>
      </c>
      <c r="D976" s="46" t="n">
        <v>0.120067</v>
      </c>
      <c r="E976" s="46" t="n">
        <v>0.44394</v>
      </c>
      <c r="F976" s="46" t="n">
        <v>0.020238</v>
      </c>
      <c r="G976" s="47" t="n">
        <f aca="false">A976*Scorecard!$C$12+B976*Scorecard!$C$13+C976*Scorecard!$C$14+D976*Scorecard!$C$15+E976*Scorecard!$C$16+F976*Scorecard!$C$17</f>
        <v>3.76369806556911</v>
      </c>
      <c r="H976" s="47" t="n">
        <f aca="false">A976*Scorecard!$D$12+B976*Scorecard!$D$13+C976*Scorecard!$D$14+D976*Scorecard!$D$15+E976*Scorecard!$D$16+F976*Scorecard!$D$17</f>
        <v>3.36799294685538</v>
      </c>
      <c r="I976" s="47" t="n">
        <f aca="false">A976*Scorecard!$E$12+B976*Scorecard!$E$13+C976*Scorecard!$E$14+D976*Scorecard!$E$15+E976*Scorecard!$E$16+F976*Scorecard!$E$17</f>
        <v>3.69415362238289</v>
      </c>
      <c r="J976" s="0" t="str">
        <f aca="false">IF(AND(G976&gt;=H976,G976&gt;=I976),"Distribution",IF(I976&gt;=H976,"Prof. services","Manufacturing"))</f>
        <v>Distribution</v>
      </c>
      <c r="L976" s="46" t="n">
        <v>0.168206</v>
      </c>
      <c r="M976" s="46" t="n">
        <v>0.20488</v>
      </c>
      <c r="N976" s="46" t="n">
        <v>0.158241</v>
      </c>
      <c r="O976" s="46" t="n">
        <v>0.143665</v>
      </c>
      <c r="P976" s="46" t="n">
        <v>0.158892</v>
      </c>
      <c r="Q976" s="46" t="n">
        <v>0.166116</v>
      </c>
      <c r="R976" s="47" t="n">
        <f aca="false">L976*Scorecard!$C$12+M976*Scorecard!$C$13+N976*Scorecard!$C$14+O976*Scorecard!$C$15+P976*Scorecard!$C$16+Q976*Scorecard!$C$17</f>
        <v>3.71353980121945</v>
      </c>
      <c r="S976" s="47" t="n">
        <f aca="false">L976*Scorecard!$D$12+M976*Scorecard!$D$13+N976*Scorecard!$D$14+O976*Scorecard!$D$15+P976*Scorecard!$D$16+Q976*Scorecard!$D$17</f>
        <v>2.77368554424388</v>
      </c>
      <c r="T976" s="47" t="n">
        <f aca="false">L976*Scorecard!$E$12+M976*Scorecard!$E$13+N976*Scorecard!$E$14+O976*Scorecard!$E$15+P976*Scorecard!$E$16+Q976*Scorecard!$E$17</f>
        <v>3.7839915249437</v>
      </c>
      <c r="U976" s="0" t="str">
        <f aca="false">IF(AND(R976&gt;=S976,R976&gt;=T976),"Distribution",IF(T976&gt;=S976,"Prof. services","Manufacturing"))</f>
        <v>Prof. services</v>
      </c>
    </row>
    <row r="977" customFormat="false" ht="15" hidden="false" customHeight="false" outlineLevel="0" collapsed="false">
      <c r="A977" s="46" t="n">
        <v>0.179639</v>
      </c>
      <c r="B977" s="46" t="n">
        <v>0.143862</v>
      </c>
      <c r="C977" s="46" t="n">
        <v>0.146761</v>
      </c>
      <c r="D977" s="46" t="n">
        <v>0.147326</v>
      </c>
      <c r="E977" s="46" t="n">
        <v>0.367131</v>
      </c>
      <c r="F977" s="46" t="n">
        <v>0.015279</v>
      </c>
      <c r="G977" s="47" t="n">
        <f aca="false">A977*Scorecard!$C$12+B977*Scorecard!$C$13+C977*Scorecard!$C$14+D977*Scorecard!$C$15+E977*Scorecard!$C$16+F977*Scorecard!$C$17</f>
        <v>3.93726923817379</v>
      </c>
      <c r="H977" s="47" t="n">
        <f aca="false">A977*Scorecard!$D$12+B977*Scorecard!$D$13+C977*Scorecard!$D$14+D977*Scorecard!$D$15+E977*Scorecard!$D$16+F977*Scorecard!$D$17</f>
        <v>3.17272636625298</v>
      </c>
      <c r="I977" s="47" t="n">
        <f aca="false">A977*Scorecard!$E$12+B977*Scorecard!$E$13+C977*Scorecard!$E$14+D977*Scorecard!$E$15+E977*Scorecard!$E$16+F977*Scorecard!$E$17</f>
        <v>3.47649843302681</v>
      </c>
      <c r="J977" s="0" t="str">
        <f aca="false">IF(AND(G977&gt;=H977,G977&gt;=I977),"Distribution",IF(I977&gt;=H977,"Prof. services","Manufacturing"))</f>
        <v>Distribution</v>
      </c>
      <c r="L977" s="46" t="n">
        <v>0.318494</v>
      </c>
      <c r="M977" s="46" t="n">
        <v>0.110971</v>
      </c>
      <c r="N977" s="46" t="n">
        <v>0.301914</v>
      </c>
      <c r="O977" s="46" t="n">
        <v>0.092441</v>
      </c>
      <c r="P977" s="46" t="n">
        <v>0.143556</v>
      </c>
      <c r="Q977" s="46" t="n">
        <v>0.032624</v>
      </c>
      <c r="R977" s="47" t="n">
        <f aca="false">L977*Scorecard!$C$12+M977*Scorecard!$C$13+N977*Scorecard!$C$14+O977*Scorecard!$C$15+P977*Scorecard!$C$16+Q977*Scorecard!$C$17</f>
        <v>3.56487025796694</v>
      </c>
      <c r="S977" s="47" t="n">
        <f aca="false">L977*Scorecard!$D$12+M977*Scorecard!$D$13+N977*Scorecard!$D$14+O977*Scorecard!$D$15+P977*Scorecard!$D$16+Q977*Scorecard!$D$17</f>
        <v>3.14974272628819</v>
      </c>
      <c r="T977" s="47" t="n">
        <f aca="false">L977*Scorecard!$E$12+M977*Scorecard!$E$13+N977*Scorecard!$E$14+O977*Scorecard!$E$15+P977*Scorecard!$E$16+Q977*Scorecard!$E$17</f>
        <v>4.20449469138228</v>
      </c>
      <c r="U977" s="0" t="str">
        <f aca="false">IF(AND(R977&gt;=S977,R977&gt;=T977),"Distribution",IF(T977&gt;=S977,"Prof. services","Manufacturing"))</f>
        <v>Prof. services</v>
      </c>
    </row>
    <row r="978" customFormat="false" ht="15" hidden="false" customHeight="false" outlineLevel="0" collapsed="false">
      <c r="A978" s="46" t="n">
        <v>0.030933</v>
      </c>
      <c r="B978" s="46" t="n">
        <v>0.029753</v>
      </c>
      <c r="C978" s="46" t="n">
        <v>0.285161</v>
      </c>
      <c r="D978" s="46" t="n">
        <v>0.043269</v>
      </c>
      <c r="E978" s="46" t="n">
        <v>0.292498</v>
      </c>
      <c r="F978" s="46" t="n">
        <v>0.318386</v>
      </c>
      <c r="G978" s="47" t="n">
        <f aca="false">A978*Scorecard!$C$12+B978*Scorecard!$C$13+C978*Scorecard!$C$14+D978*Scorecard!$C$15+E978*Scorecard!$C$16+F978*Scorecard!$C$17</f>
        <v>3.38057015886545</v>
      </c>
      <c r="H978" s="47" t="n">
        <f aca="false">A978*Scorecard!$D$12+B978*Scorecard!$D$13+C978*Scorecard!$D$14+D978*Scorecard!$D$15+E978*Scorecard!$D$16+F978*Scorecard!$D$17</f>
        <v>2.64578376091293</v>
      </c>
      <c r="I978" s="47" t="n">
        <f aca="false">A978*Scorecard!$E$12+B978*Scorecard!$E$13+C978*Scorecard!$E$14+D978*Scorecard!$E$15+E978*Scorecard!$E$16+F978*Scorecard!$E$17</f>
        <v>3.93908686394493</v>
      </c>
      <c r="J978" s="0" t="str">
        <f aca="false">IF(AND(G978&gt;=H978,G978&gt;=I978),"Distribution",IF(I978&gt;=H978,"Prof. services","Manufacturing"))</f>
        <v>Prof. services</v>
      </c>
      <c r="L978" s="46" t="n">
        <v>0.072118</v>
      </c>
      <c r="M978" s="46" t="n">
        <v>0.396081</v>
      </c>
      <c r="N978" s="46" t="n">
        <v>0.180855</v>
      </c>
      <c r="O978" s="46" t="n">
        <v>0.120367</v>
      </c>
      <c r="P978" s="46" t="n">
        <v>0.153593</v>
      </c>
      <c r="Q978" s="46" t="n">
        <v>0.076986</v>
      </c>
      <c r="R978" s="47" t="n">
        <f aca="false">L978*Scorecard!$C$12+M978*Scorecard!$C$13+N978*Scorecard!$C$14+O978*Scorecard!$C$15+P978*Scorecard!$C$16+Q978*Scorecard!$C$17</f>
        <v>4.23266257152744</v>
      </c>
      <c r="S978" s="47" t="n">
        <f aca="false">L978*Scorecard!$D$12+M978*Scorecard!$D$13+N978*Scorecard!$D$14+O978*Scorecard!$D$15+P978*Scorecard!$D$16+Q978*Scorecard!$D$17</f>
        <v>2.52817956474428</v>
      </c>
      <c r="T978" s="47" t="n">
        <f aca="false">L978*Scorecard!$E$12+M978*Scorecard!$E$13+N978*Scorecard!$E$14+O978*Scorecard!$E$15+P978*Scorecard!$E$16+Q978*Scorecard!$E$17</f>
        <v>3.31234653788504</v>
      </c>
      <c r="U978" s="0" t="str">
        <f aca="false">IF(AND(R978&gt;=S978,R978&gt;=T978),"Distribution",IF(T978&gt;=S978,"Prof. services","Manufacturing"))</f>
        <v>Distribution</v>
      </c>
    </row>
    <row r="979" customFormat="false" ht="15" hidden="false" customHeight="false" outlineLevel="0" collapsed="false">
      <c r="A979" s="46" t="n">
        <v>0.024232</v>
      </c>
      <c r="B979" s="46" t="n">
        <v>0.352106</v>
      </c>
      <c r="C979" s="46" t="n">
        <v>0.092611</v>
      </c>
      <c r="D979" s="46" t="n">
        <v>0.244507</v>
      </c>
      <c r="E979" s="46" t="n">
        <v>0.247749</v>
      </c>
      <c r="F979" s="46" t="n">
        <v>0.038795</v>
      </c>
      <c r="G979" s="47" t="n">
        <f aca="false">A979*Scorecard!$C$12+B979*Scorecard!$C$13+C979*Scorecard!$C$14+D979*Scorecard!$C$15+E979*Scorecard!$C$16+F979*Scorecard!$C$17</f>
        <v>4.4754050544282</v>
      </c>
      <c r="H979" s="47" t="n">
        <f aca="false">A979*Scorecard!$D$12+B979*Scorecard!$D$13+C979*Scorecard!$D$14+D979*Scorecard!$D$15+E979*Scorecard!$D$16+F979*Scorecard!$D$17</f>
        <v>2.79493648517777</v>
      </c>
      <c r="I979" s="47" t="n">
        <f aca="false">A979*Scorecard!$E$12+B979*Scorecard!$E$13+C979*Scorecard!$E$14+D979*Scorecard!$E$15+E979*Scorecard!$E$16+F979*Scorecard!$E$17</f>
        <v>3.10304598036748</v>
      </c>
      <c r="J979" s="0" t="str">
        <f aca="false">IF(AND(G979&gt;=H979,G979&gt;=I979),"Distribution",IF(I979&gt;=H979,"Prof. services","Manufacturing"))</f>
        <v>Distribution</v>
      </c>
      <c r="L979" s="46" t="n">
        <v>0.254204</v>
      </c>
      <c r="M979" s="46" t="n">
        <v>0.202172</v>
      </c>
      <c r="N979" s="46" t="n">
        <v>0.237716</v>
      </c>
      <c r="O979" s="46" t="n">
        <v>0.093231</v>
      </c>
      <c r="P979" s="46" t="n">
        <v>0.0643</v>
      </c>
      <c r="Q979" s="46" t="n">
        <v>0.148377</v>
      </c>
      <c r="R979" s="47" t="n">
        <f aca="false">L979*Scorecard!$C$12+M979*Scorecard!$C$13+N979*Scorecard!$C$14+O979*Scorecard!$C$15+P979*Scorecard!$C$16+Q979*Scorecard!$C$17</f>
        <v>3.54107817480464</v>
      </c>
      <c r="S979" s="47" t="n">
        <f aca="false">L979*Scorecard!$D$12+M979*Scorecard!$D$13+N979*Scorecard!$D$14+O979*Scorecard!$D$15+P979*Scorecard!$D$16+Q979*Scorecard!$D$17</f>
        <v>2.7712495135172</v>
      </c>
      <c r="T979" s="47" t="n">
        <f aca="false">L979*Scorecard!$E$12+M979*Scorecard!$E$13+N979*Scorecard!$E$14+O979*Scorecard!$E$15+P979*Scorecard!$E$16+Q979*Scorecard!$E$17</f>
        <v>4.09505071269933</v>
      </c>
      <c r="U979" s="0" t="str">
        <f aca="false">IF(AND(R979&gt;=S979,R979&gt;=T979),"Distribution",IF(T979&gt;=S979,"Prof. services","Manufacturing"))</f>
        <v>Prof. services</v>
      </c>
    </row>
    <row r="980" customFormat="false" ht="15" hidden="false" customHeight="false" outlineLevel="0" collapsed="false">
      <c r="A980" s="46" t="n">
        <v>0.368377</v>
      </c>
      <c r="B980" s="46" t="n">
        <v>0.050642</v>
      </c>
      <c r="C980" s="46" t="n">
        <v>0.531696</v>
      </c>
      <c r="D980" s="46" t="n">
        <v>0.015455</v>
      </c>
      <c r="E980" s="46" t="n">
        <v>0.002433</v>
      </c>
      <c r="F980" s="46" t="n">
        <v>0.031397</v>
      </c>
      <c r="G980" s="47" t="n">
        <f aca="false">A980*Scorecard!$C$12+B980*Scorecard!$C$13+C980*Scorecard!$C$14+D980*Scorecard!$C$15+E980*Scorecard!$C$16+F980*Scorecard!$C$17</f>
        <v>3.34021914658702</v>
      </c>
      <c r="H980" s="47" t="n">
        <f aca="false">A980*Scorecard!$D$12+B980*Scorecard!$D$13+C980*Scorecard!$D$14+D980*Scorecard!$D$15+E980*Scorecard!$D$16+F980*Scorecard!$D$17</f>
        <v>3.13892418089318</v>
      </c>
      <c r="I980" s="47" t="n">
        <f aca="false">A980*Scorecard!$E$12+B980*Scorecard!$E$13+C980*Scorecard!$E$14+D980*Scorecard!$E$15+E980*Scorecard!$E$16+F980*Scorecard!$E$17</f>
        <v>4.81926931986525</v>
      </c>
      <c r="J980" s="0" t="str">
        <f aca="false">IF(AND(G980&gt;=H980,G980&gt;=I980),"Distribution",IF(I980&gt;=H980,"Prof. services","Manufacturing"))</f>
        <v>Prof. services</v>
      </c>
      <c r="L980" s="46" t="n">
        <v>0.261949</v>
      </c>
      <c r="M980" s="46" t="n">
        <v>0.138383</v>
      </c>
      <c r="N980" s="46" t="n">
        <v>0.139358</v>
      </c>
      <c r="O980" s="46" t="n">
        <v>0.17886</v>
      </c>
      <c r="P980" s="46" t="n">
        <v>0.219968</v>
      </c>
      <c r="Q980" s="46" t="n">
        <v>0.061483</v>
      </c>
      <c r="R980" s="47" t="n">
        <f aca="false">L980*Scorecard!$C$12+M980*Scorecard!$C$13+N980*Scorecard!$C$14+O980*Scorecard!$C$15+P980*Scorecard!$C$16+Q980*Scorecard!$C$17</f>
        <v>3.72276906435343</v>
      </c>
      <c r="S980" s="47" t="n">
        <f aca="false">L980*Scorecard!$D$12+M980*Scorecard!$D$13+N980*Scorecard!$D$14+O980*Scorecard!$D$15+P980*Scorecard!$D$16+Q980*Scorecard!$D$17</f>
        <v>3.1534738727517</v>
      </c>
      <c r="T980" s="47" t="n">
        <f aca="false">L980*Scorecard!$E$12+M980*Scorecard!$E$13+N980*Scorecard!$E$14+O980*Scorecard!$E$15+P980*Scorecard!$E$16+Q980*Scorecard!$E$17</f>
        <v>3.83524249661919</v>
      </c>
      <c r="U980" s="0" t="str">
        <f aca="false">IF(AND(R980&gt;=S980,R980&gt;=T980),"Distribution",IF(T980&gt;=S980,"Prof. services","Manufacturing"))</f>
        <v>Prof. services</v>
      </c>
    </row>
    <row r="981" customFormat="false" ht="15" hidden="false" customHeight="false" outlineLevel="0" collapsed="false">
      <c r="A981" s="46" t="n">
        <v>0.12393</v>
      </c>
      <c r="B981" s="46" t="n">
        <v>0.152623</v>
      </c>
      <c r="C981" s="46" t="n">
        <v>0.213119</v>
      </c>
      <c r="D981" s="46" t="n">
        <v>0.18134</v>
      </c>
      <c r="E981" s="46" t="n">
        <v>0.077345</v>
      </c>
      <c r="F981" s="46" t="n">
        <v>0.251643</v>
      </c>
      <c r="G981" s="47" t="n">
        <f aca="false">A981*Scorecard!$C$12+B981*Scorecard!$C$13+C981*Scorecard!$C$14+D981*Scorecard!$C$15+E981*Scorecard!$C$16+F981*Scorecard!$C$17</f>
        <v>3.60760123263811</v>
      </c>
      <c r="H981" s="47" t="n">
        <f aca="false">A981*Scorecard!$D$12+B981*Scorecard!$D$13+C981*Scorecard!$D$14+D981*Scorecard!$D$15+E981*Scorecard!$D$16+F981*Scorecard!$D$17</f>
        <v>2.71101823405502</v>
      </c>
      <c r="I981" s="47" t="n">
        <f aca="false">A981*Scorecard!$E$12+B981*Scorecard!$E$13+C981*Scorecard!$E$14+D981*Scorecard!$E$15+E981*Scorecard!$E$16+F981*Scorecard!$E$17</f>
        <v>4.07746412350188</v>
      </c>
      <c r="J981" s="0" t="str">
        <f aca="false">IF(AND(G981&gt;=H981,G981&gt;=I981),"Distribution",IF(I981&gt;=H981,"Prof. services","Manufacturing"))</f>
        <v>Prof. services</v>
      </c>
      <c r="L981" s="46" t="n">
        <v>0.280127</v>
      </c>
      <c r="M981" s="46" t="n">
        <v>0.209414</v>
      </c>
      <c r="N981" s="46" t="n">
        <v>0.23626</v>
      </c>
      <c r="O981" s="46" t="n">
        <v>0.122695</v>
      </c>
      <c r="P981" s="46" t="n">
        <v>0.117928</v>
      </c>
      <c r="Q981" s="46" t="n">
        <v>0.033577</v>
      </c>
      <c r="R981" s="47" t="n">
        <f aca="false">L981*Scorecard!$C$12+M981*Scorecard!$C$13+N981*Scorecard!$C$14+O981*Scorecard!$C$15+P981*Scorecard!$C$16+Q981*Scorecard!$C$17</f>
        <v>3.76072640511754</v>
      </c>
      <c r="S981" s="47" t="n">
        <f aca="false">L981*Scorecard!$D$12+M981*Scorecard!$D$13+N981*Scorecard!$D$14+O981*Scorecard!$D$15+P981*Scorecard!$D$16+Q981*Scorecard!$D$17</f>
        <v>3.00169040994084</v>
      </c>
      <c r="T981" s="47" t="n">
        <f aca="false">L981*Scorecard!$E$12+M981*Scorecard!$E$13+N981*Scorecard!$E$14+O981*Scorecard!$E$15+P981*Scorecard!$E$16+Q981*Scorecard!$E$17</f>
        <v>3.9639940523159</v>
      </c>
      <c r="U981" s="0" t="str">
        <f aca="false">IF(AND(R981&gt;=S981,R981&gt;=T981),"Distribution",IF(T981&gt;=S981,"Prof. services","Manufacturing"))</f>
        <v>Prof. services</v>
      </c>
    </row>
    <row r="982" customFormat="false" ht="15" hidden="false" customHeight="false" outlineLevel="0" collapsed="false">
      <c r="A982" s="46" t="n">
        <v>0.038616</v>
      </c>
      <c r="B982" s="46" t="n">
        <v>0.018728</v>
      </c>
      <c r="C982" s="46" t="n">
        <v>0.0756</v>
      </c>
      <c r="D982" s="46" t="n">
        <v>0.077381</v>
      </c>
      <c r="E982" s="46" t="n">
        <v>0.273287</v>
      </c>
      <c r="F982" s="46" t="n">
        <v>0.516387</v>
      </c>
      <c r="G982" s="47" t="n">
        <f aca="false">A982*Scorecard!$C$12+B982*Scorecard!$C$13+C982*Scorecard!$C$14+D982*Scorecard!$C$15+E982*Scorecard!$C$16+F982*Scorecard!$C$17</f>
        <v>2.99382164929842</v>
      </c>
      <c r="H982" s="47" t="n">
        <f aca="false">A982*Scorecard!$D$12+B982*Scorecard!$D$13+C982*Scorecard!$D$14+D982*Scorecard!$D$15+E982*Scorecard!$D$16+F982*Scorecard!$D$17</f>
        <v>2.40348859568466</v>
      </c>
      <c r="I982" s="47" t="n">
        <f aca="false">A982*Scorecard!$E$12+B982*Scorecard!$E$13+C982*Scorecard!$E$14+D982*Scorecard!$E$15+E982*Scorecard!$E$16+F982*Scorecard!$E$17</f>
        <v>3.8945001789327</v>
      </c>
      <c r="J982" s="0" t="str">
        <f aca="false">IF(AND(G982&gt;=H982,G982&gt;=I982),"Distribution",IF(I982&gt;=H982,"Prof. services","Manufacturing"))</f>
        <v>Prof. services</v>
      </c>
      <c r="L982" s="46" t="n">
        <v>0.174453</v>
      </c>
      <c r="M982" s="46" t="n">
        <v>0.228397</v>
      </c>
      <c r="N982" s="46" t="n">
        <v>0.27742</v>
      </c>
      <c r="O982" s="46" t="n">
        <v>0.193048</v>
      </c>
      <c r="P982" s="46" t="n">
        <v>0.064524</v>
      </c>
      <c r="Q982" s="46" t="n">
        <v>0.062158</v>
      </c>
      <c r="R982" s="47" t="n">
        <f aca="false">L982*Scorecard!$C$12+M982*Scorecard!$C$13+N982*Scorecard!$C$14+O982*Scorecard!$C$15+P982*Scorecard!$C$16+Q982*Scorecard!$C$17</f>
        <v>3.98311111213117</v>
      </c>
      <c r="S982" s="47" t="n">
        <f aca="false">L982*Scorecard!$D$12+M982*Scorecard!$D$13+N982*Scorecard!$D$14+O982*Scorecard!$D$15+P982*Scorecard!$D$16+Q982*Scorecard!$D$17</f>
        <v>2.92416172447734</v>
      </c>
      <c r="T982" s="47" t="n">
        <f aca="false">L982*Scorecard!$E$12+M982*Scorecard!$E$13+N982*Scorecard!$E$14+O982*Scorecard!$E$15+P982*Scorecard!$E$16+Q982*Scorecard!$E$17</f>
        <v>3.97871458954965</v>
      </c>
      <c r="U982" s="0" t="str">
        <f aca="false">IF(AND(R982&gt;=S982,R982&gt;=T982),"Distribution",IF(T982&gt;=S982,"Prof. services","Manufacturing"))</f>
        <v>Distribution</v>
      </c>
    </row>
    <row r="983" customFormat="false" ht="15" hidden="false" customHeight="false" outlineLevel="0" collapsed="false">
      <c r="A983" s="46" t="n">
        <v>0.73042</v>
      </c>
      <c r="B983" s="46" t="n">
        <v>0.049763</v>
      </c>
      <c r="C983" s="46" t="n">
        <v>0.173942</v>
      </c>
      <c r="D983" s="46" t="n">
        <v>0.029937</v>
      </c>
      <c r="E983" s="46" t="n">
        <v>0.010235</v>
      </c>
      <c r="F983" s="46" t="n">
        <v>0.005703</v>
      </c>
      <c r="G983" s="47" t="n">
        <f aca="false">A983*Scorecard!$C$12+B983*Scorecard!$C$13+C983*Scorecard!$C$14+D983*Scorecard!$C$15+E983*Scorecard!$C$16+F983*Scorecard!$C$17</f>
        <v>2.75352758350302</v>
      </c>
      <c r="H983" s="47" t="n">
        <f aca="false">A983*Scorecard!$D$12+B983*Scorecard!$D$13+C983*Scorecard!$D$14+D983*Scorecard!$D$15+E983*Scorecard!$D$16+F983*Scorecard!$D$17</f>
        <v>3.43729735010666</v>
      </c>
      <c r="I983" s="47" t="n">
        <f aca="false">A983*Scorecard!$E$12+B983*Scorecard!$E$13+C983*Scorecard!$E$14+D983*Scorecard!$E$15+E983*Scorecard!$E$16+F983*Scorecard!$E$17</f>
        <v>4.80173327270051</v>
      </c>
      <c r="J983" s="0" t="str">
        <f aca="false">IF(AND(G983&gt;=H983,G983&gt;=I983),"Distribution",IF(I983&gt;=H983,"Prof. services","Manufacturing"))</f>
        <v>Prof. services</v>
      </c>
      <c r="L983" s="46" t="n">
        <v>0.171536</v>
      </c>
      <c r="M983" s="46" t="n">
        <v>0.181811</v>
      </c>
      <c r="N983" s="46" t="n">
        <v>0.131764</v>
      </c>
      <c r="O983" s="46" t="n">
        <v>0.1523</v>
      </c>
      <c r="P983" s="46" t="n">
        <v>0.151262</v>
      </c>
      <c r="Q983" s="46" t="n">
        <v>0.211327</v>
      </c>
      <c r="R983" s="47" t="n">
        <f aca="false">L983*Scorecard!$C$12+M983*Scorecard!$C$13+N983*Scorecard!$C$14+O983*Scorecard!$C$15+P983*Scorecard!$C$16+Q983*Scorecard!$C$17</f>
        <v>3.60268975373042</v>
      </c>
      <c r="S983" s="47" t="n">
        <f aca="false">L983*Scorecard!$D$12+M983*Scorecard!$D$13+N983*Scorecard!$D$14+O983*Scorecard!$D$15+P983*Scorecard!$D$16+Q983*Scorecard!$D$17</f>
        <v>2.7501481860918</v>
      </c>
      <c r="T983" s="47" t="n">
        <f aca="false">L983*Scorecard!$E$12+M983*Scorecard!$E$13+N983*Scorecard!$E$14+O983*Scorecard!$E$15+P983*Scorecard!$E$16+Q983*Scorecard!$E$17</f>
        <v>3.84085171259834</v>
      </c>
      <c r="U983" s="0" t="str">
        <f aca="false">IF(AND(R983&gt;=S983,R983&gt;=T983),"Distribution",IF(T983&gt;=S983,"Prof. services","Manufacturing"))</f>
        <v>Prof. services</v>
      </c>
    </row>
    <row r="984" customFormat="false" ht="15" hidden="false" customHeight="false" outlineLevel="0" collapsed="false">
      <c r="A984" s="46" t="n">
        <v>0.148083</v>
      </c>
      <c r="B984" s="46" t="n">
        <v>0.450693</v>
      </c>
      <c r="C984" s="46" t="n">
        <v>0.30958</v>
      </c>
      <c r="D984" s="46" t="n">
        <v>0.065437</v>
      </c>
      <c r="E984" s="46" t="n">
        <v>0.005217</v>
      </c>
      <c r="F984" s="46" t="n">
        <v>0.02099</v>
      </c>
      <c r="G984" s="47" t="n">
        <f aca="false">A984*Scorecard!$C$12+B984*Scorecard!$C$13+C984*Scorecard!$C$14+D984*Scorecard!$C$15+E984*Scorecard!$C$16+F984*Scorecard!$C$17</f>
        <v>4.20759848819293</v>
      </c>
      <c r="H984" s="47" t="n">
        <f aca="false">A984*Scorecard!$D$12+B984*Scorecard!$D$13+C984*Scorecard!$D$14+D984*Scorecard!$D$15+E984*Scorecard!$D$16+F984*Scorecard!$D$17</f>
        <v>2.46733155571352</v>
      </c>
      <c r="I984" s="47" t="n">
        <f aca="false">A984*Scorecard!$E$12+B984*Scorecard!$E$13+C984*Scorecard!$E$14+D984*Scorecard!$E$15+E984*Scorecard!$E$16+F984*Scorecard!$E$17</f>
        <v>3.62488770821226</v>
      </c>
      <c r="J984" s="0" t="str">
        <f aca="false">IF(AND(G984&gt;=H984,G984&gt;=I984),"Distribution",IF(I984&gt;=H984,"Prof. services","Manufacturing"))</f>
        <v>Distribution</v>
      </c>
      <c r="L984" s="46" t="n">
        <v>0.225698</v>
      </c>
      <c r="M984" s="46" t="n">
        <v>0.187271</v>
      </c>
      <c r="N984" s="46" t="n">
        <v>0.152773</v>
      </c>
      <c r="O984" s="46" t="n">
        <v>0.082053</v>
      </c>
      <c r="P984" s="46" t="n">
        <v>0.21412</v>
      </c>
      <c r="Q984" s="46" t="n">
        <v>0.138085</v>
      </c>
      <c r="R984" s="47" t="n">
        <f aca="false">L984*Scorecard!$C$12+M984*Scorecard!$C$13+N984*Scorecard!$C$14+O984*Scorecard!$C$15+P984*Scorecard!$C$16+Q984*Scorecard!$C$17</f>
        <v>3.58689438132782</v>
      </c>
      <c r="S984" s="47" t="n">
        <f aca="false">L984*Scorecard!$D$12+M984*Scorecard!$D$13+N984*Scorecard!$D$14+O984*Scorecard!$D$15+P984*Scorecard!$D$16+Q984*Scorecard!$D$17</f>
        <v>2.82722421984988</v>
      </c>
      <c r="T984" s="47" t="n">
        <f aca="false">L984*Scorecard!$E$12+M984*Scorecard!$E$13+N984*Scorecard!$E$14+O984*Scorecard!$E$15+P984*Scorecard!$E$16+Q984*Scorecard!$E$17</f>
        <v>3.75286941817624</v>
      </c>
      <c r="U984" s="0" t="str">
        <f aca="false">IF(AND(R984&gt;=S984,R984&gt;=T984),"Distribution",IF(T984&gt;=S984,"Prof. services","Manufacturing"))</f>
        <v>Prof. services</v>
      </c>
    </row>
    <row r="985" customFormat="false" ht="15" hidden="false" customHeight="false" outlineLevel="0" collapsed="false">
      <c r="A985" s="46" t="n">
        <v>0.293345</v>
      </c>
      <c r="B985" s="46" t="n">
        <v>0.045729</v>
      </c>
      <c r="C985" s="46" t="n">
        <v>0.161846</v>
      </c>
      <c r="D985" s="46" t="n">
        <v>0.066714</v>
      </c>
      <c r="E985" s="46" t="n">
        <v>0.131514</v>
      </c>
      <c r="F985" s="46" t="n">
        <v>0.300852</v>
      </c>
      <c r="G985" s="47" t="n">
        <f aca="false">A985*Scorecard!$C$12+B985*Scorecard!$C$13+C985*Scorecard!$C$14+D985*Scorecard!$C$15+E985*Scorecard!$C$16+F985*Scorecard!$C$17</f>
        <v>2.98271381661605</v>
      </c>
      <c r="H985" s="47" t="n">
        <f aca="false">A985*Scorecard!$D$12+B985*Scorecard!$D$13+C985*Scorecard!$D$14+D985*Scorecard!$D$15+E985*Scorecard!$D$16+F985*Scorecard!$D$17</f>
        <v>2.79492031615758</v>
      </c>
      <c r="I985" s="47" t="n">
        <f aca="false">A985*Scorecard!$E$12+B985*Scorecard!$E$13+C985*Scorecard!$E$14+D985*Scorecard!$E$15+E985*Scorecard!$E$16+F985*Scorecard!$E$17</f>
        <v>4.3116067090364</v>
      </c>
      <c r="J985" s="0" t="str">
        <f aca="false">IF(AND(G985&gt;=H985,G985&gt;=I985),"Distribution",IF(I985&gt;=H985,"Prof. services","Manufacturing"))</f>
        <v>Prof. services</v>
      </c>
      <c r="L985" s="46" t="n">
        <v>0.131931</v>
      </c>
      <c r="M985" s="46" t="n">
        <v>0.28373</v>
      </c>
      <c r="N985" s="46" t="n">
        <v>0.240946</v>
      </c>
      <c r="O985" s="46" t="n">
        <v>0.145815</v>
      </c>
      <c r="P985" s="46" t="n">
        <v>0.05853</v>
      </c>
      <c r="Q985" s="46" t="n">
        <v>0.139048</v>
      </c>
      <c r="R985" s="47" t="n">
        <f aca="false">L985*Scorecard!$C$12+M985*Scorecard!$C$13+N985*Scorecard!$C$14+O985*Scorecard!$C$15+P985*Scorecard!$C$16+Q985*Scorecard!$C$17</f>
        <v>3.9139713185361</v>
      </c>
      <c r="S985" s="47" t="n">
        <f aca="false">L985*Scorecard!$D$12+M985*Scorecard!$D$13+N985*Scorecard!$D$14+O985*Scorecard!$D$15+P985*Scorecard!$D$16+Q985*Scorecard!$D$17</f>
        <v>2.64100704772569</v>
      </c>
      <c r="T985" s="47" t="n">
        <f aca="false">L985*Scorecard!$E$12+M985*Scorecard!$E$13+N985*Scorecard!$E$14+O985*Scorecard!$E$15+P985*Scorecard!$E$16+Q985*Scorecard!$E$17</f>
        <v>3.83662028456573</v>
      </c>
      <c r="U985" s="0" t="str">
        <f aca="false">IF(AND(R985&gt;=S985,R985&gt;=T985),"Distribution",IF(T985&gt;=S985,"Prof. services","Manufacturing"))</f>
        <v>Distribution</v>
      </c>
    </row>
    <row r="986" customFormat="false" ht="15" hidden="false" customHeight="false" outlineLevel="0" collapsed="false">
      <c r="A986" s="46" t="n">
        <v>0.081802</v>
      </c>
      <c r="B986" s="46" t="n">
        <v>0.68844</v>
      </c>
      <c r="C986" s="46" t="n">
        <v>0.064914</v>
      </c>
      <c r="D986" s="46" t="n">
        <v>0.062568</v>
      </c>
      <c r="E986" s="46" t="n">
        <v>0.093916</v>
      </c>
      <c r="F986" s="46" t="n">
        <v>0.00836</v>
      </c>
      <c r="G986" s="47" t="n">
        <f aca="false">A986*Scorecard!$C$12+B986*Scorecard!$C$13+C986*Scorecard!$C$14+D986*Scorecard!$C$15+E986*Scorecard!$C$16+F986*Scorecard!$C$17</f>
        <v>4.58704323342421</v>
      </c>
      <c r="H986" s="47" t="n">
        <f aca="false">A986*Scorecard!$D$12+B986*Scorecard!$D$13+C986*Scorecard!$D$14+D986*Scorecard!$D$15+E986*Scorecard!$D$16+F986*Scorecard!$D$17</f>
        <v>2.1118810410124</v>
      </c>
      <c r="I986" s="47" t="n">
        <f aca="false">A986*Scorecard!$E$12+B986*Scorecard!$E$13+C986*Scorecard!$E$14+D986*Scorecard!$E$15+E986*Scorecard!$E$16+F986*Scorecard!$E$17</f>
        <v>2.7134078986556</v>
      </c>
      <c r="J986" s="0" t="str">
        <f aca="false">IF(AND(G986&gt;=H986,G986&gt;=I986),"Distribution",IF(I986&gt;=H986,"Prof. services","Manufacturing"))</f>
        <v>Distribution</v>
      </c>
      <c r="L986" s="46" t="n">
        <v>0.370028</v>
      </c>
      <c r="M986" s="46" t="n">
        <v>0.142333</v>
      </c>
      <c r="N986" s="46" t="n">
        <v>0.21067</v>
      </c>
      <c r="O986" s="46" t="n">
        <v>0.185626</v>
      </c>
      <c r="P986" s="46" t="n">
        <v>0.039163</v>
      </c>
      <c r="Q986" s="46" t="n">
        <v>0.05218</v>
      </c>
      <c r="R986" s="47" t="n">
        <f aca="false">L986*Scorecard!$C$12+M986*Scorecard!$C$13+N986*Scorecard!$C$14+O986*Scorecard!$C$15+P986*Scorecard!$C$16+Q986*Scorecard!$C$17</f>
        <v>3.55754332304216</v>
      </c>
      <c r="S986" s="47" t="n">
        <f aca="false">L986*Scorecard!$D$12+M986*Scorecard!$D$13+N986*Scorecard!$D$14+O986*Scorecard!$D$15+P986*Scorecard!$D$16+Q986*Scorecard!$D$17</f>
        <v>3.18045216325043</v>
      </c>
      <c r="T986" s="47" t="n">
        <f aca="false">L986*Scorecard!$E$12+M986*Scorecard!$E$13+N986*Scorecard!$E$14+O986*Scorecard!$E$15+P986*Scorecard!$E$16+Q986*Scorecard!$E$17</f>
        <v>4.30502146249755</v>
      </c>
      <c r="U986" s="0" t="str">
        <f aca="false">IF(AND(R986&gt;=S986,R986&gt;=T986),"Distribution",IF(T986&gt;=S986,"Prof. services","Manufacturing"))</f>
        <v>Prof. services</v>
      </c>
    </row>
    <row r="987" customFormat="false" ht="15" hidden="false" customHeight="false" outlineLevel="0" collapsed="false">
      <c r="A987" s="46" t="n">
        <v>0.275224</v>
      </c>
      <c r="B987" s="46" t="n">
        <v>0.080361</v>
      </c>
      <c r="C987" s="46" t="n">
        <v>0.200814</v>
      </c>
      <c r="D987" s="46" t="n">
        <v>0.129452</v>
      </c>
      <c r="E987" s="46" t="n">
        <v>0.148274</v>
      </c>
      <c r="F987" s="46" t="n">
        <v>0.165875</v>
      </c>
      <c r="G987" s="47" t="n">
        <f aca="false">A987*Scorecard!$C$12+B987*Scorecard!$C$13+C987*Scorecard!$C$14+D987*Scorecard!$C$15+E987*Scorecard!$C$16+F987*Scorecard!$C$17</f>
        <v>3.38265587503907</v>
      </c>
      <c r="H987" s="47" t="n">
        <f aca="false">A987*Scorecard!$D$12+B987*Scorecard!$D$13+C987*Scorecard!$D$14+D987*Scorecard!$D$15+E987*Scorecard!$D$16+F987*Scorecard!$D$17</f>
        <v>3.01164806432615</v>
      </c>
      <c r="I987" s="47" t="n">
        <f aca="false">A987*Scorecard!$E$12+B987*Scorecard!$E$13+C987*Scorecard!$E$14+D987*Scorecard!$E$15+E987*Scorecard!$E$16+F987*Scorecard!$E$17</f>
        <v>4.18237247728017</v>
      </c>
      <c r="J987" s="0" t="str">
        <f aca="false">IF(AND(G987&gt;=H987,G987&gt;=I987),"Distribution",IF(I987&gt;=H987,"Prof. services","Manufacturing"))</f>
        <v>Prof. services</v>
      </c>
      <c r="L987" s="46" t="n">
        <v>0.115295</v>
      </c>
      <c r="M987" s="46" t="n">
        <v>0.41631</v>
      </c>
      <c r="N987" s="46" t="n">
        <v>0.072946</v>
      </c>
      <c r="O987" s="46" t="n">
        <v>0.143387</v>
      </c>
      <c r="P987" s="46" t="n">
        <v>0.186956</v>
      </c>
      <c r="Q987" s="46" t="n">
        <v>0.065107</v>
      </c>
      <c r="R987" s="47" t="n">
        <f aca="false">L987*Scorecard!$C$12+M987*Scorecard!$C$13+N987*Scorecard!$C$14+O987*Scorecard!$C$15+P987*Scorecard!$C$16+Q987*Scorecard!$C$17</f>
        <v>4.22195435578158</v>
      </c>
      <c r="S987" s="47" t="n">
        <f aca="false">L987*Scorecard!$D$12+M987*Scorecard!$D$13+N987*Scorecard!$D$14+O987*Scorecard!$D$15+P987*Scorecard!$D$16+Q987*Scorecard!$D$17</f>
        <v>2.58192772180452</v>
      </c>
      <c r="T987" s="47" t="n">
        <f aca="false">L987*Scorecard!$E$12+M987*Scorecard!$E$13+N987*Scorecard!$E$14+O987*Scorecard!$E$15+P987*Scorecard!$E$16+Q987*Scorecard!$E$17</f>
        <v>3.15191059564905</v>
      </c>
      <c r="U987" s="0" t="str">
        <f aca="false">IF(AND(R987&gt;=S987,R987&gt;=T987),"Distribution",IF(T987&gt;=S987,"Prof. services","Manufacturing"))</f>
        <v>Distribution</v>
      </c>
    </row>
    <row r="988" customFormat="false" ht="15" hidden="false" customHeight="false" outlineLevel="0" collapsed="false">
      <c r="A988" s="46" t="n">
        <v>0.047935</v>
      </c>
      <c r="B988" s="46" t="n">
        <v>0.265461</v>
      </c>
      <c r="C988" s="46" t="n">
        <v>0.000123</v>
      </c>
      <c r="D988" s="46" t="n">
        <v>0.012447</v>
      </c>
      <c r="E988" s="46" t="n">
        <v>0.220764</v>
      </c>
      <c r="F988" s="46" t="n">
        <v>0.45327</v>
      </c>
      <c r="G988" s="47" t="n">
        <f aca="false">A988*Scorecard!$C$12+B988*Scorecard!$C$13+C988*Scorecard!$C$14+D988*Scorecard!$C$15+E988*Scorecard!$C$16+F988*Scorecard!$C$17</f>
        <v>3.28508431640045</v>
      </c>
      <c r="H988" s="47" t="n">
        <f aca="false">A988*Scorecard!$D$12+B988*Scorecard!$D$13+C988*Scorecard!$D$14+D988*Scorecard!$D$15+E988*Scorecard!$D$16+F988*Scorecard!$D$17</f>
        <v>2.04129808582761</v>
      </c>
      <c r="I988" s="47" t="n">
        <f aca="false">A988*Scorecard!$E$12+B988*Scorecard!$E$13+C988*Scorecard!$E$14+D988*Scorecard!$E$15+E988*Scorecard!$E$16+F988*Scorecard!$E$17</f>
        <v>3.41090033673735</v>
      </c>
      <c r="J988" s="0" t="str">
        <f aca="false">IF(AND(G988&gt;=H988,G988&gt;=I988),"Distribution",IF(I988&gt;=H988,"Prof. services","Manufacturing"))</f>
        <v>Prof. services</v>
      </c>
      <c r="L988" s="46" t="n">
        <v>0.087166</v>
      </c>
      <c r="M988" s="46" t="n">
        <v>0.220155</v>
      </c>
      <c r="N988" s="46" t="n">
        <v>0.173932</v>
      </c>
      <c r="O988" s="46" t="n">
        <v>0.215179</v>
      </c>
      <c r="P988" s="46" t="n">
        <v>0.251735</v>
      </c>
      <c r="Q988" s="46" t="n">
        <v>0.051832</v>
      </c>
      <c r="R988" s="47" t="n">
        <f aca="false">L988*Scorecard!$C$12+M988*Scorecard!$C$13+N988*Scorecard!$C$14+O988*Scorecard!$C$15+P988*Scorecard!$C$16+Q988*Scorecard!$C$17</f>
        <v>4.17476595692838</v>
      </c>
      <c r="S988" s="47" t="n">
        <f aca="false">L988*Scorecard!$D$12+M988*Scorecard!$D$13+N988*Scorecard!$D$14+O988*Scorecard!$D$15+P988*Scorecard!$D$16+Q988*Scorecard!$D$17</f>
        <v>2.98238506108958</v>
      </c>
      <c r="T988" s="47" t="n">
        <f aca="false">L988*Scorecard!$E$12+M988*Scorecard!$E$13+N988*Scorecard!$E$14+O988*Scorecard!$E$15+P988*Scorecard!$E$16+Q988*Scorecard!$E$17</f>
        <v>3.48984477277779</v>
      </c>
      <c r="U988" s="0" t="str">
        <f aca="false">IF(AND(R988&gt;=S988,R988&gt;=T988),"Distribution",IF(T988&gt;=S988,"Prof. services","Manufacturing"))</f>
        <v>Distribution</v>
      </c>
    </row>
    <row r="989" customFormat="false" ht="15" hidden="false" customHeight="false" outlineLevel="0" collapsed="false">
      <c r="A989" s="46" t="n">
        <v>0.147626</v>
      </c>
      <c r="B989" s="46" t="n">
        <v>0.079016</v>
      </c>
      <c r="C989" s="46" t="n">
        <v>0.339214</v>
      </c>
      <c r="D989" s="46" t="n">
        <v>0.074782</v>
      </c>
      <c r="E989" s="46" t="n">
        <v>0.01316</v>
      </c>
      <c r="F989" s="46" t="n">
        <v>0.346203</v>
      </c>
      <c r="G989" s="47" t="n">
        <f aca="false">A989*Scorecard!$C$12+B989*Scorecard!$C$13+C989*Scorecard!$C$14+D989*Scorecard!$C$15+E989*Scorecard!$C$16+F989*Scorecard!$C$17</f>
        <v>3.19566709471019</v>
      </c>
      <c r="H989" s="47" t="n">
        <f aca="false">A989*Scorecard!$D$12+B989*Scorecard!$D$13+C989*Scorecard!$D$14+D989*Scorecard!$D$15+E989*Scorecard!$D$16+F989*Scorecard!$D$17</f>
        <v>2.55056693013408</v>
      </c>
      <c r="I989" s="47" t="n">
        <f aca="false">A989*Scorecard!$E$12+B989*Scorecard!$E$13+C989*Scorecard!$E$14+D989*Scorecard!$E$15+E989*Scorecard!$E$16+F989*Scorecard!$E$17</f>
        <v>4.50208323484434</v>
      </c>
      <c r="J989" s="0" t="str">
        <f aca="false">IF(AND(G989&gt;=H989,G989&gt;=I989),"Distribution",IF(I989&gt;=H989,"Prof. services","Manufacturing"))</f>
        <v>Prof. services</v>
      </c>
      <c r="L989" s="46" t="n">
        <v>0.15404</v>
      </c>
      <c r="M989" s="46" t="n">
        <v>0.157289</v>
      </c>
      <c r="N989" s="46" t="n">
        <v>0.274613</v>
      </c>
      <c r="O989" s="46" t="n">
        <v>0.156462</v>
      </c>
      <c r="P989" s="46" t="n">
        <v>0.082989</v>
      </c>
      <c r="Q989" s="46" t="n">
        <v>0.174607</v>
      </c>
      <c r="R989" s="47" t="n">
        <f aca="false">L989*Scorecard!$C$12+M989*Scorecard!$C$13+N989*Scorecard!$C$14+O989*Scorecard!$C$15+P989*Scorecard!$C$16+Q989*Scorecard!$C$17</f>
        <v>3.68726280324033</v>
      </c>
      <c r="S989" s="47" t="n">
        <f aca="false">L989*Scorecard!$D$12+M989*Scorecard!$D$13+N989*Scorecard!$D$14+O989*Scorecard!$D$15+P989*Scorecard!$D$16+Q989*Scorecard!$D$17</f>
        <v>2.81253922685972</v>
      </c>
      <c r="T989" s="47" t="n">
        <f aca="false">L989*Scorecard!$E$12+M989*Scorecard!$E$13+N989*Scorecard!$E$14+O989*Scorecard!$E$15+P989*Scorecard!$E$16+Q989*Scorecard!$E$17</f>
        <v>4.10830923043996</v>
      </c>
      <c r="U989" s="0" t="str">
        <f aca="false">IF(AND(R989&gt;=S989,R989&gt;=T989),"Distribution",IF(T989&gt;=S989,"Prof. services","Manufacturing"))</f>
        <v>Prof. services</v>
      </c>
    </row>
    <row r="990" customFormat="false" ht="15" hidden="false" customHeight="false" outlineLevel="0" collapsed="false">
      <c r="A990" s="46" t="n">
        <v>0.017268</v>
      </c>
      <c r="B990" s="46" t="n">
        <v>0.15094</v>
      </c>
      <c r="C990" s="46" t="n">
        <v>0.073491</v>
      </c>
      <c r="D990" s="46" t="n">
        <v>0.426795</v>
      </c>
      <c r="E990" s="46" t="n">
        <v>0.133215</v>
      </c>
      <c r="F990" s="46" t="n">
        <v>0.198291</v>
      </c>
      <c r="G990" s="47" t="n">
        <f aca="false">A990*Scorecard!$C$12+B990*Scorecard!$C$13+C990*Scorecard!$C$14+D990*Scorecard!$C$15+E990*Scorecard!$C$16+F990*Scorecard!$C$17</f>
        <v>4.15007035374159</v>
      </c>
      <c r="H990" s="47" t="n">
        <f aca="false">A990*Scorecard!$D$12+B990*Scorecard!$D$13+C990*Scorecard!$D$14+D990*Scorecard!$D$15+E990*Scorecard!$D$16+F990*Scorecard!$D$17</f>
        <v>3.02588908614493</v>
      </c>
      <c r="I990" s="47" t="n">
        <f aca="false">A990*Scorecard!$E$12+B990*Scorecard!$E$13+C990*Scorecard!$E$14+D990*Scorecard!$E$15+E990*Scorecard!$E$16+F990*Scorecard!$E$17</f>
        <v>3.75481975345904</v>
      </c>
      <c r="J990" s="0" t="str">
        <f aca="false">IF(AND(G990&gt;=H990,G990&gt;=I990),"Distribution",IF(I990&gt;=H990,"Prof. services","Manufacturing"))</f>
        <v>Distribution</v>
      </c>
      <c r="L990" s="46" t="n">
        <v>0.157691</v>
      </c>
      <c r="M990" s="46" t="n">
        <v>0.175325</v>
      </c>
      <c r="N990" s="46" t="n">
        <v>0.143916</v>
      </c>
      <c r="O990" s="46" t="n">
        <v>0.172159</v>
      </c>
      <c r="P990" s="46" t="n">
        <v>0.134782</v>
      </c>
      <c r="Q990" s="46" t="n">
        <v>0.216126</v>
      </c>
      <c r="R990" s="47" t="n">
        <f aca="false">L990*Scorecard!$C$12+M990*Scorecard!$C$13+N990*Scorecard!$C$14+O990*Scorecard!$C$15+P990*Scorecard!$C$16+Q990*Scorecard!$C$17</f>
        <v>3.63138195117354</v>
      </c>
      <c r="S990" s="47" t="n">
        <f aca="false">L990*Scorecard!$D$12+M990*Scorecard!$D$13+N990*Scorecard!$D$14+O990*Scorecard!$D$15+P990*Scorecard!$D$16+Q990*Scorecard!$D$17</f>
        <v>2.76103314626159</v>
      </c>
      <c r="T990" s="47" t="n">
        <f aca="false">L990*Scorecard!$E$12+M990*Scorecard!$E$13+N990*Scorecard!$E$14+O990*Scorecard!$E$15+P990*Scorecard!$E$16+Q990*Scorecard!$E$17</f>
        <v>3.88444500560771</v>
      </c>
      <c r="U990" s="0" t="str">
        <f aca="false">IF(AND(R990&gt;=S990,R990&gt;=T990),"Distribution",IF(T990&gt;=S990,"Prof. services","Manufacturing"))</f>
        <v>Prof. services</v>
      </c>
    </row>
    <row r="991" customFormat="false" ht="15" hidden="false" customHeight="false" outlineLevel="0" collapsed="false">
      <c r="A991" s="46" t="n">
        <v>0.129496</v>
      </c>
      <c r="B991" s="46" t="n">
        <v>0.214732</v>
      </c>
      <c r="C991" s="46" t="n">
        <v>0.341481</v>
      </c>
      <c r="D991" s="46" t="n">
        <v>0.139347</v>
      </c>
      <c r="E991" s="46" t="n">
        <v>0.138718</v>
      </c>
      <c r="F991" s="46" t="n">
        <v>0.036225</v>
      </c>
      <c r="G991" s="47" t="n">
        <f aca="false">A991*Scorecard!$C$12+B991*Scorecard!$C$13+C991*Scorecard!$C$14+D991*Scorecard!$C$15+E991*Scorecard!$C$16+F991*Scorecard!$C$17</f>
        <v>4.04853035326156</v>
      </c>
      <c r="H991" s="47" t="n">
        <f aca="false">A991*Scorecard!$D$12+B991*Scorecard!$D$13+C991*Scorecard!$D$14+D991*Scorecard!$D$15+E991*Scorecard!$D$16+F991*Scorecard!$D$17</f>
        <v>2.91643795722427</v>
      </c>
      <c r="I991" s="47" t="n">
        <f aca="false">A991*Scorecard!$E$12+B991*Scorecard!$E$13+C991*Scorecard!$E$14+D991*Scorecard!$E$15+E991*Scorecard!$E$16+F991*Scorecard!$E$17</f>
        <v>3.87800844176181</v>
      </c>
      <c r="J991" s="0" t="str">
        <f aca="false">IF(AND(G991&gt;=H991,G991&gt;=I991),"Distribution",IF(I991&gt;=H991,"Prof. services","Manufacturing"))</f>
        <v>Distribution</v>
      </c>
      <c r="L991" s="46" t="n">
        <v>0.201178</v>
      </c>
      <c r="M991" s="46" t="n">
        <v>0.13188</v>
      </c>
      <c r="N991" s="46" t="n">
        <v>0.192328</v>
      </c>
      <c r="O991" s="46" t="n">
        <v>0.279766</v>
      </c>
      <c r="P991" s="46" t="n">
        <v>0.074113</v>
      </c>
      <c r="Q991" s="46" t="n">
        <v>0.120735</v>
      </c>
      <c r="R991" s="47" t="n">
        <f aca="false">L991*Scorecard!$C$12+M991*Scorecard!$C$13+N991*Scorecard!$C$14+O991*Scorecard!$C$15+P991*Scorecard!$C$16+Q991*Scorecard!$C$17</f>
        <v>3.80805273100678</v>
      </c>
      <c r="S991" s="47" t="n">
        <f aca="false">L991*Scorecard!$D$12+M991*Scorecard!$D$13+N991*Scorecard!$D$14+O991*Scorecard!$D$15+P991*Scorecard!$D$16+Q991*Scorecard!$D$17</f>
        <v>3.10240626964456</v>
      </c>
      <c r="T991" s="47" t="n">
        <f aca="false">L991*Scorecard!$E$12+M991*Scorecard!$E$13+N991*Scorecard!$E$14+O991*Scorecard!$E$15+P991*Scorecard!$E$16+Q991*Scorecard!$E$17</f>
        <v>4.12891181850493</v>
      </c>
      <c r="U991" s="0" t="str">
        <f aca="false">IF(AND(R991&gt;=S991,R991&gt;=T991),"Distribution",IF(T991&gt;=S991,"Prof. services","Manufacturing"))</f>
        <v>Prof. services</v>
      </c>
    </row>
    <row r="992" customFormat="false" ht="15" hidden="false" customHeight="false" outlineLevel="0" collapsed="false">
      <c r="A992" s="46" t="n">
        <v>0.004315</v>
      </c>
      <c r="B992" s="46" t="n">
        <v>0.053595</v>
      </c>
      <c r="C992" s="46" t="n">
        <v>0.121979</v>
      </c>
      <c r="D992" s="46" t="n">
        <v>0.242549</v>
      </c>
      <c r="E992" s="46" t="n">
        <v>0.112252</v>
      </c>
      <c r="F992" s="46" t="n">
        <v>0.465309</v>
      </c>
      <c r="G992" s="47" t="n">
        <f aca="false">A992*Scorecard!$C$12+B992*Scorecard!$C$13+C992*Scorecard!$C$14+D992*Scorecard!$C$15+E992*Scorecard!$C$16+F992*Scorecard!$C$17</f>
        <v>3.35775493846392</v>
      </c>
      <c r="H992" s="47" t="n">
        <f aca="false">A992*Scorecard!$D$12+B992*Scorecard!$D$13+C992*Scorecard!$D$14+D992*Scorecard!$D$15+E992*Scorecard!$D$16+F992*Scorecard!$D$17</f>
        <v>2.54263961073205</v>
      </c>
      <c r="I992" s="47" t="n">
        <f aca="false">A992*Scorecard!$E$12+B992*Scorecard!$E$13+C992*Scorecard!$E$14+D992*Scorecard!$E$15+E992*Scorecard!$E$16+F992*Scorecard!$E$17</f>
        <v>4.11114049758928</v>
      </c>
      <c r="J992" s="0" t="str">
        <f aca="false">IF(AND(G992&gt;=H992,G992&gt;=I992),"Distribution",IF(I992&gt;=H992,"Prof. services","Manufacturing"))</f>
        <v>Prof. services</v>
      </c>
      <c r="L992" s="46" t="n">
        <v>0.081471</v>
      </c>
      <c r="M992" s="46" t="n">
        <v>0.316402</v>
      </c>
      <c r="N992" s="46" t="n">
        <v>0.156971</v>
      </c>
      <c r="O992" s="46" t="n">
        <v>0.088865</v>
      </c>
      <c r="P992" s="46" t="n">
        <v>0.269468</v>
      </c>
      <c r="Q992" s="46" t="n">
        <v>0.086822</v>
      </c>
      <c r="R992" s="47" t="n">
        <f aca="false">L992*Scorecard!$C$12+M992*Scorecard!$C$13+N992*Scorecard!$C$14+O992*Scorecard!$C$15+P992*Scorecard!$C$16+Q992*Scorecard!$C$17</f>
        <v>4.08497003814459</v>
      </c>
      <c r="S992" s="47" t="n">
        <f aca="false">L992*Scorecard!$D$12+M992*Scorecard!$D$13+N992*Scorecard!$D$14+O992*Scorecard!$D$15+P992*Scorecard!$D$16+Q992*Scorecard!$D$17</f>
        <v>2.64135600629146</v>
      </c>
      <c r="T992" s="47" t="n">
        <f aca="false">L992*Scorecard!$E$12+M992*Scorecard!$E$13+N992*Scorecard!$E$14+O992*Scorecard!$E$15+P992*Scorecard!$E$16+Q992*Scorecard!$E$17</f>
        <v>3.25387967610929</v>
      </c>
      <c r="U992" s="0" t="str">
        <f aca="false">IF(AND(R992&gt;=S992,R992&gt;=T992),"Distribution",IF(T992&gt;=S992,"Prof. services","Manufacturing"))</f>
        <v>Distribution</v>
      </c>
    </row>
    <row r="993" customFormat="false" ht="15" hidden="false" customHeight="false" outlineLevel="0" collapsed="false">
      <c r="A993" s="46" t="n">
        <v>0.068615</v>
      </c>
      <c r="B993" s="46" t="n">
        <v>0.123768</v>
      </c>
      <c r="C993" s="46" t="n">
        <v>0.395854</v>
      </c>
      <c r="D993" s="46" t="n">
        <v>0.164847</v>
      </c>
      <c r="E993" s="46" t="n">
        <v>0.209479</v>
      </c>
      <c r="F993" s="46" t="n">
        <v>0.037437</v>
      </c>
      <c r="G993" s="47" t="n">
        <f aca="false">A993*Scorecard!$C$12+B993*Scorecard!$C$13+C993*Scorecard!$C$14+D993*Scorecard!$C$15+E993*Scorecard!$C$16+F993*Scorecard!$C$17</f>
        <v>4.09023302148361</v>
      </c>
      <c r="H993" s="47" t="n">
        <f aca="false">A993*Scorecard!$D$12+B993*Scorecard!$D$13+C993*Scorecard!$D$14+D993*Scorecard!$D$15+E993*Scorecard!$D$16+F993*Scorecard!$D$17</f>
        <v>3.06405206647851</v>
      </c>
      <c r="I993" s="47" t="n">
        <f aca="false">A993*Scorecard!$E$12+B993*Scorecard!$E$13+C993*Scorecard!$E$14+D993*Scorecard!$E$15+E993*Scorecard!$E$16+F993*Scorecard!$E$17</f>
        <v>3.92897119815199</v>
      </c>
      <c r="J993" s="0" t="str">
        <f aca="false">IF(AND(G993&gt;=H993,G993&gt;=I993),"Distribution",IF(I993&gt;=H993,"Prof. services","Manufacturing"))</f>
        <v>Distribution</v>
      </c>
      <c r="L993" s="46" t="n">
        <v>0.246526</v>
      </c>
      <c r="M993" s="46" t="n">
        <v>0.206618</v>
      </c>
      <c r="N993" s="46" t="n">
        <v>0.210365</v>
      </c>
      <c r="O993" s="46" t="n">
        <v>0.06265</v>
      </c>
      <c r="P993" s="46" t="n">
        <v>0.229229</v>
      </c>
      <c r="Q993" s="46" t="n">
        <v>0.044612</v>
      </c>
      <c r="R993" s="47" t="n">
        <f aca="false">L993*Scorecard!$C$12+M993*Scorecard!$C$13+N993*Scorecard!$C$14+O993*Scorecard!$C$15+P993*Scorecard!$C$16+Q993*Scorecard!$C$17</f>
        <v>3.73629368430036</v>
      </c>
      <c r="S993" s="47" t="n">
        <f aca="false">L993*Scorecard!$D$12+M993*Scorecard!$D$13+N993*Scorecard!$D$14+O993*Scorecard!$D$15+P993*Scorecard!$D$16+Q993*Scorecard!$D$17</f>
        <v>2.93472637134918</v>
      </c>
      <c r="T993" s="47" t="n">
        <f aca="false">L993*Scorecard!$E$12+M993*Scorecard!$E$13+N993*Scorecard!$E$14+O993*Scorecard!$E$15+P993*Scorecard!$E$16+Q993*Scorecard!$E$17</f>
        <v>3.71990002810805</v>
      </c>
      <c r="U993" s="0" t="str">
        <f aca="false">IF(AND(R993&gt;=S993,R993&gt;=T993),"Distribution",IF(T993&gt;=S993,"Prof. services","Manufacturing"))</f>
        <v>Distribution</v>
      </c>
    </row>
    <row r="994" customFormat="false" ht="15" hidden="false" customHeight="false" outlineLevel="0" collapsed="false">
      <c r="A994" s="46" t="n">
        <v>0.208552</v>
      </c>
      <c r="B994" s="46" t="n">
        <v>0.515428</v>
      </c>
      <c r="C994" s="46" t="n">
        <v>0.101062</v>
      </c>
      <c r="D994" s="46" t="n">
        <v>0.146408</v>
      </c>
      <c r="E994" s="46" t="n">
        <v>0.026804</v>
      </c>
      <c r="F994" s="46" t="n">
        <v>0.001746</v>
      </c>
      <c r="G994" s="47" t="n">
        <f aca="false">A994*Scorecard!$C$12+B994*Scorecard!$C$13+C994*Scorecard!$C$14+D994*Scorecard!$C$15+E994*Scorecard!$C$16+F994*Scorecard!$C$17</f>
        <v>4.28294742584639</v>
      </c>
      <c r="H994" s="47" t="n">
        <f aca="false">A994*Scorecard!$D$12+B994*Scorecard!$D$13+C994*Scorecard!$D$14+D994*Scorecard!$D$15+E994*Scorecard!$D$16+F994*Scorecard!$D$17</f>
        <v>2.53990396257759</v>
      </c>
      <c r="I994" s="47" t="n">
        <f aca="false">A994*Scorecard!$E$12+B994*Scorecard!$E$13+C994*Scorecard!$E$14+D994*Scorecard!$E$15+E994*Scorecard!$E$16+F994*Scorecard!$E$17</f>
        <v>3.32311038706908</v>
      </c>
      <c r="J994" s="0" t="str">
        <f aca="false">IF(AND(G994&gt;=H994,G994&gt;=I994),"Distribution",IF(I994&gt;=H994,"Prof. services","Manufacturing"))</f>
        <v>Distribution</v>
      </c>
      <c r="L994" s="46" t="n">
        <v>0.311434</v>
      </c>
      <c r="M994" s="46" t="n">
        <v>0.13488</v>
      </c>
      <c r="N994" s="46" t="n">
        <v>0.22159</v>
      </c>
      <c r="O994" s="46" t="n">
        <v>0.117376</v>
      </c>
      <c r="P994" s="46" t="n">
        <v>0.127707</v>
      </c>
      <c r="Q994" s="46" t="n">
        <v>0.087013</v>
      </c>
      <c r="R994" s="47" t="n">
        <f aca="false">L994*Scorecard!$C$12+M994*Scorecard!$C$13+N994*Scorecard!$C$14+O994*Scorecard!$C$15+P994*Scorecard!$C$16+Q994*Scorecard!$C$17</f>
        <v>3.51764435864938</v>
      </c>
      <c r="S994" s="47" t="n">
        <f aca="false">L994*Scorecard!$D$12+M994*Scorecard!$D$13+N994*Scorecard!$D$14+O994*Scorecard!$D$15+P994*Scorecard!$D$16+Q994*Scorecard!$D$17</f>
        <v>3.05119107586149</v>
      </c>
      <c r="T994" s="47" t="n">
        <f aca="false">L994*Scorecard!$E$12+M994*Scorecard!$E$13+N994*Scorecard!$E$14+O994*Scorecard!$E$15+P994*Scorecard!$E$16+Q994*Scorecard!$E$17</f>
        <v>4.12996885814336</v>
      </c>
      <c r="U994" s="0" t="str">
        <f aca="false">IF(AND(R994&gt;=S994,R994&gt;=T994),"Distribution",IF(T994&gt;=S994,"Prof. services","Manufacturing"))</f>
        <v>Prof. services</v>
      </c>
    </row>
    <row r="995" customFormat="false" ht="15" hidden="false" customHeight="false" outlineLevel="0" collapsed="false">
      <c r="A995" s="46" t="n">
        <v>0.191456</v>
      </c>
      <c r="B995" s="46" t="n">
        <v>0.287961</v>
      </c>
      <c r="C995" s="46" t="n">
        <v>0.09252</v>
      </c>
      <c r="D995" s="46" t="n">
        <v>0.071193</v>
      </c>
      <c r="E995" s="46" t="n">
        <v>0.055922</v>
      </c>
      <c r="F995" s="46" t="n">
        <v>0.300948</v>
      </c>
      <c r="G995" s="47" t="n">
        <f aca="false">A995*Scorecard!$C$12+B995*Scorecard!$C$13+C995*Scorecard!$C$14+D995*Scorecard!$C$15+E995*Scorecard!$C$16+F995*Scorecard!$C$17</f>
        <v>3.41263446965192</v>
      </c>
      <c r="H995" s="47" t="n">
        <f aca="false">A995*Scorecard!$D$12+B995*Scorecard!$D$13+C995*Scorecard!$D$14+D995*Scorecard!$D$15+E995*Scorecard!$D$16+F995*Scorecard!$D$17</f>
        <v>2.34387065737544</v>
      </c>
      <c r="I995" s="47" t="n">
        <f aca="false">A995*Scorecard!$E$12+B995*Scorecard!$E$13+C995*Scorecard!$E$14+D995*Scorecard!$E$15+E995*Scorecard!$E$16+F995*Scorecard!$E$17</f>
        <v>3.81283410486032</v>
      </c>
      <c r="J995" s="0" t="str">
        <f aca="false">IF(AND(G995&gt;=H995,G995&gt;=I995),"Distribution",IF(I995&gt;=H995,"Prof. services","Manufacturing"))</f>
        <v>Prof. services</v>
      </c>
      <c r="L995" s="46" t="n">
        <v>0.193668</v>
      </c>
      <c r="M995" s="46" t="n">
        <v>0.297586</v>
      </c>
      <c r="N995" s="46" t="n">
        <v>0.140097</v>
      </c>
      <c r="O995" s="46" t="n">
        <v>0.038697</v>
      </c>
      <c r="P995" s="46" t="n">
        <v>0.214221</v>
      </c>
      <c r="Q995" s="46" t="n">
        <v>0.115732</v>
      </c>
      <c r="R995" s="47" t="n">
        <f aca="false">L995*Scorecard!$C$12+M995*Scorecard!$C$13+N995*Scorecard!$C$14+O995*Scorecard!$C$15+P995*Scorecard!$C$16+Q995*Scorecard!$C$17</f>
        <v>3.75621783810665</v>
      </c>
      <c r="S995" s="47" t="n">
        <f aca="false">L995*Scorecard!$D$12+M995*Scorecard!$D$13+N995*Scorecard!$D$14+O995*Scorecard!$D$15+P995*Scorecard!$D$16+Q995*Scorecard!$D$17</f>
        <v>2.62385927314144</v>
      </c>
      <c r="T995" s="47" t="n">
        <f aca="false">L995*Scorecard!$E$12+M995*Scorecard!$E$13+N995*Scorecard!$E$14+O995*Scorecard!$E$15+P995*Scorecard!$E$16+Q995*Scorecard!$E$17</f>
        <v>3.48280198126651</v>
      </c>
      <c r="U995" s="0" t="str">
        <f aca="false">IF(AND(R995&gt;=S995,R995&gt;=T995),"Distribution",IF(T995&gt;=S995,"Prof. services","Manufacturing"))</f>
        <v>Distribution</v>
      </c>
    </row>
    <row r="996" customFormat="false" ht="15" hidden="false" customHeight="false" outlineLevel="0" collapsed="false">
      <c r="A996" s="46" t="n">
        <v>0.075525</v>
      </c>
      <c r="B996" s="46" t="n">
        <v>0.295881</v>
      </c>
      <c r="C996" s="46" t="n">
        <v>0.053277</v>
      </c>
      <c r="D996" s="46" t="n">
        <v>0.054453</v>
      </c>
      <c r="E996" s="46" t="n">
        <v>0.23904</v>
      </c>
      <c r="F996" s="46" t="n">
        <v>0.281825</v>
      </c>
      <c r="G996" s="47" t="n">
        <f aca="false">A996*Scorecard!$C$12+B996*Scorecard!$C$13+C996*Scorecard!$C$14+D996*Scorecard!$C$15+E996*Scorecard!$C$16+F996*Scorecard!$C$17</f>
        <v>3.65074192294032</v>
      </c>
      <c r="H996" s="47" t="n">
        <f aca="false">A996*Scorecard!$D$12+B996*Scorecard!$D$13+C996*Scorecard!$D$14+D996*Scorecard!$D$15+E996*Scorecard!$D$16+F996*Scorecard!$D$17</f>
        <v>2.32575252876264</v>
      </c>
      <c r="I996" s="47" t="n">
        <f aca="false">A996*Scorecard!$E$12+B996*Scorecard!$E$13+C996*Scorecard!$E$14+D996*Scorecard!$E$15+E996*Scorecard!$E$16+F996*Scorecard!$E$17</f>
        <v>3.32530407920776</v>
      </c>
      <c r="J996" s="0" t="str">
        <f aca="false">IF(AND(G996&gt;=H996,G996&gt;=I996),"Distribution",IF(I996&gt;=H996,"Prof. services","Manufacturing"))</f>
        <v>Distribution</v>
      </c>
      <c r="L996" s="46" t="n">
        <v>0.115457</v>
      </c>
      <c r="M996" s="46" t="n">
        <v>0.106661</v>
      </c>
      <c r="N996" s="46" t="n">
        <v>0.217075</v>
      </c>
      <c r="O996" s="46" t="n">
        <v>0.150457</v>
      </c>
      <c r="P996" s="46" t="n">
        <v>0.292617</v>
      </c>
      <c r="Q996" s="46" t="n">
        <v>0.117732</v>
      </c>
      <c r="R996" s="47" t="n">
        <f aca="false">L996*Scorecard!$C$12+M996*Scorecard!$C$13+N996*Scorecard!$C$14+O996*Scorecard!$C$15+P996*Scorecard!$C$16+Q996*Scorecard!$C$17</f>
        <v>3.8138257534713</v>
      </c>
      <c r="S996" s="47" t="n">
        <f aca="false">L996*Scorecard!$D$12+M996*Scorecard!$D$13+N996*Scorecard!$D$14+O996*Scorecard!$D$15+P996*Scorecard!$D$16+Q996*Scorecard!$D$17</f>
        <v>3.01127985676836</v>
      </c>
      <c r="T996" s="47" t="n">
        <f aca="false">L996*Scorecard!$E$12+M996*Scorecard!$E$13+N996*Scorecard!$E$14+O996*Scorecard!$E$15+P996*Scorecard!$E$16+Q996*Scorecard!$E$17</f>
        <v>3.72833849426489</v>
      </c>
      <c r="U996" s="0" t="str">
        <f aca="false">IF(AND(R996&gt;=S996,R996&gt;=T996),"Distribution",IF(T996&gt;=S996,"Prof. services","Manufacturing"))</f>
        <v>Distribution</v>
      </c>
    </row>
    <row r="997" customFormat="false" ht="15" hidden="false" customHeight="false" outlineLevel="0" collapsed="false">
      <c r="A997" s="46" t="n">
        <v>0.021799</v>
      </c>
      <c r="B997" s="46" t="n">
        <v>0.189318</v>
      </c>
      <c r="C997" s="46" t="n">
        <v>0.17837</v>
      </c>
      <c r="D997" s="46" t="n">
        <v>0.038278</v>
      </c>
      <c r="E997" s="46" t="n">
        <v>0.452305</v>
      </c>
      <c r="F997" s="46" t="n">
        <v>0.11993</v>
      </c>
      <c r="G997" s="47" t="n">
        <f aca="false">A997*Scorecard!$C$12+B997*Scorecard!$C$13+C997*Scorecard!$C$14+D997*Scorecard!$C$15+E997*Scorecard!$C$16+F997*Scorecard!$C$17</f>
        <v>3.94849748912514</v>
      </c>
      <c r="H997" s="47" t="n">
        <f aca="false">A997*Scorecard!$D$12+B997*Scorecard!$D$13+C997*Scorecard!$D$14+D997*Scorecard!$D$15+E997*Scorecard!$D$16+F997*Scorecard!$D$17</f>
        <v>2.745418133927</v>
      </c>
      <c r="I997" s="47" t="n">
        <f aca="false">A997*Scorecard!$E$12+B997*Scorecard!$E$13+C997*Scorecard!$E$14+D997*Scorecard!$E$15+E997*Scorecard!$E$16+F997*Scorecard!$E$17</f>
        <v>3.1574916640442</v>
      </c>
      <c r="J997" s="0" t="str">
        <f aca="false">IF(AND(G997&gt;=H997,G997&gt;=I997),"Distribution",IF(I997&gt;=H997,"Prof. services","Manufacturing"))</f>
        <v>Distribution</v>
      </c>
      <c r="L997" s="46" t="n">
        <v>0.233115</v>
      </c>
      <c r="M997" s="46" t="n">
        <v>0.210994</v>
      </c>
      <c r="N997" s="46" t="n">
        <v>0.314299</v>
      </c>
      <c r="O997" s="46" t="n">
        <v>0.080243</v>
      </c>
      <c r="P997" s="46" t="n">
        <v>0.096737</v>
      </c>
      <c r="Q997" s="46" t="n">
        <v>0.064611</v>
      </c>
      <c r="R997" s="47" t="n">
        <f aca="false">L997*Scorecard!$C$12+M997*Scorecard!$C$13+N997*Scorecard!$C$14+O997*Scorecard!$C$15+P997*Scorecard!$C$16+Q997*Scorecard!$C$17</f>
        <v>3.74240067555421</v>
      </c>
      <c r="S997" s="47" t="n">
        <f aca="false">L997*Scorecard!$D$12+M997*Scorecard!$D$13+N997*Scorecard!$D$14+O997*Scorecard!$D$15+P997*Scorecard!$D$16+Q997*Scorecard!$D$17</f>
        <v>2.86550024446107</v>
      </c>
      <c r="T997" s="47" t="n">
        <f aca="false">L997*Scorecard!$E$12+M997*Scorecard!$E$13+N997*Scorecard!$E$14+O997*Scorecard!$E$15+P997*Scorecard!$E$16+Q997*Scorecard!$E$17</f>
        <v>4.03591814876598</v>
      </c>
      <c r="U997" s="0" t="str">
        <f aca="false">IF(AND(R997&gt;=S997,R997&gt;=T997),"Distribution",IF(T997&gt;=S997,"Prof. services","Manufacturing"))</f>
        <v>Prof. services</v>
      </c>
    </row>
    <row r="998" customFormat="false" ht="15" hidden="false" customHeight="false" outlineLevel="0" collapsed="false">
      <c r="A998" s="46" t="n">
        <v>0.07444</v>
      </c>
      <c r="B998" s="46" t="n">
        <v>0.072752</v>
      </c>
      <c r="C998" s="46" t="n">
        <v>0.07542</v>
      </c>
      <c r="D998" s="46" t="n">
        <v>0.008823</v>
      </c>
      <c r="E998" s="46" t="n">
        <v>0.24636</v>
      </c>
      <c r="F998" s="46" t="n">
        <v>0.522206</v>
      </c>
      <c r="G998" s="47" t="n">
        <f aca="false">A998*Scorecard!$C$12+B998*Scorecard!$C$13+C998*Scorecard!$C$14+D998*Scorecard!$C$15+E998*Scorecard!$C$16+F998*Scorecard!$C$17</f>
        <v>2.90317393841347</v>
      </c>
      <c r="H998" s="47" t="n">
        <f aca="false">A998*Scorecard!$D$12+B998*Scorecard!$D$13+C998*Scorecard!$D$14+D998*Scorecard!$D$15+E998*Scorecard!$D$16+F998*Scorecard!$D$17</f>
        <v>2.24899824213442</v>
      </c>
      <c r="I998" s="47" t="n">
        <f aca="false">A998*Scorecard!$E$12+B998*Scorecard!$E$13+C998*Scorecard!$E$14+D998*Scorecard!$E$15+E998*Scorecard!$E$16+F998*Scorecard!$E$17</f>
        <v>3.86536220016894</v>
      </c>
      <c r="J998" s="0" t="str">
        <f aca="false">IF(AND(G998&gt;=H998,G998&gt;=I998),"Distribution",IF(I998&gt;=H998,"Prof. services","Manufacturing"))</f>
        <v>Prof. services</v>
      </c>
      <c r="L998" s="46" t="n">
        <v>0.120093</v>
      </c>
      <c r="M998" s="46" t="n">
        <v>0.156331</v>
      </c>
      <c r="N998" s="46" t="n">
        <v>0.20171</v>
      </c>
      <c r="O998" s="46" t="n">
        <v>0.208415</v>
      </c>
      <c r="P998" s="46" t="n">
        <v>0.18976</v>
      </c>
      <c r="Q998" s="46" t="n">
        <v>0.123691</v>
      </c>
      <c r="R998" s="47" t="n">
        <f aca="false">L998*Scorecard!$C$12+M998*Scorecard!$C$13+N998*Scorecard!$C$14+O998*Scorecard!$C$15+P998*Scorecard!$C$16+Q998*Scorecard!$C$17</f>
        <v>3.90119488735745</v>
      </c>
      <c r="S998" s="47" t="n">
        <f aca="false">L998*Scorecard!$D$12+M998*Scorecard!$D$13+N998*Scorecard!$D$14+O998*Scorecard!$D$15+P998*Scorecard!$D$16+Q998*Scorecard!$D$17</f>
        <v>2.96366079351409</v>
      </c>
      <c r="T998" s="47" t="n">
        <f aca="false">L998*Scorecard!$E$12+M998*Scorecard!$E$13+N998*Scorecard!$E$14+O998*Scorecard!$E$15+P998*Scorecard!$E$16+Q998*Scorecard!$E$17</f>
        <v>3.80837239674623</v>
      </c>
      <c r="U998" s="0" t="str">
        <f aca="false">IF(AND(R998&gt;=S998,R998&gt;=T998),"Distribution",IF(T998&gt;=S998,"Prof. services","Manufacturing"))</f>
        <v>Distribution</v>
      </c>
    </row>
    <row r="999" customFormat="false" ht="15" hidden="false" customHeight="false" outlineLevel="0" collapsed="false">
      <c r="A999" s="46" t="n">
        <v>0.438773</v>
      </c>
      <c r="B999" s="46" t="n">
        <v>0.094088</v>
      </c>
      <c r="C999" s="46" t="n">
        <v>0.257576</v>
      </c>
      <c r="D999" s="46" t="n">
        <v>0.083871</v>
      </c>
      <c r="E999" s="46" t="n">
        <v>0.032528</v>
      </c>
      <c r="F999" s="46" t="n">
        <v>0.093164</v>
      </c>
      <c r="G999" s="47" t="n">
        <f aca="false">A999*Scorecard!$C$12+B999*Scorecard!$C$13+C999*Scorecard!$C$14+D999*Scorecard!$C$15+E999*Scorecard!$C$16+F999*Scorecard!$C$17</f>
        <v>3.20183334267185</v>
      </c>
      <c r="H999" s="47" t="n">
        <f aca="false">A999*Scorecard!$D$12+B999*Scorecard!$D$13+C999*Scorecard!$D$14+D999*Scorecard!$D$15+E999*Scorecard!$D$16+F999*Scorecard!$D$17</f>
        <v>3.11679400489084</v>
      </c>
      <c r="I999" s="47" t="n">
        <f aca="false">A999*Scorecard!$E$12+B999*Scorecard!$E$13+C999*Scorecard!$E$14+D999*Scorecard!$E$15+E999*Scorecard!$E$16+F999*Scorecard!$E$17</f>
        <v>4.52601147757428</v>
      </c>
      <c r="J999" s="0" t="str">
        <f aca="false">IF(AND(G999&gt;=H999,G999&gt;=I999),"Distribution",IF(I999&gt;=H999,"Prof. services","Manufacturing"))</f>
        <v>Prof. services</v>
      </c>
      <c r="L999" s="46" t="n">
        <v>0.187485</v>
      </c>
      <c r="M999" s="46" t="n">
        <v>0.158134</v>
      </c>
      <c r="N999" s="46" t="n">
        <v>0.263367</v>
      </c>
      <c r="O999" s="46" t="n">
        <v>0.204387</v>
      </c>
      <c r="P999" s="46" t="n">
        <v>0.094229</v>
      </c>
      <c r="Q999" s="46" t="n">
        <v>0.092398</v>
      </c>
      <c r="R999" s="47" t="n">
        <f aca="false">L999*Scorecard!$C$12+M999*Scorecard!$C$13+N999*Scorecard!$C$14+O999*Scorecard!$C$15+P999*Scorecard!$C$16+Q999*Scorecard!$C$17</f>
        <v>3.84024932628223</v>
      </c>
      <c r="S999" s="47" t="n">
        <f aca="false">L999*Scorecard!$D$12+M999*Scorecard!$D$13+N999*Scorecard!$D$14+O999*Scorecard!$D$15+P999*Scorecard!$D$16+Q999*Scorecard!$D$17</f>
        <v>3.01590306360396</v>
      </c>
      <c r="T999" s="47" t="n">
        <f aca="false">L999*Scorecard!$E$12+M999*Scorecard!$E$13+N999*Scorecard!$E$14+O999*Scorecard!$E$15+P999*Scorecard!$E$16+Q999*Scorecard!$E$17</f>
        <v>4.07695050963758</v>
      </c>
      <c r="U999" s="0" t="str">
        <f aca="false">IF(AND(R999&gt;=S999,R999&gt;=T999),"Distribution",IF(T999&gt;=S999,"Prof. services","Manufacturing"))</f>
        <v>Prof. services</v>
      </c>
    </row>
    <row r="1000" customFormat="false" ht="15" hidden="false" customHeight="false" outlineLevel="0" collapsed="false">
      <c r="A1000" s="46" t="n">
        <v>0.221183</v>
      </c>
      <c r="B1000" s="46" t="n">
        <v>0.092772</v>
      </c>
      <c r="C1000" s="46" t="n">
        <v>0.237334</v>
      </c>
      <c r="D1000" s="46" t="n">
        <v>0.283413</v>
      </c>
      <c r="E1000" s="46" t="n">
        <v>0.139422</v>
      </c>
      <c r="F1000" s="46" t="n">
        <v>0.025875</v>
      </c>
      <c r="G1000" s="47" t="n">
        <f aca="false">A1000*Scorecard!$C$12+B1000*Scorecard!$C$13+C1000*Scorecard!$C$14+D1000*Scorecard!$C$15+E1000*Scorecard!$C$16+F1000*Scorecard!$C$17</f>
        <v>3.92629844571609</v>
      </c>
      <c r="H1000" s="47" t="n">
        <f aca="false">A1000*Scorecard!$D$12+B1000*Scorecard!$D$13+C1000*Scorecard!$D$14+D1000*Scorecard!$D$15+E1000*Scorecard!$D$16+F1000*Scorecard!$D$17</f>
        <v>3.34260032395187</v>
      </c>
      <c r="I1000" s="47" t="n">
        <f aca="false">A1000*Scorecard!$E$12+B1000*Scorecard!$E$13+C1000*Scorecard!$E$14+D1000*Scorecard!$E$15+E1000*Scorecard!$E$16+F1000*Scorecard!$E$17</f>
        <v>4.11158947273791</v>
      </c>
      <c r="J1000" s="0" t="str">
        <f aca="false">IF(AND(G1000&gt;=H1000,G1000&gt;=I1000),"Distribution",IF(I1000&gt;=H1000,"Prof. services","Manufacturing"))</f>
        <v>Prof. services</v>
      </c>
      <c r="L1000" s="46" t="n">
        <v>0.126739</v>
      </c>
      <c r="M1000" s="46" t="n">
        <v>0.091079</v>
      </c>
      <c r="N1000" s="46" t="n">
        <v>0.211834</v>
      </c>
      <c r="O1000" s="46" t="n">
        <v>0.205855</v>
      </c>
      <c r="P1000" s="46" t="n">
        <v>0.284194</v>
      </c>
      <c r="Q1000" s="46" t="n">
        <v>0.080298</v>
      </c>
      <c r="R1000" s="47" t="n">
        <f aca="false">L1000*Scorecard!$C$12+M1000*Scorecard!$C$13+N1000*Scorecard!$C$14+O1000*Scorecard!$C$15+P1000*Scorecard!$C$16+Q1000*Scorecard!$C$17</f>
        <v>3.90820199257905</v>
      </c>
      <c r="S1000" s="47" t="n">
        <f aca="false">L1000*Scorecard!$D$12+M1000*Scorecard!$D$13+N1000*Scorecard!$D$14+O1000*Scorecard!$D$15+P1000*Scorecard!$D$16+Q1000*Scorecard!$D$17</f>
        <v>3.1595951238905</v>
      </c>
      <c r="T1000" s="47" t="n">
        <f aca="false">L1000*Scorecard!$E$12+M1000*Scorecard!$E$13+N1000*Scorecard!$E$14+O1000*Scorecard!$E$15+P1000*Scorecard!$E$16+Q1000*Scorecard!$E$17</f>
        <v>3.76801761256797</v>
      </c>
      <c r="U1000" s="0" t="str">
        <f aca="false">IF(AND(R1000&gt;=S1000,R1000&gt;=T1000),"Distribution",IF(T1000&gt;=S1000,"Prof. services","Manufacturing"))</f>
        <v>Distribution</v>
      </c>
    </row>
    <row r="1001" customFormat="false" ht="15" hidden="false" customHeight="false" outlineLevel="0" collapsed="false">
      <c r="A1001" s="46" t="n">
        <v>0.052401</v>
      </c>
      <c r="B1001" s="46" t="n">
        <v>0.426421</v>
      </c>
      <c r="C1001" s="46" t="n">
        <v>0.16933</v>
      </c>
      <c r="D1001" s="46" t="n">
        <v>0.078404</v>
      </c>
      <c r="E1001" s="46" t="n">
        <v>0.061604</v>
      </c>
      <c r="F1001" s="46" t="n">
        <v>0.21184</v>
      </c>
      <c r="G1001" s="47" t="n">
        <f aca="false">A1001*Scorecard!$C$12+B1001*Scorecard!$C$13+C1001*Scorecard!$C$14+D1001*Scorecard!$C$15+E1001*Scorecard!$C$16+F1001*Scorecard!$C$17</f>
        <v>3.98682245271096</v>
      </c>
      <c r="H1001" s="47" t="n">
        <f aca="false">A1001*Scorecard!$D$12+B1001*Scorecard!$D$13+C1001*Scorecard!$D$14+D1001*Scorecard!$D$15+E1001*Scorecard!$D$16+F1001*Scorecard!$D$17</f>
        <v>2.18809302134158</v>
      </c>
      <c r="I1001" s="47" t="n">
        <f aca="false">A1001*Scorecard!$E$12+B1001*Scorecard!$E$13+C1001*Scorecard!$E$14+D1001*Scorecard!$E$15+E1001*Scorecard!$E$16+F1001*Scorecard!$E$17</f>
        <v>3.43805465330337</v>
      </c>
      <c r="J1001" s="0" t="str">
        <f aca="false">IF(AND(G1001&gt;=H1001,G1001&gt;=I1001),"Distribution",IF(I1001&gt;=H1001,"Prof. services","Manufacturing"))</f>
        <v>Distribution</v>
      </c>
      <c r="L1001" s="46" t="n">
        <v>0.046855</v>
      </c>
      <c r="M1001" s="46" t="n">
        <v>0.212535</v>
      </c>
      <c r="N1001" s="46" t="n">
        <v>0.220481</v>
      </c>
      <c r="O1001" s="46" t="n">
        <v>0.256608</v>
      </c>
      <c r="P1001" s="46" t="n">
        <v>0.206501</v>
      </c>
      <c r="Q1001" s="46" t="n">
        <v>0.05702</v>
      </c>
      <c r="R1001" s="47" t="n">
        <f aca="false">L1001*Scorecard!$C$12+M1001*Scorecard!$C$13+N1001*Scorecard!$C$14+O1001*Scorecard!$C$15+P1001*Scorecard!$C$16+Q1001*Scorecard!$C$17</f>
        <v>4.2707633318023</v>
      </c>
      <c r="S1001" s="47" t="n">
        <f aca="false">L1001*Scorecard!$D$12+M1001*Scorecard!$D$13+N1001*Scorecard!$D$14+O1001*Scorecard!$D$15+P1001*Scorecard!$D$16+Q1001*Scorecard!$D$17</f>
        <v>2.99229821978239</v>
      </c>
      <c r="T1001" s="47" t="n">
        <f aca="false">L1001*Scorecard!$E$12+M1001*Scorecard!$E$13+N1001*Scorecard!$E$14+O1001*Scorecard!$E$15+P1001*Scorecard!$E$16+Q1001*Scorecard!$E$17</f>
        <v>3.59516167360337</v>
      </c>
      <c r="U1001" s="0" t="str">
        <f aca="false">IF(AND(R1001&gt;=S1001,R1001&gt;=T1001),"Distribution",IF(T1001&gt;=S1001,"Prof. services","Manufacturing"))</f>
        <v>Distribution</v>
      </c>
    </row>
    <row r="1002" customFormat="false" ht="15" hidden="false" customHeight="false" outlineLevel="0" collapsed="false">
      <c r="A1002" s="46" t="n">
        <v>0.067383</v>
      </c>
      <c r="B1002" s="46" t="n">
        <v>0.081976</v>
      </c>
      <c r="C1002" s="46" t="n">
        <v>0.592891</v>
      </c>
      <c r="D1002" s="46" t="n">
        <v>0.191815</v>
      </c>
      <c r="E1002" s="46" t="n">
        <v>0.056821</v>
      </c>
      <c r="F1002" s="46" t="n">
        <v>0.009114</v>
      </c>
      <c r="G1002" s="47" t="n">
        <f aca="false">A1002*Scorecard!$C$12+B1002*Scorecard!$C$13+C1002*Scorecard!$C$14+D1002*Scorecard!$C$15+E1002*Scorecard!$C$16+F1002*Scorecard!$C$17</f>
        <v>4.13427263905313</v>
      </c>
      <c r="H1002" s="47" t="n">
        <f aca="false">A1002*Scorecard!$D$12+B1002*Scorecard!$D$13+C1002*Scorecard!$D$14+D1002*Scorecard!$D$15+E1002*Scorecard!$D$16+F1002*Scorecard!$D$17</f>
        <v>3.14878591314026</v>
      </c>
      <c r="I1002" s="47" t="n">
        <f aca="false">A1002*Scorecard!$E$12+B1002*Scorecard!$E$13+C1002*Scorecard!$E$14+D1002*Scorecard!$E$15+E1002*Scorecard!$E$16+F1002*Scorecard!$E$17</f>
        <v>4.4478549779438</v>
      </c>
      <c r="J1002" s="0" t="str">
        <f aca="false">IF(AND(G1002&gt;=H1002,G1002&gt;=I1002),"Distribution",IF(I1002&gt;=H1002,"Prof. services","Manufacturing"))</f>
        <v>Prof. services</v>
      </c>
      <c r="L1002" s="46" t="n">
        <v>0.202328</v>
      </c>
      <c r="M1002" s="46" t="n">
        <v>0.273223</v>
      </c>
      <c r="N1002" s="46" t="n">
        <v>0.10637</v>
      </c>
      <c r="O1002" s="46" t="n">
        <v>0.103772</v>
      </c>
      <c r="P1002" s="46" t="n">
        <v>0.138604</v>
      </c>
      <c r="Q1002" s="46" t="n">
        <v>0.175704</v>
      </c>
      <c r="R1002" s="47" t="n">
        <f aca="false">L1002*Scorecard!$C$12+M1002*Scorecard!$C$13+N1002*Scorecard!$C$14+O1002*Scorecard!$C$15+P1002*Scorecard!$C$16+Q1002*Scorecard!$C$17</f>
        <v>3.66139771460666</v>
      </c>
      <c r="S1002" s="47" t="n">
        <f aca="false">L1002*Scorecard!$D$12+M1002*Scorecard!$D$13+N1002*Scorecard!$D$14+O1002*Scorecard!$D$15+P1002*Scorecard!$D$16+Q1002*Scorecard!$D$17</f>
        <v>2.6263183729346</v>
      </c>
      <c r="T1002" s="47" t="n">
        <f aca="false">L1002*Scorecard!$E$12+M1002*Scorecard!$E$13+N1002*Scorecard!$E$14+O1002*Scorecard!$E$15+P1002*Scorecard!$E$16+Q1002*Scorecard!$E$17</f>
        <v>3.67012372869079</v>
      </c>
      <c r="U1002" s="0" t="str">
        <f aca="false">IF(AND(R1002&gt;=S1002,R1002&gt;=T1002),"Distribution",IF(T1002&gt;=S1002,"Prof. services","Manufacturing"))</f>
        <v>Prof. services</v>
      </c>
    </row>
    <row r="1003" customFormat="false" ht="15" hidden="false" customHeight="false" outlineLevel="0" collapsed="false">
      <c r="A1003" s="46" t="n">
        <v>0.529603</v>
      </c>
      <c r="B1003" s="46" t="n">
        <v>0.000325</v>
      </c>
      <c r="C1003" s="46" t="n">
        <v>0.113911</v>
      </c>
      <c r="D1003" s="46" t="n">
        <v>0.159868</v>
      </c>
      <c r="E1003" s="46" t="n">
        <v>0.122286</v>
      </c>
      <c r="F1003" s="46" t="n">
        <v>0.074008</v>
      </c>
      <c r="G1003" s="47" t="n">
        <f aca="false">A1003*Scorecard!$C$12+B1003*Scorecard!$C$13+C1003*Scorecard!$C$14+D1003*Scorecard!$C$15+E1003*Scorecard!$C$16+F1003*Scorecard!$C$17</f>
        <v>3.05888804734803</v>
      </c>
      <c r="H1003" s="47" t="n">
        <f aca="false">A1003*Scorecard!$D$12+B1003*Scorecard!$D$13+C1003*Scorecard!$D$14+D1003*Scorecard!$D$15+E1003*Scorecard!$D$16+F1003*Scorecard!$D$17</f>
        <v>3.46416371673943</v>
      </c>
      <c r="I1003" s="47" t="n">
        <f aca="false">A1003*Scorecard!$E$12+B1003*Scorecard!$E$13+C1003*Scorecard!$E$14+D1003*Scorecard!$E$15+E1003*Scorecard!$E$16+F1003*Scorecard!$E$17</f>
        <v>4.50233841239731</v>
      </c>
      <c r="J1003" s="0" t="str">
        <f aca="false">IF(AND(G1003&gt;=H1003,G1003&gt;=I1003),"Distribution",IF(I1003&gt;=H1003,"Prof. services","Manufacturing"))</f>
        <v>Prof. services</v>
      </c>
      <c r="L1003" s="46" t="n">
        <v>0.323947</v>
      </c>
      <c r="M1003" s="46" t="n">
        <v>0.198632</v>
      </c>
      <c r="N1003" s="46" t="n">
        <v>0.113336</v>
      </c>
      <c r="O1003" s="46" t="n">
        <v>0.22385</v>
      </c>
      <c r="P1003" s="46" t="n">
        <v>0.071729</v>
      </c>
      <c r="Q1003" s="46" t="n">
        <v>0.068506</v>
      </c>
      <c r="R1003" s="47" t="n">
        <f aca="false">L1003*Scorecard!$C$12+M1003*Scorecard!$C$13+N1003*Scorecard!$C$14+O1003*Scorecard!$C$15+P1003*Scorecard!$C$16+Q1003*Scorecard!$C$17</f>
        <v>3.70236078020187</v>
      </c>
      <c r="S1003" s="47" t="n">
        <f aca="false">L1003*Scorecard!$D$12+M1003*Scorecard!$D$13+N1003*Scorecard!$D$14+O1003*Scorecard!$D$15+P1003*Scorecard!$D$16+Q1003*Scorecard!$D$17</f>
        <v>3.09612450014135</v>
      </c>
      <c r="T1003" s="47" t="n">
        <f aca="false">L1003*Scorecard!$E$12+M1003*Scorecard!$E$13+N1003*Scorecard!$E$14+O1003*Scorecard!$E$15+P1003*Scorecard!$E$16+Q1003*Scorecard!$E$17</f>
        <v>4.01617204340012</v>
      </c>
      <c r="U1003" s="0" t="str">
        <f aca="false">IF(AND(R1003&gt;=S1003,R1003&gt;=T1003),"Distribution",IF(T1003&gt;=S1003,"Prof. services","Manufacturing"))</f>
        <v>Prof. services</v>
      </c>
    </row>
    <row r="1004" customFormat="false" ht="15" hidden="false" customHeight="false" outlineLevel="0" collapsed="false">
      <c r="A1004" s="46" t="n">
        <v>0.270233</v>
      </c>
      <c r="B1004" s="46" t="n">
        <v>0.300359</v>
      </c>
      <c r="C1004" s="46" t="n">
        <v>0.072364</v>
      </c>
      <c r="D1004" s="46" t="n">
        <v>0.099786</v>
      </c>
      <c r="E1004" s="46" t="n">
        <v>0.100903</v>
      </c>
      <c r="F1004" s="46" t="n">
        <v>0.156355</v>
      </c>
      <c r="G1004" s="47" t="n">
        <f aca="false">A1004*Scorecard!$C$12+B1004*Scorecard!$C$13+C1004*Scorecard!$C$14+D1004*Scorecard!$C$15+E1004*Scorecard!$C$16+F1004*Scorecard!$C$17</f>
        <v>3.60101174621556</v>
      </c>
      <c r="H1004" s="47" t="n">
        <f aca="false">A1004*Scorecard!$D$12+B1004*Scorecard!$D$13+C1004*Scorecard!$D$14+D1004*Scorecard!$D$15+E1004*Scorecard!$D$16+F1004*Scorecard!$D$17</f>
        <v>2.64228090851937</v>
      </c>
      <c r="I1004" s="47" t="n">
        <f aca="false">A1004*Scorecard!$E$12+B1004*Scorecard!$E$13+C1004*Scorecard!$E$14+D1004*Scorecard!$E$15+E1004*Scorecard!$E$16+F1004*Scorecard!$E$17</f>
        <v>3.7056291417613</v>
      </c>
      <c r="J1004" s="0" t="str">
        <f aca="false">IF(AND(G1004&gt;=H1004,G1004&gt;=I1004),"Distribution",IF(I1004&gt;=H1004,"Prof. services","Manufacturing"))</f>
        <v>Prof. services</v>
      </c>
      <c r="L1004" s="46" t="n">
        <v>0.231734</v>
      </c>
      <c r="M1004" s="46" t="n">
        <v>0.106886</v>
      </c>
      <c r="N1004" s="46" t="n">
        <v>0.151498</v>
      </c>
      <c r="O1004" s="46" t="n">
        <v>0.246101</v>
      </c>
      <c r="P1004" s="46" t="n">
        <v>0.22023</v>
      </c>
      <c r="Q1004" s="46" t="n">
        <v>0.043551</v>
      </c>
      <c r="R1004" s="47" t="n">
        <f aca="false">L1004*Scorecard!$C$12+M1004*Scorecard!$C$13+N1004*Scorecard!$C$14+O1004*Scorecard!$C$15+P1004*Scorecard!$C$16+Q1004*Scorecard!$C$17</f>
        <v>3.84876049524861</v>
      </c>
      <c r="S1004" s="47" t="n">
        <f aca="false">L1004*Scorecard!$D$12+M1004*Scorecard!$D$13+N1004*Scorecard!$D$14+O1004*Scorecard!$D$15+P1004*Scorecard!$D$16+Q1004*Scorecard!$D$17</f>
        <v>3.28561572705019</v>
      </c>
      <c r="T1004" s="47" t="n">
        <f aca="false">L1004*Scorecard!$E$12+M1004*Scorecard!$E$13+N1004*Scorecard!$E$14+O1004*Scorecard!$E$15+P1004*Scorecard!$E$16+Q1004*Scorecard!$E$17</f>
        <v>3.87787114835835</v>
      </c>
      <c r="U1004" s="0" t="str">
        <f aca="false">IF(AND(R1004&gt;=S1004,R1004&gt;=T1004),"Distribution",IF(T1004&gt;=S1004,"Prof. services","Manufacturing"))</f>
        <v>Prof. services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50"/>
    <col collapsed="false" customWidth="true" hidden="false" outlineLevel="0" max="5" min="3" style="0" width="14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296</v>
      </c>
    </row>
    <row r="2" customFormat="false" ht="15" hidden="false" customHeight="false" outlineLevel="0" collapsed="false">
      <c r="A2" s="2" t="s">
        <v>297</v>
      </c>
    </row>
    <row r="4" customFormat="false" ht="30" hidden="false" customHeight="true" outlineLevel="0" collapsed="false">
      <c r="A4" s="5" t="s">
        <v>298</v>
      </c>
      <c r="B4" s="5" t="s">
        <v>299</v>
      </c>
      <c r="C4" s="5" t="s">
        <v>15</v>
      </c>
      <c r="D4" s="5" t="s">
        <v>16</v>
      </c>
      <c r="E4" s="5" t="s">
        <v>17</v>
      </c>
      <c r="F4" s="5" t="s">
        <v>272</v>
      </c>
      <c r="G4" s="5" t="s">
        <v>273</v>
      </c>
    </row>
    <row r="5" customFormat="false" ht="15" hidden="false" customHeight="false" outlineLevel="0" collapsed="false">
      <c r="A5" s="6" t="s">
        <v>300</v>
      </c>
      <c r="B5" s="4" t="s">
        <v>301</v>
      </c>
      <c r="C5" s="20" t="n">
        <f aca="false">C36</f>
        <v>3.7899971478062</v>
      </c>
      <c r="D5" s="20" t="n">
        <f aca="false">D36</f>
        <v>2.90555558761579</v>
      </c>
      <c r="E5" s="20" t="n">
        <f aca="false">E36</f>
        <v>3.84949903060206</v>
      </c>
      <c r="F5" s="17" t="str">
        <f aca="false">C37</f>
        <v>Prof. services</v>
      </c>
      <c r="G5" s="41" t="n">
        <f aca="false">C5-E5</f>
        <v>-0.0595018827958587</v>
      </c>
    </row>
    <row r="6" customFormat="false" ht="23.85" hidden="false" customHeight="false" outlineLevel="0" collapsed="false">
      <c r="A6" s="4" t="s">
        <v>302</v>
      </c>
      <c r="B6" s="4" t="s">
        <v>303</v>
      </c>
      <c r="C6" s="20" t="n">
        <f aca="false">C53</f>
        <v>3.9399971478062</v>
      </c>
      <c r="D6" s="20" t="n">
        <f aca="false">D53</f>
        <v>2.90555558761579</v>
      </c>
      <c r="E6" s="20" t="n">
        <f aca="false">E53</f>
        <v>3.84949903060206</v>
      </c>
      <c r="F6" s="17" t="str">
        <f aca="false">C54</f>
        <v>Distribution</v>
      </c>
      <c r="G6" s="41" t="n">
        <f aca="false">C6-E6</f>
        <v>0.0904981172041413</v>
      </c>
    </row>
    <row r="7" customFormat="false" ht="15" hidden="false" customHeight="false" outlineLevel="0" collapsed="false">
      <c r="A7" s="4" t="s">
        <v>304</v>
      </c>
      <c r="B7" s="4" t="s">
        <v>305</v>
      </c>
      <c r="C7" s="20" t="n">
        <f aca="false">C70</f>
        <v>3.77736571897429</v>
      </c>
      <c r="D7" s="20" t="n">
        <f aca="false">D70</f>
        <v>2.8775498080693</v>
      </c>
      <c r="E7" s="20" t="n">
        <f aca="false">E70</f>
        <v>3.84949903060206</v>
      </c>
      <c r="F7" s="17" t="str">
        <f aca="false">C71</f>
        <v>Prof. services</v>
      </c>
      <c r="G7" s="41" t="n">
        <f aca="false">C7-E7</f>
        <v>-0.072133311627764</v>
      </c>
    </row>
    <row r="8" customFormat="false" ht="15" hidden="false" customHeight="false" outlineLevel="0" collapsed="false">
      <c r="A8" s="4" t="s">
        <v>306</v>
      </c>
      <c r="B8" s="4" t="s">
        <v>307</v>
      </c>
      <c r="C8" s="20" t="n">
        <f aca="false">C87</f>
        <v>3.83799657736744</v>
      </c>
      <c r="D8" s="20" t="n">
        <f aca="false">D87</f>
        <v>3.01197754989245</v>
      </c>
      <c r="E8" s="20" t="n">
        <f aca="false">E87</f>
        <v>3.84949903060206</v>
      </c>
      <c r="F8" s="17" t="str">
        <f aca="false">C88</f>
        <v>Prof. services</v>
      </c>
      <c r="G8" s="41" t="n">
        <f aca="false">C8-E8</f>
        <v>-0.0115024532346188</v>
      </c>
    </row>
    <row r="9" customFormat="false" ht="23.85" hidden="false" customHeight="false" outlineLevel="0" collapsed="false">
      <c r="A9" s="4" t="s">
        <v>308</v>
      </c>
      <c r="B9" s="4" t="s">
        <v>309</v>
      </c>
      <c r="C9" s="20" t="n">
        <f aca="false">C104</f>
        <v>3.6899971478062</v>
      </c>
      <c r="D9" s="20" t="n">
        <f aca="false">D104</f>
        <v>2.90555558761579</v>
      </c>
      <c r="E9" s="20" t="n">
        <f aca="false">E104</f>
        <v>3.84949903060206</v>
      </c>
      <c r="F9" s="17" t="str">
        <f aca="false">C105</f>
        <v>Prof. services</v>
      </c>
      <c r="G9" s="41" t="n">
        <f aca="false">C9-E9</f>
        <v>-0.159501882795859</v>
      </c>
    </row>
    <row r="10" customFormat="false" ht="15" hidden="false" customHeight="false" outlineLevel="0" collapsed="false">
      <c r="A10" s="4" t="s">
        <v>310</v>
      </c>
      <c r="B10" s="4" t="s">
        <v>311</v>
      </c>
      <c r="C10" s="20" t="n">
        <f aca="false">C121</f>
        <v>3.5899971478062</v>
      </c>
      <c r="D10" s="20" t="n">
        <f aca="false">D121</f>
        <v>2.90555558761579</v>
      </c>
      <c r="E10" s="20" t="n">
        <f aca="false">E121</f>
        <v>3.84949903060206</v>
      </c>
      <c r="F10" s="17" t="str">
        <f aca="false">C122</f>
        <v>Prof. services</v>
      </c>
      <c r="G10" s="41" t="n">
        <f aca="false">C10-E10</f>
        <v>-0.259501882795859</v>
      </c>
    </row>
    <row r="11" customFormat="false" ht="15" hidden="false" customHeight="false" outlineLevel="0" collapsed="false">
      <c r="A11" s="4" t="s">
        <v>312</v>
      </c>
      <c r="B11" s="4" t="s">
        <v>313</v>
      </c>
      <c r="C11" s="20" t="n">
        <f aca="false">C138</f>
        <v>3.6399971478062</v>
      </c>
      <c r="D11" s="20" t="n">
        <f aca="false">D138</f>
        <v>2.90555558761579</v>
      </c>
      <c r="E11" s="20" t="n">
        <f aca="false">E138</f>
        <v>3.84949903060206</v>
      </c>
      <c r="F11" s="17" t="str">
        <f aca="false">C139</f>
        <v>Prof. services</v>
      </c>
      <c r="G11" s="41" t="n">
        <f aca="false">C11-E11</f>
        <v>-0.209501882795859</v>
      </c>
    </row>
    <row r="12" customFormat="false" ht="15" hidden="false" customHeight="false" outlineLevel="0" collapsed="false">
      <c r="A12" s="4" t="s">
        <v>314</v>
      </c>
      <c r="B12" s="4" t="s">
        <v>315</v>
      </c>
      <c r="C12" s="20" t="n">
        <f aca="false">C155</f>
        <v>3.4399971478062</v>
      </c>
      <c r="D12" s="20" t="n">
        <f aca="false">D155</f>
        <v>2.90555558761579</v>
      </c>
      <c r="E12" s="20" t="n">
        <f aca="false">E155</f>
        <v>3.84949903060206</v>
      </c>
      <c r="F12" s="17" t="str">
        <f aca="false">C156</f>
        <v>Prof. services</v>
      </c>
      <c r="G12" s="41" t="n">
        <f aca="false">C12-E12</f>
        <v>-0.409501882795859</v>
      </c>
    </row>
    <row r="13" customFormat="false" ht="15" hidden="false" customHeight="false" outlineLevel="0" collapsed="false">
      <c r="A13" s="4" t="s">
        <v>316</v>
      </c>
      <c r="B13" s="4" t="s">
        <v>317</v>
      </c>
      <c r="C13" s="20" t="n">
        <f aca="false">C172</f>
        <v>3.7899971478062</v>
      </c>
      <c r="D13" s="20" t="n">
        <f aca="false">D172</f>
        <v>2.90555558761579</v>
      </c>
      <c r="E13" s="20" t="n">
        <f aca="false">E172</f>
        <v>3.99949903060206</v>
      </c>
      <c r="F13" s="17" t="str">
        <f aca="false">C173</f>
        <v>Prof. services</v>
      </c>
      <c r="G13" s="41" t="n">
        <f aca="false">C13-E13</f>
        <v>-0.209501882795859</v>
      </c>
    </row>
    <row r="14" customFormat="false" ht="15" hidden="false" customHeight="false" outlineLevel="0" collapsed="false">
      <c r="A14" s="4" t="s">
        <v>318</v>
      </c>
      <c r="B14" s="4" t="s">
        <v>319</v>
      </c>
      <c r="C14" s="20" t="n">
        <f aca="false">C189</f>
        <v>3.4399971478062</v>
      </c>
      <c r="D14" s="20" t="n">
        <f aca="false">D189</f>
        <v>2.90555558761579</v>
      </c>
      <c r="E14" s="20" t="n">
        <f aca="false">E189</f>
        <v>3.99949903060206</v>
      </c>
      <c r="F14" s="17" t="str">
        <f aca="false">C190</f>
        <v>Prof. services</v>
      </c>
      <c r="G14" s="41" t="n">
        <f aca="false">C14-E14</f>
        <v>-0.559501882795859</v>
      </c>
    </row>
    <row r="15" customFormat="false" ht="15" hidden="false" customHeight="false" outlineLevel="0" collapsed="false">
      <c r="A15" s="4" t="s">
        <v>320</v>
      </c>
      <c r="B15" s="4" t="s">
        <v>321</v>
      </c>
      <c r="C15" s="20" t="n">
        <f aca="false">C206</f>
        <v>3.7899971478062</v>
      </c>
      <c r="D15" s="20" t="n">
        <f aca="false">D206</f>
        <v>2.79591068002939</v>
      </c>
      <c r="E15" s="20" t="n">
        <f aca="false">E206</f>
        <v>3.73962949294073</v>
      </c>
      <c r="F15" s="17" t="str">
        <f aca="false">C207</f>
        <v>Distribution</v>
      </c>
      <c r="G15" s="41" t="n">
        <f aca="false">C15-E15</f>
        <v>0.0503676548654712</v>
      </c>
    </row>
    <row r="16" customFormat="false" ht="23.85" hidden="false" customHeight="false" outlineLevel="0" collapsed="false">
      <c r="A16" s="4" t="s">
        <v>322</v>
      </c>
      <c r="B16" s="4" t="s">
        <v>323</v>
      </c>
      <c r="C16" s="20" t="n">
        <f aca="false">C223</f>
        <v>3.98817544231159</v>
      </c>
      <c r="D16" s="20" t="n">
        <f aca="false">D223</f>
        <v>3.02589335964945</v>
      </c>
      <c r="E16" s="20" t="n">
        <f aca="false">E223</f>
        <v>3.84949903060206</v>
      </c>
      <c r="F16" s="17" t="str">
        <f aca="false">C224</f>
        <v>Distribution</v>
      </c>
      <c r="G16" s="41" t="n">
        <f aca="false">C16-E16</f>
        <v>0.138676411709534</v>
      </c>
    </row>
    <row r="17" customFormat="false" ht="23.85" hidden="false" customHeight="false" outlineLevel="0" collapsed="false">
      <c r="A17" s="4" t="s">
        <v>324</v>
      </c>
      <c r="B17" s="4" t="s">
        <v>325</v>
      </c>
      <c r="C17" s="20" t="n">
        <f aca="false">C240</f>
        <v>3.55</v>
      </c>
      <c r="D17" s="20" t="n">
        <f aca="false">D240</f>
        <v>2.2173016797079</v>
      </c>
      <c r="E17" s="20" t="n">
        <f aca="false">E240</f>
        <v>3.29751879306614</v>
      </c>
      <c r="F17" s="17" t="str">
        <f aca="false">C241</f>
        <v>Distribution</v>
      </c>
      <c r="G17" s="41" t="n">
        <f aca="false">C17-E17</f>
        <v>0.252481206933857</v>
      </c>
    </row>
    <row r="18" customFormat="false" ht="23.85" hidden="false" customHeight="false" outlineLevel="0" collapsed="false">
      <c r="A18" s="4" t="s">
        <v>326</v>
      </c>
      <c r="B18" s="4" t="s">
        <v>327</v>
      </c>
      <c r="C18" s="20" t="n">
        <f aca="false">C257</f>
        <v>3.89908676044538</v>
      </c>
      <c r="D18" s="20" t="n">
        <f aca="false">D257</f>
        <v>2.80880834918246</v>
      </c>
      <c r="E18" s="20" t="n">
        <f aca="false">E257</f>
        <v>3.84949903060206</v>
      </c>
      <c r="F18" s="17" t="str">
        <f aca="false">C258</f>
        <v>Distribution</v>
      </c>
      <c r="G18" s="41" t="n">
        <f aca="false">C18-E18</f>
        <v>0.0495877298433225</v>
      </c>
    </row>
    <row r="19" customFormat="false" ht="15" hidden="false" customHeight="false" outlineLevel="0" collapsed="false">
      <c r="A19" s="6" t="s">
        <v>328</v>
      </c>
      <c r="C19" s="40" t="n">
        <f aca="false">COUNTIF(F5:F18,"Distribution")</f>
        <v>5</v>
      </c>
      <c r="E19" s="40" t="n">
        <f aca="false">COUNTIF(F5:F18,"Prof. services")</f>
        <v>9</v>
      </c>
    </row>
    <row r="22" customFormat="false" ht="23.85" hidden="false" customHeight="false" outlineLevel="0" collapsed="false">
      <c r="A22" s="3" t="s">
        <v>300</v>
      </c>
      <c r="B22" s="12"/>
      <c r="C22" s="12"/>
      <c r="D22" s="12"/>
      <c r="E22" s="12"/>
      <c r="F22" s="48" t="s">
        <v>301</v>
      </c>
    </row>
    <row r="23" customFormat="false" ht="19.5" hidden="false" customHeight="true" outlineLevel="0" collapsed="false">
      <c r="A23" s="5" t="s">
        <v>44</v>
      </c>
      <c r="B23" s="5" t="s">
        <v>216</v>
      </c>
      <c r="C23" s="5" t="s">
        <v>15</v>
      </c>
      <c r="D23" s="5" t="s">
        <v>16</v>
      </c>
      <c r="E23" s="5" t="s">
        <v>17</v>
      </c>
      <c r="F23" s="5" t="s">
        <v>233</v>
      </c>
    </row>
    <row r="24" customFormat="false" ht="15" hidden="false" customHeight="false" outlineLevel="0" collapsed="false">
      <c r="A24" s="4" t="s">
        <v>52</v>
      </c>
      <c r="B24" s="4" t="s">
        <v>234</v>
      </c>
      <c r="C24" s="35" t="n">
        <f aca="false">Inputs!D8</f>
        <v>6243.5408</v>
      </c>
      <c r="D24" s="35" t="n">
        <f aca="false">Inputs!E8</f>
        <v>13842.87</v>
      </c>
      <c r="E24" s="35" t="n">
        <f aca="false">Inputs!F8</f>
        <v>20812.05</v>
      </c>
    </row>
    <row r="25" customFormat="false" ht="15" hidden="false" customHeight="false" outlineLevel="0" collapsed="false">
      <c r="A25" s="4" t="s">
        <v>54</v>
      </c>
      <c r="B25" s="4" t="s">
        <v>234</v>
      </c>
      <c r="C25" s="9" t="n">
        <f aca="false">Inputs!D10</f>
        <v>2.54319722285706</v>
      </c>
      <c r="D25" s="9" t="n">
        <f aca="false">Inputs!E10</f>
        <v>0.317262579404513</v>
      </c>
      <c r="E25" s="9" t="n">
        <f aca="false">Inputs!F10</f>
        <v>0.714900662222239</v>
      </c>
    </row>
    <row r="26" customFormat="false" ht="15" hidden="false" customHeight="false" outlineLevel="0" collapsed="false">
      <c r="A26" s="4" t="s">
        <v>56</v>
      </c>
      <c r="B26" s="4" t="s">
        <v>234</v>
      </c>
      <c r="C26" s="9" t="n">
        <f aca="false">Inputs!D12</f>
        <v>4</v>
      </c>
      <c r="D26" s="9" t="n">
        <f aca="false">Inputs!E12</f>
        <v>3</v>
      </c>
      <c r="E26" s="9" t="n">
        <f aca="false">Inputs!F12</f>
        <v>5</v>
      </c>
    </row>
    <row r="27" customFormat="false" ht="15" hidden="false" customHeight="false" outlineLevel="0" collapsed="false">
      <c r="A27" s="4" t="s">
        <v>58</v>
      </c>
      <c r="B27" s="4" t="s">
        <v>234</v>
      </c>
      <c r="C27" s="36" t="n">
        <f aca="false">Inputs!D13</f>
        <v>8939.68360171452</v>
      </c>
      <c r="D27" s="36" t="n">
        <f aca="false">Inputs!E13</f>
        <v>7057.0782697439</v>
      </c>
      <c r="E27" s="36" t="n">
        <f aca="false">Inputs!F13</f>
        <v>7071.53614157276</v>
      </c>
    </row>
    <row r="28" customFormat="false" ht="15" hidden="false" customHeight="false" outlineLevel="0" collapsed="false">
      <c r="A28" s="4" t="s">
        <v>60</v>
      </c>
      <c r="B28" s="4" t="s">
        <v>234</v>
      </c>
      <c r="C28" s="9" t="n">
        <f aca="false">Inputs!D15</f>
        <v>4</v>
      </c>
      <c r="D28" s="9" t="n">
        <f aca="false">Inputs!E15</f>
        <v>3.33333333333333</v>
      </c>
      <c r="E28" s="9" t="n">
        <f aca="false">Inputs!F15</f>
        <v>2.33333333333333</v>
      </c>
    </row>
    <row r="29" customFormat="false" ht="15" hidden="false" customHeight="false" outlineLevel="0" collapsed="false">
      <c r="A29" s="4" t="s">
        <v>62</v>
      </c>
      <c r="B29" s="4" t="s">
        <v>234</v>
      </c>
      <c r="C29" s="9" t="n">
        <f aca="false">Inputs!D16</f>
        <v>2</v>
      </c>
      <c r="D29" s="9" t="n">
        <f aca="false">Inputs!E16</f>
        <v>1.5</v>
      </c>
      <c r="E29" s="9" t="n">
        <f aca="false">Inputs!F16</f>
        <v>4.5</v>
      </c>
    </row>
    <row r="30" customFormat="false" ht="15" hidden="false" customHeight="false" outlineLevel="0" collapsed="false">
      <c r="A30" s="6" t="s">
        <v>52</v>
      </c>
      <c r="B30" s="4" t="s">
        <v>235</v>
      </c>
      <c r="C30" s="20" t="n">
        <f aca="false">1+4*C24/MAX($C$24:$E$24)</f>
        <v>2.19998573903099</v>
      </c>
      <c r="D30" s="20" t="n">
        <f aca="false">1+4*D24/MAX($C$24:$E$24)</f>
        <v>3.66054905691655</v>
      </c>
      <c r="E30" s="20" t="n">
        <f aca="false">1+4*E24/MAX($C$24:$E$24)</f>
        <v>5</v>
      </c>
      <c r="F30" s="4" t="s">
        <v>236</v>
      </c>
    </row>
    <row r="31" customFormat="false" ht="15" hidden="false" customHeight="false" outlineLevel="0" collapsed="false">
      <c r="A31" s="6" t="s">
        <v>54</v>
      </c>
      <c r="B31" s="4" t="s">
        <v>235</v>
      </c>
      <c r="C31" s="20" t="n">
        <f aca="false">1+4*C25/MAX($C$25:$E$25)</f>
        <v>5</v>
      </c>
      <c r="D31" s="20" t="n">
        <f aca="false">1+4*D25/MAX($C$25:$E$25)</f>
        <v>1.49899799599198</v>
      </c>
      <c r="E31" s="20" t="n">
        <f aca="false">1+4*E25/MAX($C$25:$E$25)</f>
        <v>2.12441246128621</v>
      </c>
      <c r="F31" s="4" t="s">
        <v>236</v>
      </c>
    </row>
    <row r="32" customFormat="false" ht="15" hidden="false" customHeight="false" outlineLevel="0" collapsed="false">
      <c r="A32" s="6" t="s">
        <v>56</v>
      </c>
      <c r="B32" s="4" t="s">
        <v>235</v>
      </c>
      <c r="C32" s="20" t="n">
        <f aca="false">C26</f>
        <v>4</v>
      </c>
      <c r="D32" s="20" t="n">
        <f aca="false">D26</f>
        <v>3</v>
      </c>
      <c r="E32" s="20" t="n">
        <f aca="false">E26</f>
        <v>5</v>
      </c>
      <c r="F32" s="4" t="s">
        <v>237</v>
      </c>
    </row>
    <row r="33" customFormat="false" ht="15" hidden="false" customHeight="false" outlineLevel="0" collapsed="false">
      <c r="A33" s="6" t="s">
        <v>58</v>
      </c>
      <c r="B33" s="4" t="s">
        <v>235</v>
      </c>
      <c r="C33" s="20" t="n">
        <f aca="false">1+4*C27/MAX($C$27:$E$27)</f>
        <v>5</v>
      </c>
      <c r="D33" s="20" t="n">
        <f aca="false">1+4*D27/MAX($C$27:$E$27)</f>
        <v>4.1576411802272</v>
      </c>
      <c r="E33" s="20" t="n">
        <f aca="false">1+4*E27/MAX($C$27:$E$27)</f>
        <v>4.1641102556321</v>
      </c>
      <c r="F33" s="4" t="s">
        <v>236</v>
      </c>
    </row>
    <row r="34" customFormat="false" ht="15" hidden="false" customHeight="false" outlineLevel="0" collapsed="false">
      <c r="A34" s="6" t="s">
        <v>60</v>
      </c>
      <c r="B34" s="4" t="s">
        <v>235</v>
      </c>
      <c r="C34" s="20" t="n">
        <f aca="false">C28</f>
        <v>4</v>
      </c>
      <c r="D34" s="20" t="n">
        <f aca="false">D28</f>
        <v>3.33333333333333</v>
      </c>
      <c r="E34" s="20" t="n">
        <f aca="false">E28</f>
        <v>2.33333333333333</v>
      </c>
      <c r="F34" s="4" t="s">
        <v>237</v>
      </c>
    </row>
    <row r="35" customFormat="false" ht="15" hidden="false" customHeight="false" outlineLevel="0" collapsed="false">
      <c r="A35" s="6" t="s">
        <v>62</v>
      </c>
      <c r="B35" s="4" t="s">
        <v>235</v>
      </c>
      <c r="C35" s="20" t="n">
        <f aca="false">C29</f>
        <v>2</v>
      </c>
      <c r="D35" s="20" t="n">
        <f aca="false">D29</f>
        <v>1.5</v>
      </c>
      <c r="E35" s="20" t="n">
        <f aca="false">E29</f>
        <v>4.5</v>
      </c>
      <c r="F35" s="4" t="s">
        <v>237</v>
      </c>
    </row>
    <row r="36" customFormat="false" ht="15" hidden="false" customHeight="false" outlineLevel="0" collapsed="false">
      <c r="A36" s="37" t="s">
        <v>238</v>
      </c>
      <c r="B36" s="38" t="s">
        <v>239</v>
      </c>
      <c r="C36" s="39" t="n">
        <f aca="false">SUMPRODUCT(Weights!$B$5:$B$10,C30:C35)</f>
        <v>3.7899971478062</v>
      </c>
      <c r="D36" s="39" t="n">
        <f aca="false">SUMPRODUCT(Weights!$B$5:$B$10,D30:D35)</f>
        <v>2.90555558761579</v>
      </c>
      <c r="E36" s="39" t="n">
        <f aca="false">SUMPRODUCT(Weights!$B$5:$B$10,E30:E35)</f>
        <v>3.84949903060206</v>
      </c>
    </row>
    <row r="37" customFormat="false" ht="23.85" hidden="false" customHeight="false" outlineLevel="0" collapsed="false">
      <c r="A37" s="6" t="s">
        <v>240</v>
      </c>
      <c r="C37" s="40" t="str">
        <f aca="false">INDEX({"Distribution","Manufacturing","Prof. services"},MATCH(MAX(C36:E36),C36:E36,0))</f>
        <v>Prof. services</v>
      </c>
      <c r="E37" s="41" t="n">
        <f aca="false">C36-E36</f>
        <v>-0.0595018827958587</v>
      </c>
    </row>
    <row r="39" customFormat="false" ht="46.25" hidden="false" customHeight="false" outlineLevel="0" collapsed="false">
      <c r="A39" s="3" t="s">
        <v>302</v>
      </c>
      <c r="B39" s="12"/>
      <c r="C39" s="12"/>
      <c r="D39" s="12"/>
      <c r="E39" s="12"/>
      <c r="F39" s="48" t="s">
        <v>303</v>
      </c>
    </row>
    <row r="40" customFormat="false" ht="19.5" hidden="false" customHeight="true" outlineLevel="0" collapsed="false">
      <c r="A40" s="5" t="s">
        <v>44</v>
      </c>
      <c r="B40" s="5" t="s">
        <v>216</v>
      </c>
      <c r="C40" s="5" t="s">
        <v>15</v>
      </c>
      <c r="D40" s="5" t="s">
        <v>16</v>
      </c>
      <c r="E40" s="5" t="s">
        <v>17</v>
      </c>
      <c r="F40" s="5" t="s">
        <v>233</v>
      </c>
    </row>
    <row r="41" customFormat="false" ht="15" hidden="false" customHeight="false" outlineLevel="0" collapsed="false">
      <c r="A41" s="4" t="s">
        <v>52</v>
      </c>
      <c r="B41" s="4" t="s">
        <v>234</v>
      </c>
      <c r="C41" s="35" t="n">
        <f aca="false">Inputs!D8</f>
        <v>6243.5408</v>
      </c>
      <c r="D41" s="35" t="n">
        <f aca="false">Inputs!E8</f>
        <v>13842.87</v>
      </c>
      <c r="E41" s="35" t="n">
        <f aca="false">Inputs!F8</f>
        <v>20812.05</v>
      </c>
    </row>
    <row r="42" customFormat="false" ht="15" hidden="false" customHeight="false" outlineLevel="0" collapsed="false">
      <c r="A42" s="4" t="s">
        <v>54</v>
      </c>
      <c r="B42" s="4" t="s">
        <v>234</v>
      </c>
      <c r="C42" s="9" t="n">
        <f aca="false">Inputs!D10</f>
        <v>2.54319722285706</v>
      </c>
      <c r="D42" s="9" t="n">
        <f aca="false">Inputs!E10</f>
        <v>0.317262579404513</v>
      </c>
      <c r="E42" s="9" t="n">
        <f aca="false">Inputs!F10</f>
        <v>0.714900662222239</v>
      </c>
    </row>
    <row r="43" customFormat="false" ht="15" hidden="false" customHeight="false" outlineLevel="0" collapsed="false">
      <c r="A43" s="4" t="s">
        <v>56</v>
      </c>
      <c r="B43" s="4" t="s">
        <v>234</v>
      </c>
      <c r="C43" s="9" t="n">
        <f aca="false">Inputs!D12</f>
        <v>4</v>
      </c>
      <c r="D43" s="9" t="n">
        <f aca="false">Inputs!E12</f>
        <v>3</v>
      </c>
      <c r="E43" s="9" t="n">
        <f aca="false">Inputs!F12</f>
        <v>5</v>
      </c>
    </row>
    <row r="44" customFormat="false" ht="15" hidden="false" customHeight="false" outlineLevel="0" collapsed="false">
      <c r="A44" s="4" t="s">
        <v>58</v>
      </c>
      <c r="B44" s="4" t="s">
        <v>234</v>
      </c>
      <c r="C44" s="36" t="n">
        <f aca="false">Inputs!D13</f>
        <v>8939.68360171452</v>
      </c>
      <c r="D44" s="36" t="n">
        <f aca="false">Inputs!E13</f>
        <v>7057.0782697439</v>
      </c>
      <c r="E44" s="36" t="n">
        <f aca="false">Inputs!F13</f>
        <v>7071.53614157276</v>
      </c>
    </row>
    <row r="45" customFormat="false" ht="15" hidden="false" customHeight="false" outlineLevel="0" collapsed="false">
      <c r="A45" s="4" t="s">
        <v>60</v>
      </c>
      <c r="B45" s="4" t="s">
        <v>234</v>
      </c>
      <c r="C45" s="9" t="n">
        <f aca="false">Inputs!D15</f>
        <v>4</v>
      </c>
      <c r="D45" s="9" t="n">
        <f aca="false">Inputs!E15</f>
        <v>3.33333333333333</v>
      </c>
      <c r="E45" s="9" t="n">
        <f aca="false">Inputs!F15</f>
        <v>2.33333333333333</v>
      </c>
    </row>
    <row r="46" customFormat="false" ht="15" hidden="false" customHeight="false" outlineLevel="0" collapsed="false">
      <c r="A46" s="4" t="s">
        <v>62</v>
      </c>
      <c r="B46" s="4" t="s">
        <v>234</v>
      </c>
      <c r="C46" s="49" t="n">
        <f aca="false">3.5</f>
        <v>3.5</v>
      </c>
      <c r="D46" s="50" t="n">
        <f aca="false">Inputs!E16</f>
        <v>1.5</v>
      </c>
      <c r="E46" s="50" t="n">
        <f aca="false">Inputs!F16</f>
        <v>4.5</v>
      </c>
    </row>
    <row r="47" customFormat="false" ht="15" hidden="false" customHeight="false" outlineLevel="0" collapsed="false">
      <c r="A47" s="6" t="s">
        <v>52</v>
      </c>
      <c r="B47" s="4" t="s">
        <v>235</v>
      </c>
      <c r="C47" s="20" t="n">
        <f aca="false">1+4*C41/MAX($C$41:$E$41)</f>
        <v>2.19998573903099</v>
      </c>
      <c r="D47" s="20" t="n">
        <f aca="false">1+4*D41/MAX($C$41:$E$41)</f>
        <v>3.66054905691655</v>
      </c>
      <c r="E47" s="20" t="n">
        <f aca="false">1+4*E41/MAX($C$41:$E$41)</f>
        <v>5</v>
      </c>
      <c r="F47" s="4" t="s">
        <v>236</v>
      </c>
    </row>
    <row r="48" customFormat="false" ht="15" hidden="false" customHeight="false" outlineLevel="0" collapsed="false">
      <c r="A48" s="6" t="s">
        <v>54</v>
      </c>
      <c r="B48" s="4" t="s">
        <v>235</v>
      </c>
      <c r="C48" s="20" t="n">
        <f aca="false">1+4*C42/MAX($C$42:$E$42)</f>
        <v>5</v>
      </c>
      <c r="D48" s="20" t="n">
        <f aca="false">1+4*D42/MAX($C$42:$E$42)</f>
        <v>1.49899799599198</v>
      </c>
      <c r="E48" s="20" t="n">
        <f aca="false">1+4*E42/MAX($C$42:$E$42)</f>
        <v>2.12441246128621</v>
      </c>
      <c r="F48" s="4" t="s">
        <v>236</v>
      </c>
    </row>
    <row r="49" customFormat="false" ht="15" hidden="false" customHeight="false" outlineLevel="0" collapsed="false">
      <c r="A49" s="6" t="s">
        <v>56</v>
      </c>
      <c r="B49" s="4" t="s">
        <v>235</v>
      </c>
      <c r="C49" s="20" t="n">
        <f aca="false">C43</f>
        <v>4</v>
      </c>
      <c r="D49" s="20" t="n">
        <f aca="false">D43</f>
        <v>3</v>
      </c>
      <c r="E49" s="20" t="n">
        <f aca="false">E43</f>
        <v>5</v>
      </c>
      <c r="F49" s="4" t="s">
        <v>237</v>
      </c>
    </row>
    <row r="50" customFormat="false" ht="15" hidden="false" customHeight="false" outlineLevel="0" collapsed="false">
      <c r="A50" s="6" t="s">
        <v>58</v>
      </c>
      <c r="B50" s="4" t="s">
        <v>235</v>
      </c>
      <c r="C50" s="20" t="n">
        <f aca="false">1+4*C44/MAX($C$44:$E$44)</f>
        <v>5</v>
      </c>
      <c r="D50" s="20" t="n">
        <f aca="false">1+4*D44/MAX($C$44:$E$44)</f>
        <v>4.1576411802272</v>
      </c>
      <c r="E50" s="20" t="n">
        <f aca="false">1+4*E44/MAX($C$44:$E$44)</f>
        <v>4.1641102556321</v>
      </c>
      <c r="F50" s="4" t="s">
        <v>236</v>
      </c>
    </row>
    <row r="51" customFormat="false" ht="15" hidden="false" customHeight="false" outlineLevel="0" collapsed="false">
      <c r="A51" s="6" t="s">
        <v>60</v>
      </c>
      <c r="B51" s="4" t="s">
        <v>235</v>
      </c>
      <c r="C51" s="20" t="n">
        <f aca="false">C45</f>
        <v>4</v>
      </c>
      <c r="D51" s="20" t="n">
        <f aca="false">D45</f>
        <v>3.33333333333333</v>
      </c>
      <c r="E51" s="20" t="n">
        <f aca="false">E45</f>
        <v>2.33333333333333</v>
      </c>
      <c r="F51" s="4" t="s">
        <v>237</v>
      </c>
    </row>
    <row r="52" customFormat="false" ht="15" hidden="false" customHeight="false" outlineLevel="0" collapsed="false">
      <c r="A52" s="6" t="s">
        <v>62</v>
      </c>
      <c r="B52" s="4" t="s">
        <v>235</v>
      </c>
      <c r="C52" s="20" t="n">
        <f aca="false">C46</f>
        <v>3.5</v>
      </c>
      <c r="D52" s="20" t="n">
        <f aca="false">D46</f>
        <v>1.5</v>
      </c>
      <c r="E52" s="20" t="n">
        <f aca="false">E46</f>
        <v>4.5</v>
      </c>
      <c r="F52" s="4" t="s">
        <v>237</v>
      </c>
    </row>
    <row r="53" customFormat="false" ht="15" hidden="false" customHeight="false" outlineLevel="0" collapsed="false">
      <c r="A53" s="37" t="s">
        <v>238</v>
      </c>
      <c r="B53" s="38" t="s">
        <v>239</v>
      </c>
      <c r="C53" s="39" t="n">
        <f aca="false">SUMPRODUCT(Weights!$B$5:$B$10,C47:C52)</f>
        <v>3.9399971478062</v>
      </c>
      <c r="D53" s="39" t="n">
        <f aca="false">SUMPRODUCT(Weights!$B$5:$B$10,D47:D52)</f>
        <v>2.90555558761579</v>
      </c>
      <c r="E53" s="39" t="n">
        <f aca="false">SUMPRODUCT(Weights!$B$5:$B$10,E47:E52)</f>
        <v>3.84949903060206</v>
      </c>
    </row>
    <row r="54" customFormat="false" ht="23.85" hidden="false" customHeight="false" outlineLevel="0" collapsed="false">
      <c r="A54" s="6" t="s">
        <v>240</v>
      </c>
      <c r="C54" s="40" t="str">
        <f aca="false">INDEX({"Distribution","Manufacturing","Prof. services"},MATCH(MAX(C53:E53),C53:E53,0))</f>
        <v>Distribution</v>
      </c>
      <c r="E54" s="41" t="n">
        <f aca="false">C53-E53</f>
        <v>0.0904981172041413</v>
      </c>
    </row>
    <row r="56" customFormat="false" ht="35.05" hidden="false" customHeight="false" outlineLevel="0" collapsed="false">
      <c r="A56" s="3" t="s">
        <v>304</v>
      </c>
      <c r="B56" s="12"/>
      <c r="C56" s="12"/>
      <c r="D56" s="12"/>
      <c r="E56" s="12"/>
      <c r="F56" s="48" t="s">
        <v>305</v>
      </c>
    </row>
    <row r="57" customFormat="false" ht="19.5" hidden="false" customHeight="true" outlineLevel="0" collapsed="false">
      <c r="A57" s="5" t="s">
        <v>44</v>
      </c>
      <c r="B57" s="5" t="s">
        <v>216</v>
      </c>
      <c r="C57" s="5" t="s">
        <v>15</v>
      </c>
      <c r="D57" s="5" t="s">
        <v>16</v>
      </c>
      <c r="E57" s="5" t="s">
        <v>17</v>
      </c>
      <c r="F57" s="5" t="s">
        <v>233</v>
      </c>
    </row>
    <row r="58" customFormat="false" ht="15" hidden="false" customHeight="false" outlineLevel="0" collapsed="false">
      <c r="A58" s="4" t="s">
        <v>52</v>
      </c>
      <c r="B58" s="4" t="s">
        <v>234</v>
      </c>
      <c r="C58" s="51" t="n">
        <f aca="false">Inputs!D8</f>
        <v>6243.5408</v>
      </c>
      <c r="D58" s="51" t="n">
        <f aca="false">Inputs!E8</f>
        <v>13842.87</v>
      </c>
      <c r="E58" s="52" t="n">
        <f aca="false">Inputs!F5*Inputs!F6*(1-0.05)</f>
        <v>21968.275</v>
      </c>
    </row>
    <row r="59" customFormat="false" ht="15" hidden="false" customHeight="false" outlineLevel="0" collapsed="false">
      <c r="A59" s="4" t="s">
        <v>54</v>
      </c>
      <c r="B59" s="4" t="s">
        <v>234</v>
      </c>
      <c r="C59" s="9" t="n">
        <f aca="false">Inputs!D10</f>
        <v>2.54319722285706</v>
      </c>
      <c r="D59" s="9" t="n">
        <f aca="false">Inputs!E10</f>
        <v>0.317262579404513</v>
      </c>
      <c r="E59" s="9" t="n">
        <f aca="false">Inputs!F10</f>
        <v>0.714900662222239</v>
      </c>
    </row>
    <row r="60" customFormat="false" ht="15" hidden="false" customHeight="false" outlineLevel="0" collapsed="false">
      <c r="A60" s="4" t="s">
        <v>56</v>
      </c>
      <c r="B60" s="4" t="s">
        <v>234</v>
      </c>
      <c r="C60" s="9" t="n">
        <f aca="false">Inputs!D12</f>
        <v>4</v>
      </c>
      <c r="D60" s="9" t="n">
        <f aca="false">Inputs!E12</f>
        <v>3</v>
      </c>
      <c r="E60" s="9" t="n">
        <f aca="false">Inputs!F12</f>
        <v>5</v>
      </c>
    </row>
    <row r="61" customFormat="false" ht="15" hidden="false" customHeight="false" outlineLevel="0" collapsed="false">
      <c r="A61" s="4" t="s">
        <v>58</v>
      </c>
      <c r="B61" s="4" t="s">
        <v>234</v>
      </c>
      <c r="C61" s="36" t="n">
        <f aca="false">Inputs!D13</f>
        <v>8939.68360171452</v>
      </c>
      <c r="D61" s="36" t="n">
        <f aca="false">Inputs!E13</f>
        <v>7057.0782697439</v>
      </c>
      <c r="E61" s="36" t="n">
        <f aca="false">Inputs!F13</f>
        <v>7071.53614157276</v>
      </c>
    </row>
    <row r="62" customFormat="false" ht="15" hidden="false" customHeight="false" outlineLevel="0" collapsed="false">
      <c r="A62" s="4" t="s">
        <v>60</v>
      </c>
      <c r="B62" s="4" t="s">
        <v>234</v>
      </c>
      <c r="C62" s="9" t="n">
        <f aca="false">Inputs!D15</f>
        <v>4</v>
      </c>
      <c r="D62" s="9" t="n">
        <f aca="false">Inputs!E15</f>
        <v>3.33333333333333</v>
      </c>
      <c r="E62" s="9" t="n">
        <f aca="false">Inputs!F15</f>
        <v>2.33333333333333</v>
      </c>
    </row>
    <row r="63" customFormat="false" ht="15" hidden="false" customHeight="false" outlineLevel="0" collapsed="false">
      <c r="A63" s="4" t="s">
        <v>62</v>
      </c>
      <c r="B63" s="4" t="s">
        <v>234</v>
      </c>
      <c r="C63" s="9" t="n">
        <f aca="false">Inputs!D16</f>
        <v>2</v>
      </c>
      <c r="D63" s="9" t="n">
        <f aca="false">Inputs!E16</f>
        <v>1.5</v>
      </c>
      <c r="E63" s="9" t="n">
        <f aca="false">Inputs!F16</f>
        <v>4.5</v>
      </c>
    </row>
    <row r="64" customFormat="false" ht="15" hidden="false" customHeight="false" outlineLevel="0" collapsed="false">
      <c r="A64" s="6" t="s">
        <v>52</v>
      </c>
      <c r="B64" s="4" t="s">
        <v>235</v>
      </c>
      <c r="C64" s="20" t="n">
        <f aca="false">1+4*C58/MAX($C$58:$E$58)</f>
        <v>2.13682859487147</v>
      </c>
      <c r="D64" s="20" t="n">
        <f aca="false">1+4*D58/MAX($C$58:$E$58)</f>
        <v>3.5205201591841</v>
      </c>
      <c r="E64" s="20" t="n">
        <f aca="false">1+4*E58/MAX($C$58:$E$58)</f>
        <v>5</v>
      </c>
      <c r="F64" s="4" t="s">
        <v>236</v>
      </c>
    </row>
    <row r="65" customFormat="false" ht="15" hidden="false" customHeight="false" outlineLevel="0" collapsed="false">
      <c r="A65" s="6" t="s">
        <v>54</v>
      </c>
      <c r="B65" s="4" t="s">
        <v>235</v>
      </c>
      <c r="C65" s="20" t="n">
        <f aca="false">1+4*C59/MAX($C$59:$E$59)</f>
        <v>5</v>
      </c>
      <c r="D65" s="20" t="n">
        <f aca="false">1+4*D59/MAX($C$59:$E$59)</f>
        <v>1.49899799599198</v>
      </c>
      <c r="E65" s="20" t="n">
        <f aca="false">1+4*E59/MAX($C$59:$E$59)</f>
        <v>2.12441246128621</v>
      </c>
      <c r="F65" s="4" t="s">
        <v>236</v>
      </c>
    </row>
    <row r="66" customFormat="false" ht="15" hidden="false" customHeight="false" outlineLevel="0" collapsed="false">
      <c r="A66" s="6" t="s">
        <v>56</v>
      </c>
      <c r="B66" s="4" t="s">
        <v>235</v>
      </c>
      <c r="C66" s="20" t="n">
        <f aca="false">C60</f>
        <v>4</v>
      </c>
      <c r="D66" s="20" t="n">
        <f aca="false">D60</f>
        <v>3</v>
      </c>
      <c r="E66" s="20" t="n">
        <f aca="false">E60</f>
        <v>5</v>
      </c>
      <c r="F66" s="4" t="s">
        <v>237</v>
      </c>
    </row>
    <row r="67" customFormat="false" ht="15" hidden="false" customHeight="false" outlineLevel="0" collapsed="false">
      <c r="A67" s="6" t="s">
        <v>58</v>
      </c>
      <c r="B67" s="4" t="s">
        <v>235</v>
      </c>
      <c r="C67" s="20" t="n">
        <f aca="false">1+4*C61/MAX($C$61:$E$61)</f>
        <v>5</v>
      </c>
      <c r="D67" s="20" t="n">
        <f aca="false">1+4*D61/MAX($C$61:$E$61)</f>
        <v>4.1576411802272</v>
      </c>
      <c r="E67" s="20" t="n">
        <f aca="false">1+4*E61/MAX($C$61:$E$61)</f>
        <v>4.1641102556321</v>
      </c>
      <c r="F67" s="4" t="s">
        <v>236</v>
      </c>
    </row>
    <row r="68" customFormat="false" ht="15" hidden="false" customHeight="false" outlineLevel="0" collapsed="false">
      <c r="A68" s="6" t="s">
        <v>60</v>
      </c>
      <c r="B68" s="4" t="s">
        <v>235</v>
      </c>
      <c r="C68" s="20" t="n">
        <f aca="false">C62</f>
        <v>4</v>
      </c>
      <c r="D68" s="20" t="n">
        <f aca="false">D62</f>
        <v>3.33333333333333</v>
      </c>
      <c r="E68" s="20" t="n">
        <f aca="false">E62</f>
        <v>2.33333333333333</v>
      </c>
      <c r="F68" s="4" t="s">
        <v>237</v>
      </c>
    </row>
    <row r="69" customFormat="false" ht="15" hidden="false" customHeight="false" outlineLevel="0" collapsed="false">
      <c r="A69" s="6" t="s">
        <v>62</v>
      </c>
      <c r="B69" s="4" t="s">
        <v>235</v>
      </c>
      <c r="C69" s="20" t="n">
        <f aca="false">C63</f>
        <v>2</v>
      </c>
      <c r="D69" s="20" t="n">
        <f aca="false">D63</f>
        <v>1.5</v>
      </c>
      <c r="E69" s="20" t="n">
        <f aca="false">E63</f>
        <v>4.5</v>
      </c>
      <c r="F69" s="4" t="s">
        <v>237</v>
      </c>
    </row>
    <row r="70" customFormat="false" ht="15" hidden="false" customHeight="false" outlineLevel="0" collapsed="false">
      <c r="A70" s="37" t="s">
        <v>238</v>
      </c>
      <c r="B70" s="38" t="s">
        <v>239</v>
      </c>
      <c r="C70" s="39" t="n">
        <f aca="false">SUMPRODUCT(Weights!$B$5:$B$10,C64:C69)</f>
        <v>3.77736571897429</v>
      </c>
      <c r="D70" s="39" t="n">
        <f aca="false">SUMPRODUCT(Weights!$B$5:$B$10,D64:D69)</f>
        <v>2.8775498080693</v>
      </c>
      <c r="E70" s="39" t="n">
        <f aca="false">SUMPRODUCT(Weights!$B$5:$B$10,E64:E69)</f>
        <v>3.84949903060206</v>
      </c>
    </row>
    <row r="71" customFormat="false" ht="23.85" hidden="false" customHeight="false" outlineLevel="0" collapsed="false">
      <c r="A71" s="6" t="s">
        <v>240</v>
      </c>
      <c r="C71" s="40" t="str">
        <f aca="false">INDEX({"Distribution","Manufacturing","Prof. services"},MATCH(MAX(C70:E70),C70:E70,0))</f>
        <v>Prof. services</v>
      </c>
      <c r="E71" s="41" t="n">
        <f aca="false">C70-E70</f>
        <v>-0.072133311627764</v>
      </c>
    </row>
    <row r="73" customFormat="false" ht="35.05" hidden="false" customHeight="false" outlineLevel="0" collapsed="false">
      <c r="A73" s="3" t="s">
        <v>306</v>
      </c>
      <c r="B73" s="12"/>
      <c r="C73" s="12"/>
      <c r="D73" s="12"/>
      <c r="E73" s="12"/>
      <c r="F73" s="48" t="s">
        <v>307</v>
      </c>
    </row>
    <row r="74" customFormat="false" ht="19.5" hidden="false" customHeight="true" outlineLevel="0" collapsed="false">
      <c r="A74" s="5" t="s">
        <v>44</v>
      </c>
      <c r="B74" s="5" t="s">
        <v>216</v>
      </c>
      <c r="C74" s="5" t="s">
        <v>15</v>
      </c>
      <c r="D74" s="5" t="s">
        <v>16</v>
      </c>
      <c r="E74" s="5" t="s">
        <v>17</v>
      </c>
      <c r="F74" s="5" t="s">
        <v>233</v>
      </c>
    </row>
    <row r="75" customFormat="false" ht="15" hidden="false" customHeight="false" outlineLevel="0" collapsed="false">
      <c r="A75" s="4" t="s">
        <v>52</v>
      </c>
      <c r="B75" s="4" t="s">
        <v>234</v>
      </c>
      <c r="C75" s="51" t="n">
        <f aca="false">Inputs!D8</f>
        <v>6243.5408</v>
      </c>
      <c r="D75" s="51" t="n">
        <f aca="false">Inputs!E8</f>
        <v>13842.87</v>
      </c>
      <c r="E75" s="52" t="n">
        <f aca="false">Inputs!F5*Inputs!F6*(1-0.25)</f>
        <v>17343.375</v>
      </c>
    </row>
    <row r="76" customFormat="false" ht="15" hidden="false" customHeight="false" outlineLevel="0" collapsed="false">
      <c r="A76" s="4" t="s">
        <v>54</v>
      </c>
      <c r="B76" s="4" t="s">
        <v>234</v>
      </c>
      <c r="C76" s="9" t="n">
        <f aca="false">Inputs!D10</f>
        <v>2.54319722285706</v>
      </c>
      <c r="D76" s="9" t="n">
        <f aca="false">Inputs!E10</f>
        <v>0.317262579404513</v>
      </c>
      <c r="E76" s="9" t="n">
        <f aca="false">Inputs!F10</f>
        <v>0.714900662222239</v>
      </c>
    </row>
    <row r="77" customFormat="false" ht="15" hidden="false" customHeight="false" outlineLevel="0" collapsed="false">
      <c r="A77" s="4" t="s">
        <v>56</v>
      </c>
      <c r="B77" s="4" t="s">
        <v>234</v>
      </c>
      <c r="C77" s="9" t="n">
        <f aca="false">Inputs!D12</f>
        <v>4</v>
      </c>
      <c r="D77" s="9" t="n">
        <f aca="false">Inputs!E12</f>
        <v>3</v>
      </c>
      <c r="E77" s="9" t="n">
        <f aca="false">Inputs!F12</f>
        <v>5</v>
      </c>
    </row>
    <row r="78" customFormat="false" ht="15" hidden="false" customHeight="false" outlineLevel="0" collapsed="false">
      <c r="A78" s="4" t="s">
        <v>58</v>
      </c>
      <c r="B78" s="4" t="s">
        <v>234</v>
      </c>
      <c r="C78" s="36" t="n">
        <f aca="false">Inputs!D13</f>
        <v>8939.68360171452</v>
      </c>
      <c r="D78" s="36" t="n">
        <f aca="false">Inputs!E13</f>
        <v>7057.0782697439</v>
      </c>
      <c r="E78" s="36" t="n">
        <f aca="false">Inputs!F13</f>
        <v>7071.53614157276</v>
      </c>
    </row>
    <row r="79" customFormat="false" ht="15" hidden="false" customHeight="false" outlineLevel="0" collapsed="false">
      <c r="A79" s="4" t="s">
        <v>60</v>
      </c>
      <c r="B79" s="4" t="s">
        <v>234</v>
      </c>
      <c r="C79" s="9" t="n">
        <f aca="false">Inputs!D15</f>
        <v>4</v>
      </c>
      <c r="D79" s="9" t="n">
        <f aca="false">Inputs!E15</f>
        <v>3.33333333333333</v>
      </c>
      <c r="E79" s="9" t="n">
        <f aca="false">Inputs!F15</f>
        <v>2.33333333333333</v>
      </c>
    </row>
    <row r="80" customFormat="false" ht="15" hidden="false" customHeight="false" outlineLevel="0" collapsed="false">
      <c r="A80" s="4" t="s">
        <v>62</v>
      </c>
      <c r="B80" s="4" t="s">
        <v>234</v>
      </c>
      <c r="C80" s="9" t="n">
        <f aca="false">Inputs!D16</f>
        <v>2</v>
      </c>
      <c r="D80" s="9" t="n">
        <f aca="false">Inputs!E16</f>
        <v>1.5</v>
      </c>
      <c r="E80" s="9" t="n">
        <f aca="false">Inputs!F16</f>
        <v>4.5</v>
      </c>
    </row>
    <row r="81" customFormat="false" ht="15" hidden="false" customHeight="false" outlineLevel="0" collapsed="false">
      <c r="A81" s="6" t="s">
        <v>52</v>
      </c>
      <c r="B81" s="4" t="s">
        <v>235</v>
      </c>
      <c r="C81" s="20" t="n">
        <f aca="false">1+4*C75/MAX($C$75:$E$75)</f>
        <v>2.43998288683719</v>
      </c>
      <c r="D81" s="20" t="n">
        <f aca="false">1+4*D75/MAX($C$75:$E$75)</f>
        <v>4.19265886829986</v>
      </c>
      <c r="E81" s="20" t="n">
        <f aca="false">1+4*E75/MAX($C$75:$E$75)</f>
        <v>5</v>
      </c>
      <c r="F81" s="4" t="s">
        <v>236</v>
      </c>
    </row>
    <row r="82" customFormat="false" ht="15" hidden="false" customHeight="false" outlineLevel="0" collapsed="false">
      <c r="A82" s="6" t="s">
        <v>54</v>
      </c>
      <c r="B82" s="4" t="s">
        <v>235</v>
      </c>
      <c r="C82" s="20" t="n">
        <f aca="false">1+4*C76/MAX($C$76:$E$76)</f>
        <v>5</v>
      </c>
      <c r="D82" s="20" t="n">
        <f aca="false">1+4*D76/MAX($C$76:$E$76)</f>
        <v>1.49899799599198</v>
      </c>
      <c r="E82" s="20" t="n">
        <f aca="false">1+4*E76/MAX($C$76:$E$76)</f>
        <v>2.12441246128621</v>
      </c>
      <c r="F82" s="4" t="s">
        <v>236</v>
      </c>
    </row>
    <row r="83" customFormat="false" ht="15" hidden="false" customHeight="false" outlineLevel="0" collapsed="false">
      <c r="A83" s="6" t="s">
        <v>56</v>
      </c>
      <c r="B83" s="4" t="s">
        <v>235</v>
      </c>
      <c r="C83" s="20" t="n">
        <f aca="false">C77</f>
        <v>4</v>
      </c>
      <c r="D83" s="20" t="n">
        <f aca="false">D77</f>
        <v>3</v>
      </c>
      <c r="E83" s="20" t="n">
        <f aca="false">E77</f>
        <v>5</v>
      </c>
      <c r="F83" s="4" t="s">
        <v>237</v>
      </c>
    </row>
    <row r="84" customFormat="false" ht="15" hidden="false" customHeight="false" outlineLevel="0" collapsed="false">
      <c r="A84" s="6" t="s">
        <v>58</v>
      </c>
      <c r="B84" s="4" t="s">
        <v>235</v>
      </c>
      <c r="C84" s="20" t="n">
        <f aca="false">1+4*C78/MAX($C$78:$E$78)</f>
        <v>5</v>
      </c>
      <c r="D84" s="20" t="n">
        <f aca="false">1+4*D78/MAX($C$78:$E$78)</f>
        <v>4.1576411802272</v>
      </c>
      <c r="E84" s="20" t="n">
        <f aca="false">1+4*E78/MAX($C$78:$E$78)</f>
        <v>4.1641102556321</v>
      </c>
      <c r="F84" s="4" t="s">
        <v>236</v>
      </c>
    </row>
    <row r="85" customFormat="false" ht="15" hidden="false" customHeight="false" outlineLevel="0" collapsed="false">
      <c r="A85" s="6" t="s">
        <v>60</v>
      </c>
      <c r="B85" s="4" t="s">
        <v>235</v>
      </c>
      <c r="C85" s="20" t="n">
        <f aca="false">C79</f>
        <v>4</v>
      </c>
      <c r="D85" s="20" t="n">
        <f aca="false">D79</f>
        <v>3.33333333333333</v>
      </c>
      <c r="E85" s="20" t="n">
        <f aca="false">E79</f>
        <v>2.33333333333333</v>
      </c>
      <c r="F85" s="4" t="s">
        <v>237</v>
      </c>
    </row>
    <row r="86" customFormat="false" ht="15" hidden="false" customHeight="false" outlineLevel="0" collapsed="false">
      <c r="A86" s="6" t="s">
        <v>62</v>
      </c>
      <c r="B86" s="4" t="s">
        <v>235</v>
      </c>
      <c r="C86" s="20" t="n">
        <f aca="false">C80</f>
        <v>2</v>
      </c>
      <c r="D86" s="20" t="n">
        <f aca="false">D80</f>
        <v>1.5</v>
      </c>
      <c r="E86" s="20" t="n">
        <f aca="false">E80</f>
        <v>4.5</v>
      </c>
      <c r="F86" s="4" t="s">
        <v>237</v>
      </c>
    </row>
    <row r="87" customFormat="false" ht="15" hidden="false" customHeight="false" outlineLevel="0" collapsed="false">
      <c r="A87" s="37" t="s">
        <v>238</v>
      </c>
      <c r="B87" s="38" t="s">
        <v>239</v>
      </c>
      <c r="C87" s="39" t="n">
        <f aca="false">SUMPRODUCT(Weights!$B$5:$B$10,C81:C86)</f>
        <v>3.83799657736744</v>
      </c>
      <c r="D87" s="39" t="n">
        <f aca="false">SUMPRODUCT(Weights!$B$5:$B$10,D81:D86)</f>
        <v>3.01197754989245</v>
      </c>
      <c r="E87" s="39" t="n">
        <f aca="false">SUMPRODUCT(Weights!$B$5:$B$10,E81:E86)</f>
        <v>3.84949903060206</v>
      </c>
    </row>
    <row r="88" customFormat="false" ht="23.85" hidden="false" customHeight="false" outlineLevel="0" collapsed="false">
      <c r="A88" s="6" t="s">
        <v>240</v>
      </c>
      <c r="C88" s="40" t="str">
        <f aca="false">INDEX({"Distribution","Manufacturing","Prof. services"},MATCH(MAX(C87:E87),C87:E87,0))</f>
        <v>Prof. services</v>
      </c>
      <c r="E88" s="41" t="n">
        <f aca="false">C87-E87</f>
        <v>-0.0115024532346188</v>
      </c>
    </row>
    <row r="90" customFormat="false" ht="46.25" hidden="false" customHeight="false" outlineLevel="0" collapsed="false">
      <c r="A90" s="3" t="s">
        <v>308</v>
      </c>
      <c r="B90" s="12"/>
      <c r="C90" s="12"/>
      <c r="D90" s="12"/>
      <c r="E90" s="12"/>
      <c r="F90" s="48" t="s">
        <v>309</v>
      </c>
    </row>
    <row r="91" customFormat="false" ht="19.5" hidden="false" customHeight="true" outlineLevel="0" collapsed="false">
      <c r="A91" s="5" t="s">
        <v>44</v>
      </c>
      <c r="B91" s="5" t="s">
        <v>216</v>
      </c>
      <c r="C91" s="5" t="s">
        <v>15</v>
      </c>
      <c r="D91" s="5" t="s">
        <v>16</v>
      </c>
      <c r="E91" s="5" t="s">
        <v>17</v>
      </c>
      <c r="F91" s="5" t="s">
        <v>233</v>
      </c>
    </row>
    <row r="92" customFormat="false" ht="15" hidden="false" customHeight="false" outlineLevel="0" collapsed="false">
      <c r="A92" s="4" t="s">
        <v>52</v>
      </c>
      <c r="B92" s="4" t="s">
        <v>234</v>
      </c>
      <c r="C92" s="35" t="n">
        <f aca="false">Inputs!D8</f>
        <v>6243.5408</v>
      </c>
      <c r="D92" s="35" t="n">
        <f aca="false">Inputs!E8</f>
        <v>13842.87</v>
      </c>
      <c r="E92" s="35" t="n">
        <f aca="false">Inputs!F8</f>
        <v>20812.05</v>
      </c>
    </row>
    <row r="93" customFormat="false" ht="15" hidden="false" customHeight="false" outlineLevel="0" collapsed="false">
      <c r="A93" s="4" t="s">
        <v>54</v>
      </c>
      <c r="B93" s="4" t="s">
        <v>234</v>
      </c>
      <c r="C93" s="9" t="n">
        <f aca="false">Inputs!D10</f>
        <v>2.54319722285706</v>
      </c>
      <c r="D93" s="9" t="n">
        <f aca="false">Inputs!E10</f>
        <v>0.317262579404513</v>
      </c>
      <c r="E93" s="9" t="n">
        <f aca="false">Inputs!F10</f>
        <v>0.714900662222239</v>
      </c>
    </row>
    <row r="94" customFormat="false" ht="15" hidden="false" customHeight="false" outlineLevel="0" collapsed="false">
      <c r="A94" s="4" t="s">
        <v>56</v>
      </c>
      <c r="B94" s="4" t="s">
        <v>234</v>
      </c>
      <c r="C94" s="9" t="n">
        <f aca="false">Inputs!D12</f>
        <v>4</v>
      </c>
      <c r="D94" s="9" t="n">
        <f aca="false">Inputs!E12</f>
        <v>3</v>
      </c>
      <c r="E94" s="9" t="n">
        <f aca="false">Inputs!F12</f>
        <v>5</v>
      </c>
    </row>
    <row r="95" customFormat="false" ht="15" hidden="false" customHeight="false" outlineLevel="0" collapsed="false">
      <c r="A95" s="4" t="s">
        <v>58</v>
      </c>
      <c r="B95" s="4" t="s">
        <v>234</v>
      </c>
      <c r="C95" s="36" t="n">
        <f aca="false">Inputs!D13</f>
        <v>8939.68360171452</v>
      </c>
      <c r="D95" s="36" t="n">
        <f aca="false">Inputs!E13</f>
        <v>7057.0782697439</v>
      </c>
      <c r="E95" s="36" t="n">
        <f aca="false">Inputs!F13</f>
        <v>7071.53614157276</v>
      </c>
    </row>
    <row r="96" customFormat="false" ht="15" hidden="false" customHeight="false" outlineLevel="0" collapsed="false">
      <c r="A96" s="4" t="s">
        <v>60</v>
      </c>
      <c r="B96" s="4" t="s">
        <v>234</v>
      </c>
      <c r="C96" s="49" t="n">
        <f aca="false">10/3</f>
        <v>3.33333333333333</v>
      </c>
      <c r="D96" s="50" t="n">
        <f aca="false">Inputs!E15</f>
        <v>3.33333333333333</v>
      </c>
      <c r="E96" s="50" t="n">
        <f aca="false">Inputs!F15</f>
        <v>2.33333333333333</v>
      </c>
    </row>
    <row r="97" customFormat="false" ht="15" hidden="false" customHeight="false" outlineLevel="0" collapsed="false">
      <c r="A97" s="4" t="s">
        <v>62</v>
      </c>
      <c r="B97" s="4" t="s">
        <v>234</v>
      </c>
      <c r="C97" s="9" t="n">
        <f aca="false">Inputs!D16</f>
        <v>2</v>
      </c>
      <c r="D97" s="9" t="n">
        <f aca="false">Inputs!E16</f>
        <v>1.5</v>
      </c>
      <c r="E97" s="9" t="n">
        <f aca="false">Inputs!F16</f>
        <v>4.5</v>
      </c>
    </row>
    <row r="98" customFormat="false" ht="15" hidden="false" customHeight="false" outlineLevel="0" collapsed="false">
      <c r="A98" s="6" t="s">
        <v>52</v>
      </c>
      <c r="B98" s="4" t="s">
        <v>235</v>
      </c>
      <c r="C98" s="20" t="n">
        <f aca="false">1+4*C92/MAX($C$92:$E$92)</f>
        <v>2.19998573903099</v>
      </c>
      <c r="D98" s="20" t="n">
        <f aca="false">1+4*D92/MAX($C$92:$E$92)</f>
        <v>3.66054905691655</v>
      </c>
      <c r="E98" s="20" t="n">
        <f aca="false">1+4*E92/MAX($C$92:$E$92)</f>
        <v>5</v>
      </c>
      <c r="F98" s="4" t="s">
        <v>236</v>
      </c>
    </row>
    <row r="99" customFormat="false" ht="15" hidden="false" customHeight="false" outlineLevel="0" collapsed="false">
      <c r="A99" s="6" t="s">
        <v>54</v>
      </c>
      <c r="B99" s="4" t="s">
        <v>235</v>
      </c>
      <c r="C99" s="20" t="n">
        <f aca="false">1+4*C93/MAX($C$93:$E$93)</f>
        <v>5</v>
      </c>
      <c r="D99" s="20" t="n">
        <f aca="false">1+4*D93/MAX($C$93:$E$93)</f>
        <v>1.49899799599198</v>
      </c>
      <c r="E99" s="20" t="n">
        <f aca="false">1+4*E93/MAX($C$93:$E$93)</f>
        <v>2.12441246128621</v>
      </c>
      <c r="F99" s="4" t="s">
        <v>236</v>
      </c>
    </row>
    <row r="100" customFormat="false" ht="15" hidden="false" customHeight="false" outlineLevel="0" collapsed="false">
      <c r="A100" s="6" t="s">
        <v>56</v>
      </c>
      <c r="B100" s="4" t="s">
        <v>235</v>
      </c>
      <c r="C100" s="20" t="n">
        <f aca="false">C94</f>
        <v>4</v>
      </c>
      <c r="D100" s="20" t="n">
        <f aca="false">D94</f>
        <v>3</v>
      </c>
      <c r="E100" s="20" t="n">
        <f aca="false">E94</f>
        <v>5</v>
      </c>
      <c r="F100" s="4" t="s">
        <v>237</v>
      </c>
    </row>
    <row r="101" customFormat="false" ht="15" hidden="false" customHeight="false" outlineLevel="0" collapsed="false">
      <c r="A101" s="6" t="s">
        <v>58</v>
      </c>
      <c r="B101" s="4" t="s">
        <v>235</v>
      </c>
      <c r="C101" s="20" t="n">
        <f aca="false">1+4*C95/MAX($C$95:$E$95)</f>
        <v>5</v>
      </c>
      <c r="D101" s="20" t="n">
        <f aca="false">1+4*D95/MAX($C$95:$E$95)</f>
        <v>4.1576411802272</v>
      </c>
      <c r="E101" s="20" t="n">
        <f aca="false">1+4*E95/MAX($C$95:$E$95)</f>
        <v>4.1641102556321</v>
      </c>
      <c r="F101" s="4" t="s">
        <v>236</v>
      </c>
    </row>
    <row r="102" customFormat="false" ht="15" hidden="false" customHeight="false" outlineLevel="0" collapsed="false">
      <c r="A102" s="6" t="s">
        <v>60</v>
      </c>
      <c r="B102" s="4" t="s">
        <v>235</v>
      </c>
      <c r="C102" s="20" t="n">
        <f aca="false">C96</f>
        <v>3.33333333333333</v>
      </c>
      <c r="D102" s="20" t="n">
        <f aca="false">D96</f>
        <v>3.33333333333333</v>
      </c>
      <c r="E102" s="20" t="n">
        <f aca="false">E96</f>
        <v>2.33333333333333</v>
      </c>
      <c r="F102" s="4" t="s">
        <v>237</v>
      </c>
    </row>
    <row r="103" customFormat="false" ht="15" hidden="false" customHeight="false" outlineLevel="0" collapsed="false">
      <c r="A103" s="6" t="s">
        <v>62</v>
      </c>
      <c r="B103" s="4" t="s">
        <v>235</v>
      </c>
      <c r="C103" s="20" t="n">
        <f aca="false">C97</f>
        <v>2</v>
      </c>
      <c r="D103" s="20" t="n">
        <f aca="false">D97</f>
        <v>1.5</v>
      </c>
      <c r="E103" s="20" t="n">
        <f aca="false">E97</f>
        <v>4.5</v>
      </c>
      <c r="F103" s="4" t="s">
        <v>237</v>
      </c>
    </row>
    <row r="104" customFormat="false" ht="15" hidden="false" customHeight="false" outlineLevel="0" collapsed="false">
      <c r="A104" s="37" t="s">
        <v>238</v>
      </c>
      <c r="B104" s="38" t="s">
        <v>239</v>
      </c>
      <c r="C104" s="39" t="n">
        <f aca="false">SUMPRODUCT(Weights!$B$5:$B$10,C98:C103)</f>
        <v>3.6899971478062</v>
      </c>
      <c r="D104" s="39" t="n">
        <f aca="false">SUMPRODUCT(Weights!$B$5:$B$10,D98:D103)</f>
        <v>2.90555558761579</v>
      </c>
      <c r="E104" s="39" t="n">
        <f aca="false">SUMPRODUCT(Weights!$B$5:$B$10,E98:E103)</f>
        <v>3.84949903060206</v>
      </c>
    </row>
    <row r="105" customFormat="false" ht="23.85" hidden="false" customHeight="false" outlineLevel="0" collapsed="false">
      <c r="A105" s="6" t="s">
        <v>240</v>
      </c>
      <c r="C105" s="40" t="str">
        <f aca="false">INDEX({"Distribution","Manufacturing","Prof. services"},MATCH(MAX(C104:E104),C104:E104,0))</f>
        <v>Prof. services</v>
      </c>
      <c r="E105" s="41" t="n">
        <f aca="false">C104-E104</f>
        <v>-0.159501882795859</v>
      </c>
    </row>
    <row r="107" customFormat="false" ht="23.85" hidden="false" customHeight="false" outlineLevel="0" collapsed="false">
      <c r="A107" s="3" t="s">
        <v>310</v>
      </c>
      <c r="B107" s="12"/>
      <c r="C107" s="12"/>
      <c r="D107" s="12"/>
      <c r="E107" s="12"/>
      <c r="F107" s="48" t="s">
        <v>311</v>
      </c>
    </row>
    <row r="108" customFormat="false" ht="19.5" hidden="false" customHeight="true" outlineLevel="0" collapsed="false">
      <c r="A108" s="5" t="s">
        <v>44</v>
      </c>
      <c r="B108" s="5" t="s">
        <v>216</v>
      </c>
      <c r="C108" s="5" t="s">
        <v>15</v>
      </c>
      <c r="D108" s="5" t="s">
        <v>16</v>
      </c>
      <c r="E108" s="5" t="s">
        <v>17</v>
      </c>
      <c r="F108" s="5" t="s">
        <v>233</v>
      </c>
    </row>
    <row r="109" customFormat="false" ht="15" hidden="false" customHeight="false" outlineLevel="0" collapsed="false">
      <c r="A109" s="4" t="s">
        <v>52</v>
      </c>
      <c r="B109" s="4" t="s">
        <v>234</v>
      </c>
      <c r="C109" s="35" t="n">
        <f aca="false">Inputs!D8</f>
        <v>6243.5408</v>
      </c>
      <c r="D109" s="35" t="n">
        <f aca="false">Inputs!E8</f>
        <v>13842.87</v>
      </c>
      <c r="E109" s="35" t="n">
        <f aca="false">Inputs!F8</f>
        <v>20812.05</v>
      </c>
    </row>
    <row r="110" customFormat="false" ht="15" hidden="false" customHeight="false" outlineLevel="0" collapsed="false">
      <c r="A110" s="4" t="s">
        <v>54</v>
      </c>
      <c r="B110" s="4" t="s">
        <v>234</v>
      </c>
      <c r="C110" s="9" t="n">
        <f aca="false">Inputs!D10</f>
        <v>2.54319722285706</v>
      </c>
      <c r="D110" s="9" t="n">
        <f aca="false">Inputs!E10</f>
        <v>0.317262579404513</v>
      </c>
      <c r="E110" s="9" t="n">
        <f aca="false">Inputs!F10</f>
        <v>0.714900662222239</v>
      </c>
    </row>
    <row r="111" customFormat="false" ht="15" hidden="false" customHeight="false" outlineLevel="0" collapsed="false">
      <c r="A111" s="4" t="s">
        <v>56</v>
      </c>
      <c r="B111" s="4" t="s">
        <v>234</v>
      </c>
      <c r="C111" s="49" t="n">
        <f aca="false">3</f>
        <v>3</v>
      </c>
      <c r="D111" s="50" t="n">
        <f aca="false">Inputs!E12</f>
        <v>3</v>
      </c>
      <c r="E111" s="50" t="n">
        <f aca="false">Inputs!F12</f>
        <v>5</v>
      </c>
    </row>
    <row r="112" customFormat="false" ht="15" hidden="false" customHeight="false" outlineLevel="0" collapsed="false">
      <c r="A112" s="4" t="s">
        <v>58</v>
      </c>
      <c r="B112" s="4" t="s">
        <v>234</v>
      </c>
      <c r="C112" s="36" t="n">
        <f aca="false">Inputs!D13</f>
        <v>8939.68360171452</v>
      </c>
      <c r="D112" s="36" t="n">
        <f aca="false">Inputs!E13</f>
        <v>7057.0782697439</v>
      </c>
      <c r="E112" s="36" t="n">
        <f aca="false">Inputs!F13</f>
        <v>7071.53614157276</v>
      </c>
    </row>
    <row r="113" customFormat="false" ht="15" hidden="false" customHeight="false" outlineLevel="0" collapsed="false">
      <c r="A113" s="4" t="s">
        <v>60</v>
      </c>
      <c r="B113" s="4" t="s">
        <v>234</v>
      </c>
      <c r="C113" s="9" t="n">
        <f aca="false">Inputs!D15</f>
        <v>4</v>
      </c>
      <c r="D113" s="9" t="n">
        <f aca="false">Inputs!E15</f>
        <v>3.33333333333333</v>
      </c>
      <c r="E113" s="9" t="n">
        <f aca="false">Inputs!F15</f>
        <v>2.33333333333333</v>
      </c>
    </row>
    <row r="114" customFormat="false" ht="15" hidden="false" customHeight="false" outlineLevel="0" collapsed="false">
      <c r="A114" s="4" t="s">
        <v>62</v>
      </c>
      <c r="B114" s="4" t="s">
        <v>234</v>
      </c>
      <c r="C114" s="9" t="n">
        <f aca="false">Inputs!D16</f>
        <v>2</v>
      </c>
      <c r="D114" s="9" t="n">
        <f aca="false">Inputs!E16</f>
        <v>1.5</v>
      </c>
      <c r="E114" s="9" t="n">
        <f aca="false">Inputs!F16</f>
        <v>4.5</v>
      </c>
    </row>
    <row r="115" customFormat="false" ht="15" hidden="false" customHeight="false" outlineLevel="0" collapsed="false">
      <c r="A115" s="6" t="s">
        <v>52</v>
      </c>
      <c r="B115" s="4" t="s">
        <v>235</v>
      </c>
      <c r="C115" s="20" t="n">
        <f aca="false">1+4*C109/MAX($C$109:$E$109)</f>
        <v>2.19998573903099</v>
      </c>
      <c r="D115" s="20" t="n">
        <f aca="false">1+4*D109/MAX($C$109:$E$109)</f>
        <v>3.66054905691655</v>
      </c>
      <c r="E115" s="20" t="n">
        <f aca="false">1+4*E109/MAX($C$109:$E$109)</f>
        <v>5</v>
      </c>
      <c r="F115" s="4" t="s">
        <v>236</v>
      </c>
    </row>
    <row r="116" customFormat="false" ht="15" hidden="false" customHeight="false" outlineLevel="0" collapsed="false">
      <c r="A116" s="6" t="s">
        <v>54</v>
      </c>
      <c r="B116" s="4" t="s">
        <v>235</v>
      </c>
      <c r="C116" s="20" t="n">
        <f aca="false">1+4*C110/MAX($C$110:$E$110)</f>
        <v>5</v>
      </c>
      <c r="D116" s="20" t="n">
        <f aca="false">1+4*D110/MAX($C$110:$E$110)</f>
        <v>1.49899799599198</v>
      </c>
      <c r="E116" s="20" t="n">
        <f aca="false">1+4*E110/MAX($C$110:$E$110)</f>
        <v>2.12441246128621</v>
      </c>
      <c r="F116" s="4" t="s">
        <v>236</v>
      </c>
    </row>
    <row r="117" customFormat="false" ht="15" hidden="false" customHeight="false" outlineLevel="0" collapsed="false">
      <c r="A117" s="6" t="s">
        <v>56</v>
      </c>
      <c r="B117" s="4" t="s">
        <v>235</v>
      </c>
      <c r="C117" s="20" t="n">
        <f aca="false">C111</f>
        <v>3</v>
      </c>
      <c r="D117" s="20" t="n">
        <f aca="false">D111</f>
        <v>3</v>
      </c>
      <c r="E117" s="20" t="n">
        <f aca="false">E111</f>
        <v>5</v>
      </c>
      <c r="F117" s="4" t="s">
        <v>237</v>
      </c>
    </row>
    <row r="118" customFormat="false" ht="15" hidden="false" customHeight="false" outlineLevel="0" collapsed="false">
      <c r="A118" s="6" t="s">
        <v>58</v>
      </c>
      <c r="B118" s="4" t="s">
        <v>235</v>
      </c>
      <c r="C118" s="20" t="n">
        <f aca="false">1+4*C112/MAX($C$112:$E$112)</f>
        <v>5</v>
      </c>
      <c r="D118" s="20" t="n">
        <f aca="false">1+4*D112/MAX($C$112:$E$112)</f>
        <v>4.1576411802272</v>
      </c>
      <c r="E118" s="20" t="n">
        <f aca="false">1+4*E112/MAX($C$112:$E$112)</f>
        <v>4.1641102556321</v>
      </c>
      <c r="F118" s="4" t="s">
        <v>236</v>
      </c>
    </row>
    <row r="119" customFormat="false" ht="15" hidden="false" customHeight="false" outlineLevel="0" collapsed="false">
      <c r="A119" s="6" t="s">
        <v>60</v>
      </c>
      <c r="B119" s="4" t="s">
        <v>235</v>
      </c>
      <c r="C119" s="20" t="n">
        <f aca="false">C113</f>
        <v>4</v>
      </c>
      <c r="D119" s="20" t="n">
        <f aca="false">D113</f>
        <v>3.33333333333333</v>
      </c>
      <c r="E119" s="20" t="n">
        <f aca="false">E113</f>
        <v>2.33333333333333</v>
      </c>
      <c r="F119" s="4" t="s">
        <v>237</v>
      </c>
    </row>
    <row r="120" customFormat="false" ht="15" hidden="false" customHeight="false" outlineLevel="0" collapsed="false">
      <c r="A120" s="6" t="s">
        <v>62</v>
      </c>
      <c r="B120" s="4" t="s">
        <v>235</v>
      </c>
      <c r="C120" s="20" t="n">
        <f aca="false">C114</f>
        <v>2</v>
      </c>
      <c r="D120" s="20" t="n">
        <f aca="false">D114</f>
        <v>1.5</v>
      </c>
      <c r="E120" s="20" t="n">
        <f aca="false">E114</f>
        <v>4.5</v>
      </c>
      <c r="F120" s="4" t="s">
        <v>237</v>
      </c>
    </row>
    <row r="121" customFormat="false" ht="15" hidden="false" customHeight="false" outlineLevel="0" collapsed="false">
      <c r="A121" s="37" t="s">
        <v>238</v>
      </c>
      <c r="B121" s="38" t="s">
        <v>239</v>
      </c>
      <c r="C121" s="39" t="n">
        <f aca="false">SUMPRODUCT(Weights!$B$5:$B$10,C115:C120)</f>
        <v>3.5899971478062</v>
      </c>
      <c r="D121" s="39" t="n">
        <f aca="false">SUMPRODUCT(Weights!$B$5:$B$10,D115:D120)</f>
        <v>2.90555558761579</v>
      </c>
      <c r="E121" s="39" t="n">
        <f aca="false">SUMPRODUCT(Weights!$B$5:$B$10,E115:E120)</f>
        <v>3.84949903060206</v>
      </c>
    </row>
    <row r="122" customFormat="false" ht="23.85" hidden="false" customHeight="false" outlineLevel="0" collapsed="false">
      <c r="A122" s="6" t="s">
        <v>240</v>
      </c>
      <c r="C122" s="40" t="str">
        <f aca="false">INDEX({"Distribution","Manufacturing","Prof. services"},MATCH(MAX(C121:E121),C121:E121,0))</f>
        <v>Prof. services</v>
      </c>
      <c r="E122" s="41" t="n">
        <f aca="false">C121-E121</f>
        <v>-0.259501882795859</v>
      </c>
    </row>
    <row r="124" customFormat="false" ht="35.05" hidden="false" customHeight="false" outlineLevel="0" collapsed="false">
      <c r="A124" s="3" t="s">
        <v>312</v>
      </c>
      <c r="B124" s="12"/>
      <c r="C124" s="12"/>
      <c r="D124" s="12"/>
      <c r="E124" s="12"/>
      <c r="F124" s="48" t="s">
        <v>313</v>
      </c>
    </row>
    <row r="125" customFormat="false" ht="19.5" hidden="false" customHeight="true" outlineLevel="0" collapsed="false">
      <c r="A125" s="5" t="s">
        <v>44</v>
      </c>
      <c r="B125" s="5" t="s">
        <v>216</v>
      </c>
      <c r="C125" s="5" t="s">
        <v>15</v>
      </c>
      <c r="D125" s="5" t="s">
        <v>16</v>
      </c>
      <c r="E125" s="5" t="s">
        <v>17</v>
      </c>
      <c r="F125" s="5" t="s">
        <v>233</v>
      </c>
    </row>
    <row r="126" customFormat="false" ht="15" hidden="false" customHeight="false" outlineLevel="0" collapsed="false">
      <c r="A126" s="4" t="s">
        <v>52</v>
      </c>
      <c r="B126" s="4" t="s">
        <v>234</v>
      </c>
      <c r="C126" s="35" t="n">
        <f aca="false">Inputs!D8</f>
        <v>6243.5408</v>
      </c>
      <c r="D126" s="35" t="n">
        <f aca="false">Inputs!E8</f>
        <v>13842.87</v>
      </c>
      <c r="E126" s="35" t="n">
        <f aca="false">Inputs!F8</f>
        <v>20812.05</v>
      </c>
    </row>
    <row r="127" customFormat="false" ht="15" hidden="false" customHeight="false" outlineLevel="0" collapsed="false">
      <c r="A127" s="4" t="s">
        <v>54</v>
      </c>
      <c r="B127" s="4" t="s">
        <v>234</v>
      </c>
      <c r="C127" s="9" t="n">
        <f aca="false">Inputs!D10</f>
        <v>2.54319722285706</v>
      </c>
      <c r="D127" s="9" t="n">
        <f aca="false">Inputs!E10</f>
        <v>0.317262579404513</v>
      </c>
      <c r="E127" s="9" t="n">
        <f aca="false">Inputs!F10</f>
        <v>0.714900662222239</v>
      </c>
    </row>
    <row r="128" customFormat="false" ht="15" hidden="false" customHeight="false" outlineLevel="0" collapsed="false">
      <c r="A128" s="4" t="s">
        <v>56</v>
      </c>
      <c r="B128" s="4" t="s">
        <v>234</v>
      </c>
      <c r="C128" s="9" t="n">
        <f aca="false">Inputs!D12</f>
        <v>4</v>
      </c>
      <c r="D128" s="9" t="n">
        <f aca="false">Inputs!E12</f>
        <v>3</v>
      </c>
      <c r="E128" s="9" t="n">
        <f aca="false">Inputs!F12</f>
        <v>5</v>
      </c>
    </row>
    <row r="129" customFormat="false" ht="15" hidden="false" customHeight="false" outlineLevel="0" collapsed="false">
      <c r="A129" s="4" t="s">
        <v>58</v>
      </c>
      <c r="B129" s="4" t="s">
        <v>234</v>
      </c>
      <c r="C129" s="36" t="n">
        <f aca="false">Inputs!D13</f>
        <v>8939.68360171452</v>
      </c>
      <c r="D129" s="36" t="n">
        <f aca="false">Inputs!E13</f>
        <v>7057.0782697439</v>
      </c>
      <c r="E129" s="36" t="n">
        <f aca="false">Inputs!F13</f>
        <v>7071.53614157276</v>
      </c>
    </row>
    <row r="130" customFormat="false" ht="15" hidden="false" customHeight="false" outlineLevel="0" collapsed="false">
      <c r="A130" s="4" t="s">
        <v>60</v>
      </c>
      <c r="B130" s="4" t="s">
        <v>234</v>
      </c>
      <c r="C130" s="49" t="n">
        <f aca="false">3</f>
        <v>3</v>
      </c>
      <c r="D130" s="50" t="n">
        <f aca="false">Inputs!E15</f>
        <v>3.33333333333333</v>
      </c>
      <c r="E130" s="50" t="n">
        <f aca="false">Inputs!F15</f>
        <v>2.33333333333333</v>
      </c>
    </row>
    <row r="131" customFormat="false" ht="15" hidden="false" customHeight="false" outlineLevel="0" collapsed="false">
      <c r="A131" s="4" t="s">
        <v>62</v>
      </c>
      <c r="B131" s="4" t="s">
        <v>234</v>
      </c>
      <c r="C131" s="9" t="n">
        <f aca="false">Inputs!D16</f>
        <v>2</v>
      </c>
      <c r="D131" s="9" t="n">
        <f aca="false">Inputs!E16</f>
        <v>1.5</v>
      </c>
      <c r="E131" s="9" t="n">
        <f aca="false">Inputs!F16</f>
        <v>4.5</v>
      </c>
    </row>
    <row r="132" customFormat="false" ht="15" hidden="false" customHeight="false" outlineLevel="0" collapsed="false">
      <c r="A132" s="6" t="s">
        <v>52</v>
      </c>
      <c r="B132" s="4" t="s">
        <v>235</v>
      </c>
      <c r="C132" s="20" t="n">
        <f aca="false">1+4*C126/MAX($C$126:$E$126)</f>
        <v>2.19998573903099</v>
      </c>
      <c r="D132" s="20" t="n">
        <f aca="false">1+4*D126/MAX($C$126:$E$126)</f>
        <v>3.66054905691655</v>
      </c>
      <c r="E132" s="20" t="n">
        <f aca="false">1+4*E126/MAX($C$126:$E$126)</f>
        <v>5</v>
      </c>
      <c r="F132" s="4" t="s">
        <v>236</v>
      </c>
    </row>
    <row r="133" customFormat="false" ht="15" hidden="false" customHeight="false" outlineLevel="0" collapsed="false">
      <c r="A133" s="6" t="s">
        <v>54</v>
      </c>
      <c r="B133" s="4" t="s">
        <v>235</v>
      </c>
      <c r="C133" s="20" t="n">
        <f aca="false">1+4*C127/MAX($C$127:$E$127)</f>
        <v>5</v>
      </c>
      <c r="D133" s="20" t="n">
        <f aca="false">1+4*D127/MAX($C$127:$E$127)</f>
        <v>1.49899799599198</v>
      </c>
      <c r="E133" s="20" t="n">
        <f aca="false">1+4*E127/MAX($C$127:$E$127)</f>
        <v>2.12441246128621</v>
      </c>
      <c r="F133" s="4" t="s">
        <v>236</v>
      </c>
    </row>
    <row r="134" customFormat="false" ht="15" hidden="false" customHeight="false" outlineLevel="0" collapsed="false">
      <c r="A134" s="6" t="s">
        <v>56</v>
      </c>
      <c r="B134" s="4" t="s">
        <v>235</v>
      </c>
      <c r="C134" s="20" t="n">
        <f aca="false">C128</f>
        <v>4</v>
      </c>
      <c r="D134" s="20" t="n">
        <f aca="false">D128</f>
        <v>3</v>
      </c>
      <c r="E134" s="20" t="n">
        <f aca="false">E128</f>
        <v>5</v>
      </c>
      <c r="F134" s="4" t="s">
        <v>237</v>
      </c>
    </row>
    <row r="135" customFormat="false" ht="15" hidden="false" customHeight="false" outlineLevel="0" collapsed="false">
      <c r="A135" s="6" t="s">
        <v>58</v>
      </c>
      <c r="B135" s="4" t="s">
        <v>235</v>
      </c>
      <c r="C135" s="20" t="n">
        <f aca="false">1+4*C129/MAX($C$129:$E$129)</f>
        <v>5</v>
      </c>
      <c r="D135" s="20" t="n">
        <f aca="false">1+4*D129/MAX($C$129:$E$129)</f>
        <v>4.1576411802272</v>
      </c>
      <c r="E135" s="20" t="n">
        <f aca="false">1+4*E129/MAX($C$129:$E$129)</f>
        <v>4.1641102556321</v>
      </c>
      <c r="F135" s="4" t="s">
        <v>236</v>
      </c>
    </row>
    <row r="136" customFormat="false" ht="15" hidden="false" customHeight="false" outlineLevel="0" collapsed="false">
      <c r="A136" s="6" t="s">
        <v>60</v>
      </c>
      <c r="B136" s="4" t="s">
        <v>235</v>
      </c>
      <c r="C136" s="20" t="n">
        <f aca="false">C130</f>
        <v>3</v>
      </c>
      <c r="D136" s="20" t="n">
        <f aca="false">D130</f>
        <v>3.33333333333333</v>
      </c>
      <c r="E136" s="20" t="n">
        <f aca="false">E130</f>
        <v>2.33333333333333</v>
      </c>
      <c r="F136" s="4" t="s">
        <v>237</v>
      </c>
    </row>
    <row r="137" customFormat="false" ht="15" hidden="false" customHeight="false" outlineLevel="0" collapsed="false">
      <c r="A137" s="6" t="s">
        <v>62</v>
      </c>
      <c r="B137" s="4" t="s">
        <v>235</v>
      </c>
      <c r="C137" s="20" t="n">
        <f aca="false">C131</f>
        <v>2</v>
      </c>
      <c r="D137" s="20" t="n">
        <f aca="false">D131</f>
        <v>1.5</v>
      </c>
      <c r="E137" s="20" t="n">
        <f aca="false">E131</f>
        <v>4.5</v>
      </c>
      <c r="F137" s="4" t="s">
        <v>237</v>
      </c>
    </row>
    <row r="138" customFormat="false" ht="15" hidden="false" customHeight="false" outlineLevel="0" collapsed="false">
      <c r="A138" s="37" t="s">
        <v>238</v>
      </c>
      <c r="B138" s="38" t="s">
        <v>239</v>
      </c>
      <c r="C138" s="39" t="n">
        <f aca="false">SUMPRODUCT(Weights!$B$5:$B$10,C132:C137)</f>
        <v>3.6399971478062</v>
      </c>
      <c r="D138" s="39" t="n">
        <f aca="false">SUMPRODUCT(Weights!$B$5:$B$10,D132:D137)</f>
        <v>2.90555558761579</v>
      </c>
      <c r="E138" s="39" t="n">
        <f aca="false">SUMPRODUCT(Weights!$B$5:$B$10,E132:E137)</f>
        <v>3.84949903060206</v>
      </c>
    </row>
    <row r="139" customFormat="false" ht="23.85" hidden="false" customHeight="false" outlineLevel="0" collapsed="false">
      <c r="A139" s="6" t="s">
        <v>240</v>
      </c>
      <c r="C139" s="40" t="str">
        <f aca="false">INDEX({"Distribution","Manufacturing","Prof. services"},MATCH(MAX(C138:E138),C138:E138,0))</f>
        <v>Prof. services</v>
      </c>
      <c r="E139" s="41" t="n">
        <f aca="false">C138-E138</f>
        <v>-0.209501882795859</v>
      </c>
    </row>
    <row r="141" customFormat="false" ht="15" hidden="false" customHeight="false" outlineLevel="0" collapsed="false">
      <c r="A141" s="3" t="s">
        <v>314</v>
      </c>
      <c r="B141" s="12"/>
      <c r="C141" s="12"/>
      <c r="D141" s="12"/>
      <c r="E141" s="12"/>
      <c r="F141" s="48" t="s">
        <v>315</v>
      </c>
    </row>
    <row r="142" customFormat="false" ht="19.5" hidden="false" customHeight="true" outlineLevel="0" collapsed="false">
      <c r="A142" s="5" t="s">
        <v>44</v>
      </c>
      <c r="B142" s="5" t="s">
        <v>216</v>
      </c>
      <c r="C142" s="5" t="s">
        <v>15</v>
      </c>
      <c r="D142" s="5" t="s">
        <v>16</v>
      </c>
      <c r="E142" s="5" t="s">
        <v>17</v>
      </c>
      <c r="F142" s="5" t="s">
        <v>233</v>
      </c>
    </row>
    <row r="143" customFormat="false" ht="15" hidden="false" customHeight="false" outlineLevel="0" collapsed="false">
      <c r="A143" s="4" t="s">
        <v>52</v>
      </c>
      <c r="B143" s="4" t="s">
        <v>234</v>
      </c>
      <c r="C143" s="35" t="n">
        <f aca="false">Inputs!D8</f>
        <v>6243.5408</v>
      </c>
      <c r="D143" s="35" t="n">
        <f aca="false">Inputs!E8</f>
        <v>13842.87</v>
      </c>
      <c r="E143" s="35" t="n">
        <f aca="false">Inputs!F8</f>
        <v>20812.05</v>
      </c>
    </row>
    <row r="144" customFormat="false" ht="15" hidden="false" customHeight="false" outlineLevel="0" collapsed="false">
      <c r="A144" s="4" t="s">
        <v>54</v>
      </c>
      <c r="B144" s="4" t="s">
        <v>234</v>
      </c>
      <c r="C144" s="9" t="n">
        <f aca="false">Inputs!D10</f>
        <v>2.54319722285706</v>
      </c>
      <c r="D144" s="9" t="n">
        <f aca="false">Inputs!E10</f>
        <v>0.317262579404513</v>
      </c>
      <c r="E144" s="9" t="n">
        <f aca="false">Inputs!F10</f>
        <v>0.714900662222239</v>
      </c>
    </row>
    <row r="145" customFormat="false" ht="15" hidden="false" customHeight="false" outlineLevel="0" collapsed="false">
      <c r="A145" s="4" t="s">
        <v>56</v>
      </c>
      <c r="B145" s="4" t="s">
        <v>234</v>
      </c>
      <c r="C145" s="49" t="n">
        <f aca="false">3</f>
        <v>3</v>
      </c>
      <c r="D145" s="50" t="n">
        <f aca="false">Inputs!E12</f>
        <v>3</v>
      </c>
      <c r="E145" s="50" t="n">
        <f aca="false">Inputs!F12</f>
        <v>5</v>
      </c>
    </row>
    <row r="146" customFormat="false" ht="15" hidden="false" customHeight="false" outlineLevel="0" collapsed="false">
      <c r="A146" s="4" t="s">
        <v>58</v>
      </c>
      <c r="B146" s="4" t="s">
        <v>234</v>
      </c>
      <c r="C146" s="36" t="n">
        <f aca="false">Inputs!D13</f>
        <v>8939.68360171452</v>
      </c>
      <c r="D146" s="36" t="n">
        <f aca="false">Inputs!E13</f>
        <v>7057.0782697439</v>
      </c>
      <c r="E146" s="36" t="n">
        <f aca="false">Inputs!F13</f>
        <v>7071.53614157276</v>
      </c>
    </row>
    <row r="147" customFormat="false" ht="15" hidden="false" customHeight="false" outlineLevel="0" collapsed="false">
      <c r="A147" s="4" t="s">
        <v>60</v>
      </c>
      <c r="B147" s="4" t="s">
        <v>234</v>
      </c>
      <c r="C147" s="49" t="n">
        <f aca="false">3</f>
        <v>3</v>
      </c>
      <c r="D147" s="50" t="n">
        <f aca="false">Inputs!E15</f>
        <v>3.33333333333333</v>
      </c>
      <c r="E147" s="50" t="n">
        <f aca="false">Inputs!F15</f>
        <v>2.33333333333333</v>
      </c>
    </row>
    <row r="148" customFormat="false" ht="15" hidden="false" customHeight="false" outlineLevel="0" collapsed="false">
      <c r="A148" s="4" t="s">
        <v>62</v>
      </c>
      <c r="B148" s="4" t="s">
        <v>234</v>
      </c>
      <c r="C148" s="9" t="n">
        <f aca="false">Inputs!D16</f>
        <v>2</v>
      </c>
      <c r="D148" s="9" t="n">
        <f aca="false">Inputs!E16</f>
        <v>1.5</v>
      </c>
      <c r="E148" s="9" t="n">
        <f aca="false">Inputs!F16</f>
        <v>4.5</v>
      </c>
    </row>
    <row r="149" customFormat="false" ht="15" hidden="false" customHeight="false" outlineLevel="0" collapsed="false">
      <c r="A149" s="6" t="s">
        <v>52</v>
      </c>
      <c r="B149" s="4" t="s">
        <v>235</v>
      </c>
      <c r="C149" s="20" t="n">
        <f aca="false">1+4*C143/MAX($C$143:$E$143)</f>
        <v>2.19998573903099</v>
      </c>
      <c r="D149" s="20" t="n">
        <f aca="false">1+4*D143/MAX($C$143:$E$143)</f>
        <v>3.66054905691655</v>
      </c>
      <c r="E149" s="20" t="n">
        <f aca="false">1+4*E143/MAX($C$143:$E$143)</f>
        <v>5</v>
      </c>
      <c r="F149" s="4" t="s">
        <v>236</v>
      </c>
    </row>
    <row r="150" customFormat="false" ht="15" hidden="false" customHeight="false" outlineLevel="0" collapsed="false">
      <c r="A150" s="6" t="s">
        <v>54</v>
      </c>
      <c r="B150" s="4" t="s">
        <v>235</v>
      </c>
      <c r="C150" s="20" t="n">
        <f aca="false">1+4*C144/MAX($C$144:$E$144)</f>
        <v>5</v>
      </c>
      <c r="D150" s="20" t="n">
        <f aca="false">1+4*D144/MAX($C$144:$E$144)</f>
        <v>1.49899799599198</v>
      </c>
      <c r="E150" s="20" t="n">
        <f aca="false">1+4*E144/MAX($C$144:$E$144)</f>
        <v>2.12441246128621</v>
      </c>
      <c r="F150" s="4" t="s">
        <v>236</v>
      </c>
    </row>
    <row r="151" customFormat="false" ht="15" hidden="false" customHeight="false" outlineLevel="0" collapsed="false">
      <c r="A151" s="6" t="s">
        <v>56</v>
      </c>
      <c r="B151" s="4" t="s">
        <v>235</v>
      </c>
      <c r="C151" s="20" t="n">
        <f aca="false">C145</f>
        <v>3</v>
      </c>
      <c r="D151" s="20" t="n">
        <f aca="false">D145</f>
        <v>3</v>
      </c>
      <c r="E151" s="20" t="n">
        <f aca="false">E145</f>
        <v>5</v>
      </c>
      <c r="F151" s="4" t="s">
        <v>237</v>
      </c>
    </row>
    <row r="152" customFormat="false" ht="15" hidden="false" customHeight="false" outlineLevel="0" collapsed="false">
      <c r="A152" s="6" t="s">
        <v>58</v>
      </c>
      <c r="B152" s="4" t="s">
        <v>235</v>
      </c>
      <c r="C152" s="20" t="n">
        <f aca="false">1+4*C146/MAX($C$146:$E$146)</f>
        <v>5</v>
      </c>
      <c r="D152" s="20" t="n">
        <f aca="false">1+4*D146/MAX($C$146:$E$146)</f>
        <v>4.1576411802272</v>
      </c>
      <c r="E152" s="20" t="n">
        <f aca="false">1+4*E146/MAX($C$146:$E$146)</f>
        <v>4.1641102556321</v>
      </c>
      <c r="F152" s="4" t="s">
        <v>236</v>
      </c>
    </row>
    <row r="153" customFormat="false" ht="15" hidden="false" customHeight="false" outlineLevel="0" collapsed="false">
      <c r="A153" s="6" t="s">
        <v>60</v>
      </c>
      <c r="B153" s="4" t="s">
        <v>235</v>
      </c>
      <c r="C153" s="20" t="n">
        <f aca="false">C147</f>
        <v>3</v>
      </c>
      <c r="D153" s="20" t="n">
        <f aca="false">D147</f>
        <v>3.33333333333333</v>
      </c>
      <c r="E153" s="20" t="n">
        <f aca="false">E147</f>
        <v>2.33333333333333</v>
      </c>
      <c r="F153" s="4" t="s">
        <v>237</v>
      </c>
    </row>
    <row r="154" customFormat="false" ht="15" hidden="false" customHeight="false" outlineLevel="0" collapsed="false">
      <c r="A154" s="6" t="s">
        <v>62</v>
      </c>
      <c r="B154" s="4" t="s">
        <v>235</v>
      </c>
      <c r="C154" s="20" t="n">
        <f aca="false">C148</f>
        <v>2</v>
      </c>
      <c r="D154" s="20" t="n">
        <f aca="false">D148</f>
        <v>1.5</v>
      </c>
      <c r="E154" s="20" t="n">
        <f aca="false">E148</f>
        <v>4.5</v>
      </c>
      <c r="F154" s="4" t="s">
        <v>237</v>
      </c>
    </row>
    <row r="155" customFormat="false" ht="15" hidden="false" customHeight="false" outlineLevel="0" collapsed="false">
      <c r="A155" s="37" t="s">
        <v>238</v>
      </c>
      <c r="B155" s="38" t="s">
        <v>239</v>
      </c>
      <c r="C155" s="39" t="n">
        <f aca="false">SUMPRODUCT(Weights!$B$5:$B$10,C149:C154)</f>
        <v>3.4399971478062</v>
      </c>
      <c r="D155" s="39" t="n">
        <f aca="false">SUMPRODUCT(Weights!$B$5:$B$10,D149:D154)</f>
        <v>2.90555558761579</v>
      </c>
      <c r="E155" s="39" t="n">
        <f aca="false">SUMPRODUCT(Weights!$B$5:$B$10,E149:E154)</f>
        <v>3.84949903060206</v>
      </c>
    </row>
    <row r="156" customFormat="false" ht="23.85" hidden="false" customHeight="false" outlineLevel="0" collapsed="false">
      <c r="A156" s="6" t="s">
        <v>240</v>
      </c>
      <c r="C156" s="40" t="str">
        <f aca="false">INDEX({"Distribution","Manufacturing","Prof. services"},MATCH(MAX(C155:E155),C155:E155,0))</f>
        <v>Prof. services</v>
      </c>
      <c r="E156" s="41" t="n">
        <f aca="false">C155-E155</f>
        <v>-0.409501882795859</v>
      </c>
    </row>
    <row r="158" customFormat="false" ht="35.05" hidden="false" customHeight="false" outlineLevel="0" collapsed="false">
      <c r="A158" s="3" t="s">
        <v>316</v>
      </c>
      <c r="B158" s="12"/>
      <c r="C158" s="12"/>
      <c r="D158" s="12"/>
      <c r="E158" s="12"/>
      <c r="F158" s="48" t="s">
        <v>317</v>
      </c>
    </row>
    <row r="159" customFormat="false" ht="19.5" hidden="false" customHeight="true" outlineLevel="0" collapsed="false">
      <c r="A159" s="5" t="s">
        <v>44</v>
      </c>
      <c r="B159" s="5" t="s">
        <v>216</v>
      </c>
      <c r="C159" s="5" t="s">
        <v>15</v>
      </c>
      <c r="D159" s="5" t="s">
        <v>16</v>
      </c>
      <c r="E159" s="5" t="s">
        <v>17</v>
      </c>
      <c r="F159" s="5" t="s">
        <v>233</v>
      </c>
    </row>
    <row r="160" customFormat="false" ht="15" hidden="false" customHeight="false" outlineLevel="0" collapsed="false">
      <c r="A160" s="4" t="s">
        <v>52</v>
      </c>
      <c r="B160" s="4" t="s">
        <v>234</v>
      </c>
      <c r="C160" s="35" t="n">
        <f aca="false">Inputs!D8</f>
        <v>6243.5408</v>
      </c>
      <c r="D160" s="35" t="n">
        <f aca="false">Inputs!E8</f>
        <v>13842.87</v>
      </c>
      <c r="E160" s="35" t="n">
        <f aca="false">Inputs!F8</f>
        <v>20812.05</v>
      </c>
    </row>
    <row r="161" customFormat="false" ht="15" hidden="false" customHeight="false" outlineLevel="0" collapsed="false">
      <c r="A161" s="4" t="s">
        <v>54</v>
      </c>
      <c r="B161" s="4" t="s">
        <v>234</v>
      </c>
      <c r="C161" s="9" t="n">
        <f aca="false">Inputs!D10</f>
        <v>2.54319722285706</v>
      </c>
      <c r="D161" s="9" t="n">
        <f aca="false">Inputs!E10</f>
        <v>0.317262579404513</v>
      </c>
      <c r="E161" s="9" t="n">
        <f aca="false">Inputs!F10</f>
        <v>0.714900662222239</v>
      </c>
    </row>
    <row r="162" customFormat="false" ht="15" hidden="false" customHeight="false" outlineLevel="0" collapsed="false">
      <c r="A162" s="4" t="s">
        <v>56</v>
      </c>
      <c r="B162" s="4" t="s">
        <v>234</v>
      </c>
      <c r="C162" s="9" t="n">
        <f aca="false">Inputs!D12</f>
        <v>4</v>
      </c>
      <c r="D162" s="9" t="n">
        <f aca="false">Inputs!E12</f>
        <v>3</v>
      </c>
      <c r="E162" s="9" t="n">
        <f aca="false">Inputs!F12</f>
        <v>5</v>
      </c>
    </row>
    <row r="163" customFormat="false" ht="15" hidden="false" customHeight="false" outlineLevel="0" collapsed="false">
      <c r="A163" s="4" t="s">
        <v>58</v>
      </c>
      <c r="B163" s="4" t="s">
        <v>234</v>
      </c>
      <c r="C163" s="36" t="n">
        <f aca="false">Inputs!D13</f>
        <v>8939.68360171452</v>
      </c>
      <c r="D163" s="36" t="n">
        <f aca="false">Inputs!E13</f>
        <v>7057.0782697439</v>
      </c>
      <c r="E163" s="36" t="n">
        <f aca="false">Inputs!F13</f>
        <v>7071.53614157276</v>
      </c>
    </row>
    <row r="164" customFormat="false" ht="15" hidden="false" customHeight="false" outlineLevel="0" collapsed="false">
      <c r="A164" s="4" t="s">
        <v>60</v>
      </c>
      <c r="B164" s="4" t="s">
        <v>234</v>
      </c>
      <c r="C164" s="50" t="n">
        <f aca="false">Inputs!D15</f>
        <v>4</v>
      </c>
      <c r="D164" s="50" t="n">
        <f aca="false">Inputs!E15</f>
        <v>3.33333333333333</v>
      </c>
      <c r="E164" s="49" t="n">
        <f aca="false">3</f>
        <v>3</v>
      </c>
    </row>
    <row r="165" customFormat="false" ht="15" hidden="false" customHeight="false" outlineLevel="0" collapsed="false">
      <c r="A165" s="4" t="s">
        <v>62</v>
      </c>
      <c r="B165" s="4" t="s">
        <v>234</v>
      </c>
      <c r="C165" s="50" t="n">
        <f aca="false">Inputs!D16</f>
        <v>2</v>
      </c>
      <c r="D165" s="50" t="n">
        <f aca="false">Inputs!E16</f>
        <v>1.5</v>
      </c>
      <c r="E165" s="49" t="n">
        <f aca="false">5</f>
        <v>5</v>
      </c>
    </row>
    <row r="166" customFormat="false" ht="15" hidden="false" customHeight="false" outlineLevel="0" collapsed="false">
      <c r="A166" s="6" t="s">
        <v>52</v>
      </c>
      <c r="B166" s="4" t="s">
        <v>235</v>
      </c>
      <c r="C166" s="20" t="n">
        <f aca="false">1+4*C160/MAX($C$160:$E$160)</f>
        <v>2.19998573903099</v>
      </c>
      <c r="D166" s="20" t="n">
        <f aca="false">1+4*D160/MAX($C$160:$E$160)</f>
        <v>3.66054905691655</v>
      </c>
      <c r="E166" s="20" t="n">
        <f aca="false">1+4*E160/MAX($C$160:$E$160)</f>
        <v>5</v>
      </c>
      <c r="F166" s="4" t="s">
        <v>236</v>
      </c>
    </row>
    <row r="167" customFormat="false" ht="15" hidden="false" customHeight="false" outlineLevel="0" collapsed="false">
      <c r="A167" s="6" t="s">
        <v>54</v>
      </c>
      <c r="B167" s="4" t="s">
        <v>235</v>
      </c>
      <c r="C167" s="20" t="n">
        <f aca="false">1+4*C161/MAX($C$161:$E$161)</f>
        <v>5</v>
      </c>
      <c r="D167" s="20" t="n">
        <f aca="false">1+4*D161/MAX($C$161:$E$161)</f>
        <v>1.49899799599198</v>
      </c>
      <c r="E167" s="20" t="n">
        <f aca="false">1+4*E161/MAX($C$161:$E$161)</f>
        <v>2.12441246128621</v>
      </c>
      <c r="F167" s="4" t="s">
        <v>236</v>
      </c>
    </row>
    <row r="168" customFormat="false" ht="15" hidden="false" customHeight="false" outlineLevel="0" collapsed="false">
      <c r="A168" s="6" t="s">
        <v>56</v>
      </c>
      <c r="B168" s="4" t="s">
        <v>235</v>
      </c>
      <c r="C168" s="20" t="n">
        <f aca="false">C162</f>
        <v>4</v>
      </c>
      <c r="D168" s="20" t="n">
        <f aca="false">D162</f>
        <v>3</v>
      </c>
      <c r="E168" s="20" t="n">
        <f aca="false">E162</f>
        <v>5</v>
      </c>
      <c r="F168" s="4" t="s">
        <v>237</v>
      </c>
    </row>
    <row r="169" customFormat="false" ht="15" hidden="false" customHeight="false" outlineLevel="0" collapsed="false">
      <c r="A169" s="6" t="s">
        <v>58</v>
      </c>
      <c r="B169" s="4" t="s">
        <v>235</v>
      </c>
      <c r="C169" s="20" t="n">
        <f aca="false">1+4*C163/MAX($C$163:$E$163)</f>
        <v>5</v>
      </c>
      <c r="D169" s="20" t="n">
        <f aca="false">1+4*D163/MAX($C$163:$E$163)</f>
        <v>4.1576411802272</v>
      </c>
      <c r="E169" s="20" t="n">
        <f aca="false">1+4*E163/MAX($C$163:$E$163)</f>
        <v>4.1641102556321</v>
      </c>
      <c r="F169" s="4" t="s">
        <v>236</v>
      </c>
    </row>
    <row r="170" customFormat="false" ht="15" hidden="false" customHeight="false" outlineLevel="0" collapsed="false">
      <c r="A170" s="6" t="s">
        <v>60</v>
      </c>
      <c r="B170" s="4" t="s">
        <v>235</v>
      </c>
      <c r="C170" s="20" t="n">
        <f aca="false">C164</f>
        <v>4</v>
      </c>
      <c r="D170" s="20" t="n">
        <f aca="false">D164</f>
        <v>3.33333333333333</v>
      </c>
      <c r="E170" s="20" t="n">
        <f aca="false">E164</f>
        <v>3</v>
      </c>
      <c r="F170" s="4" t="s">
        <v>237</v>
      </c>
    </row>
    <row r="171" customFormat="false" ht="15" hidden="false" customHeight="false" outlineLevel="0" collapsed="false">
      <c r="A171" s="6" t="s">
        <v>62</v>
      </c>
      <c r="B171" s="4" t="s">
        <v>235</v>
      </c>
      <c r="C171" s="20" t="n">
        <f aca="false">C165</f>
        <v>2</v>
      </c>
      <c r="D171" s="20" t="n">
        <f aca="false">D165</f>
        <v>1.5</v>
      </c>
      <c r="E171" s="20" t="n">
        <f aca="false">E165</f>
        <v>5</v>
      </c>
      <c r="F171" s="4" t="s">
        <v>237</v>
      </c>
    </row>
    <row r="172" customFormat="false" ht="15" hidden="false" customHeight="false" outlineLevel="0" collapsed="false">
      <c r="A172" s="37" t="s">
        <v>238</v>
      </c>
      <c r="B172" s="38" t="s">
        <v>239</v>
      </c>
      <c r="C172" s="39" t="n">
        <f aca="false">SUMPRODUCT(Weights!$B$5:$B$10,C166:C171)</f>
        <v>3.7899971478062</v>
      </c>
      <c r="D172" s="39" t="n">
        <f aca="false">SUMPRODUCT(Weights!$B$5:$B$10,D166:D171)</f>
        <v>2.90555558761579</v>
      </c>
      <c r="E172" s="39" t="n">
        <f aca="false">SUMPRODUCT(Weights!$B$5:$B$10,E166:E171)</f>
        <v>3.99949903060206</v>
      </c>
    </row>
    <row r="173" customFormat="false" ht="23.85" hidden="false" customHeight="false" outlineLevel="0" collapsed="false">
      <c r="A173" s="6" t="s">
        <v>240</v>
      </c>
      <c r="C173" s="40" t="str">
        <f aca="false">INDEX({"Distribution","Manufacturing","Prof. services"},MATCH(MAX(C172:E172),C172:E172,0))</f>
        <v>Prof. services</v>
      </c>
      <c r="E173" s="41" t="n">
        <f aca="false">C172-E172</f>
        <v>-0.209501882795859</v>
      </c>
    </row>
    <row r="175" customFormat="false" ht="15" hidden="false" customHeight="false" outlineLevel="0" collapsed="false">
      <c r="A175" s="3" t="s">
        <v>318</v>
      </c>
      <c r="B175" s="12"/>
      <c r="C175" s="12"/>
      <c r="D175" s="12"/>
      <c r="E175" s="12"/>
      <c r="F175" s="48" t="s">
        <v>319</v>
      </c>
    </row>
    <row r="176" customFormat="false" ht="19.5" hidden="false" customHeight="true" outlineLevel="0" collapsed="false">
      <c r="A176" s="5" t="s">
        <v>44</v>
      </c>
      <c r="B176" s="5" t="s">
        <v>216</v>
      </c>
      <c r="C176" s="5" t="s">
        <v>15</v>
      </c>
      <c r="D176" s="5" t="s">
        <v>16</v>
      </c>
      <c r="E176" s="5" t="s">
        <v>17</v>
      </c>
      <c r="F176" s="5" t="s">
        <v>233</v>
      </c>
    </row>
    <row r="177" customFormat="false" ht="15" hidden="false" customHeight="false" outlineLevel="0" collapsed="false">
      <c r="A177" s="4" t="s">
        <v>52</v>
      </c>
      <c r="B177" s="4" t="s">
        <v>234</v>
      </c>
      <c r="C177" s="35" t="n">
        <f aca="false">Inputs!D8</f>
        <v>6243.5408</v>
      </c>
      <c r="D177" s="35" t="n">
        <f aca="false">Inputs!E8</f>
        <v>13842.87</v>
      </c>
      <c r="E177" s="35" t="n">
        <f aca="false">Inputs!F8</f>
        <v>20812.05</v>
      </c>
    </row>
    <row r="178" customFormat="false" ht="15" hidden="false" customHeight="false" outlineLevel="0" collapsed="false">
      <c r="A178" s="4" t="s">
        <v>54</v>
      </c>
      <c r="B178" s="4" t="s">
        <v>234</v>
      </c>
      <c r="C178" s="9" t="n">
        <f aca="false">Inputs!D10</f>
        <v>2.54319722285706</v>
      </c>
      <c r="D178" s="9" t="n">
        <f aca="false">Inputs!E10</f>
        <v>0.317262579404513</v>
      </c>
      <c r="E178" s="9" t="n">
        <f aca="false">Inputs!F10</f>
        <v>0.714900662222239</v>
      </c>
    </row>
    <row r="179" customFormat="false" ht="15" hidden="false" customHeight="false" outlineLevel="0" collapsed="false">
      <c r="A179" s="4" t="s">
        <v>56</v>
      </c>
      <c r="B179" s="4" t="s">
        <v>234</v>
      </c>
      <c r="C179" s="49" t="n">
        <f aca="false">3</f>
        <v>3</v>
      </c>
      <c r="D179" s="50" t="n">
        <f aca="false">Inputs!E12</f>
        <v>3</v>
      </c>
      <c r="E179" s="50" t="n">
        <f aca="false">Inputs!F12</f>
        <v>5</v>
      </c>
    </row>
    <row r="180" customFormat="false" ht="15" hidden="false" customHeight="false" outlineLevel="0" collapsed="false">
      <c r="A180" s="4" t="s">
        <v>58</v>
      </c>
      <c r="B180" s="4" t="s">
        <v>234</v>
      </c>
      <c r="C180" s="36" t="n">
        <f aca="false">Inputs!D13</f>
        <v>8939.68360171452</v>
      </c>
      <c r="D180" s="36" t="n">
        <f aca="false">Inputs!E13</f>
        <v>7057.0782697439</v>
      </c>
      <c r="E180" s="36" t="n">
        <f aca="false">Inputs!F13</f>
        <v>7071.53614157276</v>
      </c>
    </row>
    <row r="181" customFormat="false" ht="15" hidden="false" customHeight="false" outlineLevel="0" collapsed="false">
      <c r="A181" s="4" t="s">
        <v>60</v>
      </c>
      <c r="B181" s="4" t="s">
        <v>234</v>
      </c>
      <c r="C181" s="49" t="n">
        <f aca="false">3</f>
        <v>3</v>
      </c>
      <c r="D181" s="50" t="n">
        <f aca="false">Inputs!E15</f>
        <v>3.33333333333333</v>
      </c>
      <c r="E181" s="49" t="n">
        <f aca="false">3</f>
        <v>3</v>
      </c>
    </row>
    <row r="182" customFormat="false" ht="15" hidden="false" customHeight="false" outlineLevel="0" collapsed="false">
      <c r="A182" s="4" t="s">
        <v>62</v>
      </c>
      <c r="B182" s="4" t="s">
        <v>234</v>
      </c>
      <c r="C182" s="50" t="n">
        <f aca="false">Inputs!D16</f>
        <v>2</v>
      </c>
      <c r="D182" s="50" t="n">
        <f aca="false">Inputs!E16</f>
        <v>1.5</v>
      </c>
      <c r="E182" s="49" t="n">
        <f aca="false">5</f>
        <v>5</v>
      </c>
    </row>
    <row r="183" customFormat="false" ht="15" hidden="false" customHeight="false" outlineLevel="0" collapsed="false">
      <c r="A183" s="6" t="s">
        <v>52</v>
      </c>
      <c r="B183" s="4" t="s">
        <v>235</v>
      </c>
      <c r="C183" s="20" t="n">
        <f aca="false">1+4*C177/MAX($C$177:$E$177)</f>
        <v>2.19998573903099</v>
      </c>
      <c r="D183" s="20" t="n">
        <f aca="false">1+4*D177/MAX($C$177:$E$177)</f>
        <v>3.66054905691655</v>
      </c>
      <c r="E183" s="20" t="n">
        <f aca="false">1+4*E177/MAX($C$177:$E$177)</f>
        <v>5</v>
      </c>
      <c r="F183" s="4" t="s">
        <v>236</v>
      </c>
    </row>
    <row r="184" customFormat="false" ht="15" hidden="false" customHeight="false" outlineLevel="0" collapsed="false">
      <c r="A184" s="6" t="s">
        <v>54</v>
      </c>
      <c r="B184" s="4" t="s">
        <v>235</v>
      </c>
      <c r="C184" s="20" t="n">
        <f aca="false">1+4*C178/MAX($C$178:$E$178)</f>
        <v>5</v>
      </c>
      <c r="D184" s="20" t="n">
        <f aca="false">1+4*D178/MAX($C$178:$E$178)</f>
        <v>1.49899799599198</v>
      </c>
      <c r="E184" s="20" t="n">
        <f aca="false">1+4*E178/MAX($C$178:$E$178)</f>
        <v>2.12441246128621</v>
      </c>
      <c r="F184" s="4" t="s">
        <v>236</v>
      </c>
    </row>
    <row r="185" customFormat="false" ht="15" hidden="false" customHeight="false" outlineLevel="0" collapsed="false">
      <c r="A185" s="6" t="s">
        <v>56</v>
      </c>
      <c r="B185" s="4" t="s">
        <v>235</v>
      </c>
      <c r="C185" s="20" t="n">
        <f aca="false">C179</f>
        <v>3</v>
      </c>
      <c r="D185" s="20" t="n">
        <f aca="false">D179</f>
        <v>3</v>
      </c>
      <c r="E185" s="20" t="n">
        <f aca="false">E179</f>
        <v>5</v>
      </c>
      <c r="F185" s="4" t="s">
        <v>237</v>
      </c>
    </row>
    <row r="186" customFormat="false" ht="15" hidden="false" customHeight="false" outlineLevel="0" collapsed="false">
      <c r="A186" s="6" t="s">
        <v>58</v>
      </c>
      <c r="B186" s="4" t="s">
        <v>235</v>
      </c>
      <c r="C186" s="20" t="n">
        <f aca="false">1+4*C180/MAX($C$180:$E$180)</f>
        <v>5</v>
      </c>
      <c r="D186" s="20" t="n">
        <f aca="false">1+4*D180/MAX($C$180:$E$180)</f>
        <v>4.1576411802272</v>
      </c>
      <c r="E186" s="20" t="n">
        <f aca="false">1+4*E180/MAX($C$180:$E$180)</f>
        <v>4.1641102556321</v>
      </c>
      <c r="F186" s="4" t="s">
        <v>236</v>
      </c>
    </row>
    <row r="187" customFormat="false" ht="15" hidden="false" customHeight="false" outlineLevel="0" collapsed="false">
      <c r="A187" s="6" t="s">
        <v>60</v>
      </c>
      <c r="B187" s="4" t="s">
        <v>235</v>
      </c>
      <c r="C187" s="20" t="n">
        <f aca="false">C181</f>
        <v>3</v>
      </c>
      <c r="D187" s="20" t="n">
        <f aca="false">D181</f>
        <v>3.33333333333333</v>
      </c>
      <c r="E187" s="20" t="n">
        <f aca="false">E181</f>
        <v>3</v>
      </c>
      <c r="F187" s="4" t="s">
        <v>237</v>
      </c>
    </row>
    <row r="188" customFormat="false" ht="15" hidden="false" customHeight="false" outlineLevel="0" collapsed="false">
      <c r="A188" s="6" t="s">
        <v>62</v>
      </c>
      <c r="B188" s="4" t="s">
        <v>235</v>
      </c>
      <c r="C188" s="20" t="n">
        <f aca="false">C182</f>
        <v>2</v>
      </c>
      <c r="D188" s="20" t="n">
        <f aca="false">D182</f>
        <v>1.5</v>
      </c>
      <c r="E188" s="20" t="n">
        <f aca="false">E182</f>
        <v>5</v>
      </c>
      <c r="F188" s="4" t="s">
        <v>237</v>
      </c>
    </row>
    <row r="189" customFormat="false" ht="15" hidden="false" customHeight="false" outlineLevel="0" collapsed="false">
      <c r="A189" s="37" t="s">
        <v>238</v>
      </c>
      <c r="B189" s="38" t="s">
        <v>239</v>
      </c>
      <c r="C189" s="39" t="n">
        <f aca="false">SUMPRODUCT(Weights!$B$5:$B$10,C183:C188)</f>
        <v>3.4399971478062</v>
      </c>
      <c r="D189" s="39" t="n">
        <f aca="false">SUMPRODUCT(Weights!$B$5:$B$10,D183:D188)</f>
        <v>2.90555558761579</v>
      </c>
      <c r="E189" s="39" t="n">
        <f aca="false">SUMPRODUCT(Weights!$B$5:$B$10,E183:E188)</f>
        <v>3.99949903060206</v>
      </c>
    </row>
    <row r="190" customFormat="false" ht="23.85" hidden="false" customHeight="false" outlineLevel="0" collapsed="false">
      <c r="A190" s="6" t="s">
        <v>240</v>
      </c>
      <c r="C190" s="40" t="str">
        <f aca="false">INDEX({"Distribution","Manufacturing","Prof. services"},MATCH(MAX(C189:E189),C189:E189,0))</f>
        <v>Prof. services</v>
      </c>
      <c r="E190" s="41" t="n">
        <f aca="false">C189-E189</f>
        <v>-0.559501882795859</v>
      </c>
    </row>
    <row r="192" customFormat="false" ht="23.85" hidden="false" customHeight="false" outlineLevel="0" collapsed="false">
      <c r="A192" s="3" t="s">
        <v>320</v>
      </c>
      <c r="B192" s="12"/>
      <c r="C192" s="12"/>
      <c r="D192" s="12"/>
      <c r="E192" s="12"/>
      <c r="F192" s="48" t="s">
        <v>321</v>
      </c>
    </row>
    <row r="193" customFormat="false" ht="19.5" hidden="false" customHeight="true" outlineLevel="0" collapsed="false">
      <c r="A193" s="5" t="s">
        <v>44</v>
      </c>
      <c r="B193" s="5" t="s">
        <v>216</v>
      </c>
      <c r="C193" s="5" t="s">
        <v>15</v>
      </c>
      <c r="D193" s="5" t="s">
        <v>16</v>
      </c>
      <c r="E193" s="5" t="s">
        <v>17</v>
      </c>
      <c r="F193" s="5" t="s">
        <v>233</v>
      </c>
    </row>
    <row r="194" customFormat="false" ht="15" hidden="false" customHeight="false" outlineLevel="0" collapsed="false">
      <c r="A194" s="4" t="s">
        <v>52</v>
      </c>
      <c r="B194" s="4" t="s">
        <v>234</v>
      </c>
      <c r="C194" s="35" t="n">
        <f aca="false">Inputs!D8</f>
        <v>6243.5408</v>
      </c>
      <c r="D194" s="35" t="n">
        <f aca="false">Inputs!E8</f>
        <v>13842.87</v>
      </c>
      <c r="E194" s="35" t="n">
        <f aca="false">Inputs!F8</f>
        <v>20812.05</v>
      </c>
    </row>
    <row r="195" customFormat="false" ht="15" hidden="false" customHeight="false" outlineLevel="0" collapsed="false">
      <c r="A195" s="4" t="s">
        <v>54</v>
      </c>
      <c r="B195" s="4" t="s">
        <v>234</v>
      </c>
      <c r="C195" s="9" t="n">
        <f aca="false">Inputs!D10</f>
        <v>2.54319722285706</v>
      </c>
      <c r="D195" s="9" t="n">
        <f aca="false">Inputs!E10</f>
        <v>0.317262579404513</v>
      </c>
      <c r="E195" s="9" t="n">
        <f aca="false">Inputs!F10</f>
        <v>0.714900662222239</v>
      </c>
    </row>
    <row r="196" customFormat="false" ht="15" hidden="false" customHeight="false" outlineLevel="0" collapsed="false">
      <c r="A196" s="4" t="s">
        <v>56</v>
      </c>
      <c r="B196" s="4" t="s">
        <v>234</v>
      </c>
      <c r="C196" s="9" t="n">
        <f aca="false">Inputs!D12</f>
        <v>4</v>
      </c>
      <c r="D196" s="9" t="n">
        <f aca="false">Inputs!E12</f>
        <v>3</v>
      </c>
      <c r="E196" s="9" t="n">
        <f aca="false">Inputs!F12</f>
        <v>5</v>
      </c>
    </row>
    <row r="197" customFormat="false" ht="15" hidden="false" customHeight="false" outlineLevel="0" collapsed="false">
      <c r="A197" s="4" t="s">
        <v>58</v>
      </c>
      <c r="B197" s="4" t="s">
        <v>234</v>
      </c>
      <c r="C197" s="53" t="n">
        <f aca="false">Inputs!D14</f>
        <v>11632.5060301881</v>
      </c>
      <c r="D197" s="53" t="n">
        <f aca="false">Inputs!E14</f>
        <v>7057.0782697439</v>
      </c>
      <c r="E197" s="53" t="n">
        <f aca="false">Inputs!F14</f>
        <v>7071.53614157276</v>
      </c>
    </row>
    <row r="198" customFormat="false" ht="15" hidden="false" customHeight="false" outlineLevel="0" collapsed="false">
      <c r="A198" s="4" t="s">
        <v>60</v>
      </c>
      <c r="B198" s="4" t="s">
        <v>234</v>
      </c>
      <c r="C198" s="9" t="n">
        <f aca="false">Inputs!D15</f>
        <v>4</v>
      </c>
      <c r="D198" s="9" t="n">
        <f aca="false">Inputs!E15</f>
        <v>3.33333333333333</v>
      </c>
      <c r="E198" s="9" t="n">
        <f aca="false">Inputs!F15</f>
        <v>2.33333333333333</v>
      </c>
    </row>
    <row r="199" customFormat="false" ht="15" hidden="false" customHeight="false" outlineLevel="0" collapsed="false">
      <c r="A199" s="4" t="s">
        <v>62</v>
      </c>
      <c r="B199" s="4" t="s">
        <v>234</v>
      </c>
      <c r="C199" s="9" t="n">
        <f aca="false">Inputs!D16</f>
        <v>2</v>
      </c>
      <c r="D199" s="9" t="n">
        <f aca="false">Inputs!E16</f>
        <v>1.5</v>
      </c>
      <c r="E199" s="9" t="n">
        <f aca="false">Inputs!F16</f>
        <v>4.5</v>
      </c>
    </row>
    <row r="200" customFormat="false" ht="15" hidden="false" customHeight="false" outlineLevel="0" collapsed="false">
      <c r="A200" s="6" t="s">
        <v>52</v>
      </c>
      <c r="B200" s="4" t="s">
        <v>235</v>
      </c>
      <c r="C200" s="20" t="n">
        <f aca="false">1+4*C194/MAX($C$194:$E$194)</f>
        <v>2.19998573903099</v>
      </c>
      <c r="D200" s="20" t="n">
        <f aca="false">1+4*D194/MAX($C$194:$E$194)</f>
        <v>3.66054905691655</v>
      </c>
      <c r="E200" s="20" t="n">
        <f aca="false">1+4*E194/MAX($C$194:$E$194)</f>
        <v>5</v>
      </c>
      <c r="F200" s="4" t="s">
        <v>236</v>
      </c>
    </row>
    <row r="201" customFormat="false" ht="15" hidden="false" customHeight="false" outlineLevel="0" collapsed="false">
      <c r="A201" s="6" t="s">
        <v>54</v>
      </c>
      <c r="B201" s="4" t="s">
        <v>235</v>
      </c>
      <c r="C201" s="20" t="n">
        <f aca="false">1+4*C195/MAX($C$195:$E$195)</f>
        <v>5</v>
      </c>
      <c r="D201" s="20" t="n">
        <f aca="false">1+4*D195/MAX($C$195:$E$195)</f>
        <v>1.49899799599198</v>
      </c>
      <c r="E201" s="20" t="n">
        <f aca="false">1+4*E195/MAX($C$195:$E$195)</f>
        <v>2.12441246128621</v>
      </c>
      <c r="F201" s="4" t="s">
        <v>236</v>
      </c>
    </row>
    <row r="202" customFormat="false" ht="15" hidden="false" customHeight="false" outlineLevel="0" collapsed="false">
      <c r="A202" s="6" t="s">
        <v>56</v>
      </c>
      <c r="B202" s="4" t="s">
        <v>235</v>
      </c>
      <c r="C202" s="20" t="n">
        <f aca="false">C196</f>
        <v>4</v>
      </c>
      <c r="D202" s="20" t="n">
        <f aca="false">D196</f>
        <v>3</v>
      </c>
      <c r="E202" s="20" t="n">
        <f aca="false">E196</f>
        <v>5</v>
      </c>
      <c r="F202" s="4" t="s">
        <v>237</v>
      </c>
    </row>
    <row r="203" customFormat="false" ht="15" hidden="false" customHeight="false" outlineLevel="0" collapsed="false">
      <c r="A203" s="6" t="s">
        <v>58</v>
      </c>
      <c r="B203" s="4" t="s">
        <v>235</v>
      </c>
      <c r="C203" s="20" t="n">
        <f aca="false">1+4*C197/MAX($C$197:$E$197)</f>
        <v>5</v>
      </c>
      <c r="D203" s="20" t="n">
        <f aca="false">1+4*D197/MAX($C$197:$E$197)</f>
        <v>3.42667512965125</v>
      </c>
      <c r="E203" s="20" t="n">
        <f aca="false">1+4*E197/MAX($C$197:$E$197)</f>
        <v>3.43164667122324</v>
      </c>
      <c r="F203" s="4" t="s">
        <v>236</v>
      </c>
    </row>
    <row r="204" customFormat="false" ht="15" hidden="false" customHeight="false" outlineLevel="0" collapsed="false">
      <c r="A204" s="6" t="s">
        <v>60</v>
      </c>
      <c r="B204" s="4" t="s">
        <v>235</v>
      </c>
      <c r="C204" s="20" t="n">
        <f aca="false">C198</f>
        <v>4</v>
      </c>
      <c r="D204" s="20" t="n">
        <f aca="false">D198</f>
        <v>3.33333333333333</v>
      </c>
      <c r="E204" s="20" t="n">
        <f aca="false">E198</f>
        <v>2.33333333333333</v>
      </c>
      <c r="F204" s="4" t="s">
        <v>237</v>
      </c>
    </row>
    <row r="205" customFormat="false" ht="15" hidden="false" customHeight="false" outlineLevel="0" collapsed="false">
      <c r="A205" s="6" t="s">
        <v>62</v>
      </c>
      <c r="B205" s="4" t="s">
        <v>235</v>
      </c>
      <c r="C205" s="20" t="n">
        <f aca="false">C199</f>
        <v>2</v>
      </c>
      <c r="D205" s="20" t="n">
        <f aca="false">D199</f>
        <v>1.5</v>
      </c>
      <c r="E205" s="20" t="n">
        <f aca="false">E199</f>
        <v>4.5</v>
      </c>
      <c r="F205" s="4" t="s">
        <v>237</v>
      </c>
    </row>
    <row r="206" customFormat="false" ht="15" hidden="false" customHeight="false" outlineLevel="0" collapsed="false">
      <c r="A206" s="37" t="s">
        <v>238</v>
      </c>
      <c r="B206" s="38" t="s">
        <v>239</v>
      </c>
      <c r="C206" s="39" t="n">
        <f aca="false">SUMPRODUCT(Weights!$B$5:$B$10,C200:C205)</f>
        <v>3.7899971478062</v>
      </c>
      <c r="D206" s="39" t="n">
        <f aca="false">SUMPRODUCT(Weights!$B$5:$B$10,D200:D205)</f>
        <v>2.79591068002939</v>
      </c>
      <c r="E206" s="39" t="n">
        <f aca="false">SUMPRODUCT(Weights!$B$5:$B$10,E200:E205)</f>
        <v>3.73962949294073</v>
      </c>
    </row>
    <row r="207" customFormat="false" ht="23.85" hidden="false" customHeight="false" outlineLevel="0" collapsed="false">
      <c r="A207" s="6" t="s">
        <v>240</v>
      </c>
      <c r="C207" s="40" t="str">
        <f aca="false">INDEX({"Distribution","Manufacturing","Prof. services"},MATCH(MAX(C206:E206),C206:E206,0))</f>
        <v>Distribution</v>
      </c>
      <c r="E207" s="41" t="n">
        <f aca="false">C206-E206</f>
        <v>0.0503676548654712</v>
      </c>
    </row>
    <row r="209" customFormat="false" ht="57.45" hidden="false" customHeight="false" outlineLevel="0" collapsed="false">
      <c r="A209" s="3" t="s">
        <v>322</v>
      </c>
      <c r="B209" s="12"/>
      <c r="C209" s="12"/>
      <c r="D209" s="12"/>
      <c r="E209" s="12"/>
      <c r="F209" s="48" t="s">
        <v>323</v>
      </c>
    </row>
    <row r="210" customFormat="false" ht="19.5" hidden="false" customHeight="true" outlineLevel="0" collapsed="false">
      <c r="A210" s="5" t="s">
        <v>44</v>
      </c>
      <c r="B210" s="5" t="s">
        <v>216</v>
      </c>
      <c r="C210" s="5" t="s">
        <v>15</v>
      </c>
      <c r="D210" s="5" t="s">
        <v>16</v>
      </c>
      <c r="E210" s="5" t="s">
        <v>17</v>
      </c>
      <c r="F210" s="5" t="s">
        <v>233</v>
      </c>
    </row>
    <row r="211" customFormat="false" ht="15" hidden="false" customHeight="false" outlineLevel="0" collapsed="false">
      <c r="A211" s="4" t="s">
        <v>52</v>
      </c>
      <c r="B211" s="4" t="s">
        <v>234</v>
      </c>
      <c r="C211" s="35" t="n">
        <f aca="false">Inputs!D8</f>
        <v>6243.5408</v>
      </c>
      <c r="D211" s="35" t="n">
        <f aca="false">Inputs!E8</f>
        <v>13842.87</v>
      </c>
      <c r="E211" s="35" t="n">
        <f aca="false">Inputs!F8</f>
        <v>20812.05</v>
      </c>
    </row>
    <row r="212" customFormat="false" ht="15" hidden="false" customHeight="false" outlineLevel="0" collapsed="false">
      <c r="A212" s="4" t="s">
        <v>54</v>
      </c>
      <c r="B212" s="4" t="s">
        <v>234</v>
      </c>
      <c r="C212" s="9" t="n">
        <f aca="false">Inputs!D10</f>
        <v>2.54319722285706</v>
      </c>
      <c r="D212" s="9" t="n">
        <f aca="false">Inputs!E10</f>
        <v>0.317262579404513</v>
      </c>
      <c r="E212" s="9" t="n">
        <f aca="false">Inputs!F10</f>
        <v>0.714900662222239</v>
      </c>
    </row>
    <row r="213" customFormat="false" ht="15" hidden="false" customHeight="false" outlineLevel="0" collapsed="false">
      <c r="A213" s="4" t="s">
        <v>56</v>
      </c>
      <c r="B213" s="4" t="s">
        <v>234</v>
      </c>
      <c r="C213" s="9" t="n">
        <f aca="false">Inputs!D12</f>
        <v>4</v>
      </c>
      <c r="D213" s="9" t="n">
        <f aca="false">Inputs!E12</f>
        <v>3</v>
      </c>
      <c r="E213" s="9" t="n">
        <f aca="false">Inputs!F12</f>
        <v>5</v>
      </c>
    </row>
    <row r="214" customFormat="false" ht="15" hidden="false" customHeight="false" outlineLevel="0" collapsed="false">
      <c r="A214" s="4" t="s">
        <v>58</v>
      </c>
      <c r="B214" s="4" t="s">
        <v>234</v>
      </c>
      <c r="C214" s="36" t="n">
        <f aca="false">Inputs!D13</f>
        <v>8939.68360171452</v>
      </c>
      <c r="D214" s="36" t="n">
        <f aca="false">Inputs!E13</f>
        <v>7057.0782697439</v>
      </c>
      <c r="E214" s="36" t="n">
        <f aca="false">Inputs!F13</f>
        <v>7071.53614157276</v>
      </c>
    </row>
    <row r="215" customFormat="false" ht="15" hidden="false" customHeight="false" outlineLevel="0" collapsed="false">
      <c r="A215" s="4" t="s">
        <v>60</v>
      </c>
      <c r="B215" s="4" t="s">
        <v>234</v>
      </c>
      <c r="C215" s="9" t="n">
        <f aca="false">Inputs!D15</f>
        <v>4</v>
      </c>
      <c r="D215" s="9" t="n">
        <f aca="false">Inputs!E15</f>
        <v>3.33333333333333</v>
      </c>
      <c r="E215" s="9" t="n">
        <f aca="false">Inputs!F15</f>
        <v>2.33333333333333</v>
      </c>
    </row>
    <row r="216" customFormat="false" ht="15" hidden="false" customHeight="false" outlineLevel="0" collapsed="false">
      <c r="A216" s="4" t="s">
        <v>62</v>
      </c>
      <c r="B216" s="4" t="s">
        <v>234</v>
      </c>
      <c r="C216" s="9" t="n">
        <f aca="false">Inputs!D16</f>
        <v>2</v>
      </c>
      <c r="D216" s="9" t="n">
        <f aca="false">Inputs!E16</f>
        <v>1.5</v>
      </c>
      <c r="E216" s="9" t="n">
        <f aca="false">Inputs!F16</f>
        <v>4.5</v>
      </c>
    </row>
    <row r="217" customFormat="false" ht="15" hidden="false" customHeight="false" outlineLevel="0" collapsed="false">
      <c r="A217" s="6" t="s">
        <v>52</v>
      </c>
      <c r="B217" s="4" t="s">
        <v>235</v>
      </c>
      <c r="C217" s="20" t="n">
        <f aca="false">1+4*SQRT(C211/MAX($C$211:$E$211))</f>
        <v>3.19087721155796</v>
      </c>
      <c r="D217" s="20" t="n">
        <f aca="false">1+4*SQRT(D211/MAX($C$211:$E$211))</f>
        <v>4.26223791708486</v>
      </c>
      <c r="E217" s="20" t="n">
        <f aca="false">1+4*SQRT(E211/MAX($C$211:$E$211))</f>
        <v>5</v>
      </c>
      <c r="F217" s="4" t="s">
        <v>329</v>
      </c>
    </row>
    <row r="218" customFormat="false" ht="15" hidden="false" customHeight="false" outlineLevel="0" collapsed="false">
      <c r="A218" s="6" t="s">
        <v>54</v>
      </c>
      <c r="B218" s="4" t="s">
        <v>235</v>
      </c>
      <c r="C218" s="20" t="n">
        <f aca="false">1+4*C212/MAX($C$212:$E$212)</f>
        <v>5</v>
      </c>
      <c r="D218" s="20" t="n">
        <f aca="false">1+4*D212/MAX($C$212:$E$212)</f>
        <v>1.49899799599198</v>
      </c>
      <c r="E218" s="20" t="n">
        <f aca="false">1+4*E212/MAX($C$212:$E$212)</f>
        <v>2.12441246128621</v>
      </c>
      <c r="F218" s="4" t="s">
        <v>236</v>
      </c>
    </row>
    <row r="219" customFormat="false" ht="15" hidden="false" customHeight="false" outlineLevel="0" collapsed="false">
      <c r="A219" s="6" t="s">
        <v>56</v>
      </c>
      <c r="B219" s="4" t="s">
        <v>235</v>
      </c>
      <c r="C219" s="20" t="n">
        <f aca="false">C213</f>
        <v>4</v>
      </c>
      <c r="D219" s="20" t="n">
        <f aca="false">D213</f>
        <v>3</v>
      </c>
      <c r="E219" s="20" t="n">
        <f aca="false">E213</f>
        <v>5</v>
      </c>
      <c r="F219" s="4" t="s">
        <v>237</v>
      </c>
    </row>
    <row r="220" customFormat="false" ht="15" hidden="false" customHeight="false" outlineLevel="0" collapsed="false">
      <c r="A220" s="6" t="s">
        <v>58</v>
      </c>
      <c r="B220" s="4" t="s">
        <v>235</v>
      </c>
      <c r="C220" s="20" t="n">
        <f aca="false">1+4*C214/MAX($C$214:$E$214)</f>
        <v>5</v>
      </c>
      <c r="D220" s="20" t="n">
        <f aca="false">1+4*D214/MAX($C$214:$E$214)</f>
        <v>4.1576411802272</v>
      </c>
      <c r="E220" s="20" t="n">
        <f aca="false">1+4*E214/MAX($C$214:$E$214)</f>
        <v>4.1641102556321</v>
      </c>
      <c r="F220" s="4" t="s">
        <v>236</v>
      </c>
    </row>
    <row r="221" customFormat="false" ht="15" hidden="false" customHeight="false" outlineLevel="0" collapsed="false">
      <c r="A221" s="6" t="s">
        <v>60</v>
      </c>
      <c r="B221" s="4" t="s">
        <v>235</v>
      </c>
      <c r="C221" s="20" t="n">
        <f aca="false">C215</f>
        <v>4</v>
      </c>
      <c r="D221" s="20" t="n">
        <f aca="false">D215</f>
        <v>3.33333333333333</v>
      </c>
      <c r="E221" s="20" t="n">
        <f aca="false">E215</f>
        <v>2.33333333333333</v>
      </c>
      <c r="F221" s="4" t="s">
        <v>237</v>
      </c>
    </row>
    <row r="222" customFormat="false" ht="15" hidden="false" customHeight="false" outlineLevel="0" collapsed="false">
      <c r="A222" s="6" t="s">
        <v>62</v>
      </c>
      <c r="B222" s="4" t="s">
        <v>235</v>
      </c>
      <c r="C222" s="20" t="n">
        <f aca="false">C216</f>
        <v>2</v>
      </c>
      <c r="D222" s="20" t="n">
        <f aca="false">D216</f>
        <v>1.5</v>
      </c>
      <c r="E222" s="20" t="n">
        <f aca="false">E216</f>
        <v>4.5</v>
      </c>
      <c r="F222" s="4" t="s">
        <v>237</v>
      </c>
    </row>
    <row r="223" customFormat="false" ht="15" hidden="false" customHeight="false" outlineLevel="0" collapsed="false">
      <c r="A223" s="37" t="s">
        <v>238</v>
      </c>
      <c r="B223" s="38" t="s">
        <v>239</v>
      </c>
      <c r="C223" s="39" t="n">
        <f aca="false">SUMPRODUCT(Weights!$B$5:$B$10,C217:C222)</f>
        <v>3.98817544231159</v>
      </c>
      <c r="D223" s="39" t="n">
        <f aca="false">SUMPRODUCT(Weights!$B$5:$B$10,D217:D222)</f>
        <v>3.02589335964945</v>
      </c>
      <c r="E223" s="39" t="n">
        <f aca="false">SUMPRODUCT(Weights!$B$5:$B$10,E217:E222)</f>
        <v>3.84949903060206</v>
      </c>
    </row>
    <row r="224" customFormat="false" ht="23.85" hidden="false" customHeight="false" outlineLevel="0" collapsed="false">
      <c r="A224" s="6" t="s">
        <v>240</v>
      </c>
      <c r="C224" s="40" t="str">
        <f aca="false">INDEX({"Distribution","Manufacturing","Prof. services"},MATCH(MAX(C223:E223),C223:E223,0))</f>
        <v>Distribution</v>
      </c>
      <c r="E224" s="41" t="n">
        <f aca="false">C223-E223</f>
        <v>0.138676411709534</v>
      </c>
    </row>
    <row r="226" customFormat="false" ht="46.25" hidden="false" customHeight="false" outlineLevel="0" collapsed="false">
      <c r="A226" s="3" t="s">
        <v>324</v>
      </c>
      <c r="B226" s="12"/>
      <c r="C226" s="12"/>
      <c r="D226" s="12"/>
      <c r="E226" s="12"/>
      <c r="F226" s="48" t="s">
        <v>325</v>
      </c>
    </row>
    <row r="227" customFormat="false" ht="19.5" hidden="false" customHeight="true" outlineLevel="0" collapsed="false">
      <c r="A227" s="5" t="s">
        <v>44</v>
      </c>
      <c r="B227" s="5" t="s">
        <v>216</v>
      </c>
      <c r="C227" s="5" t="s">
        <v>15</v>
      </c>
      <c r="D227" s="5" t="s">
        <v>16</v>
      </c>
      <c r="E227" s="5" t="s">
        <v>17</v>
      </c>
      <c r="F227" s="5" t="s">
        <v>233</v>
      </c>
    </row>
    <row r="228" customFormat="false" ht="15" hidden="false" customHeight="false" outlineLevel="0" collapsed="false">
      <c r="A228" s="4" t="s">
        <v>52</v>
      </c>
      <c r="B228" s="4" t="s">
        <v>234</v>
      </c>
      <c r="C228" s="35" t="n">
        <f aca="false">Inputs!D8</f>
        <v>6243.5408</v>
      </c>
      <c r="D228" s="35" t="n">
        <f aca="false">Inputs!E8</f>
        <v>13842.87</v>
      </c>
      <c r="E228" s="35" t="n">
        <f aca="false">Inputs!F8</f>
        <v>20812.05</v>
      </c>
    </row>
    <row r="229" customFormat="false" ht="15" hidden="false" customHeight="false" outlineLevel="0" collapsed="false">
      <c r="A229" s="4" t="s">
        <v>54</v>
      </c>
      <c r="B229" s="4" t="s">
        <v>234</v>
      </c>
      <c r="C229" s="9" t="n">
        <f aca="false">Inputs!D10</f>
        <v>2.54319722285706</v>
      </c>
      <c r="D229" s="9" t="n">
        <f aca="false">Inputs!E10</f>
        <v>0.317262579404513</v>
      </c>
      <c r="E229" s="9" t="n">
        <f aca="false">Inputs!F10</f>
        <v>0.714900662222239</v>
      </c>
    </row>
    <row r="230" customFormat="false" ht="15" hidden="false" customHeight="false" outlineLevel="0" collapsed="false">
      <c r="A230" s="4" t="s">
        <v>56</v>
      </c>
      <c r="B230" s="4" t="s">
        <v>234</v>
      </c>
      <c r="C230" s="9" t="n">
        <f aca="false">Inputs!D12</f>
        <v>4</v>
      </c>
      <c r="D230" s="9" t="n">
        <f aca="false">Inputs!E12</f>
        <v>3</v>
      </c>
      <c r="E230" s="9" t="n">
        <f aca="false">Inputs!F12</f>
        <v>5</v>
      </c>
    </row>
    <row r="231" customFormat="false" ht="15" hidden="false" customHeight="false" outlineLevel="0" collapsed="false">
      <c r="A231" s="4" t="s">
        <v>58</v>
      </c>
      <c r="B231" s="4" t="s">
        <v>234</v>
      </c>
      <c r="C231" s="36" t="n">
        <f aca="false">Inputs!D13</f>
        <v>8939.68360171452</v>
      </c>
      <c r="D231" s="36" t="n">
        <f aca="false">Inputs!E13</f>
        <v>7057.0782697439</v>
      </c>
      <c r="E231" s="36" t="n">
        <f aca="false">Inputs!F13</f>
        <v>7071.53614157276</v>
      </c>
    </row>
    <row r="232" customFormat="false" ht="15" hidden="false" customHeight="false" outlineLevel="0" collapsed="false">
      <c r="A232" s="4" t="s">
        <v>60</v>
      </c>
      <c r="B232" s="4" t="s">
        <v>234</v>
      </c>
      <c r="C232" s="9" t="n">
        <f aca="false">Inputs!D15</f>
        <v>4</v>
      </c>
      <c r="D232" s="9" t="n">
        <f aca="false">Inputs!E15</f>
        <v>3.33333333333333</v>
      </c>
      <c r="E232" s="9" t="n">
        <f aca="false">Inputs!F15</f>
        <v>2.33333333333333</v>
      </c>
    </row>
    <row r="233" customFormat="false" ht="15" hidden="false" customHeight="false" outlineLevel="0" collapsed="false">
      <c r="A233" s="4" t="s">
        <v>62</v>
      </c>
      <c r="B233" s="4" t="s">
        <v>234</v>
      </c>
      <c r="C233" s="9" t="n">
        <f aca="false">Inputs!D16</f>
        <v>2</v>
      </c>
      <c r="D233" s="9" t="n">
        <f aca="false">Inputs!E16</f>
        <v>1.5</v>
      </c>
      <c r="E233" s="9" t="n">
        <f aca="false">Inputs!F16</f>
        <v>4.5</v>
      </c>
    </row>
    <row r="234" customFormat="false" ht="23.85" hidden="false" customHeight="false" outlineLevel="0" collapsed="false">
      <c r="A234" s="6" t="s">
        <v>52</v>
      </c>
      <c r="B234" s="4" t="s">
        <v>235</v>
      </c>
      <c r="C234" s="20" t="n">
        <f aca="false">1+4*(C228-MIN($C$228:$E$228))/(MAX($C$228:$E$228)-MIN($C$228:$E$228))</f>
        <v>1</v>
      </c>
      <c r="D234" s="20" t="n">
        <f aca="false">1+4*(D228-MIN($C$228:$E$228))/(MAX($C$228:$E$228)-MIN($C$228:$E$228))</f>
        <v>3.0865083985395</v>
      </c>
      <c r="E234" s="20" t="n">
        <f aca="false">1+4*(E228-MIN($C$228:$E$228))/(MAX($C$228:$E$228)-MIN($C$228:$E$228))</f>
        <v>5</v>
      </c>
      <c r="F234" s="4" t="s">
        <v>330</v>
      </c>
    </row>
    <row r="235" customFormat="false" ht="23.85" hidden="false" customHeight="false" outlineLevel="0" collapsed="false">
      <c r="A235" s="6" t="s">
        <v>54</v>
      </c>
      <c r="B235" s="4" t="s">
        <v>235</v>
      </c>
      <c r="C235" s="20" t="n">
        <f aca="false">1+4*(C229-MIN($C$229:$E$229))/(MAX($C$229:$E$229)-MIN($C$229:$E$229))</f>
        <v>5</v>
      </c>
      <c r="D235" s="20" t="n">
        <f aca="false">1+4*(D229-MIN($C$229:$E$229))/(MAX($C$229:$E$229)-MIN($C$229:$E$229))</f>
        <v>1</v>
      </c>
      <c r="E235" s="20" t="n">
        <f aca="false">1+4*(E229-MIN($C$229:$E$229))/(MAX($C$229:$E$229)-MIN($C$229:$E$229))</f>
        <v>1.71455482125202</v>
      </c>
      <c r="F235" s="4" t="s">
        <v>330</v>
      </c>
    </row>
    <row r="236" customFormat="false" ht="15" hidden="false" customHeight="false" outlineLevel="0" collapsed="false">
      <c r="A236" s="6" t="s">
        <v>56</v>
      </c>
      <c r="B236" s="4" t="s">
        <v>235</v>
      </c>
      <c r="C236" s="20" t="n">
        <f aca="false">C230</f>
        <v>4</v>
      </c>
      <c r="D236" s="20" t="n">
        <f aca="false">D230</f>
        <v>3</v>
      </c>
      <c r="E236" s="20" t="n">
        <f aca="false">E230</f>
        <v>5</v>
      </c>
      <c r="F236" s="4" t="s">
        <v>237</v>
      </c>
    </row>
    <row r="237" customFormat="false" ht="23.85" hidden="false" customHeight="false" outlineLevel="0" collapsed="false">
      <c r="A237" s="6" t="s">
        <v>58</v>
      </c>
      <c r="B237" s="4" t="s">
        <v>235</v>
      </c>
      <c r="C237" s="20" t="n">
        <f aca="false">1+4*(C231-MIN($C$231:$E$231))/(MAX($C$231:$E$231)-MIN($C$231:$E$231))</f>
        <v>5</v>
      </c>
      <c r="D237" s="20" t="n">
        <f aca="false">1+4*(D231-MIN($C$231:$E$231))/(MAX($C$231:$E$231)-MIN($C$231:$E$231))</f>
        <v>1</v>
      </c>
      <c r="E237" s="20" t="n">
        <f aca="false">1+4*(E231-MIN($C$231:$E$231))/(MAX($C$231:$E$231)-MIN($C$231:$E$231))</f>
        <v>1.0307188587716</v>
      </c>
      <c r="F237" s="4" t="s">
        <v>330</v>
      </c>
    </row>
    <row r="238" customFormat="false" ht="15" hidden="false" customHeight="false" outlineLevel="0" collapsed="false">
      <c r="A238" s="6" t="s">
        <v>60</v>
      </c>
      <c r="B238" s="4" t="s">
        <v>235</v>
      </c>
      <c r="C238" s="20" t="n">
        <f aca="false">C232</f>
        <v>4</v>
      </c>
      <c r="D238" s="20" t="n">
        <f aca="false">D232</f>
        <v>3.33333333333333</v>
      </c>
      <c r="E238" s="20" t="n">
        <f aca="false">E232</f>
        <v>2.33333333333333</v>
      </c>
      <c r="F238" s="4" t="s">
        <v>237</v>
      </c>
    </row>
    <row r="239" customFormat="false" ht="15" hidden="false" customHeight="false" outlineLevel="0" collapsed="false">
      <c r="A239" s="6" t="s">
        <v>62</v>
      </c>
      <c r="B239" s="4" t="s">
        <v>235</v>
      </c>
      <c r="C239" s="20" t="n">
        <f aca="false">C233</f>
        <v>2</v>
      </c>
      <c r="D239" s="20" t="n">
        <f aca="false">D233</f>
        <v>1.5</v>
      </c>
      <c r="E239" s="20" t="n">
        <f aca="false">E233</f>
        <v>4.5</v>
      </c>
      <c r="F239" s="4" t="s">
        <v>237</v>
      </c>
    </row>
    <row r="240" customFormat="false" ht="15" hidden="false" customHeight="false" outlineLevel="0" collapsed="false">
      <c r="A240" s="37" t="s">
        <v>238</v>
      </c>
      <c r="B240" s="38" t="s">
        <v>239</v>
      </c>
      <c r="C240" s="39" t="n">
        <f aca="false">SUMPRODUCT(Weights!$B$5:$B$10,C234:C239)</f>
        <v>3.55</v>
      </c>
      <c r="D240" s="39" t="n">
        <f aca="false">SUMPRODUCT(Weights!$B$5:$B$10,D234:D239)</f>
        <v>2.2173016797079</v>
      </c>
      <c r="E240" s="39" t="n">
        <f aca="false">SUMPRODUCT(Weights!$B$5:$B$10,E234:E239)</f>
        <v>3.29751879306614</v>
      </c>
    </row>
    <row r="241" customFormat="false" ht="23.85" hidden="false" customHeight="false" outlineLevel="0" collapsed="false">
      <c r="A241" s="6" t="s">
        <v>240</v>
      </c>
      <c r="C241" s="40" t="str">
        <f aca="false">INDEX({"Distribution","Manufacturing","Prof. services"},MATCH(MAX(C240:E240),C240:E240,0))</f>
        <v>Distribution</v>
      </c>
      <c r="E241" s="41" t="n">
        <f aca="false">C240-E240</f>
        <v>0.252481206933857</v>
      </c>
    </row>
    <row r="243" customFormat="false" ht="46.25" hidden="false" customHeight="false" outlineLevel="0" collapsed="false">
      <c r="A243" s="3" t="s">
        <v>326</v>
      </c>
      <c r="B243" s="12"/>
      <c r="C243" s="12"/>
      <c r="D243" s="12"/>
      <c r="E243" s="12"/>
      <c r="F243" s="48" t="s">
        <v>327</v>
      </c>
    </row>
    <row r="244" customFormat="false" ht="19.5" hidden="false" customHeight="true" outlineLevel="0" collapsed="false">
      <c r="A244" s="5" t="s">
        <v>44</v>
      </c>
      <c r="B244" s="5" t="s">
        <v>216</v>
      </c>
      <c r="C244" s="5" t="s">
        <v>15</v>
      </c>
      <c r="D244" s="5" t="s">
        <v>16</v>
      </c>
      <c r="E244" s="5" t="s">
        <v>17</v>
      </c>
      <c r="F244" s="5" t="s">
        <v>233</v>
      </c>
    </row>
    <row r="245" customFormat="false" ht="15" hidden="false" customHeight="false" outlineLevel="0" collapsed="false">
      <c r="A245" s="4" t="s">
        <v>52</v>
      </c>
      <c r="B245" s="4" t="s">
        <v>234</v>
      </c>
      <c r="C245" s="52" t="n">
        <f aca="false">Inputs!D8*0.8</f>
        <v>4994.83264</v>
      </c>
      <c r="D245" s="52" t="n">
        <f aca="false">Inputs!E8*0.45</f>
        <v>6229.2915</v>
      </c>
      <c r="E245" s="52" t="n">
        <f aca="false">Inputs!F8*0.55</f>
        <v>11446.6275</v>
      </c>
    </row>
    <row r="246" customFormat="false" ht="15" hidden="false" customHeight="false" outlineLevel="0" collapsed="false">
      <c r="A246" s="4" t="s">
        <v>54</v>
      </c>
      <c r="B246" s="4" t="s">
        <v>234</v>
      </c>
      <c r="C246" s="9" t="n">
        <f aca="false">Inputs!D10</f>
        <v>2.54319722285706</v>
      </c>
      <c r="D246" s="9" t="n">
        <f aca="false">Inputs!E10</f>
        <v>0.317262579404513</v>
      </c>
      <c r="E246" s="9" t="n">
        <f aca="false">Inputs!F10</f>
        <v>0.714900662222239</v>
      </c>
    </row>
    <row r="247" customFormat="false" ht="15" hidden="false" customHeight="false" outlineLevel="0" collapsed="false">
      <c r="A247" s="4" t="s">
        <v>56</v>
      </c>
      <c r="B247" s="4" t="s">
        <v>234</v>
      </c>
      <c r="C247" s="9" t="n">
        <f aca="false">Inputs!D12</f>
        <v>4</v>
      </c>
      <c r="D247" s="9" t="n">
        <f aca="false">Inputs!E12</f>
        <v>3</v>
      </c>
      <c r="E247" s="9" t="n">
        <f aca="false">Inputs!F12</f>
        <v>5</v>
      </c>
    </row>
    <row r="248" customFormat="false" ht="15" hidden="false" customHeight="false" outlineLevel="0" collapsed="false">
      <c r="A248" s="4" t="s">
        <v>58</v>
      </c>
      <c r="B248" s="4" t="s">
        <v>234</v>
      </c>
      <c r="C248" s="36" t="n">
        <f aca="false">Inputs!D13</f>
        <v>8939.68360171452</v>
      </c>
      <c r="D248" s="36" t="n">
        <f aca="false">Inputs!E13</f>
        <v>7057.0782697439</v>
      </c>
      <c r="E248" s="36" t="n">
        <f aca="false">Inputs!F13</f>
        <v>7071.53614157276</v>
      </c>
    </row>
    <row r="249" customFormat="false" ht="15" hidden="false" customHeight="false" outlineLevel="0" collapsed="false">
      <c r="A249" s="4" t="s">
        <v>60</v>
      </c>
      <c r="B249" s="4" t="s">
        <v>234</v>
      </c>
      <c r="C249" s="9" t="n">
        <f aca="false">Inputs!D15</f>
        <v>4</v>
      </c>
      <c r="D249" s="9" t="n">
        <f aca="false">Inputs!E15</f>
        <v>3.33333333333333</v>
      </c>
      <c r="E249" s="9" t="n">
        <f aca="false">Inputs!F15</f>
        <v>2.33333333333333</v>
      </c>
    </row>
    <row r="250" customFormat="false" ht="15" hidden="false" customHeight="false" outlineLevel="0" collapsed="false">
      <c r="A250" s="4" t="s">
        <v>62</v>
      </c>
      <c r="B250" s="4" t="s">
        <v>234</v>
      </c>
      <c r="C250" s="9" t="n">
        <f aca="false">Inputs!D16</f>
        <v>2</v>
      </c>
      <c r="D250" s="9" t="n">
        <f aca="false">Inputs!E16</f>
        <v>1.5</v>
      </c>
      <c r="E250" s="9" t="n">
        <f aca="false">Inputs!F16</f>
        <v>4.5</v>
      </c>
    </row>
    <row r="251" customFormat="false" ht="15" hidden="false" customHeight="false" outlineLevel="0" collapsed="false">
      <c r="A251" s="6" t="s">
        <v>52</v>
      </c>
      <c r="B251" s="4" t="s">
        <v>235</v>
      </c>
      <c r="C251" s="20" t="n">
        <f aca="false">1+4*C245/MAX($C$245:$E$245)</f>
        <v>2.7454338022269</v>
      </c>
      <c r="D251" s="20" t="n">
        <f aca="false">1+4*D245/MAX($C$245:$E$245)</f>
        <v>3.1768128647499</v>
      </c>
      <c r="E251" s="20" t="n">
        <f aca="false">1+4*E245/MAX($C$245:$E$245)</f>
        <v>5</v>
      </c>
      <c r="F251" s="4" t="s">
        <v>236</v>
      </c>
    </row>
    <row r="252" customFormat="false" ht="15" hidden="false" customHeight="false" outlineLevel="0" collapsed="false">
      <c r="A252" s="6" t="s">
        <v>54</v>
      </c>
      <c r="B252" s="4" t="s">
        <v>235</v>
      </c>
      <c r="C252" s="20" t="n">
        <f aca="false">1+4*C246/MAX($C$246:$E$246)</f>
        <v>5</v>
      </c>
      <c r="D252" s="20" t="n">
        <f aca="false">1+4*D246/MAX($C$246:$E$246)</f>
        <v>1.49899799599198</v>
      </c>
      <c r="E252" s="20" t="n">
        <f aca="false">1+4*E246/MAX($C$246:$E$246)</f>
        <v>2.12441246128621</v>
      </c>
      <c r="F252" s="4" t="s">
        <v>236</v>
      </c>
    </row>
    <row r="253" customFormat="false" ht="15" hidden="false" customHeight="false" outlineLevel="0" collapsed="false">
      <c r="A253" s="6" t="s">
        <v>56</v>
      </c>
      <c r="B253" s="4" t="s">
        <v>235</v>
      </c>
      <c r="C253" s="20" t="n">
        <f aca="false">C247</f>
        <v>4</v>
      </c>
      <c r="D253" s="20" t="n">
        <f aca="false">D247</f>
        <v>3</v>
      </c>
      <c r="E253" s="20" t="n">
        <f aca="false">E247</f>
        <v>5</v>
      </c>
      <c r="F253" s="4" t="s">
        <v>237</v>
      </c>
    </row>
    <row r="254" customFormat="false" ht="15" hidden="false" customHeight="false" outlineLevel="0" collapsed="false">
      <c r="A254" s="6" t="s">
        <v>58</v>
      </c>
      <c r="B254" s="4" t="s">
        <v>235</v>
      </c>
      <c r="C254" s="20" t="n">
        <f aca="false">1+4*C248/MAX($C$248:$E$248)</f>
        <v>5</v>
      </c>
      <c r="D254" s="20" t="n">
        <f aca="false">1+4*D248/MAX($C$248:$E$248)</f>
        <v>4.1576411802272</v>
      </c>
      <c r="E254" s="20" t="n">
        <f aca="false">1+4*E248/MAX($C$248:$E$248)</f>
        <v>4.1641102556321</v>
      </c>
      <c r="F254" s="4" t="s">
        <v>236</v>
      </c>
    </row>
    <row r="255" customFormat="false" ht="15" hidden="false" customHeight="false" outlineLevel="0" collapsed="false">
      <c r="A255" s="6" t="s">
        <v>60</v>
      </c>
      <c r="B255" s="4" t="s">
        <v>235</v>
      </c>
      <c r="C255" s="20" t="n">
        <f aca="false">C249</f>
        <v>4</v>
      </c>
      <c r="D255" s="20" t="n">
        <f aca="false">D249</f>
        <v>3.33333333333333</v>
      </c>
      <c r="E255" s="20" t="n">
        <f aca="false">E249</f>
        <v>2.33333333333333</v>
      </c>
      <c r="F255" s="4" t="s">
        <v>237</v>
      </c>
    </row>
    <row r="256" customFormat="false" ht="15" hidden="false" customHeight="false" outlineLevel="0" collapsed="false">
      <c r="A256" s="6" t="s">
        <v>62</v>
      </c>
      <c r="B256" s="4" t="s">
        <v>235</v>
      </c>
      <c r="C256" s="20" t="n">
        <f aca="false">C250</f>
        <v>2</v>
      </c>
      <c r="D256" s="20" t="n">
        <f aca="false">D250</f>
        <v>1.5</v>
      </c>
      <c r="E256" s="20" t="n">
        <f aca="false">E250</f>
        <v>4.5</v>
      </c>
      <c r="F256" s="4" t="s">
        <v>237</v>
      </c>
    </row>
    <row r="257" customFormat="false" ht="15" hidden="false" customHeight="false" outlineLevel="0" collapsed="false">
      <c r="A257" s="37" t="s">
        <v>238</v>
      </c>
      <c r="B257" s="38" t="s">
        <v>239</v>
      </c>
      <c r="C257" s="39" t="n">
        <f aca="false">SUMPRODUCT(Weights!$B$5:$B$10,C251:C256)</f>
        <v>3.89908676044538</v>
      </c>
      <c r="D257" s="39" t="n">
        <f aca="false">SUMPRODUCT(Weights!$B$5:$B$10,D251:D256)</f>
        <v>2.80880834918246</v>
      </c>
      <c r="E257" s="39" t="n">
        <f aca="false">SUMPRODUCT(Weights!$B$5:$B$10,E251:E256)</f>
        <v>3.84949903060206</v>
      </c>
    </row>
    <row r="258" customFormat="false" ht="23.85" hidden="false" customHeight="false" outlineLevel="0" collapsed="false">
      <c r="A258" s="6" t="s">
        <v>240</v>
      </c>
      <c r="C258" s="40" t="str">
        <f aca="false">INDEX({"Distribution","Manufacturing","Prof. services"},MATCH(MAX(C257:E257),C257:E257,0))</f>
        <v>Distribution</v>
      </c>
      <c r="E258" s="41" t="n">
        <f aca="false">C257-E257</f>
        <v>0.0495877298433225</v>
      </c>
    </row>
  </sheetData>
  <conditionalFormatting sqref="G5:G18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6"/>
    <col collapsed="false" customWidth="true" hidden="false" outlineLevel="0" max="5" min="5" style="0" width="50"/>
  </cols>
  <sheetData>
    <row r="1" customFormat="false" ht="17.35" hidden="false" customHeight="false" outlineLevel="0" collapsed="false">
      <c r="A1" s="1" t="s">
        <v>331</v>
      </c>
    </row>
    <row r="2" customFormat="false" ht="15" hidden="false" customHeight="false" outlineLevel="0" collapsed="false">
      <c r="A2" s="2" t="s">
        <v>332</v>
      </c>
    </row>
    <row r="4" customFormat="false" ht="30" hidden="false" customHeight="true" outlineLevel="0" collapsed="false">
      <c r="A4" s="5" t="s">
        <v>333</v>
      </c>
      <c r="B4" s="5" t="s">
        <v>15</v>
      </c>
      <c r="C4" s="5" t="s">
        <v>17</v>
      </c>
      <c r="D4" s="5" t="s">
        <v>334</v>
      </c>
      <c r="E4" s="5" t="s">
        <v>74</v>
      </c>
    </row>
    <row r="5" customFormat="false" ht="15" hidden="false" customHeight="false" outlineLevel="0" collapsed="false">
      <c r="A5" s="4" t="s">
        <v>335</v>
      </c>
      <c r="B5" s="54" t="n">
        <v>-1892877</v>
      </c>
      <c r="C5" s="54" t="n">
        <v>-2044077</v>
      </c>
      <c r="D5" s="40" t="str">
        <f aca="false">IF(B5&gt;C5,"Distribution","Prof. services")</f>
        <v>Distribution</v>
      </c>
      <c r="E5" s="4" t="s">
        <v>336</v>
      </c>
    </row>
    <row r="6" customFormat="false" ht="15" hidden="false" customHeight="false" outlineLevel="0" collapsed="false">
      <c r="A6" s="4" t="s">
        <v>337</v>
      </c>
      <c r="B6" s="54" t="n">
        <v>1527389</v>
      </c>
      <c r="C6" s="54" t="n">
        <v>-249190</v>
      </c>
      <c r="D6" s="40" t="str">
        <f aca="false">IF(B6&gt;C6,"Distribution","Prof. services")</f>
        <v>Distribution</v>
      </c>
      <c r="E6" s="4" t="s">
        <v>336</v>
      </c>
    </row>
    <row r="7" customFormat="false" ht="15" hidden="false" customHeight="false" outlineLevel="0" collapsed="false">
      <c r="A7" s="4" t="s">
        <v>338</v>
      </c>
      <c r="B7" s="54" t="n">
        <v>-544642</v>
      </c>
      <c r="C7" s="54" t="n">
        <v>-620644</v>
      </c>
      <c r="D7" s="40" t="str">
        <f aca="false">IF(B7&gt;C7,"Distribution","Prof. services")</f>
        <v>Distribution</v>
      </c>
      <c r="E7" s="4" t="s">
        <v>336</v>
      </c>
    </row>
    <row r="8" customFormat="false" ht="15" hidden="false" customHeight="false" outlineLevel="0" collapsed="false">
      <c r="A8" s="4" t="s">
        <v>339</v>
      </c>
      <c r="B8" s="54" t="n">
        <v>358264</v>
      </c>
      <c r="C8" s="54" t="n">
        <v>-441386</v>
      </c>
      <c r="D8" s="40" t="str">
        <f aca="false">IF(B8&gt;C8,"Distribution","Prof. services")</f>
        <v>Distribution</v>
      </c>
      <c r="E8" s="4" t="s">
        <v>336</v>
      </c>
    </row>
    <row r="9" customFormat="false" ht="15" hidden="false" customHeight="false" outlineLevel="0" collapsed="false">
      <c r="A9" s="4" t="s">
        <v>340</v>
      </c>
      <c r="B9" s="54" t="n">
        <v>-1486097</v>
      </c>
      <c r="C9" s="54" t="n">
        <v>-1663742</v>
      </c>
      <c r="D9" s="40" t="str">
        <f aca="false">IF(B9&gt;C9,"Distribution","Prof. services")</f>
        <v>Distribution</v>
      </c>
      <c r="E9" s="4" t="s">
        <v>341</v>
      </c>
    </row>
    <row r="10" customFormat="false" ht="15" hidden="false" customHeight="false" outlineLevel="0" collapsed="false">
      <c r="A10" s="4" t="s">
        <v>342</v>
      </c>
      <c r="B10" s="54" t="n">
        <v>8848</v>
      </c>
      <c r="C10" s="54" t="n">
        <v>6864</v>
      </c>
      <c r="D10" s="40" t="str">
        <f aca="false">IF(B10&gt;C10,"Distribution","Prof. services")</f>
        <v>Distribution</v>
      </c>
      <c r="E10" s="4" t="s">
        <v>336</v>
      </c>
    </row>
    <row r="11" customFormat="false" ht="15" hidden="false" customHeight="false" outlineLevel="0" collapsed="false">
      <c r="A11" s="6" t="s">
        <v>343</v>
      </c>
      <c r="B11" s="40" t="str">
        <f aca="false">COUNTIF(D5:D10,"Distribution")&amp;" of 6"</f>
        <v>6 of 6</v>
      </c>
    </row>
    <row r="13" customFormat="false" ht="45.75" hidden="false" customHeight="true" outlineLevel="0" collapsed="false">
      <c r="A13" s="34" t="s">
        <v>344</v>
      </c>
      <c r="B13" s="34"/>
      <c r="C13" s="34"/>
      <c r="D13" s="34"/>
      <c r="E13" s="34"/>
    </row>
  </sheetData>
  <mergeCells count="1"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6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35" hidden="false" customHeight="false" outlineLevel="0" collapsed="false">
      <c r="A1" s="1" t="s">
        <v>345</v>
      </c>
    </row>
    <row r="2" customFormat="false" ht="15" hidden="false" customHeight="false" outlineLevel="0" collapsed="false">
      <c r="A2" s="2" t="s">
        <v>346</v>
      </c>
    </row>
    <row r="4" customFormat="false" ht="30" hidden="false" customHeight="true" outlineLevel="0" collapsed="false">
      <c r="A4" s="5" t="s">
        <v>68</v>
      </c>
      <c r="B4" s="5" t="s">
        <v>347</v>
      </c>
      <c r="C4" s="5" t="s">
        <v>348</v>
      </c>
      <c r="D4" s="5" t="s">
        <v>349</v>
      </c>
      <c r="E4" s="5" t="s">
        <v>350</v>
      </c>
      <c r="F4" s="5"/>
      <c r="G4" s="5" t="s">
        <v>74</v>
      </c>
    </row>
    <row r="5" customFormat="false" ht="15" hidden="false" customHeight="false" outlineLevel="0" collapsed="false">
      <c r="A5" s="4" t="s">
        <v>351</v>
      </c>
      <c r="B5" s="30" t="n">
        <f aca="false">Inputs!D62*0.973+SUM(Inputs!E62:H62)</f>
        <v>2539.984</v>
      </c>
      <c r="C5" s="30" t="n">
        <f aca="false">Inputs!D63*0.973+SUM(Inputs!E63:H63)</f>
        <v>1793.649</v>
      </c>
      <c r="D5" s="30" t="n">
        <f aca="false">Inputs!D64*0.973+SUM(Inputs!E64:H64)</f>
        <v>5911.206</v>
      </c>
      <c r="G5" s="4" t="s">
        <v>352</v>
      </c>
    </row>
    <row r="6" customFormat="false" ht="23.85" hidden="false" customHeight="false" outlineLevel="0" collapsed="false">
      <c r="A6" s="4" t="s">
        <v>353</v>
      </c>
      <c r="B6" s="30" t="n">
        <f aca="false">B5*Inputs!$D$6*(1-Inputs!$D$7)</f>
        <v>1379.7193088</v>
      </c>
      <c r="C6" s="30" t="n">
        <f aca="false">C5*Inputs!$D$6*(1-Inputs!$D$7)</f>
        <v>974.3101368</v>
      </c>
      <c r="D6" s="30" t="n">
        <f aca="false">D5*Inputs!$D$6*(1-Inputs!$D$7)</f>
        <v>3210.9670992</v>
      </c>
      <c r="E6" s="42" t="n">
        <f aca="false">Weights!B5/(Weights!B5+Weights!B6+Weights!B8)</f>
        <v>0.363636363636364</v>
      </c>
    </row>
    <row r="7" customFormat="false" ht="35.05" hidden="false" customHeight="false" outlineLevel="0" collapsed="false">
      <c r="A7" s="4" t="s">
        <v>95</v>
      </c>
      <c r="B7" s="14" t="n">
        <v>0.214299962763977</v>
      </c>
      <c r="C7" s="14" t="n">
        <v>0.214299962763977</v>
      </c>
      <c r="D7" s="14" t="n">
        <v>0.229865468536163</v>
      </c>
      <c r="E7" s="42" t="n">
        <f aca="false">Weights!B6/(Weights!B5+Weights!B6+Weights!B8)</f>
        <v>0.363636363636364</v>
      </c>
      <c r="G7" s="4" t="s">
        <v>354</v>
      </c>
    </row>
    <row r="8" customFormat="false" ht="23.85" hidden="false" customHeight="false" outlineLevel="0" collapsed="false">
      <c r="A8" s="4" t="s">
        <v>355</v>
      </c>
      <c r="B8" s="32" t="n">
        <f aca="false">((Inputs!D62*0.973+Inputs!E62)*1*MAX((Inputs!$D$41+Inputs!$D$43)*12,((((((Inputs!J62+Inputs!K62)/(Inputs!D62+Inputs!E62)*B7)*Inputs!$D$45*Inputs!$D$59)*Inputs!$D$46)*Inputs!$D$47*Inputs!$D$48+(((Inputs!J62+Inputs!K62)/(Inputs!D62+Inputs!E62)*B7)*Inputs!$D$45*Inputs!$D$59)*Inputs!$D$49+(((Inputs!J62+Inputs!K62)/(Inputs!D62+Inputs!E62)*B7)*Inputs!$D$45*Inputs!$D$59)*Inputs!$D$50*Inputs!$D$51)*(Inputs!$D$41*12/Inputs!$D$42)+(((((Inputs!J62+Inputs!K62)/(Inputs!D62+Inputs!E62)*B7)*Inputs!$D$45*Inputs!$D$59)*Inputs!$D$46)*Inputs!$D$47+(((Inputs!J62+Inputs!K62)/(Inputs!D62+Inputs!E62)*B7)*Inputs!$D$45*Inputs!$D$59)+(((Inputs!J62+Inputs!K62)/(Inputs!D62+Inputs!E62)*B7)*Inputs!$D$45*Inputs!$D$59)*Inputs!$D$50)*Inputs!$D$52*(Inputs!$D$43*12/Inputs!$D$44)))+(Inputs!F62+Inputs!G62)*Inputs!$D$56*MAX((Inputs!$D$41+Inputs!$D$43)*12,((((((Inputs!L62+Inputs!M62)/(Inputs!F62+Inputs!G62)*B7)*Inputs!$D$45*Inputs!$D$59)*Inputs!$D$46)*Inputs!$D$47*Inputs!$D$48+(((Inputs!L62+Inputs!M62)/(Inputs!F62+Inputs!G62)*B7)*Inputs!$D$45*Inputs!$D$59)*Inputs!$D$49+(((Inputs!L62+Inputs!M62)/(Inputs!F62+Inputs!G62)*B7)*Inputs!$D$45*Inputs!$D$59)*Inputs!$D$50*Inputs!$D$51)*(Inputs!$D$41*12/Inputs!$D$42)+(((((Inputs!L62+Inputs!M62)/(Inputs!F62+Inputs!G62)*B7)*Inputs!$D$45*Inputs!$D$59)*Inputs!$D$46)*Inputs!$D$47+(((Inputs!L62+Inputs!M62)/(Inputs!F62+Inputs!G62)*B7)*Inputs!$D$45*Inputs!$D$59)+(((Inputs!L62+Inputs!M62)/(Inputs!F62+Inputs!G62)*B7)*Inputs!$D$45*Inputs!$D$59)*Inputs!$D$50)*Inputs!$D$52*(Inputs!$D$43*12/Inputs!$D$44)))+(Inputs!H62)*Inputs!$D$57*Inputs!$D$58*MAX(Inputs!$D$53*(Inputs!$D$41*12/Inputs!$D$42)+Inputs!$D$54*(Inputs!$D$43*12/Inputs!$D$44),((((((Inputs!N62)/(Inputs!H62)*B7)*Inputs!$D$45*Inputs!$D$59)*Inputs!$D$46)*Inputs!$D$47*Inputs!$D$48+(((Inputs!N62)/(Inputs!H62)*B7)*Inputs!$D$45*Inputs!$D$59)*Inputs!$D$49+(((Inputs!N62)/(Inputs!H62)*B7)*Inputs!$D$45*Inputs!$D$59)*Inputs!$D$50*Inputs!$D$51)*(Inputs!$D$41*12/Inputs!$D$42)+(((((Inputs!N62)/(Inputs!H62)*B7)*Inputs!$D$45*Inputs!$D$59)*Inputs!$D$46)*Inputs!$D$47+(((Inputs!N62)/(Inputs!H62)*B7)*Inputs!$D$45*Inputs!$D$59)+(((Inputs!N62)/(Inputs!H62)*B7)*Inputs!$D$45*Inputs!$D$59)*Inputs!$D$50)*Inputs!$D$52*(Inputs!$D$43*12/Inputs!$D$44)))*(1-Inputs!$D$55))/((Inputs!D62*0.973+Inputs!E62)*1+(Inputs!F62+Inputs!G62)*Inputs!$D$56+(Inputs!H62)*Inputs!$D$57*Inputs!$D$58)</f>
        <v>11155.5259267276</v>
      </c>
      <c r="C8" s="32" t="n">
        <f aca="false">((Inputs!D63*0.973+Inputs!E63)*1*MAX((Inputs!$D$41+Inputs!$D$43)*12,((((((Inputs!J63+Inputs!K63)/(Inputs!D63+Inputs!E63)*C7)*Inputs!$D$45*Inputs!$D$59)*Inputs!$D$46)*Inputs!$D$47*Inputs!$D$48+(((Inputs!J63+Inputs!K63)/(Inputs!D63+Inputs!E63)*C7)*Inputs!$D$45*Inputs!$D$59)*Inputs!$D$49+(((Inputs!J63+Inputs!K63)/(Inputs!D63+Inputs!E63)*C7)*Inputs!$D$45*Inputs!$D$59)*Inputs!$D$50*Inputs!$D$51)*(Inputs!$D$41*12/Inputs!$D$42)+(((((Inputs!J63+Inputs!K63)/(Inputs!D63+Inputs!E63)*C7)*Inputs!$D$45*Inputs!$D$59)*Inputs!$D$46)*Inputs!$D$47+(((Inputs!J63+Inputs!K63)/(Inputs!D63+Inputs!E63)*C7)*Inputs!$D$45*Inputs!$D$59)+(((Inputs!J63+Inputs!K63)/(Inputs!D63+Inputs!E63)*C7)*Inputs!$D$45*Inputs!$D$59)*Inputs!$D$50)*Inputs!$D$52*(Inputs!$D$43*12/Inputs!$D$44)))+(Inputs!F63+Inputs!G63)*Inputs!$D$56*MAX((Inputs!$D$41+Inputs!$D$43)*12,((((((Inputs!L63+Inputs!M63)/(Inputs!F63+Inputs!G63)*C7)*Inputs!$D$45*Inputs!$D$59)*Inputs!$D$46)*Inputs!$D$47*Inputs!$D$48+(((Inputs!L63+Inputs!M63)/(Inputs!F63+Inputs!G63)*C7)*Inputs!$D$45*Inputs!$D$59)*Inputs!$D$49+(((Inputs!L63+Inputs!M63)/(Inputs!F63+Inputs!G63)*C7)*Inputs!$D$45*Inputs!$D$59)*Inputs!$D$50*Inputs!$D$51)*(Inputs!$D$41*12/Inputs!$D$42)+(((((Inputs!L63+Inputs!M63)/(Inputs!F63+Inputs!G63)*C7)*Inputs!$D$45*Inputs!$D$59)*Inputs!$D$46)*Inputs!$D$47+(((Inputs!L63+Inputs!M63)/(Inputs!F63+Inputs!G63)*C7)*Inputs!$D$45*Inputs!$D$59)+(((Inputs!L63+Inputs!M63)/(Inputs!F63+Inputs!G63)*C7)*Inputs!$D$45*Inputs!$D$59)*Inputs!$D$50)*Inputs!$D$52*(Inputs!$D$43*12/Inputs!$D$44)))+(Inputs!H63)*Inputs!$D$57*Inputs!$D$58*MAX(Inputs!$D$53*(Inputs!$D$41*12/Inputs!$D$42)+Inputs!$D$54*(Inputs!$D$43*12/Inputs!$D$44),((((((Inputs!N63)/(Inputs!H63)*C7)*Inputs!$D$45*Inputs!$D$59)*Inputs!$D$46)*Inputs!$D$47*Inputs!$D$48+(((Inputs!N63)/(Inputs!H63)*C7)*Inputs!$D$45*Inputs!$D$59)*Inputs!$D$49+(((Inputs!N63)/(Inputs!H63)*C7)*Inputs!$D$45*Inputs!$D$59)*Inputs!$D$50*Inputs!$D$51)*(Inputs!$D$41*12/Inputs!$D$42)+(((((Inputs!N63)/(Inputs!H63)*C7)*Inputs!$D$45*Inputs!$D$59)*Inputs!$D$46)*Inputs!$D$47+(((Inputs!N63)/(Inputs!H63)*C7)*Inputs!$D$45*Inputs!$D$59)+(((Inputs!N63)/(Inputs!H63)*C7)*Inputs!$D$45*Inputs!$D$59)*Inputs!$D$50)*Inputs!$D$52*(Inputs!$D$43*12/Inputs!$D$44)))*(1-Inputs!$D$55))/((Inputs!D63*0.973+Inputs!E63)*1+(Inputs!F63+Inputs!G63)*Inputs!$D$56+(Inputs!H63)*Inputs!$D$57*Inputs!$D$58)</f>
        <v>8883.93246091386</v>
      </c>
      <c r="D8" s="32" t="n">
        <f aca="false">((Inputs!D64*0.973+Inputs!E64)*1*MAX((Inputs!$D$41+Inputs!$D$43)*12,((((((Inputs!J64+Inputs!K64)/(Inputs!D64+Inputs!E64)*D7)*Inputs!$D$45*Inputs!$D$59)*Inputs!$D$46)*Inputs!$D$47*Inputs!$D$48+(((Inputs!J64+Inputs!K64)/(Inputs!D64+Inputs!E64)*D7)*Inputs!$D$45*Inputs!$D$59)*Inputs!$D$49+(((Inputs!J64+Inputs!K64)/(Inputs!D64+Inputs!E64)*D7)*Inputs!$D$45*Inputs!$D$59)*Inputs!$D$50*Inputs!$D$51)*(Inputs!$D$41*12/Inputs!$D$42)+(((((Inputs!J64+Inputs!K64)/(Inputs!D64+Inputs!E64)*D7)*Inputs!$D$45*Inputs!$D$59)*Inputs!$D$46)*Inputs!$D$47+(((Inputs!J64+Inputs!K64)/(Inputs!D64+Inputs!E64)*D7)*Inputs!$D$45*Inputs!$D$59)+(((Inputs!J64+Inputs!K64)/(Inputs!D64+Inputs!E64)*D7)*Inputs!$D$45*Inputs!$D$59)*Inputs!$D$50)*Inputs!$D$52*(Inputs!$D$43*12/Inputs!$D$44)))+(Inputs!F64+Inputs!G64)*Inputs!$D$56*MAX((Inputs!$D$41+Inputs!$D$43)*12,((((((Inputs!L64+Inputs!M64)/(Inputs!F64+Inputs!G64)*D7)*Inputs!$D$45*Inputs!$D$59)*Inputs!$D$46)*Inputs!$D$47*Inputs!$D$48+(((Inputs!L64+Inputs!M64)/(Inputs!F64+Inputs!G64)*D7)*Inputs!$D$45*Inputs!$D$59)*Inputs!$D$49+(((Inputs!L64+Inputs!M64)/(Inputs!F64+Inputs!G64)*D7)*Inputs!$D$45*Inputs!$D$59)*Inputs!$D$50*Inputs!$D$51)*(Inputs!$D$41*12/Inputs!$D$42)+(((((Inputs!L64+Inputs!M64)/(Inputs!F64+Inputs!G64)*D7)*Inputs!$D$45*Inputs!$D$59)*Inputs!$D$46)*Inputs!$D$47+(((Inputs!L64+Inputs!M64)/(Inputs!F64+Inputs!G64)*D7)*Inputs!$D$45*Inputs!$D$59)+(((Inputs!L64+Inputs!M64)/(Inputs!F64+Inputs!G64)*D7)*Inputs!$D$45*Inputs!$D$59)*Inputs!$D$50)*Inputs!$D$52*(Inputs!$D$43*12/Inputs!$D$44)))+(Inputs!H64)*Inputs!$D$57*Inputs!$D$58*MAX(Inputs!$D$53*(Inputs!$D$41*12/Inputs!$D$42)+Inputs!$D$54*(Inputs!$D$43*12/Inputs!$D$44),((((((Inputs!N64)/(Inputs!H64)*D7)*Inputs!$D$45*Inputs!$D$59)*Inputs!$D$46)*Inputs!$D$47*Inputs!$D$48+(((Inputs!N64)/(Inputs!H64)*D7)*Inputs!$D$45*Inputs!$D$59)*Inputs!$D$49+(((Inputs!N64)/(Inputs!H64)*D7)*Inputs!$D$45*Inputs!$D$59)*Inputs!$D$50*Inputs!$D$51)*(Inputs!$D$41*12/Inputs!$D$42)+(((((Inputs!N64)/(Inputs!H64)*D7)*Inputs!$D$45*Inputs!$D$59)*Inputs!$D$46)*Inputs!$D$47+(((Inputs!N64)/(Inputs!H64)*D7)*Inputs!$D$45*Inputs!$D$59)+(((Inputs!N64)/(Inputs!H64)*D7)*Inputs!$D$45*Inputs!$D$59)*Inputs!$D$50)*Inputs!$D$52*(Inputs!$D$43*12/Inputs!$D$44)))*(1-Inputs!$D$55))/((Inputs!D64*0.973+Inputs!E64)*1+(Inputs!F64+Inputs!G64)*Inputs!$D$56+(Inputs!H64)*Inputs!$D$57*Inputs!$D$58)</f>
        <v>8130.75460946234</v>
      </c>
      <c r="E8" s="42" t="n">
        <f aca="false">Weights!B8/(Weights!B5+Weights!B6+Weights!B8)</f>
        <v>0.272727272727273</v>
      </c>
      <c r="G8" s="4" t="s">
        <v>356</v>
      </c>
    </row>
    <row r="10" customFormat="false" ht="15" hidden="false" customHeight="false" outlineLevel="0" collapsed="false">
      <c r="A10" s="3" t="s">
        <v>357</v>
      </c>
      <c r="B10" s="12"/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4" t="s">
        <v>358</v>
      </c>
      <c r="B11" s="20" t="n">
        <f aca="false">1+4*B6/MAX($B$6:$D$6)</f>
        <v>2.71875857481536</v>
      </c>
      <c r="C11" s="20" t="n">
        <f aca="false">1+4*C6/MAX($B$6:$D$6)</f>
        <v>2.21372796008124</v>
      </c>
      <c r="D11" s="20" t="n">
        <f aca="false">1+4*D6/MAX($B$6:$D$6)</f>
        <v>5</v>
      </c>
    </row>
    <row r="12" customFormat="false" ht="15" hidden="false" customHeight="false" outlineLevel="0" collapsed="false">
      <c r="A12" s="4" t="s">
        <v>359</v>
      </c>
      <c r="B12" s="20" t="n">
        <f aca="false">1+4*B7/MAX($B$7:$D$7)</f>
        <v>4.72913711883196</v>
      </c>
      <c r="C12" s="20" t="n">
        <f aca="false">1+4*C7/MAX($B$7:$D$7)</f>
        <v>4.72913711883196</v>
      </c>
      <c r="D12" s="20" t="n">
        <f aca="false">1+4*D7/MAX($B$7:$D$7)</f>
        <v>5</v>
      </c>
    </row>
    <row r="13" customFormat="false" ht="15" hidden="false" customHeight="false" outlineLevel="0" collapsed="false">
      <c r="A13" s="4" t="s">
        <v>360</v>
      </c>
      <c r="B13" s="20" t="n">
        <f aca="false">1+4*B8/MAX($B$8:$D$8)</f>
        <v>5</v>
      </c>
      <c r="C13" s="20" t="n">
        <f aca="false">1+4*C8/MAX($B$8:$D$8)</f>
        <v>4.18548225131324</v>
      </c>
      <c r="D13" s="20" t="n">
        <f aca="false">1+4*D8/MAX($B$8:$D$8)</f>
        <v>3.91541776259309</v>
      </c>
    </row>
    <row r="14" customFormat="false" ht="15" hidden="false" customHeight="false" outlineLevel="0" collapsed="false">
      <c r="A14" s="37" t="s">
        <v>361</v>
      </c>
      <c r="B14" s="39" t="n">
        <f aca="false">$E$6*B11+$E$7*B12+$E$8*B13</f>
        <v>4.07196207041721</v>
      </c>
      <c r="C14" s="39" t="n">
        <f aca="false">$E$6*C11+$E$7*C12+$E$8*C13</f>
        <v>3.66617336996296</v>
      </c>
      <c r="D14" s="39" t="n">
        <f aca="false">$E$6*D11+$E$7*D12+$E$8*D13</f>
        <v>4.70420484434357</v>
      </c>
    </row>
    <row r="15" customFormat="false" ht="15" hidden="false" customHeight="false" outlineLevel="0" collapsed="false">
      <c r="A15" s="6" t="s">
        <v>362</v>
      </c>
      <c r="B15" s="21" t="n">
        <f aca="false">$E$6*(1+4*SQRT(B6/MAX($B$6:$D$6)))+$E$7*B12+$E$8*B13</f>
        <v>4.40042391994971</v>
      </c>
      <c r="C15" s="21" t="n">
        <f aca="false">$E$6*(1+4*SQRT(C6/MAX($B$6:$D$6)))+$E$7*C12+$E$8*C13</f>
        <v>4.02604918384195</v>
      </c>
      <c r="D15" s="21" t="n">
        <f aca="false">$E$6*(1+4*SQRT(D6/MAX($B$6:$D$6)))+$E$7*D12+$E$8*D13</f>
        <v>4.70420484434357</v>
      </c>
    </row>
    <row r="17" customFormat="false" ht="15" hidden="false" customHeight="false" outlineLevel="0" collapsed="false">
      <c r="A17" s="3" t="s">
        <v>363</v>
      </c>
      <c r="B17" s="12"/>
      <c r="C17" s="12"/>
      <c r="D17" s="12"/>
      <c r="E17" s="12"/>
      <c r="F17" s="12"/>
      <c r="G17" s="12"/>
    </row>
    <row r="18" customFormat="false" ht="23.85" hidden="false" customHeight="false" outlineLevel="0" collapsed="false">
      <c r="A18" s="4" t="s">
        <v>364</v>
      </c>
      <c r="B18" s="17" t="s">
        <v>365</v>
      </c>
      <c r="C18" s="17" t="s">
        <v>366</v>
      </c>
      <c r="D18" s="17" t="s">
        <v>366</v>
      </c>
    </row>
    <row r="19" customFormat="false" ht="23.85" hidden="false" customHeight="false" outlineLevel="0" collapsed="false">
      <c r="A19" s="4" t="s">
        <v>367</v>
      </c>
      <c r="B19" s="17" t="s">
        <v>368</v>
      </c>
      <c r="C19" s="17" t="s">
        <v>369</v>
      </c>
      <c r="D19" s="17" t="s">
        <v>370</v>
      </c>
    </row>
    <row r="20" customFormat="false" ht="23.85" hidden="false" customHeight="false" outlineLevel="0" collapsed="false">
      <c r="A20" s="4" t="s">
        <v>371</v>
      </c>
      <c r="B20" s="17" t="s">
        <v>372</v>
      </c>
      <c r="C20" s="17" t="s">
        <v>373</v>
      </c>
      <c r="D20" s="17" t="s">
        <v>374</v>
      </c>
    </row>
    <row r="21" customFormat="false" ht="35.05" hidden="false" customHeight="false" outlineLevel="0" collapsed="false">
      <c r="A21" s="4" t="s">
        <v>375</v>
      </c>
      <c r="B21" s="17" t="s">
        <v>376</v>
      </c>
      <c r="C21" s="17" t="s">
        <v>377</v>
      </c>
      <c r="D21" s="17" t="s">
        <v>378</v>
      </c>
    </row>
    <row r="23" customFormat="false" ht="51.75" hidden="false" customHeight="true" outlineLevel="0" collapsed="false">
      <c r="A23" s="34" t="s">
        <v>379</v>
      </c>
      <c r="B23" s="34"/>
      <c r="C23" s="34"/>
      <c r="D23" s="34"/>
      <c r="E23" s="34"/>
      <c r="F23" s="34"/>
      <c r="G23" s="34"/>
    </row>
  </sheetData>
  <mergeCells count="1"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60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380</v>
      </c>
    </row>
    <row r="2" customFormat="false" ht="15" hidden="false" customHeight="false" outlineLevel="0" collapsed="false">
      <c r="A2" s="2" t="s">
        <v>381</v>
      </c>
    </row>
    <row r="4" customFormat="false" ht="30" hidden="false" customHeight="true" outlineLevel="0" collapsed="false">
      <c r="A4" s="5" t="s">
        <v>382</v>
      </c>
      <c r="B4" s="5" t="s">
        <v>383</v>
      </c>
      <c r="C4" s="5" t="s">
        <v>384</v>
      </c>
      <c r="D4" s="5" t="s">
        <v>385</v>
      </c>
    </row>
    <row r="5" customFormat="false" ht="42" hidden="false" customHeight="true" outlineLevel="0" collapsed="false">
      <c r="A5" s="4" t="s">
        <v>52</v>
      </c>
      <c r="B5" s="4" t="s">
        <v>386</v>
      </c>
      <c r="C5" s="4" t="s">
        <v>353</v>
      </c>
      <c r="D5" s="4" t="s">
        <v>387</v>
      </c>
    </row>
    <row r="6" customFormat="false" ht="42" hidden="false" customHeight="true" outlineLevel="0" collapsed="false">
      <c r="A6" s="4" t="s">
        <v>54</v>
      </c>
      <c r="B6" s="4" t="s">
        <v>388</v>
      </c>
      <c r="C6" s="4" t="s">
        <v>389</v>
      </c>
      <c r="D6" s="4" t="s">
        <v>390</v>
      </c>
    </row>
    <row r="7" customFormat="false" ht="42" hidden="false" customHeight="true" outlineLevel="0" collapsed="false">
      <c r="A7" s="4" t="s">
        <v>56</v>
      </c>
      <c r="B7" s="4" t="s">
        <v>391</v>
      </c>
      <c r="C7" s="4" t="s">
        <v>392</v>
      </c>
      <c r="D7" s="4" t="s">
        <v>393</v>
      </c>
    </row>
    <row r="8" customFormat="false" ht="42" hidden="false" customHeight="true" outlineLevel="0" collapsed="false">
      <c r="A8" s="4" t="s">
        <v>58</v>
      </c>
      <c r="B8" s="4" t="s">
        <v>394</v>
      </c>
      <c r="C8" s="4" t="s">
        <v>395</v>
      </c>
      <c r="D8" s="4" t="s">
        <v>396</v>
      </c>
    </row>
    <row r="9" customFormat="false" ht="42" hidden="false" customHeight="true" outlineLevel="0" collapsed="false">
      <c r="A9" s="4" t="s">
        <v>397</v>
      </c>
      <c r="B9" s="4" t="s">
        <v>398</v>
      </c>
      <c r="C9" s="4" t="s">
        <v>399</v>
      </c>
      <c r="D9" s="4" t="s">
        <v>400</v>
      </c>
    </row>
    <row r="10" customFormat="false" ht="42" hidden="false" customHeight="true" outlineLevel="0" collapsed="false">
      <c r="A10" s="4" t="s">
        <v>401</v>
      </c>
      <c r="B10" s="4" t="s">
        <v>402</v>
      </c>
      <c r="C10" s="4" t="s">
        <v>403</v>
      </c>
      <c r="D10" s="4"/>
    </row>
    <row r="11" customFormat="false" ht="42" hidden="false" customHeight="true" outlineLevel="0" collapsed="false">
      <c r="A11" s="4" t="s">
        <v>404</v>
      </c>
      <c r="B11" s="4" t="s">
        <v>405</v>
      </c>
      <c r="C11" s="4" t="s">
        <v>406</v>
      </c>
      <c r="D11" s="4" t="s">
        <v>407</v>
      </c>
    </row>
    <row r="12" customFormat="false" ht="42" hidden="false" customHeight="true" outlineLevel="0" collapsed="false">
      <c r="A12" s="4" t="s">
        <v>408</v>
      </c>
      <c r="B12" s="4" t="s">
        <v>409</v>
      </c>
      <c r="C12" s="4" t="s">
        <v>410</v>
      </c>
      <c r="D12" s="4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412</v>
      </c>
    </row>
    <row r="2" customFormat="false" ht="15" hidden="false" customHeight="false" outlineLevel="0" collapsed="false">
      <c r="A2" s="2" t="s">
        <v>413</v>
      </c>
    </row>
    <row r="4" customFormat="false" ht="30" hidden="false" customHeight="true" outlineLevel="0" collapsed="false">
      <c r="A4" s="5" t="s">
        <v>67</v>
      </c>
      <c r="B4" s="5" t="s">
        <v>74</v>
      </c>
      <c r="C4" s="5" t="s">
        <v>414</v>
      </c>
    </row>
    <row r="5" customFormat="false" ht="15" hidden="false" customHeight="false" outlineLevel="0" collapsed="false">
      <c r="A5" s="4" t="s">
        <v>415</v>
      </c>
      <c r="B5" s="4" t="s">
        <v>416</v>
      </c>
      <c r="C5" s="4" t="s">
        <v>417</v>
      </c>
    </row>
    <row r="6" customFormat="false" ht="15" hidden="false" customHeight="false" outlineLevel="0" collapsed="false">
      <c r="A6" s="4" t="s">
        <v>418</v>
      </c>
      <c r="B6" s="4" t="s">
        <v>419</v>
      </c>
      <c r="C6" s="4" t="s">
        <v>420</v>
      </c>
    </row>
    <row r="7" customFormat="false" ht="15" hidden="false" customHeight="false" outlineLevel="0" collapsed="false">
      <c r="A7" s="4" t="s">
        <v>421</v>
      </c>
      <c r="B7" s="4" t="s">
        <v>422</v>
      </c>
      <c r="C7" s="4" t="s">
        <v>423</v>
      </c>
    </row>
    <row r="8" customFormat="false" ht="15" hidden="false" customHeight="false" outlineLevel="0" collapsed="false">
      <c r="A8" s="4" t="s">
        <v>424</v>
      </c>
      <c r="B8" s="4" t="s">
        <v>425</v>
      </c>
      <c r="C8" s="4" t="s">
        <v>426</v>
      </c>
    </row>
    <row r="9" customFormat="false" ht="23.85" hidden="false" customHeight="false" outlineLevel="0" collapsed="false">
      <c r="A9" s="4" t="s">
        <v>427</v>
      </c>
      <c r="B9" s="4" t="s">
        <v>428</v>
      </c>
      <c r="C9" s="4" t="s">
        <v>429</v>
      </c>
    </row>
    <row r="10" customFormat="false" ht="15" hidden="false" customHeight="false" outlineLevel="0" collapsed="false">
      <c r="A10" s="4" t="s">
        <v>430</v>
      </c>
      <c r="B10" s="4" t="s">
        <v>431</v>
      </c>
      <c r="C10" s="4" t="s">
        <v>432</v>
      </c>
    </row>
    <row r="11" customFormat="false" ht="23.85" hidden="false" customHeight="false" outlineLevel="0" collapsed="false">
      <c r="A11" s="4" t="s">
        <v>433</v>
      </c>
      <c r="B11" s="4" t="s">
        <v>434</v>
      </c>
      <c r="C11" s="4" t="s">
        <v>435</v>
      </c>
    </row>
    <row r="12" customFormat="false" ht="23.85" hidden="false" customHeight="false" outlineLevel="0" collapsed="false">
      <c r="A12" s="4" t="s">
        <v>436</v>
      </c>
      <c r="B12" s="4" t="s">
        <v>437</v>
      </c>
      <c r="C12" s="4" t="s">
        <v>438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2026-10-20T04:34:26Z</dcterms:created>
  <dc:creator>openpyxl</dc:creator>
  <dc:description/>
  <dc:language>en-US</dc:language>
  <cp:lastModifiedBy/>
  <dcterms:modified xsi:type="dcterms:W3CDTF">2026-10-19T23:34:32Z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